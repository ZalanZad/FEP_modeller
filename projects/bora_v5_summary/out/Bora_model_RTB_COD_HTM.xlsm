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comments11.xml" ContentType="application/vnd.openxmlformats-officedocument.spreadsheetml.comments+xml"/>
  <Override PartName="/xl/comments5.xml" ContentType="application/vnd.openxmlformats-officedocument.spreadsheetml.comments+xml"/>
  <Override PartName="/xl/comments4.xml" ContentType="application/vnd.openxmlformats-officedocument.spreadsheetml.comments+xml"/>
  <Override PartName="/xl/drawings/vmlDrawing1.vml" ContentType="application/vnd.openxmlformats-officedocument.vmlDrawing"/>
  <Override PartName="/xl/drawings/vmlDrawing2.vml" ContentType="application/vnd.openxmlformats-officedocument.vmlDrawing"/>
  <Override PartName="/xl/drawings/vmlDrawing3.vml" ContentType="application/vnd.openxmlformats-officedocument.vmlDrawing"/>
  <Override PartName="/xl/drawings/vmlDrawing4.vml" ContentType="application/vnd.openxmlformats-officedocument.vmlDrawing"/>
  <Override PartName="/xl/drawings/vmlDrawing5.vml" ContentType="application/vnd.openxmlformats-officedocument.vmlDrawing"/>
  <Override PartName="/xl/drawings/vmlDrawing6.vml" ContentType="application/vnd.openxmlformats-officedocument.vmlDrawing"/>
  <Override PartName="/xl/comments2.xml" ContentType="application/vnd.openxmlformats-officedocument.spreadsheetml.comments+xml"/>
  <Override PartName="/xl/sharedStrings.xml" ContentType="application/vnd.openxmlformats-officedocument.spreadsheetml.sharedStrings+xml"/>
  <Override PartName="/xl/comments9.xml" ContentType="application/vnd.openxmlformats-officedocument.spreadsheetml.comments+xml"/>
  <Override PartName="/xl/worksheets/sheet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11.xml.rels" ContentType="application/vnd.openxmlformats-package.relationships+xml"/>
  <Override PartName="/xl/worksheets/_rels/sheet5.xml.rels" ContentType="application/vnd.openxmlformats-package.relationships+xml"/>
  <Override PartName="/xl/worksheets/_rels/sheet9.xml.rels" ContentType="application/vnd.openxmlformats-package.relationships+xml"/>
  <Override PartName="/xl/worksheets/_rels/sheet6.xml.rels" ContentType="application/vnd.openxmlformats-package.relationships+xml"/>
  <Override PartName="/xl/worksheets/_rels/sheet4.xml.rels" ContentType="application/vnd.openxmlformats-package.relationships+xml"/>
  <Override PartName="/xl/worksheets/_rels/sheet2.xml.rels" ContentType="application/vnd.openxmlformats-package.relationship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omments6.xml" ContentType="application/vnd.openxmlformats-officedocument.spreadsheetml.comment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2"/>
  </bookViews>
  <sheets>
    <sheet name="Cash_Flow" sheetId="1" state="visible" r:id="rId4"/>
    <sheet name="Dashboard" sheetId="2" state="visible" r:id="rId5"/>
    <sheet name="Bid_Points" sheetId="3" state="visible" r:id="rId6"/>
    <sheet name="Inputs" sheetId="4" state="visible" r:id="rId7"/>
    <sheet name="Curves" sheetId="5" state="visible" r:id="rId8"/>
    <sheet name="Deposits" sheetId="6" state="visible" r:id="rId9"/>
    <sheet name="MOIC" sheetId="7" state="visible" r:id="rId10"/>
    <sheet name="HTM" sheetId="8" state="visible" r:id="rId11"/>
    <sheet name="Open_Items" sheetId="9" state="hidden" r:id="rId12"/>
    <sheet name="Change_Log" sheetId="10" state="hidden" r:id="rId13"/>
    <sheet name="Devex_FEP" sheetId="11" state="hidden" r:id="rId14"/>
    <sheet name="BORA_Devex" sheetId="12" state="hidden" r:id="rId15"/>
  </sheets>
  <definedNames>
    <definedName function="false" hidden="false" name="Bid_Cash" vbProcedure="false">Bid_Points!$M$75:$M$119</definedName>
    <definedName function="false" hidden="false" name="Bid_Dates" vbProcedure="false">Bid_Points!$L$75:$L$119</definedName>
    <definedName function="false" hidden="false" name="Dash_BESS_Capex_MWh" vbProcedure="false">Dashboard!$E$26</definedName>
    <definedName function="false" hidden="false" name="Dash_BESS_Share" vbProcedure="false">Dashboard!$E$23</definedName>
    <definedName function="false" hidden="false" name="Dash_Brownfield" vbProcedure="false">Dashboard!$E$31</definedName>
    <definedName function="false" hidden="false" name="Dash_Build_Shortfall" vbProcedure="false">Dashboard!$E$35</definedName>
    <definedName function="false" hidden="false" name="Dash_Buyer_Rate_Steps" vbProcedure="false">Dashboard!$E$161:$G$161</definedName>
    <definedName function="false" hidden="false" name="Dash_Capex_Steps" vbProcedure="false">Dashboard!$E$145:$I$145</definedName>
    <definedName function="false" hidden="false" name="Dash_Community" vbProcedure="false">Dashboard!$E$29</definedName>
    <definedName function="false" hidden="false" name="Dash_EU_Transformer" vbProcedure="false">Dashboard!$E$34</definedName>
    <definedName function="false" hidden="false" name="Dash_EU_Turbine" vbProcedure="false">Dashboard!$E$33</definedName>
    <definedName function="false" hidden="false" name="Dash_Gearing_Steps" vbProcedure="false">Dashboard!$E$149:$K$149</definedName>
    <definedName function="false" hidden="false" name="Dash_Key_Inputs" vbProcedure="false">Dashboard!$E$8:$G$13</definedName>
    <definedName function="false" hidden="false" name="Dash_Municipal" vbProcedure="false">Dashboard!$E$28</definedName>
    <definedName function="false" hidden="false" name="Dash_MVA" vbProcedure="false">Dashboard!$E$20</definedName>
    <definedName function="false" hidden="false" name="Dash_OSZ4_Basis" vbProcedure="false">Dashboard!$E$24</definedName>
    <definedName function="false" hidden="false" name="Dash_Overbuild" vbProcedure="false">Dashboard!$E$22</definedName>
    <definedName function="false" hidden="false" name="Dash_Partial" vbProcedure="false">Dashboard!$E$30</definedName>
    <definedName function="false" hidden="false" name="Dash_PB_Mult" vbProcedure="false">Dashboard!$E$27</definedName>
    <definedName function="false" hidden="false" name="Dash_Premium_Steps" vbProcedure="false">Dashboard!$E$155:$K$155</definedName>
    <definedName function="false" hidden="false" name="Dash_Price_Steps" vbProcedure="false">Dashboard!$E$141:$K$141</definedName>
    <definedName function="false" hidden="false" name="Dash_Scenario" vbProcedure="false">Dashboard!$E$6</definedName>
    <definedName function="false" hidden="false" name="Dash_Shared" vbProcedure="false">Dashboard!$E$32</definedName>
    <definedName function="false" hidden="false" name="Days_In_Year" vbProcedure="false">Bid_Points!$S$4</definedName>
    <definedName function="false" hidden="false" name="Hours_In_Year" vbProcedure="false">Inputs!$E$346</definedName>
    <definedName function="false" hidden="false" name="In_Bids" vbProcedure="false">Inputs!$E$304</definedName>
    <definedName function="false" hidden="false" name="In_Bottleneck_Factor" vbProcedure="false">Inputs!$E$323</definedName>
    <definedName function="false" hidden="false" name="In_Clip_Ratios" vbProcedure="false">Inputs!$Q$312:$AB$312</definedName>
    <definedName function="false" hidden="false" name="In_Clip_Shares" vbProcedure="false">Inputs!$Q$313:$AB$313</definedName>
    <definedName function="false" hidden="false" name="In_Exit_Profit_Charge" vbProcedure="false">Inputs!$E$307</definedName>
    <definedName function="false" hidden="false" name="In_Min_Hours" vbProcedure="false">Inputs!$E$324</definedName>
    <definedName function="false" hidden="false" name="In_MVA_Per_Bid" vbProcedure="false">Inputs!$E$303</definedName>
    <definedName function="false" hidden="false" name="In_OSZ4_Pts_Wind" vbProcedure="false">Inputs!$E$310</definedName>
    <definedName function="false" hidden="false" name="In_OSZ4_Ratio" vbProcedure="false">Inputs!$E$311</definedName>
    <definedName function="false" hidden="false" name="In_OSZ4_Ratio_Wind" vbProcedure="false">Inputs!$E$309</definedName>
    <definedName function="false" hidden="false" name="In_Refi_Fee" vbProcedure="false">Inputs!$E$368</definedName>
    <definedName function="false" hidden="false" name="In_Refi_Gearing_Add" vbProcedure="false">Inputs!$E$365</definedName>
    <definedName function="false" hidden="false" name="In_Refi_Lag" vbProcedure="false">Inputs!$E$364</definedName>
    <definedName function="false" hidden="false" name="In_Refi_On" vbProcedure="false">Inputs!$E$363</definedName>
    <definedName function="false" hidden="false" name="In_Refi_Rate" vbProcedure="false">Inputs!$E$366</definedName>
    <definedName function="false" hidden="false" name="In_Refi_Tenor" vbProcedure="false">Inputs!$E$367</definedName>
    <definedName function="false" hidden="false" name="In_Scale" vbProcedure="false">Inputs!$E$306</definedName>
    <definedName function="false" hidden="false" name="In_Source_MVA" vbProcedure="false">Inputs!$E$305</definedName>
    <definedName function="false" hidden="false" name="In_Wind_Built" vbProcedure="false">Inputs!$E$308</definedName>
    <definedName function="false" hidden="false" name="Live_Results" vbProcedure="false">Dashboard!$E$89:$E$116</definedName>
    <definedName function="false" hidden="false" name="Master_Check" vbProcedure="false">Dashboard!$E$181</definedName>
    <definedName function="false" hidden="false" name="Million" vbProcedure="false">Bid_Points!$R$4</definedName>
    <definedName function="false" hidden="false" name="Osz1_Incl" vbProcedure="false">Inputs!$Q$351:$Y$351</definedName>
    <definedName function="false" hidden="false" name="Osz1_LB" vbProcedure="false">Inputs!$Q$350:$Y$350</definedName>
    <definedName function="false" hidden="false" name="Osz1_Max" vbProcedure="false">Inputs!$E$341</definedName>
    <definedName function="false" hidden="false" name="Osz1_Min" vbProcedure="false">Inputs!$E$340</definedName>
    <definedName function="false" hidden="false" name="Osz1_Pts" vbProcedure="false">Inputs!$Q$352:$Z$352</definedName>
    <definedName function="false" hidden="false" name="Osz1_W" vbProcedure="false">Inputs!$E$326</definedName>
    <definedName function="false" hidden="false" name="Osz2_Incl" vbProcedure="false">Inputs!$Q$354:$AA$354</definedName>
    <definedName function="false" hidden="false" name="Osz2_LB" vbProcedure="false">Inputs!$Q$353:$AA$353</definedName>
    <definedName function="false" hidden="false" name="Osz2_Max" vbProcedure="false">Inputs!$E$343</definedName>
    <definedName function="false" hidden="false" name="Osz2_Min" vbProcedure="false">Inputs!$E$342</definedName>
    <definedName function="false" hidden="false" name="Osz2_Pts" vbProcedure="false">Inputs!$Q$355:$AB$355</definedName>
    <definedName function="false" hidden="false" name="Osz2_W" vbProcedure="false">Inputs!$E$327</definedName>
    <definedName function="false" hidden="false" name="Osz3_Incl" vbProcedure="false">Inputs!$Q$357:$Z$357</definedName>
    <definedName function="false" hidden="false" name="Osz3_LB" vbProcedure="false">Inputs!$Q$356:$Z$356</definedName>
    <definedName function="false" hidden="false" name="Osz3_Pts" vbProcedure="false">Inputs!$Q$358:$AA$358</definedName>
    <definedName function="false" hidden="false" name="Osz3_W" vbProcedure="false">Inputs!$E$328</definedName>
    <definedName function="false" hidden="false" name="Osz4_Min" vbProcedure="false">Inputs!$E$344</definedName>
    <definedName function="false" hidden="false" name="Osz4_W" vbProcedure="false">Inputs!$E$329</definedName>
    <definedName function="false" hidden="false" name="Osz5_Pts" vbProcedure="false">Inputs!$E$335</definedName>
    <definedName function="false" hidden="false" name="Osz5_W" vbProcedure="false">Inputs!$E$330</definedName>
    <definedName function="false" hidden="false" name="Osz6_Incl" vbProcedure="false">Inputs!$Q$360:$Z$360</definedName>
    <definedName function="false" hidden="false" name="Osz6_LB" vbProcedure="false">Inputs!$Q$359:$Z$359</definedName>
    <definedName function="false" hidden="false" name="Osz6_Pts" vbProcedure="false">Inputs!$Q$361:$AA$361</definedName>
    <definedName function="false" hidden="false" name="Osz6_W" vbProcedure="false">Inputs!$E$331</definedName>
    <definedName function="false" hidden="false" name="Osz7_Pts" vbProcedure="false">Inputs!$E$336</definedName>
    <definedName function="false" hidden="false" name="Osz7_W" vbProcedure="false">Inputs!$E$332</definedName>
    <definedName function="false" hidden="false" name="Osz8_Pts" vbProcedure="false">Inputs!$E$337</definedName>
    <definedName function="false" hidden="false" name="Osz8_W" vbProcedure="false">Inputs!$E$333</definedName>
    <definedName function="false" hidden="false" name="Osz9a_Pts" vbProcedure="false">Inputs!$E$338</definedName>
    <definedName function="false" hidden="false" name="Osz9b_Pts" vbProcedure="false">Inputs!$E$339</definedName>
    <definedName function="false" hidden="false" name="Osz9_W" vbProcedure="false">Inputs!$E$334</definedName>
    <definedName function="false" hidden="false" name="Out_ares" vbProcedure="false">Dashboard!$E$125</definedName>
    <definedName function="false" hidden="false" name="Out_ares_buy" vbProcedure="false">Dashboard!$E$126</definedName>
    <definedName function="false" hidden="false" name="Out_buyer_irr" vbProcedure="false">Dashboard!$E$115</definedName>
    <definedName function="false" hidden="false" name="Out_cod_irr" vbProcedure="false">Dashboard!$E$111</definedName>
    <definedName function="false" hidden="false" name="Out_cod_moic" vbProcedure="false">Dashboard!$E$113</definedName>
    <definedName function="false" hidden="false" name="Out_cod_mva" vbProcedure="false">Dashboard!$E$109</definedName>
    <definedName function="false" hidden="false" name="Out_cod_mw" vbProcedure="false">Dashboard!$E$108</definedName>
    <definedName function="false" hidden="false" name="Out_cod_npv" vbProcedure="false">Dashboard!$E$112</definedName>
    <definedName function="false" hidden="false" name="Out_cod_price" vbProcedure="false">Dashboard!$E$107</definedName>
    <definedName function="false" hidden="false" name="Out_cod_profit" vbProcedure="false">Dashboard!$E$110</definedName>
    <definedName function="false" hidden="false" name="Out_debt" vbProcedure="false">Dashboard!$E$100</definedName>
    <definedName function="false" hidden="false" name="Out_debt_refi" vbProcedure="false">Dashboard!$E$102</definedName>
    <definedName function="false" hidden="false" name="Out_dscr" vbProcedure="false">Dashboard!$E$97</definedName>
    <definedName function="false" hidden="false" name="Out_dscr_refi" vbProcedure="false">Dashboard!$E$104</definedName>
    <definedName function="false" hidden="false" name="Out_eq_irr" vbProcedure="false">Dashboard!$E$94</definedName>
    <definedName function="false" hidden="false" name="Out_fep_npv" vbProcedure="false">Dashboard!$E$95</definedName>
    <definedName function="false" hidden="false" name="Out_fep_peak" vbProcedure="false">Dashboard!$E$96</definedName>
    <definedName function="false" hidden="false" name="Out_gearing" vbProcedure="false">Dashboard!$E$99</definedName>
    <definedName function="false" hidden="false" name="Out_gear_refi" vbProcedure="false">Dashboard!$E$103</definedName>
    <definedName function="false" hidden="false" name="Out_max_gear" vbProcedure="false">Dashboard!$E$98</definedName>
    <definedName function="false" hidden="false" name="Out_max_rtb" vbProcedure="false">Dashboard!$E$116</definedName>
    <definedName function="false" hidden="false" name="Out_payback" vbProcedure="false">Dashboard!$E$105</definedName>
    <definedName function="false" hidden="false" name="Out_points" vbProcedure="false">Dashboard!$E$89</definedName>
    <definedName function="false" hidden="false" name="Out_proj_irr" vbProcedure="false">Dashboard!$E$92</definedName>
    <definedName function="false" hidden="false" name="Out_proj_irr_pre" vbProcedure="false">Dashboard!$E$91</definedName>
    <definedName function="false" hidden="false" name="Out_proj_npv" vbProcedure="false">Dashboard!$E$93</definedName>
    <definedName function="false" hidden="false" name="Out_refi_on" vbProcedure="false">Dashboard!$E$101</definedName>
    <definedName function="false" hidden="false" name="Out_rtb_irr" vbProcedure="false">Dashboard!$E$121</definedName>
    <definedName function="false" hidden="false" name="Out_rtb_moic" vbProcedure="false">Dashboard!$E$123</definedName>
    <definedName function="false" hidden="false" name="Out_rtb_npv" vbProcedure="false">Dashboard!$E$122</definedName>
    <definedName function="false" hidden="false" name="Out_rtb_peak" vbProcedure="false">Dashboard!$E$124</definedName>
    <definedName function="false" hidden="false" name="Out_rtb_prem" vbProcedure="false">Dashboard!$E$119</definedName>
    <definedName function="false" hidden="false" name="Out_rtb_profit" vbProcedure="false">Dashboard!$E$120</definedName>
    <definedName function="false" hidden="false" name="Points_Decimals" vbProcedure="false">Inputs!$E$325</definedName>
    <definedName function="false" hidden="false" name="Qtr_Months" vbProcedure="false">Bid_Points!$T$4</definedName>
    <definedName function="false" hidden="false" name="Scenario_Name" vbProcedure="false">Dashboard!$E$36</definedName>
    <definedName function="false" hidden="false" name="Scenario_Names" vbProcedure="false">Inputs!$G$7:$I$7</definedName>
    <definedName function="false" hidden="false" name="Stored_Delta" vbProcedure="false">Dashboard!$XFD$89:$XFD$116</definedName>
    <definedName function="false" hidden="false" name="Stored_Results" vbProcedure="false">Dashboard!$F$89:$H$116</definedName>
    <definedName function="false" hidden="false" name="Thousand" vbProcedure="false">Inputs!$E$345</definedName>
    <definedName function="false" hidden="false" name="Tolerance" vbProcedure="false">Inputs!$E$347</definedName>
    <definedName function="false" hidden="true" name="_xleta.ROW" vbProcedure="false">#NAME?</definedName>
  </definedName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Unknown Author</author>
  </authors>
  <commentList>
    <comment ref="E9" authorId="0">
      <text>
        <r>
          <rPr>
            <sz val="10"/>
            <rFont val="Arial"/>
            <family val="2"/>
          </rPr>
          <t xml:space="preserve">Zádeczki Zalán:
GoO and balancing cost reduction included in price</t>
        </r>
      </text>
    </comment>
    <comment ref="E46" authorId="0">
      <text>
        <r>
          <rPr>
            <sz val="10"/>
            <rFont val="Arial"/>
            <family val="2"/>
          </rPr>
          <t xml:space="preserve">Zádeczki Zalán:
This is calculated with taking the BESS into account (conservatively) 
</t>
        </r>
      </text>
    </comment>
  </commentList>
</comments>
</file>

<file path=xl/comments4.xml><?xml version="1.0" encoding="utf-8"?>
<comments xmlns="http://schemas.openxmlformats.org/spreadsheetml/2006/main" xmlns:xdr="http://schemas.openxmlformats.org/drawingml/2006/spreadsheetDrawing">
  <authors>
    <author>Unknown Author</author>
  </authors>
  <commentList>
    <comment ref="F89" authorId="0">
      <text>
        <r>
          <rPr>
            <sz val="10"/>
            <rFont val="Arial"/>
            <family val="2"/>
          </rPr>
          <t xml:space="preserve">Zádeczki Zalán:
Source: BORA_Devex_20260921_FEP.xlsx, assumption U12 'Benchmark CAPEX - BESS (HUF/MWh)' = 200,000,000.</t>
        </r>
      </text>
    </comment>
    <comment ref="G11" authorId="0">
      <text>
        <r>
          <rPr>
            <sz val="10"/>
            <rFont val="Arial"/>
            <family val="2"/>
          </rPr>
          <t xml:space="preserve">Zádeczki Zalán:
Source: BORA_Devex_20260921_FEP.xlsx, assumption U6 'FY rate (HUF/EUR)' = 370.</t>
        </r>
      </text>
    </comment>
    <comment ref="G21" authorId="0">
      <text>
        <r>
          <rPr>
            <sz val="10"/>
            <rFont val="Arial"/>
            <family val="2"/>
          </rPr>
          <t xml:space="preserve">User instruction 22-Sep-2026: BESS 100 MW / 200 MWh (2h). The FEP file assumes 4h / 400 MWh at U8/U10; the security base here is therefore 121,200 mHUF, not 161,200.</t>
        </r>
      </text>
    </comment>
    <comment ref="G31" authorId="0">
      <text>
        <r>
          <rPr>
            <sz val="10"/>
            <rFont val="Arial"/>
            <family val="2"/>
          </rPr>
          <t xml:space="preserve">Zádeczki Zalán:
User instruction 22-Sep-2026: replicate the BORA_Devex_20260921_FEP.xlsx exit waterfall – DSA off the total proceeds first, then distributable split 70% FEP / 30% A.RES.</t>
        </r>
      </text>
    </comment>
    <comment ref="G82" authorId="0">
      <text>
        <r>
          <rPr>
            <sz val="10"/>
            <rFont val="Arial"/>
            <family val="2"/>
          </rPr>
          <t xml:space="preserve">Zádeczki Zalán:
Source: BORA_Devex_20260921_FEP.xlsx, U13 'Tender applications (no.)' = 2.</t>
        </r>
      </text>
    </comment>
    <comment ref="G83" authorId="0">
      <text>
        <r>
          <rPr>
            <sz val="10"/>
            <rFont val="Arial"/>
            <family val="2"/>
          </rPr>
          <t xml:space="preserve">Zádeczki Zalán:
Source: BORA_Devex_20260921_FEP.xlsx, row 8 'Application bond (TSO)' = 4,500,000 HUF/MW x 200 MW = 900 mHUF. Cash only - cannot be provided as a bank guarantee (disclaimer 8).</t>
        </r>
      </text>
    </comment>
    <comment ref="G84" authorId="0">
      <text>
        <r>
          <rPr>
            <sz val="10"/>
            <rFont val="Arial"/>
            <family val="2"/>
          </rPr>
          <t xml:space="preserve">Zádeczki Zalán:
Source: BORA_Devex_20260921_FEP.xlsx, row 19 'Connection fee - Direct' = 508,345,804 HUF lump sum, expressed per MW at 200 MW. Line repurposed from the former 'kapacitaslekotesi biztositek', which has no counterpart in the FEP file.</t>
        </r>
      </text>
    </comment>
    <comment ref="G85" authorId="0">
      <text>
        <r>
          <rPr>
            <sz val="10"/>
            <rFont val="Arial"/>
            <family val="2"/>
          </rPr>
          <t xml:space="preserve">Zádeczki Zalán:
Source: BORA_Devex_20260921_FEP.xlsx, row 18 'Connection fee - Indirect' = 73,071,306 HUF/MW (gross 14,614.26 mHUF at 200 MW, booked net of the 900 mHUF TSO application bond).</t>
        </r>
      </text>
    </comment>
    <comment ref="G86" authorId="0">
      <text>
        <r>
          <rPr>
            <sz val="10"/>
            <rFont val="Arial"/>
            <family val="2"/>
          </rPr>
          <t xml:space="preserve">Zádeczki Zalán:
Reference capacity re-based from the July-2026 draft (280 MW) to the FEP file basis (200 MW).</t>
        </r>
      </text>
    </comment>
    <comment ref="G87" authorId="0">
      <text>
        <r>
          <rPr>
            <sz val="10"/>
            <rFont val="Arial"/>
            <family val="2"/>
          </rPr>
          <t xml:space="preserve">BORA_Devex_20260921_FEP.xlsx totals restated for a 100 MW / 200 MWh BESS: wind legs unchanged, BESS leg of the application and performance bonds halved. FEP basis at 400 MWh was 24,497.61.</t>
        </r>
      </text>
    </comment>
    <comment ref="G88" authorId="0">
      <text>
        <r>
          <rPr>
            <sz val="10"/>
            <rFont val="Arial"/>
            <family val="2"/>
          </rPr>
          <t xml:space="preserve">BORA_Devex_20260921_FEP.xlsx cell I54 (22,791.61) restated for a 100 MW / 200 MWh BESS.</t>
        </r>
      </text>
    </comment>
    <comment ref="G90" authorId="0">
      <text>
        <r>
          <rPr>
            <sz val="10"/>
            <rFont val="Arial"/>
            <family val="2"/>
          </rPr>
          <t xml:space="preserve">Zádeczki Zalán:
Source: BORA_Devex_20260921_FEP.xlsx, row 7 Performance bond formula ((base x 2.5%) x 1.5) less the application bond; comment 'w/ 50% extra'.</t>
        </r>
      </text>
    </comment>
    <comment ref="G95" authorId="0">
      <text>
        <r>
          <rPr>
            <sz val="10"/>
            <rFont val="Arial"/>
            <family val="2"/>
          </rPr>
          <t xml:space="preserve">Zádeczki Zalán:
Source: BORA_Devex_20260921_FEP.xlsx, rows 5-6 payment date 2026-10-31.</t>
        </r>
      </text>
    </comment>
    <comment ref="G97" authorId="0">
      <text>
        <r>
          <rPr>
            <sz val="10"/>
            <rFont val="Arial"/>
            <family val="2"/>
          </rPr>
          <t xml:space="preserve">Zádeczki Zalán:
Source: BORA_Devex_20260921_FEP.xlsx, row 8 'Application bond (TSO)' payment date 2026-12-31.</t>
        </r>
      </text>
    </comment>
    <comment ref="G99" authorId="0">
      <text>
        <r>
          <rPr>
            <sz val="10"/>
            <rFont val="Arial"/>
            <family val="2"/>
          </rPr>
          <t xml:space="preserve">Zádeczki Zalán:
Source: BORA_Devex_20260921_FEP.xlsx, rows 18-19 connection fee payment date 2029-01-28.</t>
        </r>
      </text>
    </comment>
    <comment ref="G102" authorId="0">
      <text>
        <r>
          <rPr>
            <sz val="10"/>
            <rFont val="Arial"/>
            <family val="2"/>
          </rPr>
          <t xml:space="preserve">Zádeczki Zalán:
Set so the performance bond falls on 2026-12-31, per BORA_Devex_20260921_FEP.xlsx row 7.</t>
        </r>
      </text>
    </comment>
    <comment ref="G103" authorId="0">
      <text>
        <r>
          <rPr>
            <sz val="10"/>
            <rFont val="Arial"/>
            <family val="2"/>
          </rPr>
          <t xml:space="preserve">Zádeczki Zalán:
Source: BORA_Devex_20260921_FEP.xlsx, rows 9-13: supplementary grid bonds paid 30 April each year.</t>
        </r>
      </text>
    </comment>
    <comment ref="G118" authorId="0">
      <text>
        <r>
          <rPr>
            <sz val="10"/>
            <rFont val="Arial"/>
            <family val="2"/>
          </rPr>
          <t xml:space="preserve">Zádeczki Zalán:
Bank guarantee per BORA_Devex_20260921_FEP.xlsx (Application bond, 6% fee).</t>
        </r>
      </text>
    </comment>
    <comment ref="G120" authorId="0">
      <text>
        <r>
          <rPr>
            <sz val="10"/>
            <rFont val="Arial"/>
            <family val="2"/>
          </rPr>
          <t xml:space="preserve">Zádeczki Zalán:
Cash per BORA_Devex_20260921_FEP.xlsx: Application bond (TSO) flagged 'NOT bank guarantee', 12%.</t>
        </r>
      </text>
    </comment>
    <comment ref="G168" authorId="0">
      <text>
        <r>
          <rPr>
            <sz val="10"/>
            <rFont val="Arial"/>
            <family val="2"/>
          </rPr>
          <t xml:space="preserve">Zádeczki Zalán:
User instruction 22-Sep-2026: BESS capex ~200 k€/MW on a power basis, i.e. 20,000 k€ for 100 MW. Capex only.</t>
        </r>
      </text>
    </comment>
    <comment ref="G229" authorId="0">
      <text>
        <r>
          <rPr>
            <sz val="10"/>
            <rFont val="Arial"/>
            <family val="2"/>
          </rPr>
          <t xml:space="preserve">Zádeczki Zalán:
Set to 0 on 22-Sep-2026: in the hold-to-COD case A.RES is bought out in full at the deemed exit (HTM rows 21-22), so the DSA is settled there, not again at COD.</t>
        </r>
      </text>
    </comment>
    <comment ref="G231" authorId="0">
      <text>
        <r>
          <rPr>
            <sz val="10"/>
            <rFont val="Arial"/>
            <family val="2"/>
          </rPr>
          <t xml:space="preserve">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5" authorId="0">
      <text>
        <r>
          <rPr>
            <sz val="10"/>
            <rFont val="Arial"/>
            <family val="2"/>
          </rPr>
          <t xml:space="preserve">Zádeczki Zalán:
User instruction 24-Sep-2026: FEP's intended bid offering is 20 k€/MW as the one-off local benefit (was 25, the mid-band estimate). Tender scoring gives points above 10 k€/MW, maximum at 50 k€/MW.</t>
        </r>
      </text>
    </comment>
    <comment ref="G236" authorId="0">
      <text>
        <r>
          <rPr>
            <sz val="10"/>
            <rFont val="Arial"/>
            <family val="2"/>
          </rPr>
          <t xml:space="preserve">Zádeczki Zalán:
User instruction 24-Sep-2026: FEP's intended bid offering is 2 €/MWh of the operating asset's income (was 2.5, the mid-band estimate). Tender scoring gives points above 2 €/MWh, maximum at 3 €/MWh.</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C20" authorId="0">
      <text>
        <r>
          <rPr>
            <sz val="10"/>
            <rFont val="Arial"/>
            <family val="2"/>
          </rPr>
          <t xml:space="preserve">[Threaded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r>
      </text>
    </comment>
  </commentList>
</comments>
</file>

<file path=xl/comments6.xml><?xml version="1.0" encoding="utf-8"?>
<comments xmlns="http://schemas.openxmlformats.org/spreadsheetml/2006/main" xmlns:xdr="http://schemas.openxmlformats.org/drawingml/2006/spreadsheetDrawing">
  <authors>
    <author>Unknown Author</author>
  </authors>
  <commentList>
    <comment ref="I18" authorId="0">
      <text>
        <r>
          <rPr>
            <sz val="10"/>
            <rFont val="Arial"/>
            <family val="2"/>
          </rPr>
          <t xml:space="preserve">Zádeczki Zalán:
FEP rule: the indirect connection fee is booked net of the TSO application bond only (900 mHUF). Source: BORA_Devex_20260921_FEP.xlsx row 18.</t>
        </r>
      </text>
    </comment>
  </commentList>
</comments>
</file>

<file path=xl/comments9.xml><?xml version="1.0" encoding="utf-8"?>
<comments xmlns="http://schemas.openxmlformats.org/spreadsheetml/2006/main" xmlns:xdr="http://schemas.openxmlformats.org/drawingml/2006/spreadsheetDrawing">
  <authors>
    <author>Unknown Author</author>
  </authors>
  <commentList>
    <comment ref="E41" authorId="0">
      <text>
        <r>
          <rPr>
            <sz val="10"/>
            <rFont val="Arial"/>
            <family val="2"/>
          </rPr>
          <t xml:space="preserve">Source: BORA_Devex_20260921_FEP.xlsx Sheet1 rows 8, 18, 19 and disclaimers 1 and 8, confirmed by the file owner 21-Sep-2026. Shared file bora_deposits_securities.csv.</t>
        </r>
      </text>
    </comment>
    <comment ref="E42" authorId="0">
      <text>
        <r>
          <rPr>
            <sz val="10"/>
            <rFont val="Arial"/>
            <family val="2"/>
          </rPr>
          <t xml:space="preserve">Source: BORA_Devex_20260921_FEP.xlsx, shared file bora_devex_line_items.csv, 34 lines flagged 'cash / equity devex (20%)'; the undated 'Continuous' lines confirmed by the file owner 21-Sep-2026.</t>
        </r>
      </text>
    </comment>
    <comment ref="E43" authorId="0">
      <text>
        <r>
          <rPr>
            <sz val="10"/>
            <rFont val="Arial"/>
            <family val="2"/>
          </rPr>
          <t xml:space="preserve">Source: BORA_Devex_20260921_FEP.xlsx Sheet1, FEP proposal column Q and the 'FEP proposal Exit: 2029.06.30' proceeds block; confirmed by the file owner 21-Sep-2026.</t>
        </r>
      </text>
    </comment>
  </commentList>
</comments>
</file>

<file path=xl/comments11.xml><?xml version="1.0" encoding="utf-8"?>
<comments xmlns="http://schemas.openxmlformats.org/spreadsheetml/2006/main" xmlns:xdr="http://schemas.openxmlformats.org/drawingml/2006/spreadsheetDrawing">
  <authors>
    <author>Unknown Author</author>
  </authors>
  <commentList>
    <comment ref="B4" authorId="0">
      <text>
        <r>
          <rPr>
            <sz val="10"/>
            <rFont val="Arial"/>
            <family val="2"/>
          </rPr>
          <t xml:space="preserve">Zádeczki Zalán:
Source: BORA_Devex_20260925.xlsx (Sheet1, FEP view rows 14–17, 20–49), 34 rows, shared 29/09/2026 as bora_devex_fep_v2.json. From a connected Excel session; not recalculated by Claude. Contingency row is a formula (Inputs E68).</t>
        </r>
      </text>
    </comment>
  </commentList>
</comments>
</file>

<file path=xl/sharedStrings.xml><?xml version="1.0" encoding="utf-8"?>
<sst xmlns="http://schemas.openxmlformats.org/spreadsheetml/2006/main" count="4673" uniqueCount="2546">
  <si>
    <t xml:space="preserve">€ m</t>
  </si>
  <si>
    <t xml:space="preserve">k€/MW built</t>
  </si>
  <si>
    <t xml:space="preserve">k€/MVA</t>
  </si>
  <si>
    <t xml:space="preserve">All-in cost to COD</t>
  </si>
  <si>
    <t xml:space="preserve">Revenue, first full year</t>
  </si>
  <si>
    <t xml:space="preserve">Year</t>
  </si>
  <si>
    <t xml:space="preserve">year</t>
  </si>
  <si>
    <t xml:space="preserve">x</t>
  </si>
  <si>
    <t xml:space="preserve">Per MW built (k€/MW)</t>
  </si>
  <si>
    <t xml:space="preserve">Sum</t>
  </si>
  <si>
    <t xml:space="preserve">Total spending (development, build, financing)</t>
  </si>
  <si>
    <t xml:space="preserve">k€/MW</t>
  </si>
  <si>
    <t xml:space="preserve">Revenue</t>
  </si>
  <si>
    <t xml:space="preserve">EBITDA</t>
  </si>
  <si>
    <t xml:space="preserve">Equity cash flow</t>
  </si>
  <si>
    <t xml:space="preserve">Equity cash flow statement (EUR k)</t>
  </si>
  <si>
    <t xml:space="preserve">Total € m</t>
  </si>
  <si>
    <t xml:space="preserve">Development phase (devex, fees, securities net, A.RES buy-out)</t>
  </si>
  <si>
    <t xml:space="preserve">EUR k</t>
  </si>
  <si>
    <t xml:space="preserve">Build cost to COD (capex, connection, municipal, debt fees; IDC is debt-funded)</t>
  </si>
  <si>
    <t xml:space="preserve">Operating costs</t>
  </si>
  <si>
    <t xml:space="preserve">Tax depreciation (memo)</t>
  </si>
  <si>
    <t xml:space="preserve">EBIT (memo)</t>
  </si>
  <si>
    <t xml:space="preserve">Tax (levered)</t>
  </si>
  <si>
    <t xml:space="preserve">Debt drawdown</t>
  </si>
  <si>
    <t xml:space="preserve">Debt service (incl. cash sweep and DSRA)</t>
  </si>
  <si>
    <t xml:space="preserve">Decommissioning and terminal value</t>
  </si>
  <si>
    <t xml:space="preserve">Cumulative equity cash flow</t>
  </si>
  <si>
    <t xml:space="preserve">Check: rows above do not add up to the equity cash flow</t>
  </si>
  <si>
    <t xml:space="preserve">#</t>
  </si>
  <si>
    <t xml:space="preserve">***END***</t>
  </si>
  <si>
    <t xml:space="preserve">Master check</t>
  </si>
  <si>
    <t xml:space="preserve">0. Key inputs by scenario</t>
  </si>
  <si>
    <t xml:space="preserve">Scenario (Base, Low, High)</t>
  </si>
  <si>
    <t xml:space="preserve">Base</t>
  </si>
  <si>
    <t xml:space="preserve">Low</t>
  </si>
  <si>
    <t xml:space="preserve">High</t>
  </si>
  <si>
    <t xml:space="preserve">Live</t>
  </si>
  <si>
    <t xml:space="preserve">Turbine supply, EU</t>
  </si>
  <si>
    <t xml:space="preserve">PPA price, first operating year</t>
  </si>
  <si>
    <t xml:space="preserve">€/MWh</t>
  </si>
  <si>
    <t xml:space="preserve">Net P50 hours</t>
  </si>
  <si>
    <t xml:space="preserve">h/yr</t>
  </si>
  <si>
    <t xml:space="preserve">O&amp;M full-service contract</t>
  </si>
  <si>
    <t xml:space="preserve">k€/MW/yr</t>
  </si>
  <si>
    <t xml:space="preserve">RtB premium</t>
  </si>
  <si>
    <t xml:space="preserve">Construction capex excl. turbine (BoP, owner's costs, land)</t>
  </si>
  <si>
    <t xml:space="preserve">Low / High = Base ± this</t>
  </si>
  <si>
    <t xml:space="preserve">All-in cost to COD per MW built</t>
  </si>
  <si>
    <t xml:space="preserve">All-in cost to COD per MVA</t>
  </si>
  <si>
    <t xml:space="preserve">Equity IRR (FEP, 100 %)</t>
  </si>
  <si>
    <t xml:space="preserve">%</t>
  </si>
  <si>
    <t xml:space="preserve">1. Bid strategy and tender points (levers)</t>
  </si>
  <si>
    <t xml:space="preserve">Offer</t>
  </si>
  <si>
    <t xml:space="preserve">Points</t>
  </si>
  <si>
    <t xml:space="preserve">Connection capacity (100 MVA per bid)</t>
  </si>
  <si>
    <t xml:space="preserve">MVA</t>
  </si>
  <si>
    <t xml:space="preserve">Number of bids</t>
  </si>
  <si>
    <t xml:space="preserve">Overbuild (ÖSZ-3)</t>
  </si>
  <si>
    <t xml:space="preserve">% of MVA</t>
  </si>
  <si>
    <t xml:space="preserve">BESS power (ÖSZ-4; points on the ratio scored, Inputs block U)</t>
  </si>
  <si>
    <t xml:space="preserve">ÖSZ-4 basis (0 = MVA, 1 = installed wind)</t>
  </si>
  <si>
    <t xml:space="preserve">flag</t>
  </si>
  <si>
    <t xml:space="preserve">BESS duration</t>
  </si>
  <si>
    <t xml:space="preserve">h</t>
  </si>
  <si>
    <t xml:space="preserve">BESS capex</t>
  </si>
  <si>
    <t xml:space="preserve">k€/MWh</t>
  </si>
  <si>
    <t xml:space="preserve">Performance security multiple (ÖSZ-6)</t>
  </si>
  <si>
    <t xml:space="preserve">Municipal one-off (ÖSZ-1, basis MVA; the law leaves the MW basis open)</t>
  </si>
  <si>
    <t xml:space="preserve">Community contribution (ÖSZ-2)</t>
  </si>
  <si>
    <t xml:space="preserve">Partial award accepted (ÖSZ-5)</t>
  </si>
  <si>
    <t xml:space="preserve">Brownfield site (ÖSZ-7)</t>
  </si>
  <si>
    <t xml:space="preserve">Shared connection (ÖSZ-8)</t>
  </si>
  <si>
    <t xml:space="preserve">EU turbines, at least 80 % (ÖSZ-9)</t>
  </si>
  <si>
    <t xml:space="preserve">EU transformers, at least 80 % (ÖSZ-9)</t>
  </si>
  <si>
    <t xml:space="preserve">Wind built below the bid (no sanction up to 10 %)</t>
  </si>
  <si>
    <t xml:space="preserve">Turbine route (case)</t>
  </si>
  <si>
    <t xml:space="preserve">case</t>
  </si>
  <si>
    <t xml:space="preserve">CN turbine</t>
  </si>
  <si>
    <t xml:space="preserve">Total points</t>
  </si>
  <si>
    <t xml:space="preserve">points</t>
  </si>
  <si>
    <t xml:space="preserve">Total points if ÖSZ-4 is scored on installed wind (GYIK Q20)</t>
  </si>
  <si>
    <t xml:space="preserve">2. Capacity and basis</t>
  </si>
  <si>
    <t xml:space="preserve">Wind committed (bid)</t>
  </si>
  <si>
    <t xml:space="preserve">MW</t>
  </si>
  <si>
    <t xml:space="preserve">Wind built (bid less 10 %, no sanction)</t>
  </si>
  <si>
    <t xml:space="preserve">BESS power</t>
  </si>
  <si>
    <t xml:space="preserve">BESS energy</t>
  </si>
  <si>
    <t xml:space="preserve">MWh</t>
  </si>
  <si>
    <t xml:space="preserve">Wind built above connection capacity</t>
  </si>
  <si>
    <t xml:space="preserve">Clipped share of gross energy (OVIT curve)</t>
  </si>
  <si>
    <t xml:space="preserve">k€/MW = per built wind MW; k€/MVA = per connection MVA</t>
  </si>
  <si>
    <t xml:space="preserve">3. Build cost to COD</t>
  </si>
  <si>
    <t xml:space="preserve">Turbines</t>
  </si>
  <si>
    <t xml:space="preserve">Installation</t>
  </si>
  <si>
    <t xml:space="preserve">Foundations</t>
  </si>
  <si>
    <t xml:space="preserve">Balance of plant, civil</t>
  </si>
  <si>
    <t xml:space="preserve">Balance of plant, electrical</t>
  </si>
  <si>
    <t xml:space="preserve">Substation and 132 kV bay</t>
  </si>
  <si>
    <t xml:space="preserve">Owner's costs</t>
  </si>
  <si>
    <t xml:space="preserve">Land and easements</t>
  </si>
  <si>
    <t xml:space="preserve">Contingency</t>
  </si>
  <si>
    <t xml:space="preserve">BESS (at cost; no BESS revenue or opex modelled)</t>
  </si>
  <si>
    <t xml:space="preserve">Connection fee, indirect (net of TSO security)</t>
  </si>
  <si>
    <t xml:space="preserve">Connection fee, direct</t>
  </si>
  <si>
    <t xml:space="preserve">Municipal one-off</t>
  </si>
  <si>
    <t xml:space="preserve">Interest during construction</t>
  </si>
  <si>
    <t xml:space="preserve">Debt fees (upfront, commitment)</t>
  </si>
  <si>
    <t xml:space="preserve">Yield on cost </t>
  </si>
  <si>
    <t xml:space="preserve">Yield on cost after capital</t>
  </si>
  <si>
    <t xml:space="preserve">4. Generation and operations</t>
  </si>
  <si>
    <t xml:space="preserve">Value</t>
  </si>
  <si>
    <t xml:space="preserve">per MW built</t>
  </si>
  <si>
    <t xml:space="preserve">per MVA</t>
  </si>
  <si>
    <t xml:space="preserve">First full operating year</t>
  </si>
  <si>
    <t xml:space="preserve">Net generation, first full year</t>
  </si>
  <si>
    <t xml:space="preserve">GWh</t>
  </si>
  <si>
    <t xml:space="preserve">Equivalent full-load hours, first full year</t>
  </si>
  <si>
    <t xml:space="preserve">Net capacity factor, first full year</t>
  </si>
  <si>
    <t xml:space="preserve">Energy clipped, first full year</t>
  </si>
  <si>
    <t xml:space="preserve">Achieved price, first full year</t>
  </si>
  <si>
    <t xml:space="preserve">EBITDA, first full year</t>
  </si>
  <si>
    <t xml:space="preserve">EBITDA margin, first full year</t>
  </si>
  <si>
    <t xml:space="preserve">Operating costs, first full year</t>
  </si>
  <si>
    <t xml:space="preserve">Operating costs per MW built and per MVA, first full year</t>
  </si>
  <si>
    <t xml:space="preserve">k€</t>
  </si>
  <si>
    <t xml:space="preserve">EBITDA, lifetime</t>
  </si>
  <si>
    <t xml:space="preserve">Lifetime net generation</t>
  </si>
  <si>
    <t xml:space="preserve">LCOE</t>
  </si>
  <si>
    <t xml:space="preserve">5. Returns by case</t>
  </si>
  <si>
    <t xml:space="preserve">Stored − live</t>
  </si>
  <si>
    <t xml:space="preserve">Tender points</t>
  </si>
  <si>
    <t xml:space="preserve">Build and operate</t>
  </si>
  <si>
    <t xml:space="preserve">Project IRR, unlevered pre-tax</t>
  </si>
  <si>
    <t xml:space="preserve">Project IRR, unlevered post-tax</t>
  </si>
  <si>
    <t xml:space="preserve">Project NPV, unlevered post-tax at 8 %</t>
  </si>
  <si>
    <t xml:space="preserve">Equity IRR, levered post-tax (FEP, 100 %)</t>
  </si>
  <si>
    <t xml:space="preserve">FEP NPV at 8 %</t>
  </si>
  <si>
    <t xml:space="preserve">FEP peak exposure</t>
  </si>
  <si>
    <t xml:space="preserve">Minimum DSCR, whole life</t>
  </si>
  <si>
    <t xml:space="preserve">Maximum gearing at the lender minimum DSCR</t>
  </si>
  <si>
    <t xml:space="preserve">≥ top step</t>
  </si>
  <si>
    <t xml:space="preserve">Gearing (debt ÷ capex)</t>
  </si>
  <si>
    <t xml:space="preserve">Debt at COD (incl. capitalised IDC)</t>
  </si>
  <si>
    <t xml:space="preserve">Refinanced at COD + 1 (1 = yes)</t>
  </si>
  <si>
    <t xml:space="preserve">Debt after refinancing</t>
  </si>
  <si>
    <t xml:space="preserve">Gearing after refinancing</t>
  </si>
  <si>
    <t xml:space="preserve">Minimum DSCR after refinancing</t>
  </si>
  <si>
    <t xml:space="preserve">n/a</t>
  </si>
  <si>
    <t xml:space="preserve">Payback year (FEP equity)</t>
  </si>
  <si>
    <t xml:space="preserve">Sale at COD to a buyer at 8 % (31-Dec of the COD year)</t>
  </si>
  <si>
    <t xml:space="preserve">COD sale price</t>
  </si>
  <si>
    <t xml:space="preserve">COD sale price per MW built</t>
  </si>
  <si>
    <t xml:space="preserve">COD sale price per MVA</t>
  </si>
  <si>
    <t xml:space="preserve">FEP profit</t>
  </si>
  <si>
    <t xml:space="preserve">FEP IRR</t>
  </si>
  <si>
    <t xml:space="preserve">FEP MOIC</t>
  </si>
  <si>
    <t xml:space="preserve">Sale at RtB – the buyer (builds and operates with this turbine)</t>
  </si>
  <si>
    <t xml:space="preserve">Buyer IRR at the RtB premium, unlevered post-tax</t>
  </si>
  <si>
    <t xml:space="preserve">RtB premium at which the buyer earns 8 %</t>
  </si>
  <si>
    <t xml:space="preserve">5b. Sale at RtB – FEP side (independent of the turbine)</t>
  </si>
  <si>
    <t xml:space="preserve">150k premium</t>
  </si>
  <si>
    <t xml:space="preserve">RtB premium (the buyer also reimburses securities, fees and land at cost)</t>
  </si>
  <si>
    <t xml:space="preserve">FEP profit post-tax</t>
  </si>
  <si>
    <t xml:space="preserve">FEP IRR post-tax</t>
  </si>
  <si>
    <t xml:space="preserve">A.RES profit post-tax</t>
  </si>
  <si>
    <t xml:space="preserve">A.RES buy-out paid in the build case at the RtB date</t>
  </si>
  <si>
    <t xml:space="preserve">6. Securities and fees (Deposits)</t>
  </si>
  <si>
    <t xml:space="preserve">Participation fee</t>
  </si>
  <si>
    <t xml:space="preserve">mHUF</t>
  </si>
  <si>
    <t xml:space="preserve">Bid security</t>
  </si>
  <si>
    <t xml:space="preserve">Performance security (gross; bid security credited)</t>
  </si>
  <si>
    <t xml:space="preserve">TSO connection-request security</t>
  </si>
  <si>
    <t xml:space="preserve">Connection fee, indirect (before TSO credit)</t>
  </si>
  <si>
    <t xml:space="preserve">Total gross</t>
  </si>
  <si>
    <t xml:space="preserve">Total payable after netting</t>
  </si>
  <si>
    <t xml:space="preserve">Of which cash, in FEP cash flows</t>
  </si>
  <si>
    <t xml:space="preserve">Of which bank guarantee, in FEP cash flows</t>
  </si>
  <si>
    <t xml:space="preserve">7. Sensitivities, live case (step values are inputs; the engine recalculates each step)</t>
  </si>
  <si>
    <t xml:space="preserve">Achieved price, % of base</t>
  </si>
  <si>
    <t xml:space="preserve">Project IRR, pre-tax (engine block)</t>
  </si>
  <si>
    <t xml:space="preserve">Project NPV, pre-tax at 8 % (engine block)</t>
  </si>
  <si>
    <t xml:space="preserve">Capex, % of base</t>
  </si>
  <si>
    <t xml:space="preserve">Gearing (debt on capex)</t>
  </si>
  <si>
    <t xml:space="preserve">FEP equity IRR</t>
  </si>
  <si>
    <t xml:space="preserve">FEP NPV ÷ equity at 8 %</t>
  </si>
  <si>
    <t xml:space="preserve">Minimum DSCR</t>
  </si>
  <si>
    <t xml:space="preserve">DSCR vs lender minimum</t>
  </si>
  <si>
    <t xml:space="preserve">Buyer IRR, unlevered post-tax</t>
  </si>
  <si>
    <t xml:space="preserve">Buyer discount rate (unlevered)</t>
  </si>
  <si>
    <t xml:space="preserve">FEP profit on the COD sale</t>
  </si>
  <si>
    <t xml:space="preserve">RtB premium at which the buyer earns this rate</t>
  </si>
  <si>
    <t xml:space="preserve">8. Checks</t>
  </si>
  <si>
    <t xml:space="preserve">Fails</t>
  </si>
  <si>
    <t xml:space="preserve">Status</t>
  </si>
  <si>
    <t xml:space="preserve">Sale-at-RtB engine checks</t>
  </si>
  <si>
    <t xml:space="preserve">Build-and-operate engine checks</t>
  </si>
  <si>
    <t xml:space="preserve">Deposits schedule internal check</t>
  </si>
  <si>
    <t xml:space="preserve">Capex breakdown = engine capex + IDC + fees</t>
  </si>
  <si>
    <t xml:space="preserve">Stored results = live case (numbers only)</t>
  </si>
  <si>
    <t xml:space="preserve">ÖSZ-1 offer within the offerable range</t>
  </si>
  <si>
    <t xml:space="preserve">ÖSZ-2 offer within the offerable range</t>
  </si>
  <si>
    <t xml:space="preserve">ÖSZ-4 BESS ratio at least the minimum</t>
  </si>
  <si>
    <t xml:space="preserve">Cash_Flow foots to the equity cash flow</t>
  </si>
  <si>
    <t xml:space="preserve">Gearing grid ties to the live case at the live gearing</t>
  </si>
  <si>
    <t xml:space="preserve">Bid_Points total for BORA 1 = Dashboard total points</t>
  </si>
  <si>
    <t xml:space="preserve">Capacity: BESS MW ≤ wind MW, duration ≥ minimum</t>
  </si>
  <si>
    <t xml:space="preserve">Master check (number of failing rows)</t>
  </si>
  <si>
    <t xml:space="preserve">9. Key assumptions, live case</t>
  </si>
  <si>
    <t xml:space="preserve">PPA escalation</t>
  </si>
  <si>
    <t xml:space="preserve">PPA tenor</t>
  </si>
  <si>
    <t xml:space="preserve">years</t>
  </si>
  <si>
    <t xml:space="preserve">Debt interest rate</t>
  </si>
  <si>
    <t xml:space="preserve">Debt tenor (annuity from the first full year)</t>
  </si>
  <si>
    <t xml:space="preserve">Lender minimum DSCR (gearing test)</t>
  </si>
  <si>
    <t xml:space="preserve">Discount rate (NPV)</t>
  </si>
  <si>
    <t xml:space="preserve">Tax depreciation period</t>
  </si>
  <si>
    <t xml:space="preserve">FX</t>
  </si>
  <si>
    <t xml:space="preserve">HUF/EUR</t>
  </si>
  <si>
    <t xml:space="preserve">RtB date</t>
  </si>
  <si>
    <t xml:space="preserve">date</t>
  </si>
  <si>
    <t xml:space="preserve">Sale date (RtB route)</t>
  </si>
  <si>
    <t xml:space="preserve">COD</t>
  </si>
  <si>
    <t xml:space="preserve">Operating life</t>
  </si>
  <si>
    <t xml:space="preserve">A.RES bought out at RtB in the build case (1 = yes)</t>
  </si>
  <si>
    <t xml:space="preserve">Curtailment</t>
  </si>
  <si>
    <t xml:space="preserve">Degradation per year</t>
  </si>
  <si>
    <t xml:space="preserve">Refinancing year (case 3)</t>
  </si>
  <si>
    <t xml:space="preserve">Refinancing: new loan rate</t>
  </si>
  <si>
    <t xml:space="preserve">Refinancing: new loan tenor</t>
  </si>
  <si>
    <t xml:space="preserve">Refinancing: gearing added to the base gearing</t>
  </si>
  <si>
    <t xml:space="preserve">Overbuild per OVIT optimal-overbuild memo (23-Oct-2026), capped at the maximum-points band</t>
  </si>
  <si>
    <t xml:space="preserve">Clipping per OVIT memo Table 7 (36 % P50 park); conservative at 2,500 h</t>
  </si>
  <si>
    <t xml:space="preserve">Wind built = bid − 10 %: tolerance per GYIK Q28/30/76, not in the Kiírás itself</t>
  </si>
  <si>
    <t xml:space="preserve">Annuity</t>
  </si>
  <si>
    <t xml:space="preserve">Bora, Iváncsa, Dunaújváros</t>
  </si>
  <si>
    <t xml:space="preserve">Million</t>
  </si>
  <si>
    <t xml:space="preserve">Days in a year</t>
  </si>
  <si>
    <t xml:space="preserve">Months in a quarter</t>
  </si>
  <si>
    <t xml:space="preserve">days</t>
  </si>
  <si>
    <t xml:space="preserve">months</t>
  </si>
  <si>
    <t xml:space="preserve">Unit conversion</t>
  </si>
  <si>
    <t xml:space="preserve">Guarantee-fee day count</t>
  </si>
  <si>
    <t xml:space="preserve">Calendar</t>
  </si>
  <si>
    <t xml:space="preserve">The bid: commitments and points</t>
  </si>
  <si>
    <t xml:space="preserve">BORA 1</t>
  </si>
  <si>
    <t xml:space="preserve">BORA 2</t>
  </si>
  <si>
    <t xml:space="preserve">Iváncsa</t>
  </si>
  <si>
    <t xml:space="preserve">Dunaújváros</t>
  </si>
  <si>
    <t xml:space="preserve">Net connection capacity</t>
  </si>
  <si>
    <t xml:space="preserve">BESS power, share of MVA (ÖSZ-4)</t>
  </si>
  <si>
    <t xml:space="preserve">Municipal one-off (ÖSZ-1)</t>
  </si>
  <si>
    <t xml:space="preserve">EUR k/MW</t>
  </si>
  <si>
    <t xml:space="preserve">EUR/MWh</t>
  </si>
  <si>
    <t xml:space="preserve">EU turbines ≥ 80 % (ÖSZ-9)</t>
  </si>
  <si>
    <t xml:space="preserve">EU transformers ≥ 80 % (ÖSZ-9)</t>
  </si>
  <si>
    <t xml:space="preserve">Wind committed</t>
  </si>
  <si>
    <t xml:space="preserve">Points – municipal one-off</t>
  </si>
  <si>
    <t xml:space="preserve">Points – community contribution</t>
  </si>
  <si>
    <t xml:space="preserve">Points – overbuild</t>
  </si>
  <si>
    <t xml:space="preserve">Points – BESS</t>
  </si>
  <si>
    <t xml:space="preserve">Points – partial award</t>
  </si>
  <si>
    <t xml:space="preserve">Points – performance security</t>
  </si>
  <si>
    <t xml:space="preserve">Points – brownfield</t>
  </si>
  <si>
    <t xml:space="preserve">Points – shared connection</t>
  </si>
  <si>
    <t xml:space="preserve">Points – EU turbines</t>
  </si>
  <si>
    <t xml:space="preserve">Points – EU transformers</t>
  </si>
  <si>
    <t xml:space="preserve">Points total, live case</t>
  </si>
  <si>
    <t xml:space="preserve">Key dates</t>
  </si>
  <si>
    <t xml:space="preserve">Date</t>
  </si>
  <si>
    <t xml:space="preserve">Signing fee and DD paid</t>
  </si>
  <si>
    <t xml:space="preserve">Bid submission: fee paid, bid security posted</t>
  </si>
  <si>
    <t xml:space="preserve">Performance security posted (bid security released)</t>
  </si>
  <si>
    <t xml:space="preserve">TSO security paid</t>
  </si>
  <si>
    <t xml:space="preserve">Devex contingency paid</t>
  </si>
  <si>
    <t xml:space="preserve">Connection agreement (HCSSZ): fees paid</t>
  </si>
  <si>
    <t xml:space="preserve">Notice to proceed</t>
  </si>
  <si>
    <t xml:space="preserve">Performance security released</t>
  </si>
  <si>
    <t xml:space="preserve">model has no PB release date; Kiírás XII.13, estimate</t>
  </si>
  <si>
    <t xml:space="preserve">Rates and fees</t>
  </si>
  <si>
    <t xml:space="preserve">FX rate</t>
  </si>
  <si>
    <t xml:space="preserve">Security base: benchmark investment, wind</t>
  </si>
  <si>
    <t xml:space="preserve">HUF/MW</t>
  </si>
  <si>
    <t xml:space="preserve">Security base: benchmark investment, BESS</t>
  </si>
  <si>
    <t xml:space="preserve">HUF/MWh</t>
  </si>
  <si>
    <t xml:space="preserve">Participation fee per bid</t>
  </si>
  <si>
    <t xml:space="preserve">HUF</t>
  </si>
  <si>
    <t xml:space="preserve">Bid security, share of base</t>
  </si>
  <si>
    <t xml:space="preserve">Performance security, minimum share of base</t>
  </si>
  <si>
    <t xml:space="preserve">TSO security</t>
  </si>
  <si>
    <t xml:space="preserve">HUF/MVA</t>
  </si>
  <si>
    <t xml:space="preserve">Indirect connection fee (közvetett)</t>
  </si>
  <si>
    <t xml:space="preserve">Direct connection fee per bid (model: per MVA of the shared point)</t>
  </si>
  <si>
    <t xml:space="preserve">Bank guarantee fee</t>
  </si>
  <si>
    <t xml:space="preserve">Signing fee and DD</t>
  </si>
  <si>
    <t xml:space="preserve">Devex incl. contingency</t>
  </si>
  <si>
    <t xml:space="preserve">Devex contingency</t>
  </si>
  <si>
    <t xml:space="preserve">Guarantees, securities and connection fees (HUF)</t>
  </si>
  <si>
    <t xml:space="preserve">BORA S</t>
  </si>
  <si>
    <t xml:space="preserve">Total</t>
  </si>
  <si>
    <t xml:space="preserve">Bid security (guarantee)</t>
  </si>
  <si>
    <t xml:space="preserve">Performance security (guarantee)</t>
  </si>
  <si>
    <t xml:space="preserve">TSO connection-request security (cash)</t>
  </si>
  <si>
    <t xml:space="preserve">Direct connection fee</t>
  </si>
  <si>
    <t xml:space="preserve">Indirect connection fee, gross</t>
  </si>
  <si>
    <t xml:space="preserve">Less TSO security credited</t>
  </si>
  <si>
    <t xml:space="preserve">Indirect connection fee, payable</t>
  </si>
  <si>
    <t xml:space="preserve">Peak guarantee (performance security)</t>
  </si>
  <si>
    <t xml:space="preserve">Cash: fee, TSO security, connection fees</t>
  </si>
  <si>
    <t xml:space="preserve">Deposits and fees to COD (EUR k)</t>
  </si>
  <si>
    <t xml:space="preserve">In cash</t>
  </si>
  <si>
    <t xml:space="preserve">Indirect connection fee, net of TSO security</t>
  </si>
  <si>
    <t xml:space="preserve">Guarantee fees to COD</t>
  </si>
  <si>
    <t xml:space="preserve">Deposits and fees in cash</t>
  </si>
  <si>
    <t xml:space="preserve">Devex, land and contingency to COD (EUR k)</t>
  </si>
  <si>
    <t xml:space="preserve">Capacity allocation process - Awarding – Land reservation fee</t>
  </si>
  <si>
    <t xml:space="preserve">Land purchase price</t>
  </si>
  <si>
    <t xml:space="preserve">Grid connection plan – Design fee</t>
  </si>
  <si>
    <t xml:space="preserve">Administrative fee</t>
  </si>
  <si>
    <t xml:space="preserve">Land contracting (additional land) – Legal fee, agent fee</t>
  </si>
  <si>
    <t xml:space="preserve">Wind measurement – Met Masts</t>
  </si>
  <si>
    <t xml:space="preserve">Design fee</t>
  </si>
  <si>
    <t xml:space="preserve">EYA</t>
  </si>
  <si>
    <t xml:space="preserve">Land reclassification – Administrative fee</t>
  </si>
  <si>
    <t xml:space="preserve">Report fee</t>
  </si>
  <si>
    <t xml:space="preserve">Zoning plan modification – Design fee</t>
  </si>
  <si>
    <t xml:space="preserve">Municipality donation – Donation</t>
  </si>
  <si>
    <t xml:space="preserve">Environmental assessment – Bird-bat monitoring</t>
  </si>
  <si>
    <t xml:space="preserve">Assessment fee</t>
  </si>
  <si>
    <t xml:space="preserve">Other project development – Geotechnical assessment fee</t>
  </si>
  <si>
    <t xml:space="preserve">Archaeological</t>
  </si>
  <si>
    <t xml:space="preserve">Topography</t>
  </si>
  <si>
    <t xml:space="preserve">Building permit - Turbines – Administrative fee</t>
  </si>
  <si>
    <t xml:space="preserve">Cable right – Administrative fee</t>
  </si>
  <si>
    <t xml:space="preserve">Compensation</t>
  </si>
  <si>
    <t xml:space="preserve">Building permit - Substation, switching station – Administrative fee</t>
  </si>
  <si>
    <t xml:space="preserve">Building permit - BESS – Administrative fee</t>
  </si>
  <si>
    <t xml:space="preserve">HEPURA permit – Administrative fee</t>
  </si>
  <si>
    <t xml:space="preserve">Legal costs</t>
  </si>
  <si>
    <t xml:space="preserve">Financial costs</t>
  </si>
  <si>
    <t xml:space="preserve">Other costs (HR, car etc.)</t>
  </si>
  <si>
    <t xml:space="preserve">RtB – Land purchase price</t>
  </si>
  <si>
    <t xml:space="preserve">Contingency on devex and participation fee</t>
  </si>
  <si>
    <t xml:space="preserve">Devex, land and contingency</t>
  </si>
  <si>
    <t xml:space="preserve">Summary to COD</t>
  </si>
  <si>
    <t xml:space="preserve">Total cash to COD</t>
  </si>
  <si>
    <t xml:space="preserve">Peak guarantee</t>
  </si>
  <si>
    <t xml:space="preserve">Fee, TSO security and connection fees in cash</t>
  </si>
  <si>
    <t xml:space="preserve">Cash to COD by quarter (EUR k)</t>
  </si>
  <si>
    <t xml:space="preserve">Cumulative</t>
  </si>
  <si>
    <t xml:space="preserve">Guarantees</t>
  </si>
  <si>
    <t xml:space="preserve">Check: quarters vs summary</t>
  </si>
  <si>
    <t xml:space="preserve">Scoring tables (Annex 4 – Kiértékelő táblázat, pontszámítás)</t>
  </si>
  <si>
    <t xml:space="preserve">Lower bound</t>
  </si>
  <si>
    <t xml:space="preserve">Lower bound incl.</t>
  </si>
  <si>
    <t xml:space="preserve">Score (0–100)</t>
  </si>
  <si>
    <t xml:space="preserve">Weighted points</t>
  </si>
  <si>
    <t xml:space="preserve">ÖSZ-1 – Municipal one-off contribution (EUR k/MW)</t>
  </si>
  <si>
    <t xml:space="preserve">weight</t>
  </si>
  <si>
    <t xml:space="preserve">Below the first bound</t>
  </si>
  <si>
    <t xml:space="preserve">Band 1</t>
  </si>
  <si>
    <t xml:space="preserve">Band 2</t>
  </si>
  <si>
    <t xml:space="preserve">Band 3</t>
  </si>
  <si>
    <t xml:space="preserve">Band 4</t>
  </si>
  <si>
    <t xml:space="preserve">Band 5</t>
  </si>
  <si>
    <t xml:space="preserve">Band 6</t>
  </si>
  <si>
    <t xml:space="preserve">Band 7</t>
  </si>
  <si>
    <t xml:space="preserve">Band 8</t>
  </si>
  <si>
    <t xml:space="preserve">Band 9</t>
  </si>
  <si>
    <t xml:space="preserve">ÖSZ-2 – Annual community contribution (EUR/MWh)</t>
  </si>
  <si>
    <t xml:space="preserve">Band 10</t>
  </si>
  <si>
    <t xml:space="preserve">Band 11</t>
  </si>
  <si>
    <t xml:space="preserve">ÖSZ-3 – Overbuild, wind MW over MVA (%)</t>
  </si>
  <si>
    <t xml:space="preserve">ÖSZ-4 – BESS power, share of bid capacity (%)</t>
  </si>
  <si>
    <t xml:space="preserve">ÖSZ-6 – Performance security vs minimum (x)</t>
  </si>
  <si>
    <t xml:space="preserve">Yes / no criteria (score if flag = 1)</t>
  </si>
  <si>
    <t xml:space="preserve">ÖSZ-5 – Partial award accepted</t>
  </si>
  <si>
    <t xml:space="preserve">ÖSZ-7 – Brownfield site (≥ 70 %)</t>
  </si>
  <si>
    <t xml:space="preserve">ÖSZ-8 – Shared connection point</t>
  </si>
  <si>
    <t xml:space="preserve">ÖSZ-9 – EU-manufactured equipment (≥ 80 % of cost)</t>
  </si>
  <si>
    <t xml:space="preserve">Turbine units</t>
  </si>
  <si>
    <t xml:space="preserve">Generator transformers</t>
  </si>
  <si>
    <t xml:space="preserve">Maximum achievable points</t>
  </si>
  <si>
    <t xml:space="preserve">HUN Onshore Wind – MOIC model v5</t>
  </si>
  <si>
    <t xml:space="preserve">Inputs – all static inputs. Column E = active case (picks case column G:P; falls back to case 1 if the selected case cell is blank).</t>
  </si>
  <si>
    <t xml:space="preserve">Blue on cream = input. Black = calculated. Green = link from another sheet. Yellow fill = key assumption to confirm. Amber fill = awaiting input.</t>
  </si>
  <si>
    <t xml:space="preserve">Input</t>
  </si>
  <si>
    <t xml:space="preserve">Unit</t>
  </si>
  <si>
    <t xml:space="preserve">Active case</t>
  </si>
  <si>
    <t xml:space="preserve">Note</t>
  </si>
  <si>
    <t xml:space="preserve">Case 1</t>
  </si>
  <si>
    <t xml:space="preserve">Case 2</t>
  </si>
  <si>
    <t xml:space="preserve">Case 3</t>
  </si>
  <si>
    <t xml:space="preserve">Case 4</t>
  </si>
  <si>
    <t xml:space="preserve">Case 5</t>
  </si>
  <si>
    <t xml:space="preserve">Case 6</t>
  </si>
  <si>
    <t xml:space="preserve">Case 7</t>
  </si>
  <si>
    <t xml:space="preserve">Case 8</t>
  </si>
  <si>
    <t xml:space="preserve">Case 9</t>
  </si>
  <si>
    <t xml:space="preserve">Case 10</t>
  </si>
  <si>
    <t xml:space="preserve">Case #</t>
  </si>
  <si>
    <t xml:space="preserve">Dashboard case selector (Scenario_Name)</t>
  </si>
  <si>
    <t xml:space="preserve">Case name</t>
  </si>
  <si>
    <t xml:space="preserve">Name</t>
  </si>
  <si>
    <t xml:space="preserve">EU turbine, normal debt (60 % at 5 %)</t>
  </si>
  <si>
    <t xml:space="preserve">EU turbine, refinanced at COD + 1 year</t>
  </si>
  <si>
    <t xml:space="preserve">Case description</t>
  </si>
  <si>
    <t xml:space="preserve">Text</t>
  </si>
  <si>
    <t xml:space="preserve">EU turbines 950 k€/MW, 60 % gearing, 90 €/MWh PPA on all output for 30 years</t>
  </si>
  <si>
    <t xml:space="preserve">As the EU turbine case, but CN turbines 500 k€/MW and 50 % gearing</t>
  </si>
  <si>
    <t xml:space="preserve">As the EU turbine case; at the end of the year after the COD year the loan is refinanced: +4 pp gearing at 4.5 % over 15 years</t>
  </si>
  <si>
    <t xml:space="preserve">Project # (Bora only – fixed at 1)</t>
  </si>
  <si>
    <t xml:space="preserve">Fixed to Bora; other projects removed 05-Oct-26</t>
  </si>
  <si>
    <t xml:space="preserve">A. Macro</t>
  </si>
  <si>
    <t xml:space="preserve">EUR / HUF</t>
  </si>
  <si>
    <t xml:space="preserve">Single FX for the whole model (also used for mHUF reporting outputs).</t>
  </si>
  <si>
    <t xml:space="preserve">Hungary corporate income tax</t>
  </si>
  <si>
    <t xml:space="preserve">Applied to positive cumulative profit at sale, less any gain exempted by the participation exemption (E14).</t>
  </si>
  <si>
    <t xml:space="preserve">Cost of capital for economic profit</t>
  </si>
  <si>
    <t xml:space="preserve">Monthly charge on the negative cumulative equity position. Linked to the single discount rate (Inputs row 253 ← Control_Panel E51), per decision 02-Oct-26 (Open_Items #10). Previously 8.9% typed.</t>
  </si>
  <si>
    <t xml:space="preserve">Participation exemption on RtB share sale (1 = gain on shares exempt)</t>
  </si>
  <si>
    <t xml:space="preserve">Switch</t>
  </si>
  <si>
    <t xml:space="preserve">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</si>
  <si>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 xml:space="preserve">B. Capacity, acquisition and exit timing</t>
  </si>
  <si>
    <t xml:space="preserve">Gross capacity entered in tender</t>
  </si>
  <si>
    <t xml:space="preserve">Driven by the Dashboard levers (E16)</t>
  </si>
  <si>
    <t xml:space="preserve">Conversion rate (capacity awarded and taken to RTB)</t>
  </si>
  <si>
    <t xml:space="preserve">Post-award items and exit proceeds scale with successful capacity.</t>
  </si>
  <si>
    <t xml:space="preserve">Successful capacity</t>
  </si>
  <si>
    <t xml:space="preserve">Failed capacity</t>
  </si>
  <si>
    <t xml:space="preserve">Devex on failed capacity is still spent; its bid bond is refunded at award if the switch below is on.</t>
  </si>
  <si>
    <t xml:space="preserve">BESS connection capacity (gross)</t>
  </si>
  <si>
    <t xml:space="preserve">Driven by the Dashboard levers (E20)</t>
  </si>
  <si>
    <t xml:space="preserve">Hours</t>
  </si>
  <si>
    <t xml:space="preserve">Storage hours at rated power: 4h (400 MWh), per BORA Devex FEP basis (changed 05-Oct-2026 from 2h).</t>
  </si>
  <si>
    <t xml:space="preserve">BESS storage capacity (gross)</t>
  </si>
  <si>
    <t xml:space="preserve">Drives the BESS leg of the security base at the bid stage.</t>
  </si>
  <si>
    <t xml:space="preserve">BESS storage capacity (successful)</t>
  </si>
  <si>
    <t xml:space="preserve">Post-award BESS base; scales with the same conversion rate as wind.</t>
  </si>
  <si>
    <t xml:space="preserve">Signing fee to current owners</t>
  </si>
  <si>
    <t xml:space="preserve">Paid at month 0.</t>
  </si>
  <si>
    <t xml:space="preserve">Transaction / DD costs to FEP</t>
  </si>
  <si>
    <t xml:space="preserve">Sale costs at exit</t>
  </si>
  <si>
    <t xml:space="preserve">Deducted from proceeds in the waterfall.</t>
  </si>
  <si>
    <t xml:space="preserve">Investment date (month 0)</t>
  </si>
  <si>
    <t xml:space="preserve">Start of the monthly grid; every month steps by EOMONTH.</t>
  </si>
  <si>
    <t xml:space="preserve">Lag from RTB to sale</t>
  </si>
  <si>
    <t xml:space="preserve">Months</t>
  </si>
  <si>
    <t xml:space="preserve">6 months after RTB (31/03/2029) = sale 30/09/2029. Changed 05-Oct-2026 from 9 (sale 31/12/2029, BORA Devex NEW FEP proposal); originally 3 (Jun-29).</t>
  </si>
  <si>
    <t xml:space="preserve">C. Ownership and developer economics</t>
  </si>
  <si>
    <t xml:space="preserve">JV structure live (1 = 70/30 JV, 0 = FEP 100%)</t>
  </si>
  <si>
    <t xml:space="preserve">Master switch. Also drives Assumptions!E8 on the HTM side.</t>
  </si>
  <si>
    <t xml:space="preserve">FEP share of net proceeds if JV</t>
  </si>
  <si>
    <t xml:space="preserve">FEP effective share of distributable proceeds</t>
  </si>
  <si>
    <t xml:space="preserve">Developer effective share</t>
  </si>
  <si>
    <t xml:space="preserve">Developer funds pro rata (1 = yes)</t>
  </si>
  <si>
    <t xml:space="preserve">If on, the developer funds its share of both shareholder loans on the same terms.</t>
  </si>
  <si>
    <t xml:space="preserve">Developer success fee p.a.</t>
  </si>
  <si>
    <t xml:space="preserve">Accrues pro rata monthly to RTB; settled at exit from proceeds (not funded to RTB).</t>
  </si>
  <si>
    <t xml:space="preserve">Success fee cap</t>
  </si>
  <si>
    <t xml:space="preserve">Success fee live</t>
  </si>
  <si>
    <t xml:space="preserve">Fee only exists in the JV case.</t>
  </si>
  <si>
    <t xml:space="preserve">D. Milestone timing (drives RTB and sale dates). Milestone devex amounts (rows 41–48) are NO LONGER USED – devex comes from the BORA_Devex sheet via Devex_FEP.</t>
  </si>
  <si>
    <t xml:space="preserve">Milestone 1 devex</t>
  </si>
  <si>
    <t xml:space="preserve">NOT USED since 29-Sep-2026 – kept for reference only (grouped). Devex = BORA Devex line items with their own payment dates (Devex_FEP / BORA_Devex).</t>
  </si>
  <si>
    <t xml:space="preserve">Milestone 2 devex</t>
  </si>
  <si>
    <t xml:space="preserve">Milestone 3 devex</t>
  </si>
  <si>
    <t xml:space="preserve">Milestone 4 devex</t>
  </si>
  <si>
    <t xml:space="preserve">Milestone 5 devex</t>
  </si>
  <si>
    <t xml:space="preserve">Milestone 6 devex</t>
  </si>
  <si>
    <t xml:space="preserve">Total devex</t>
  </si>
  <si>
    <t xml:space="preserve">Total devex on gross capacity</t>
  </si>
  <si>
    <t xml:space="preserve">Spent on successful and failed capacity alike.</t>
  </si>
  <si>
    <t xml:space="preserve">Milestone 1 timing (months after previous)</t>
  </si>
  <si>
    <t xml:space="preserve">Months to RTB now 32 (E55), RTB 31/03/2029 (E56); spread evenly across the six milestones.</t>
  </si>
  <si>
    <t xml:space="preserve">Milestone 2 timing (months after previous)</t>
  </si>
  <si>
    <t xml:space="preserve">Milestone 3 timing (months after previous)</t>
  </si>
  <si>
    <t xml:space="preserve">Milestone 4 timing (months after previous)</t>
  </si>
  <si>
    <t xml:space="preserve">Milestone 5 timing (months after previous)</t>
  </si>
  <si>
    <t xml:space="preserve">Milestone 6 timing (months after previous)</t>
  </si>
  <si>
    <t xml:space="preserve">Months from investment to RTB</t>
  </si>
  <si>
    <t xml:space="preserve">RTB date</t>
  </si>
  <si>
    <t xml:space="preserve">Sale month (grid index)</t>
  </si>
  <si>
    <t xml:space="preserve">Sale date</t>
  </si>
  <si>
    <t xml:space="preserve">E. FEP shareholder loans to HoldCo</t>
  </si>
  <si>
    <t xml:space="preserve">Recoverable loan interest (refundable securities)</t>
  </si>
  <si>
    <t xml:space="preserve">% p.a.</t>
  </si>
  <si>
    <t xml:space="preserve">Compounded monthly on the drawn balance.</t>
  </si>
  <si>
    <t xml:space="preserve">Unrecoverable (at-risk) loan interest</t>
  </si>
  <si>
    <t xml:space="preserve">Compounded monthly.</t>
  </si>
  <si>
    <t xml:space="preserve">Minimum return on unrecoverable loan</t>
  </si>
  <si>
    <t xml:space="preserve">Top-up paid from proceeds so the at-risk loan returns at least this multiple of principal.</t>
  </si>
  <si>
    <t xml:space="preserve">Interest freeze date (accrual stops; new FEP proposal)</t>
  </si>
  <si>
    <t xml:space="preserve">Interest frozen from 30/06/2029 to the 30/09/2029 sale (BORA Devex U50 freeze date kept; Devex file assumes a 31/12/2029 sale). Loan and guarantee interest accrue only to this date.</t>
  </si>
  <si>
    <t xml:space="preserve">Interest on bank-guaranteed securities (credited to FEP)</t>
  </si>
  <si>
    <t xml:space="preserve">Accrues monthly-compounded on the guarantee-backed securities outstanding; paid to FEP (and Developer pro rata) from sale proceeds, like loan interest.</t>
  </si>
  <si>
    <t xml:space="preserve">At-risk loan return = flat multiple of principal (1) or 20% compounding with minimum (0)</t>
  </si>
  <si>
    <t xml:space="preserve">1 = BORA Devex term-sheet rule: at-risk (20%) lines return a flat 2× principal (E63), no compounding. 0 = 20% compounding, topped up to at least 2×.</t>
  </si>
  <si>
    <t xml:space="preserve">Devex basis – retired switch, keep at 1 (BORA Devex line items via Devex_FEP)</t>
  </si>
  <si>
    <t xml:space="preserve">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</si>
  <si>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 xml:space="preserve">Contingency on FEP-borne devex (line-item basis)</t>
  </si>
  <si>
    <t xml:space="preserve">Applied to FEP-borne devex on Devex_FEP. Devex file Y52: €2.65m including contingency.</t>
  </si>
  <si>
    <t xml:space="preserve">Interest compounding: annual, BORA Devex convention (1) or monthly (0)</t>
  </si>
  <si>
    <t xml:space="preserve">1 = effective monthly rate (1+r)^(1/12)−1, equivalent to annual compounding as in the Devex file. 0 = nominal r/12.</t>
  </si>
  <si>
    <t xml:space="preserve">DSA / developer success fee accrual start (signing)</t>
  </si>
  <si>
    <t xml:space="preserve">Signing 26/10/2026. Fee accrues pro rata (30/360) from here to the sale date at E36, capped at E37.</t>
  </si>
  <si>
    <t xml:space="preserve">At-risk loan principal (devex) repaid from sale proceeds (1) or carried by FEP (0)</t>
  </si>
  <si>
    <t xml:space="preserve">0 = FEP carries its devex (only the 2× return is paid from proceeds), as in the Devex file.</t>
  </si>
  <si>
    <t xml:space="preserve">Standard cost of capital on FEP cash-funded items (Case B)</t>
  </si>
  <si>
    <t xml:space="preserve">Linked to the model's standard cost of capital (Inputs E13, 8.9%). Opportunity cost on cash FEP funds (cash securities, connection fee, participation fee, devex), compounded to the sale date. Guarantee-backed items use the guarantee fee instead.</t>
  </si>
  <si>
    <t xml:space="preserve">F. Tender securities and grid connection – unit rates (source: Bora_csatlakozási_biztosítékok_díjak.xlsx)</t>
  </si>
  <si>
    <t xml:space="preserve">Benchmark CAPEX – wind (csatlakozási díj alapdíj)</t>
  </si>
  <si>
    <t xml:space="preserve">mHUF/MW</t>
  </si>
  <si>
    <t xml:space="preserve">Wind leg of the %-driven security base. Matches the FEP workbook's 406 mHUF/MW.</t>
  </si>
  <si>
    <t xml:space="preserve">Bid bond rate (ajánlati biztosíték)</t>
  </si>
  <si>
    <t xml:space="preserve">% of base</t>
  </si>
  <si>
    <t xml:space="preserve">0.5% of the bid-stage base (E91), no uplift – matches BORA Devex I6 (606 mHUF).</t>
  </si>
  <si>
    <t xml:space="preserve">Performance bond rate (teljesítési biztosíték)</t>
  </si>
  <si>
    <t xml:space="preserve">Supplementary security total rate (kiegészítő biztosíték)</t>
  </si>
  <si>
    <t xml:space="preserve">Supplementary – 1st instalment share</t>
  </si>
  <si>
    <t xml:space="preserve">2030 COD: first annual instalment is double.</t>
  </si>
  <si>
    <t xml:space="preserve">Supplementary – instalments 2–4 share (each)</t>
  </si>
  <si>
    <t xml:space="preserve">Participation fee (részvételi díj)</t>
  </si>
  <si>
    <t xml:space="preserve">mHUF per bid</t>
  </si>
  <si>
    <t xml:space="preserve">Final tender: HUF 3.0m per bid (draft was 2.0m). Source: MEKH kiírás 30-Aug-26 via palyazatok.org, https://palyazatok.org/szeleromu-palyazat/</t>
  </si>
  <si>
    <t xml:space="preserve">Number of separate bids (one per project SPV; fee is per bid)</t>
  </si>
  <si>
    <t xml:space="preserve">IC paper: BORA = 6 SPVs (5 × 50 MW + 1 × 30 MW). Case 1 keeps 6 bids at 200 MW as a conservative fee count.</t>
  </si>
  <si>
    <t xml:space="preserve">Connection request security (igénybejelentési biztosíték)</t>
  </si>
  <si>
    <t xml:space="preserve">Cash only – the TSO bond cannot be posted as a bank guarantee; credited against the indirect connection fee.</t>
  </si>
  <si>
    <t xml:space="preserve">Connection fee – direct (csatlakozási díj – közvetlen)</t>
  </si>
  <si>
    <t xml:space="preserve">From the BORA Devex table (BORA_Devex_20260925 row 19, connection fee – direct, 508,345,804 HUF = k€ 1,374); expressed per MW so it scales with capacity. Paid on the connection fee date.</t>
  </si>
  <si>
    <t xml:space="preserve">Connection fee estimate (csatlakozási díj)</t>
  </si>
  <si>
    <t xml:space="preserve">From the BORA Devex table (BORA_Devex_20260925 row 18: 73,071,306 HUF/MW × MW, gross). Booked net of the TSO application bond → k€ 37,066, matching the Devex file J18.</t>
  </si>
  <si>
    <t xml:space="preserve">Reference capacity of source table</t>
  </si>
  <si>
    <t xml:space="preserve">Used only for the reconciliation check on Deposits.</t>
  </si>
  <si>
    <t xml:space="preserve">Source gross total at reference capacity</t>
  </si>
  <si>
    <t xml:space="preserve">From BORA_Devex_20260921_FEP.xlsx at 400 MWh BESS (4h). Was 22,797.61 at 2h.</t>
  </si>
  <si>
    <t xml:space="preserve">Source actually-payable total at reference capacity</t>
  </si>
  <si>
    <t xml:space="preserve">BORA_Devex_20260921_FEP.xlsx I54 at 400 MWh BESS (4h). Was 21,291.61 at 2h.</t>
  </si>
  <si>
    <t xml:space="preserve">Benchmark CAPEX – BESS</t>
  </si>
  <si>
    <t xml:space="preserve">mHUF/MWh</t>
  </si>
  <si>
    <t xml:space="preserve">BESS leg of the %-driven security base.</t>
  </si>
  <si>
    <t xml:space="preserve">Performance bond uplift</t>
  </si>
  <si>
    <t xml:space="preserve">Performance security multiple, set on the Dashboard (Dash_PB_Mult)</t>
  </si>
  <si>
    <t xml:space="preserve">Security base – bid stage (gross)</t>
  </si>
  <si>
    <t xml:space="preserve">Wind gross MW x benchmark CAPEX plus BESS gross MWh x benchmark CAPEX. Bid bond applies to this.</t>
  </si>
  <si>
    <t xml:space="preserve">Security base – post-award (successful)</t>
  </si>
  <si>
    <t xml:space="preserve">Performance bond applies to this. Supplementary bonds stay on the wind leg only, per the FEP build.</t>
  </si>
  <si>
    <t xml:space="preserve">G. Tender and grid milestone dates</t>
  </si>
  <si>
    <t xml:space="preserve">Bid submission (pályázat benyújtása)</t>
  </si>
  <si>
    <t xml:space="preserve">Final tender: window 4 Sep – 30 Oct 2026 (draft was 1–18 Sep). Source: MEKH kiírás 30-Aug-26 via Világgazdaság/Portfolio, https://www.portfolio.hu/gazdasag/20260831/meg-csak-most-irtak-ki-a-szeltendert-de-maris-bearnyekolja-a-hazai-szelenergia-celokat-859412</t>
  </si>
  <si>
    <t xml:space="preserve">Award (eredményhirdetés)</t>
  </si>
  <si>
    <t xml:space="preserve">Final tender: results by 13 Dec 2026 (draft was 2 Dec). Same source as above.</t>
  </si>
  <si>
    <t xml:space="preserve">Connection request (igénybejelentés)</t>
  </si>
  <si>
    <t xml:space="preserve">Within 15 days of award (linked: award + 14 days).</t>
  </si>
  <si>
    <t xml:space="preserve">MGT acceptance</t>
  </si>
  <si>
    <t xml:space="preserve">HCsSz signature (connection agreement)</t>
  </si>
  <si>
    <t xml:space="preserve">Connection fee paid here.</t>
  </si>
  <si>
    <t xml:space="preserve">Building permit obtained (építési engedély)</t>
  </si>
  <si>
    <t xml:space="preserve">Drives the 50% supplementary refund and the step-down of later instalments.</t>
  </si>
  <si>
    <t xml:space="preserve">COD – target (tender application)</t>
  </si>
  <si>
    <t xml:space="preserve">TARGET, not a deadline. The binding dates are the earliest connection date (E237) and the COD deadline (E238), checked on E240 and E241. Slipping past this target is not a breach.</t>
  </si>
  <si>
    <t xml:space="preserve">Performance bond payment deadline after award</t>
  </si>
  <si>
    <t xml:space="preserve">Days</t>
  </si>
  <si>
    <t xml:space="preserve">Supplementary security April payment day</t>
  </si>
  <si>
    <t xml:space="preserve">Day</t>
  </si>
  <si>
    <t xml:space="preserve">First April payment after MGT acceptance</t>
  </si>
  <si>
    <t xml:space="preserve">H. Deposit mechanics</t>
  </si>
  <si>
    <t xml:space="preserve">Bid bond credited into performance bond (1 = yes)</t>
  </si>
  <si>
    <t xml:space="preserve">Only the top-up is a new cash outflow; the bid bond is not released separately.</t>
  </si>
  <si>
    <t xml:space="preserve">Supplementary security refund / step-down ratio at building permit</t>
  </si>
  <si>
    <t xml:space="preserve">Include instalments falling due after the sale in FEP cash flows (1 = yes)</t>
  </si>
  <si>
    <t xml:space="preserve">Default 0: instalments after exit are the buyer's obligation. Set 1 to stress.</t>
  </si>
  <si>
    <t xml:space="preserve">Bid bond on failed capacity refunded at award (1 = yes)</t>
  </si>
  <si>
    <t xml:space="preserve">Per tender rules the bid bond is refunded if the bid is unsuccessful.</t>
  </si>
  <si>
    <t xml:space="preserve">Bank guarantee margin (all-in over EURIBOR)</t>
  </si>
  <si>
    <t xml:space="preserve">Reference cost: EURIBOR + 3.00% margin. Used only when E114 = 0.</t>
  </si>
  <si>
    <t xml:space="preserve">EURIBOR curve in use</t>
  </si>
  <si>
    <t xml:space="preserve">Must match a curve name on Curves.</t>
  </si>
  <si>
    <t xml:space="preserve">1M EURIBOR Jul-26</t>
  </si>
  <si>
    <t xml:space="preserve">Assumed all-in guarantee rate – guarantee-backed securities</t>
  </si>
  <si>
    <t xml:space="preserve">Applied rate for guarantee-backed lines. Overrides EURIBOR + margin when E114 = 1.</t>
  </si>
  <si>
    <t xml:space="preserve">Use assumed all-in rate (1) or EURIBOR + margin (0)</t>
  </si>
  <si>
    <t xml:space="preserve">1 = cost guarantees at E113 flat; 0 = cost at the selected EURIBOR curve (E112) + E111 margin.</t>
  </si>
  <si>
    <t xml:space="preserve">I. Settlement: cash deposit (1) or bank guarantee (0) – per line</t>
  </si>
  <si>
    <t xml:space="preserve">Részvételi díj</t>
  </si>
  <si>
    <t xml:space="preserve">Fee – cash only; guarantee not applicable.</t>
  </si>
  <si>
    <t xml:space="preserve">Ajánlati biztosíték</t>
  </si>
  <si>
    <t xml:space="preserve">Teljesítési biztosíték</t>
  </si>
  <si>
    <t xml:space="preserve">Igénybejelentési biztosíték</t>
  </si>
  <si>
    <t xml:space="preserve">Csatlakozási díj – közvetlen</t>
  </si>
  <si>
    <t xml:space="preserve">Kiegészítő biztosíték 1. részlet</t>
  </si>
  <si>
    <t xml:space="preserve">Kiegészítő biztosíték 2. részlet</t>
  </si>
  <si>
    <t xml:space="preserve">Kiegészítő biztosíték 3. részlet</t>
  </si>
  <si>
    <t xml:space="preserve">Kiegészítő biztosíték 4. részlet</t>
  </si>
  <si>
    <t xml:space="preserve">Csatlakozási díj</t>
  </si>
  <si>
    <t xml:space="preserve">J. Recovered at exit (reimbursed by buyer above the RTB price) – % of cash posted, per line</t>
  </si>
  <si>
    <t xml:space="preserve">Participation fee is sunk.</t>
  </si>
  <si>
    <t xml:space="preserve">KEY ASSUMPTION: buyer reimburses the connection fee paid before RTB. Confirm in DD / SPA.</t>
  </si>
  <si>
    <t xml:space="preserve">K. Exit</t>
  </si>
  <si>
    <t xml:space="preserve">RTB exit premium</t>
  </si>
  <si>
    <t xml:space="preserve">IC paper range 150–250 k€/MW. Final tender (30-Aug-26): a buyer at RTB inherits the municipal one-off commitment (E233, 20 k€/MW) and the annual €/MWh contribution (E234), so treat this premium as gross of those, i.e. net ≈ E141 − E233.</t>
  </si>
  <si>
    <t xml:space="preserve">Sensitivity premium 1</t>
  </si>
  <si>
    <t xml:space="preserve">Steps read from the Dashboard (Dash_Premium_Steps)</t>
  </si>
  <si>
    <t xml:space="preserve">Sensitivity premium 2</t>
  </si>
  <si>
    <t xml:space="preserve">Sensitivity premium 3</t>
  </si>
  <si>
    <t xml:space="preserve">Sensitivity premium 4</t>
  </si>
  <si>
    <t xml:space="preserve">Sensitivity premium 5</t>
  </si>
  <si>
    <t xml:space="preserve">Sensitivity premium 6</t>
  </si>
  <si>
    <t xml:space="preserve">Sensitivity premium 7</t>
  </si>
  <si>
    <t xml:space="preserve">I. HTM (build &amp; operate) – timing</t>
  </si>
  <si>
    <t xml:space="preserve">NTP / FID lag after RTB</t>
  </si>
  <si>
    <t xml:space="preserve">RTB Q1-29 (E56) → NTP after this lag.</t>
  </si>
  <si>
    <t xml:space="preserve">Construction duration (NTP → COD)</t>
  </si>
  <si>
    <t xml:space="preserve">Two build seasons; 132 kV connection works (Szombathely OVIT node) on the critical path.</t>
  </si>
  <si>
    <t xml:space="preserve">NTP / construction start date</t>
  </si>
  <si>
    <t xml:space="preserve">COD (derived)</t>
  </si>
  <si>
    <t xml:space="preserve">Compare with tender COD target in E101 – HTM check on the HTM sheet.</t>
  </si>
  <si>
    <t xml:space="preserve">COD is a month-end, so the first full calendar year is always the year after COD. The COD year itself is a partial year (HTM row 10). Fixed 25-Sep-26: previously the COD year was flagged as a full year AND a partial year (150%).</t>
  </si>
  <si>
    <t xml:space="preserve">Years</t>
  </si>
  <si>
    <t xml:space="preserve">Measured from COD (partial first and last calendar years). 30 years = grid-connection life constraint; 35 years is the usual wind assumption.</t>
  </si>
  <si>
    <t xml:space="preserve">Last operating year (COD year + operating life; partial unless COD is in December)</t>
  </si>
  <si>
    <t xml:space="preserve">HTM valuation horizon check (grid ends at HTM!AQ5)</t>
  </si>
  <si>
    <t xml:space="preserve">J. HTM – construction capex (first-cost, nominal at NTP) – ESTIMATES pending A.RES budget / technical DD</t>
  </si>
  <si>
    <t xml:space="preserve">Turbine supply incl. transport (6.x MW class)</t>
  </si>
  <si>
    <t xml:space="preserve">ESTIMATE – base = European turbine 950 k€/MW (user decision 02-Oct-26, ≥80% EU-equipment tender points). IC: all-in ~1,500 k€/MW (Nordex 6.8 MW). Replace with turbine tender quote.</t>
  </si>
  <si>
    <t xml:space="preserve">Turbine installation and erection</t>
  </si>
  <si>
    <t xml:space="preserve">ESTIMATE.</t>
  </si>
  <si>
    <t xml:space="preserve">Balance of plant – civil (roads, crane pads, drainage)</t>
  </si>
  <si>
    <t xml:space="preserve">Balance of plant – electrical (MV cabling, internal grid)</t>
  </si>
  <si>
    <t xml:space="preserve">On-site substation and 132 kV bay (lump sum, portfolio)</t>
  </si>
  <si>
    <t xml:space="preserve">ESTIMATE. 132 kV connection to the Szombathely OVIT node (SZHO B 132.00) – route length to be confirmed; previous estimate was for a 400 kV, ~8 km line. Excludes the TSO connection fee which comes from Deposits.</t>
  </si>
  <si>
    <t xml:space="preserve">BESS capex – all-in (capex only: no BESS revenue or opex modelled)</t>
  </si>
  <si>
    <t xml:space="preserve">k€/MW BESS</t>
  </si>
  <si>
    <t xml:space="preserve">ESTIMATE. Applied to BESS connection capacity (E20), not wind MW. No contingency applied. The BESS earns nothing in HTM – revenue and opex are not modelled, so HTM returns are understated by whatever the battery would earn.</t>
  </si>
  <si>
    <t xml:space="preserve">Owner's costs, engineering, PM, construction insurance</t>
  </si>
  <si>
    <t xml:space="preserve">Land purchase / easements at NTP</t>
  </si>
  <si>
    <t xml:space="preserve">ESTIMATE. Land is leased; this covers rights-of-way and buy-outs.</t>
  </si>
  <si>
    <t xml:space="preserve">Construction capex excl. turbine – scenario total (installation, foundations, civil, electrical, owner's, land)</t>
  </si>
  <si>
    <t xml:space="preserve">Link – Dashboard row 13 (Base = sum of the typed lines above; Low/High = ±10 %). The six lines above are scaled by E172 so their total equals this.</t>
  </si>
  <si>
    <t xml:space="preserve">Scale factor applied to the six construction lines (E171 ÷ typed base total)</t>
  </si>
  <si>
    <t xml:space="preserve">Calc.</t>
  </si>
  <si>
    <t xml:space="preserve">Contingency on the lines above</t>
  </si>
  <si>
    <t xml:space="preserve">Grid connection fee (from Deposits, k€ at model capacity)</t>
  </si>
  <si>
    <t xml:space="preserve">Link – indirect plus direct connection fee. Paid on the connection fee date; not recovered in HTM.</t>
  </si>
  <si>
    <t xml:space="preserve">Total capex excl. connection fee</t>
  </si>
  <si>
    <t xml:space="preserve">Total capex incl. connection fee</t>
  </si>
  <si>
    <t xml:space="preserve">IC paper reference: ~1,500 k€/MW.</t>
  </si>
  <si>
    <t xml:space="preserve">Decommissioning cost net of scrap (end of life)</t>
  </si>
  <si>
    <t xml:space="preserve">Terminal value at end of life</t>
  </si>
  <si>
    <t xml:space="preserve">Conservative: nil. Enter a repowering / land value if wanted.</t>
  </si>
  <si>
    <t xml:space="preserve">K. HTM – generation</t>
  </si>
  <si>
    <t xml:space="preserve">Net equivalent hours P50 (after wake, availability and electrical losses)</t>
  </si>
  <si>
    <t xml:space="preserve">MWh/MW/yr</t>
  </si>
  <si>
    <t xml:space="preserve">IC paper: NCF 28.07%, P50 2,460 h. Already net of losses.</t>
  </si>
  <si>
    <t xml:space="preserve">Additional availability / loss haircut</t>
  </si>
  <si>
    <t xml:space="preserve">Zero because the hours above are already net.</t>
  </si>
  <si>
    <t xml:space="preserve">Curtailment / grid constraint</t>
  </si>
  <si>
    <t xml:space="preserve">Annual degradation</t>
  </si>
  <si>
    <t xml:space="preserve">ESTIMATE. Compounding from first operating year.</t>
  </si>
  <si>
    <t xml:space="preserve">Yield sensitivity factor (1.00 = P50)</t>
  </si>
  <si>
    <t xml:space="preserve">Set to P90/P50 ratio for a P90 case (typically ~0.85–0.88).</t>
  </si>
  <si>
    <t xml:space="preserve">Merchant power price sensitivity factor (1.00 = Aurora curve as selected)</t>
  </si>
  <si>
    <t xml:space="preserve">Scales the Aurora wind capture price used in HTM row 42 (tornado ±10%). Keep at 1.00.</t>
  </si>
  <si>
    <t xml:space="preserve">L. HTM – revenue</t>
  </si>
  <si>
    <t xml:space="preserve">Price source (1 = Aurora curve on Curves, 2 = flat estimate below)</t>
  </si>
  <si>
    <t xml:space="preserve">1 = Aurora Q2 2026 Central (Curves E16) converted to nominal (Curves E19); 2 = flat estimate below (kept for reference / fallback).</t>
  </si>
  <si>
    <t xml:space="preserve">Estimate: baseload price in first operating year</t>
  </si>
  <si>
    <t xml:space="preserve">ESTIMATE, nominal. Replace with Aurora.</t>
  </si>
  <si>
    <t xml:space="preserve">Estimate: baseload escalation</t>
  </si>
  <si>
    <t xml:space="preserve">Estimate: wind capture rate vs baseload</t>
  </si>
  <si>
    <t xml:space="preserve">ESTIMATE. Hungarian wind cannibalisation is modest at low penetration.</t>
  </si>
  <si>
    <t xml:space="preserve">Merchant share of output</t>
  </si>
  <si>
    <t xml:space="preserve">Balance sold under the PPA / CfD below.</t>
  </si>
  <si>
    <t xml:space="preserve">PPA / CfD strike in first operating year</t>
  </si>
  <si>
    <t xml:space="preserve">PPA / CfD strike escalation</t>
  </si>
  <si>
    <t xml:space="preserve">PPA / CfD tenor from first operating year</t>
  </si>
  <si>
    <t xml:space="preserve">Merchant thereafter.</t>
  </si>
  <si>
    <t xml:space="preserve">Balancing / BRP cost</t>
  </si>
  <si>
    <t xml:space="preserve">ESTIMATE. IC flags balancing charges as material.</t>
  </si>
  <si>
    <t xml:space="preserve">Grid use-of-system and system-operator charges</t>
  </si>
  <si>
    <t xml:space="preserve">MEKH supervisory fee</t>
  </si>
  <si>
    <t xml:space="preserve">% of revenue</t>
  </si>
  <si>
    <t xml:space="preserve">Robin Hood tax (energy suppliers' income tax) applies (1 = yes)</t>
  </si>
  <si>
    <t xml:space="preserve">FLAG – default 0: each SPV is ≤ 50 MW, so the 31% levy on generators &gt; 50 MW should not bite. Switch on Control_Panel E52 (control panel). Confirm with tax adviser.</t>
  </si>
  <si>
    <t xml:space="preserve">Robin Hood tax rate</t>
  </si>
  <si>
    <t xml:space="preserve">Aurora price scenario (1 = Low, 2 = Central, 3 = High)</t>
  </si>
  <si>
    <t xml:space="preserve">Drives Curves!E16 (scenario in use). Per-case so the European / Chinese cases and tornado can flex Aurora Low / High.</t>
  </si>
  <si>
    <t xml:space="preserve">M. HTM – opex (first operating year prices)</t>
  </si>
  <si>
    <t xml:space="preserve">O&amp;M full-service contract (turbines)</t>
  </si>
  <si>
    <t xml:space="preserve">ESTIMATE. Long-term FSA assumed for the full 30-year operating life (user decision 02-Oct-26) – no post-FSA uplift.</t>
  </si>
  <si>
    <t xml:space="preserve">Balance of plant maintenance</t>
  </si>
  <si>
    <t xml:space="preserve">Land lease</t>
  </si>
  <si>
    <t xml:space="preserve">ESTIMATE. Replace with signed lease terms (38 turbines contracted).</t>
  </si>
  <si>
    <t xml:space="preserve">Operational insurance</t>
  </si>
  <si>
    <t xml:space="preserve">Asset and commercial management</t>
  </si>
  <si>
    <t xml:space="preserve">Property tax (építményadó)</t>
  </si>
  <si>
    <t xml:space="preserve">ESTIMATE. Municipal; varies by settlement.</t>
  </si>
  <si>
    <t xml:space="preserve">Administration, audit, compliance (portfolio)</t>
  </si>
  <si>
    <t xml:space="preserve">k€/yr</t>
  </si>
  <si>
    <t xml:space="preserve">Opex contingency</t>
  </si>
  <si>
    <t xml:space="preserve">Opex escalation</t>
  </si>
  <si>
    <t xml:space="preserve">ESTIMATE. EUR-denominated, single index (no double indexation).</t>
  </si>
  <si>
    <t xml:space="preserve">HIPA local business tax</t>
  </si>
  <si>
    <t xml:space="preserve">Base approximated as revenue (conservative – actual base deducts materials and subcontractors).</t>
  </si>
  <si>
    <t xml:space="preserve">N. HTM – tax and depreciation</t>
  </si>
  <si>
    <t xml:space="preserve">Tax depreciation period (straight-line from COD)</t>
  </si>
  <si>
    <t xml:space="preserve">Hungarian tax rate for power-generation assets to be confirmed.</t>
  </si>
  <si>
    <t xml:space="preserve">Loss carry-forward usable per year (cap on taxable income)</t>
  </si>
  <si>
    <t xml:space="preserve">Hungarian rule: losses offset up to 50% of the year's pre-loss tax base.</t>
  </si>
  <si>
    <t xml:space="preserve">O. HTM – project finance (senior term loan)</t>
  </si>
  <si>
    <t xml:space="preserve">Gearing – debt as % of total capex incl. connection fee</t>
  </si>
  <si>
    <t xml:space="preserve">Case 3 refinances to gearing + In_Refi_Gearing_Add (Inputs block U)</t>
  </si>
  <si>
    <t xml:space="preserve">All-in interest rate (fixed)</t>
  </si>
  <si>
    <t xml:space="preserve">ESTIMATE. ~2.5% swap + 250 bps margin.</t>
  </si>
  <si>
    <t xml:space="preserve">Upfront and arrangement fees</t>
  </si>
  <si>
    <t xml:space="preserve">% of debt</t>
  </si>
  <si>
    <t xml:space="preserve">Tenor from the first full operating year (annuity repayment)</t>
  </si>
  <si>
    <t xml:space="preserve">ESTIMATE. 10-year annuity from the first full operating year. Proxy for a sculpted loan with an early cash sweep (annual model, near-flat generation).</t>
  </si>
  <si>
    <t xml:space="preserve">Interest during construction capitalised (1 = yes, 0 = paid by equity)</t>
  </si>
  <si>
    <t xml:space="preserve">Commitment fee on undrawn senior debt (construction)</t>
  </si>
  <si>
    <t xml:space="preserve">ESTIMATE ~0.9% p.a. (≈35% of margin), charged quarterly on the undrawn facility NTP → COD; added 02-Oct-26 (Open_Items #14). Paid in cash from equity, part of HTM financing costs.</t>
  </si>
  <si>
    <t xml:space="preserve">P. HTM – valuation and scope</t>
  </si>
  <si>
    <t xml:space="preserve">Discount rate – unlevered project NPV</t>
  </si>
  <si>
    <t xml:space="preserve">Linked to the single discount rate (Inputs row 253 ← Control_Panel E51), per decision 02-Oct-26 (Open_Items #10). Previously 7% typed.</t>
  </si>
  <si>
    <t xml:space="preserve">Discount rate – equity NPV</t>
  </si>
  <si>
    <t xml:space="preserve">Linked to the single discount rate (Inputs row 253 ← Control_Panel E51), per decision 02-Oct-26 (Open_Items #10). Previously 10% typed.</t>
  </si>
  <si>
    <t xml:space="preserve">Include Stage 1 development-phase costs (devex, fees, securities) in HTM</t>
  </si>
  <si>
    <t xml:space="preserve">1 = full-cycle FEP returns; 0 = project-only from RTB.</t>
  </si>
  <si>
    <t xml:space="preserve">Developer success fee paid in cash at COD when the JV is live (superseded by the deemed exit)</t>
  </si>
  <si>
    <t xml:space="preserve">No sale proceeds in HTM, so the fee is settled from equity at COD.</t>
  </si>
  <si>
    <t xml:space="preserve">Charge HTM a deemed exit at RTB (1 = yes, 0 = historic cost)</t>
  </si>
  <si>
    <t xml:space="preserve">1 = HTM is charged the net sale proceeds it gives up by not selling at RTB, so its IRR measures the incremental value of building versus selling. 0 = HTM carries the project at FEP's historic cost and is not comparable with the RTB case.</t>
  </si>
  <si>
    <t xml:space="preserve">A.RES share of gross RTB proceeds (cash paid out at RTB)</t>
  </si>
  <si>
    <t xml:space="preserve">Memo only: splits the deemed exit charge into cash actually paid to A.RES and the balance FEP effectively pays itself. Applied to gross RTB proceeds. The FEP waterfall is not linear in the exit price, so this percentage is exact only at 150 k€/MW.</t>
  </si>
  <si>
    <t xml:space="preserve">Q. Final MEKH tender terms (published 30-Aug-26) – new commitments and deadlines not in the July draft</t>
  </si>
  <si>
    <t xml:space="preserve">One-off municipal contribution commitment (scoring: points above 10, max at 50)</t>
  </si>
  <si>
    <t xml:space="preserve">Set on the Dashboard (Dash_Municipal)</t>
  </si>
  <si>
    <t xml:space="preserve">Annual community contribution on energy fed in (scoring: points above 2, max at 3)</t>
  </si>
  <si>
    <t xml:space="preserve">Set on the Dashboard (Dash_Community)</t>
  </si>
  <si>
    <t xml:space="preserve">Mandatory call option for designated renewable-energy community</t>
  </si>
  <si>
    <t xml:space="preserve">% of SPV</t>
  </si>
  <si>
    <t xml:space="preserve">INFO – exercisable unilaterally within 2 years of the final capacity decision; strike price unknown. Not modelled; see Open_Items item 33.</t>
  </si>
  <si>
    <t xml:space="preserve">Final building permit to be evidenced by</t>
  </si>
  <si>
    <t xml:space="preserve">Hard deadline; performance bond at risk. Model permit date E100 is well inside.</t>
  </si>
  <si>
    <t xml:space="preserve">Earliest grid connection date</t>
  </si>
  <si>
    <t xml:space="preserve">Model COD (E155) must not be earlier than this – see check E240.</t>
  </si>
  <si>
    <t xml:space="preserve">Commercial operation deadline (all nodes)</t>
  </si>
  <si>
    <t xml:space="preserve">Miss = loss of connection right and performance bond (pro rata on partial COD).</t>
  </si>
  <si>
    <t xml:space="preserve">Capacity offered at north-west Hungary nodes (Ács 50 / Kisbér 16 / Komárom 21)</t>
  </si>
  <si>
    <t xml:space="preserve">INFO – no 400 kV node in the tender. BORA will bid into the Szombathely node (Szombathely OVIT 200 MVA) – confirmed 29-Sep-2026. Total 702 MVA at 9 nodes.</t>
  </si>
  <si>
    <t xml:space="preserve">Check: model COD not before earliest connection date</t>
  </si>
  <si>
    <t xml:space="preserve">Check: model COD not after COD deadline</t>
  </si>
  <si>
    <t xml:space="preserve">R. HTM – gearing sensitivity (HTM block 15) and buyer hurdles (HTM block 14)</t>
  </si>
  <si>
    <t xml:space="preserve">Gearing scenario 1</t>
  </si>
  <si>
    <t xml:space="preserve">Steps read from the Dashboard (Dash_Gearing_Steps)</t>
  </si>
  <si>
    <t xml:space="preserve">Gearing scenario 2</t>
  </si>
  <si>
    <t xml:space="preserve">Gearing scenario 3</t>
  </si>
  <si>
    <t xml:space="preserve">Gearing scenario 4</t>
  </si>
  <si>
    <t xml:space="preserve">Gearing scenario 5</t>
  </si>
  <si>
    <t xml:space="preserve">Gearing scenario 6</t>
  </si>
  <si>
    <t xml:space="preserve">Gearing scenario 7</t>
  </si>
  <si>
    <t xml:space="preserve">Minimum DSCR lenders are assumed to require (gearing test)</t>
  </si>
  <si>
    <t xml:space="preserve">MARKET STANDARD (review 27-Sep-26): merchant onshore wind without offtake – lenders typically size at 1.50x+ on P50 (vs ~1.20–1.30x contracted). Used only in HTM block 15.</t>
  </si>
  <si>
    <t xml:space="preserve">Target FEP equity IRR for the minimum-gearing test</t>
  </si>
  <si>
    <t xml:space="preserve">MARKET STANDARD (review 27-Sep-26): ~11% post-tax nominal levered equity IRR for merchant CEE onshore wind. Used only in HTM block 15.</t>
  </si>
  <si>
    <t xml:space="preserve">Discount rate for NPV / Equity (all NPV / Equity metrics)</t>
  </si>
  <si>
    <t xml:space="preserve">Per review 27-Sep-26: 8%, kept as a variable. Drives MOIC G185:G188 and row 229-230, HTM G136:G139, buyer NPV / Equity (HTM G214) and gearing block 15 NPV columns.</t>
  </si>
  <si>
    <t xml:space="preserve">S. Share of each cash line funded on the 12% recoverable loan (refunded if the project FAILS, or agreed at 12%) – balance on the 20% at-risk loan (MOIC block 7)</t>
  </si>
  <si>
    <t xml:space="preserve">ESTIMATE pending BORA_Devex_20260921_FEP classification. Different from section J (reimbursed by the BUYER at exit). Sunk fee.</t>
  </si>
  <si>
    <t xml:space="preserve">Credited into the performance bond at award; forfeited if the project fails afterwards.</t>
  </si>
  <si>
    <t xml:space="preserve">Forfeited if COD / tender obligations are missed.</t>
  </si>
  <si>
    <t xml:space="preserve">REFUNDED if the project fails (user correction 29-Sep-26, BORA Devex row 8). Cash deposit → funded on the 12% recoverable loan. Credited against the indirect connection fee; buyer reimburses at RtB exit.</t>
  </si>
  <si>
    <t xml:space="preserve">Connection fee – agreed at 12% ('connection fee not at risk', BORA_Devex_20260921_FEP). Buyer reimburses at exit (section J).</t>
  </si>
  <si>
    <t xml:space="preserve">REFUNDED if the project fails (user correction 29-Sep-26, BORA Devex rows 9–13). Bank-guaranteed (Inputs row 122–125 = 0), so no cash is funded; flag = 1 keeps it on the 12% basis if switched to cash. Only the guarantee fee and guarantee interest are at risk.</t>
  </si>
  <si>
    <t xml:space="preserve">T. HTM – lender structuring (DSRA, cash sweep) and lender downside case</t>
  </si>
  <si>
    <t xml:space="preserve">DSRA – months of next year's scheduled debt service</t>
  </si>
  <si>
    <t xml:space="preserve">MARKET STANDARD: 6-month DSRA funded at COD by equity, released as debt amortises. 0 = off.</t>
  </si>
  <si>
    <t xml:space="preserve">Cash sweep – share of cash after scheduled debt service</t>
  </si>
  <si>
    <t xml:space="preserve">Merchant wind without offtake: lenders typically sweep 50–100% of excess cash in early years. Applied as prepayment (shortens tenor). 0 = off.</t>
  </si>
  <si>
    <t xml:space="preserve">Cash sweep – applies in operating years 1 to</t>
  </si>
  <si>
    <t xml:space="preserve">Sweep window from the first full operating year.</t>
  </si>
  <si>
    <t xml:space="preserve">Lender downside – generation factor (P90 / P50)</t>
  </si>
  <si>
    <t xml:space="preserve">MARKET STANDARD: 10-year P90 ≈ 0.90–0.92 of P50 for onshore wind; 1-year P90 ≈ 0.85–0.88. Used only in HTM block 16.</t>
  </si>
  <si>
    <t xml:space="preserve">Lender downside – use Aurora Low scenario (1 = yes)</t>
  </si>
  <si>
    <t xml:space="preserve">switch</t>
  </si>
  <si>
    <t xml:space="preserve">Scales wind capture price by Aurora Low ÷ Central per year (Curves). Used only in HTM block 16.</t>
  </si>
  <si>
    <t xml:space="preserve">Lender downside – minimum DSCR lenders accept</t>
  </si>
  <si>
    <t xml:space="preserve">MARKET STANDARD: ~1.00–1.10x on the downside case (no default).</t>
  </si>
  <si>
    <t xml:space="preserve">M. Bora project inputs – grid node fees from MEKH/MAVIR Kapacitás pályázati kiírás 2026, Annex 1 (1. melléklet)</t>
  </si>
  <si>
    <t xml:space="preserve">Active project</t>
  </si>
  <si>
    <t xml:space="preserve">Notes</t>
  </si>
  <si>
    <t xml:space="preserve">Bora</t>
  </si>
  <si>
    <t xml:space="preserve">Project name</t>
  </si>
  <si>
    <t xml:space="preserve">Grid node (hálózati csomópont)</t>
  </si>
  <si>
    <t xml:space="preserve">Annex 1 node</t>
  </si>
  <si>
    <t xml:space="preserve">Szombathely OVIT (SZHO B 132.00)</t>
  </si>
  <si>
    <t xml:space="preserve">Gross wind capacity</t>
  </si>
  <si>
    <t xml:space="preserve">Annex 1 kiosztható teljesítmény (1 MVA = 1 MW assumed)</t>
  </si>
  <si>
    <t xml:space="preserve">BESS connection capacity</t>
  </si>
  <si>
    <t xml:space="preserve">100 MW / 200 MWh (2 h)</t>
  </si>
  <si>
    <t xml:space="preserve">JV structure live (1 = JV, 0 = FEP 100%)</t>
  </si>
  <si>
    <t xml:space="preserve">Bora: 70/30 JV with developer</t>
  </si>
  <si>
    <t xml:space="preserve">Bora 70/30</t>
  </si>
  <si>
    <t xml:space="preserve">Developer success fee live</t>
  </si>
  <si>
    <t xml:space="preserve">Off where there is no JV partner</t>
  </si>
  <si>
    <t xml:space="preserve">Number of separate bids</t>
  </si>
  <si>
    <t xml:space="preserve">Indirect connection fee (fajlagos várható közvetett csatlakozási díj)</t>
  </si>
  <si>
    <t xml:space="preserve">Ft/MVA</t>
  </si>
  <si>
    <t xml:space="preserve">Annex 1</t>
  </si>
  <si>
    <t xml:space="preserve">Direct connection investment (várható közvetlen csatlakozási díj / beruházás)</t>
  </si>
  <si>
    <t xml:space="preserve">Ft per connection point</t>
  </si>
  <si>
    <t xml:space="preserve">Indirect connection fee</t>
  </si>
  <si>
    <t xml:space="preserve">Ft/MVA ÷ 1,000,000</t>
  </si>
  <si>
    <t xml:space="preserve">Ft per connection point ÷ 1,000,000 ÷ MW</t>
  </si>
  <si>
    <t xml:space="preserve">Devex target – total incl. contingency</t>
  </si>
  <si>
    <t xml:space="preserve">Bora = unscaled BORA Devex total (factor 1)</t>
  </si>
  <si>
    <t xml:space="preserve">BORA Devex line items (base, excl. contingency)</t>
  </si>
  <si>
    <t xml:space="preserve">Devex_FEP L5:L37 (BORA Devex J column ÷ 1,000, rows 14–17 and 20–48)</t>
  </si>
  <si>
    <t xml:space="preserve">Devex scaling factor applied to every BORA Devex line item</t>
  </si>
  <si>
    <t xml:space="preserve">Solves Devex_FEP E39 = target (contingency 10% on FEP-borne items + participation fee)</t>
  </si>
  <si>
    <t xml:space="preserve">BORA Devex FEP-borne base items</t>
  </si>
  <si>
    <t xml:space="preserve">Devex_FEP L × G (FEP pays) – contingency base</t>
  </si>
  <si>
    <t xml:space="preserve">Grid fee reconciliation vs BORA source table (Deposits E29 / E32)</t>
  </si>
  <si>
    <t xml:space="preserve">Bora reconciles to the BORA csatlakozási table</t>
  </si>
  <si>
    <t xml:space="preserve">U. Tender points tables and constants (levers Dash_* are on the Dashboard)</t>
  </si>
  <si>
    <t xml:space="preserve">Connection capacity per bid</t>
  </si>
  <si>
    <t xml:space="preserve">Bora bids are 100 MVA each</t>
  </si>
  <si>
    <t xml:space="preserve">Inputs E82 links here</t>
  </si>
  <si>
    <t xml:space="preserve">Source basis of the lump sums</t>
  </si>
  <si>
    <t xml:space="preserve">Bora 2 × 100 MVA</t>
  </si>
  <si>
    <t xml:space="preserve">Lump-sum scale factor (capacity ÷ source basis)</t>
  </si>
  <si>
    <t xml:space="preserve">Inputs E24:E26, E167, E207, E294</t>
  </si>
  <si>
    <t xml:space="preserve">HTM charged the FEP profit forgone at RtB (1 = yes)</t>
  </si>
  <si>
    <t xml:space="preserve">SPEC §11.3: cash IRR, no opportunity cost</t>
  </si>
  <si>
    <t xml:space="preserve">Wind built (committed less the build shortfall)</t>
  </si>
  <si>
    <t xml:space="preserve">GYIK Q28/30/76; HTM E35, E27</t>
  </si>
  <si>
    <t xml:space="preserve">ÖSZ-4 BESS ratio on installed wind (GYIK Q20)</t>
  </si>
  <si>
    <t xml:space="preserve">GYIK Q20</t>
  </si>
  <si>
    <t xml:space="preserve">ÖSZ-4 points on installed wind (GYIK Q20)</t>
  </si>
  <si>
    <t xml:space="preserve">Kiírás Annex 4; GYIK Q20</t>
  </si>
  <si>
    <t xml:space="preserve">ÖSZ-4 BESS ratio scored (basis Dash_OSZ4_Basis)</t>
  </si>
  <si>
    <t xml:space="preserve">Clipping curve: installed wind ÷ connection capacity (Q:AB)</t>
  </si>
  <si>
    <t xml:space="preserve">OVIT memo Table 7, drawn year</t>
  </si>
  <si>
    <t xml:space="preserve">Clipping curve: clipped share of gross energy (Q:AB)</t>
  </si>
  <si>
    <t xml:space="preserve">Built wind ÷ connection capacity</t>
  </si>
  <si>
    <t xml:space="preserve">Inputs E308</t>
  </si>
  <si>
    <t xml:space="preserve">Curve point at or below the built ratio (1 below the curve)</t>
  </si>
  <si>
    <t xml:space="preserve">Interpolation</t>
  </si>
  <si>
    <t xml:space="preserve">Curve segment used (the last one above the curve)</t>
  </si>
  <si>
    <t xml:space="preserve">Segment start: ratio</t>
  </si>
  <si>
    <t xml:space="preserve">Segment end: ratio</t>
  </si>
  <si>
    <t xml:space="preserve">Segment start: clipped share</t>
  </si>
  <si>
    <t xml:space="preserve">Segment end: clipped share</t>
  </si>
  <si>
    <t xml:space="preserve">Segment slope</t>
  </si>
  <si>
    <t xml:space="preserve">% per x</t>
  </si>
  <si>
    <t xml:space="preserve">Clipped share at the built ratio (linear, not below 0)</t>
  </si>
  <si>
    <t xml:space="preserve">Generation kept after clipping (1 − clipped share)</t>
  </si>
  <si>
    <t xml:space="preserve">Used in HTM E36</t>
  </si>
  <si>
    <t xml:space="preserve">Minimum BESS duration</t>
  </si>
  <si>
    <t xml:space="preserve">Kiírás Annex 8; GYIK Q5</t>
  </si>
  <si>
    <t xml:space="preserve">Points rounded to decimals</t>
  </si>
  <si>
    <t xml:space="preserve">Kiírás X.1 b</t>
  </si>
  <si>
    <t xml:space="preserve">ÖSZ-1 weight</t>
  </si>
  <si>
    <t xml:space="preserve">Kiírás Annex 3</t>
  </si>
  <si>
    <t xml:space="preserve">ÖSZ-2 weight</t>
  </si>
  <si>
    <t xml:space="preserve">ÖSZ-3 weight</t>
  </si>
  <si>
    <t xml:space="preserve">ÖSZ-4 weight</t>
  </si>
  <si>
    <t xml:space="preserve">ÖSZ-5 weight</t>
  </si>
  <si>
    <t xml:space="preserve">ÖSZ-6 weight</t>
  </si>
  <si>
    <t xml:space="preserve">ÖSZ-7 weight</t>
  </si>
  <si>
    <t xml:space="preserve">ÖSZ-8 weight</t>
  </si>
  <si>
    <t xml:space="preserve">ÖSZ-9 weight</t>
  </si>
  <si>
    <t xml:space="preserve">ÖSZ-5 partial award – inner points if yes</t>
  </si>
  <si>
    <t xml:space="preserve">Kiírás Annex 4</t>
  </si>
  <si>
    <t xml:space="preserve">ÖSZ-7 brownfield – inner points if yes</t>
  </si>
  <si>
    <t xml:space="preserve">ÖSZ-8 shared connection – inner points if yes</t>
  </si>
  <si>
    <t xml:space="preserve">ÖSZ-9 EU turbines – inner points if yes</t>
  </si>
  <si>
    <t xml:space="preserve">ÖSZ-9 EU transformers – inner points if yes</t>
  </si>
  <si>
    <t xml:space="preserve">ÖSZ-1 offerable range – minimum</t>
  </si>
  <si>
    <t xml:space="preserve">ÖSZ-1 offerable range – maximum</t>
  </si>
  <si>
    <t xml:space="preserve">Kiírás Annex 4 (A8)</t>
  </si>
  <si>
    <t xml:space="preserve">ÖSZ-2 offerable range – minimum</t>
  </si>
  <si>
    <t xml:space="preserve">ÖSZ-2 offerable range – maximum</t>
  </si>
  <si>
    <t xml:space="preserve">ÖSZ-4 minimum BESS ratio</t>
  </si>
  <si>
    <t xml:space="preserve">Kiírás X.4 bd (A3)</t>
  </si>
  <si>
    <t xml:space="preserve">Thousand</t>
  </si>
  <si>
    <t xml:space="preserve">Hours in a year</t>
  </si>
  <si>
    <t xml:space="preserve">Check tolerance</t>
  </si>
  <si>
    <t xml:space="preserve">House standard</t>
  </si>
  <si>
    <t xml:space="preserve">Points bands (band 1 = below the first lower bound)</t>
  </si>
  <si>
    <t xml:space="preserve">ÖSZ-1 municipal one-off – lower bound</t>
  </si>
  <si>
    <t xml:space="preserve">ÖSZ-1 municipal one-off – lower bound included</t>
  </si>
  <si>
    <t xml:space="preserve">ÖSZ-1 municipal one-off – inner points</t>
  </si>
  <si>
    <t xml:space="preserve">ÖSZ-2 community contribution – lower bound</t>
  </si>
  <si>
    <t xml:space="preserve">ÖSZ-2 community contribution – lower bound included</t>
  </si>
  <si>
    <t xml:space="preserve">ÖSZ-2 community contribution – inner points</t>
  </si>
  <si>
    <t xml:space="preserve">ÖSZ-3 overbuild and ÖSZ-4 BESS ratio – lower bound</t>
  </si>
  <si>
    <t xml:space="preserve">ÖSZ-3 overbuild and ÖSZ-4 BESS ratio – lower bound included</t>
  </si>
  <si>
    <t xml:space="preserve">ÖSZ-3 overbuild and ÖSZ-4 BESS ratio – inner points</t>
  </si>
  <si>
    <t xml:space="preserve">ÖSZ-6 performance security multiple – lower bound</t>
  </si>
  <si>
    <t xml:space="preserve">Kiírás Annex 4; GYIK Q34</t>
  </si>
  <si>
    <t xml:space="preserve">ÖSZ-6 performance security multiple – lower bound included</t>
  </si>
  <si>
    <t xml:space="preserve">ÖSZ-6 performance security multiple – inner points</t>
  </si>
  <si>
    <t xml:space="preserve">Refinancing at COD + 1 year (SPEC §16; case 3)</t>
  </si>
  <si>
    <t xml:space="preserve">Refinancing at COD + lag (1 = yes; case-driven, columns G:I)</t>
  </si>
  <si>
    <t xml:space="preserve">SPEC §16</t>
  </si>
  <si>
    <t xml:space="preserve">Refinancing lag after the COD year</t>
  </si>
  <si>
    <t xml:space="preserve">New loan gearing on top of the base gearing</t>
  </si>
  <si>
    <t xml:space="preserve">SPEC §16 (+4 pp)</t>
  </si>
  <si>
    <t xml:space="preserve">New loan all-in fixed rate</t>
  </si>
  <si>
    <t xml:space="preserve">SPEC §16 (−50 bp)</t>
  </si>
  <si>
    <t xml:space="preserve">New loan tenor (annuity from the year after the refinancing)</t>
  </si>
  <si>
    <t xml:space="preserve">Upfront fee on the new loan (paid by equity)</t>
  </si>
  <si>
    <t xml:space="preserve">Inputs E219</t>
  </si>
  <si>
    <t xml:space="preserve">Bora Onshore Wind – MOIC model v5</t>
  </si>
  <si>
    <t xml:space="preserve">Curves – time-series inputs: EURIBOR curves (monthly, aligned to the MOIC grid) and the Aurora Hungarian wind capture price placeholder (annual).</t>
  </si>
  <si>
    <t xml:space="preserve">1. EURIBOR curves (monthly) – select the curve in use on Inputs!E112</t>
  </si>
  <si>
    <t xml:space="preserve">Month index</t>
  </si>
  <si>
    <t xml:space="preserve">→</t>
  </si>
  <si>
    <t xml:space="preserve">Period end date</t>
  </si>
  <si>
    <t xml:space="preserve">Curve in use (selected)</t>
  </si>
  <si>
    <t xml:space="preserve">Available curves</t>
  </si>
  <si>
    <t xml:space="preserve">Source</t>
  </si>
  <si>
    <t xml:space="preserve">1M EURIBOR Aug-25</t>
  </si>
  <si>
    <t xml:space="preserve">Source: Chatham financial, 28/8/25</t>
  </si>
  <si>
    <t xml:space="preserve">Monthly 1M EURIBOR forward; held flat after the last quoted month.</t>
  </si>
  <si>
    <t xml:space="preserve">1M EURIBOR Nov-25</t>
  </si>
  <si>
    <t xml:space="preserve">Source: Chatham financial, 10/11/25</t>
  </si>
  <si>
    <t xml:space="preserve">Source: Chatham financial, 22/07/26</t>
  </si>
  <si>
    <t xml:space="preserve">2. Aurora – Hungarian onshore wind capture prices (Aurora Q2 2026, real 2025 €/MWh, calendar-year averages, 2026–2060)</t>
  </si>
  <si>
    <t xml:space="preserve">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</si>
  <si>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 xml:space="preserve">Scenario in use (1 = Low, 2 = Central, 3 = High)</t>
  </si>
  <si>
    <t xml:space="preserve">Aurora scenarios: 1 = Low, 2 = Central (base case), 3 = High.</t>
  </si>
  <si>
    <t xml:space="preserve">Price basis (Real 20xx / Nominal)</t>
  </si>
  <si>
    <t xml:space="preserve">Real 2025</t>
  </si>
  <si>
    <t xml:space="preserve">Aurora basis: real 2025 €/MWh (calendar-year averages).</t>
  </si>
  <si>
    <t xml:space="preserve">Aurora release / vintage</t>
  </si>
  <si>
    <t xml:space="preserve">Aurora Q2 2026 HUN Power &amp; Renewables Market Forecast</t>
  </si>
  <si>
    <t xml:space="preserve">Aurora Q2 2026 HUN Power &amp; Renewables Market Forecast Data (Aurora_Q2_26_HUN_Power_Renewables_Market_Forecast_Data.xlsx).</t>
  </si>
  <si>
    <t xml:space="preserve">Inflation to convert Aurora real-2025 prices to nominal (HTM opex is nominal)</t>
  </si>
  <si>
    <t xml:space="preserve">ESTIMATE – set to 0% to run in real terms. Base year of the real series →</t>
  </si>
  <si>
    <t xml:space="preserve">Baseload HUPX – Low</t>
  </si>
  <si>
    <t xml:space="preserve">Baseload HUPX – Central</t>
  </si>
  <si>
    <t xml:space="preserve">Baseload HUPX – High</t>
  </si>
  <si>
    <t xml:space="preserve">Wind capture – Low</t>
  </si>
  <si>
    <t xml:space="preserve">Wind capture – Central</t>
  </si>
  <si>
    <t xml:space="preserve">Wind capture – High</t>
  </si>
  <si>
    <t xml:space="preserve">Selected baseload (nominal)</t>
  </si>
  <si>
    <t xml:space="preserve">Selected wind capture (nominal)</t>
  </si>
  <si>
    <t xml:space="preserve">Implied capture rate</t>
  </si>
  <si>
    <t xml:space="preserve">Wind curtailment – Low</t>
  </si>
  <si>
    <t xml:space="preserve">Wind curtailment – Central</t>
  </si>
  <si>
    <t xml:space="preserve">Wind curtailment – High</t>
  </si>
  <si>
    <t xml:space="preserve">Wind capture curtailed &lt;0 – Low</t>
  </si>
  <si>
    <t xml:space="preserve">Wind capture curtailed &lt;0 – Central</t>
  </si>
  <si>
    <t xml:space="preserve">Wind capture curtailed &lt;0 – High</t>
  </si>
  <si>
    <t xml:space="preserve">EUR/MWh nominal</t>
  </si>
  <si>
    <t xml:space="preserve">% (info)</t>
  </si>
  <si>
    <t xml:space="preserve">EUR/MWh (info)</t>
  </si>
  <si>
    <t xml:space="preserve">Derived (informational – HTM reads column K directly)</t>
  </si>
  <si>
    <t xml:space="preserve">First operating year (COD year + 1, from Inputs!E155)</t>
  </si>
  <si>
    <t xml:space="preserve">Selected baseload price in first operating year</t>
  </si>
  <si>
    <t xml:space="preserve">Selected wind capture price in first operating year</t>
  </si>
  <si>
    <t xml:space="preserve">Average capture rate over populated years</t>
  </si>
  <si>
    <t xml:space="preserve">Implied baseload escalation (CAGR over populated years)</t>
  </si>
  <si>
    <t xml:space="preserve">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</si>
  <si>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 xml:space="preserve">No inputs on this sheet – every value derives from Inputs. Hungarian item names are kept so the schedule ties back to Bora_csatlakozási_biztosítékok_díjak.xlsx.</t>
  </si>
  <si>
    <t xml:space="preserve">Item (HU)</t>
  </si>
  <si>
    <t xml:space="preserve">Item (EN)</t>
  </si>
  <si>
    <t xml:space="preserve">Basis</t>
  </si>
  <si>
    <t xml:space="preserve">Unit rate</t>
  </si>
  <si>
    <t xml:space="preserve">Capacity basis</t>
  </si>
  <si>
    <t xml:space="preserve">Gross</t>
  </si>
  <si>
    <t xml:space="preserve">Netting / adjustment</t>
  </si>
  <si>
    <t xml:space="preserve">Payable</t>
  </si>
  <si>
    <t xml:space="preserve">Payment date</t>
  </si>
  <si>
    <t xml:space="preserve">Grid month</t>
  </si>
  <si>
    <t xml:space="preserve">After sale?</t>
  </si>
  <si>
    <t xml:space="preserve">Included in FEP cash flows</t>
  </si>
  <si>
    <t xml:space="preserve">Cash (1) / guarantee (0)</t>
  </si>
  <si>
    <t xml:space="preserve">Recovered at exit</t>
  </si>
  <si>
    <t xml:space="preserve">Type</t>
  </si>
  <si>
    <t xml:space="preserve">Gross – FEP basis</t>
  </si>
  <si>
    <t xml:space="preserve">Payable – FEP basis</t>
  </si>
  <si>
    <t xml:space="preserve">Funded at 12% (recoverable / agreed)</t>
  </si>
  <si>
    <t xml:space="preserve">FEP rate (12% cash / 6% guarantee)</t>
  </si>
  <si>
    <t xml:space="preserve">FEP accrual factor to freeze date</t>
  </si>
  <si>
    <t xml:space="preserve">FEP-convention interest to freeze</t>
  </si>
  <si>
    <t xml:space="preserve">mHUF/MW or mHUF</t>
  </si>
  <si>
    <t xml:space="preserve">Flag</t>
  </si>
  <si>
    <t xml:space="preserve">per bid × bids</t>
  </si>
  <si>
    <t xml:space="preserve">Fee</t>
  </si>
  <si>
    <t xml:space="preserve">Bid bond</t>
  </si>
  <si>
    <t xml:space="preserve">% of combined benchmark CAPEX (wind + BESS), gross</t>
  </si>
  <si>
    <t xml:space="preserve">Security</t>
  </si>
  <si>
    <t xml:space="preserve">Ajánlati biztosíték visszatérítés – sikertelen kapacitás</t>
  </si>
  <si>
    <t xml:space="preserve">Bid bond refund on failed capacity</t>
  </si>
  <si>
    <t xml:space="preserve">% of benchmark CAPEX on failed wind capacity</t>
  </si>
  <si>
    <t xml:space="preserve">Refund</t>
  </si>
  <si>
    <t xml:space="preserve">Performance bond</t>
  </si>
  <si>
    <t xml:space="preserve">% of combined benchmark CAPEX (wind + BESS), post-award, x uplift</t>
  </si>
  <si>
    <t xml:space="preserve">Connection request security</t>
  </si>
  <si>
    <t xml:space="preserve">per MW (successful capacity)</t>
  </si>
  <si>
    <t xml:space="preserve">Grid connection fee – direct</t>
  </si>
  <si>
    <t xml:space="preserve">lump sum, per MW (successful capacity)</t>
  </si>
  <si>
    <t xml:space="preserve">Connection fee</t>
  </si>
  <si>
    <t xml:space="preserve">Supplementary security – instalment 1</t>
  </si>
  <si>
    <t xml:space="preserve">Supplementary security – instalment 2</t>
  </si>
  <si>
    <t xml:space="preserve">Kiegészítő biztosíték visszautalás építési engedély megszerzésekor</t>
  </si>
  <si>
    <t xml:space="preserve">Supplementary security refund on building permit</t>
  </si>
  <si>
    <t xml:space="preserve">% of instalments paid before permit</t>
  </si>
  <si>
    <t xml:space="preserve">Supplementary security – instalment 3</t>
  </si>
  <si>
    <t xml:space="preserve">Supplementary security – instalment 4</t>
  </si>
  <si>
    <t xml:space="preserve">Csatlakozási díj – becsült összeg</t>
  </si>
  <si>
    <t xml:space="preserve">Grid connection fee (estimate)</t>
  </si>
  <si>
    <t xml:space="preserve">Summary and reconciliation to source table</t>
  </si>
  <si>
    <t xml:space="preserve">FEP-convention interest by type (BORA Devex 01-Oct-26 method, frozen at Inputs E64)</t>
  </si>
  <si>
    <t xml:space="preserve">Gross securities and fees – model capacity</t>
  </si>
  <si>
    <t xml:space="preserve">Bank-guarantee securities (6%, net of refunds)</t>
  </si>
  <si>
    <t xml:space="preserve">Actually payable – model capacity</t>
  </si>
  <si>
    <t xml:space="preserve">Cash deposits and connection fees (12%)</t>
  </si>
  <si>
    <t xml:space="preserve">Participation fee (12%, no 2× minimum)</t>
  </si>
  <si>
    <t xml:space="preserve">Of which included in FEP cash flows (pre-sale, or all if Inputs!E92 = 1)</t>
  </si>
  <si>
    <t xml:space="preserve">Of which cash-settled (included)</t>
  </si>
  <si>
    <t xml:space="preserve">Of which guarantee-backed (included)</t>
  </si>
  <si>
    <t xml:space="preserve">Gross total – schedule</t>
  </si>
  <si>
    <t xml:space="preserve">Gross total – sum of the item rows</t>
  </si>
  <si>
    <t xml:space="preserve">Difference – gross</t>
  </si>
  <si>
    <t xml:space="preserve">Payable included in FEP cash flows – schedule</t>
  </si>
  <si>
    <t xml:space="preserve">Payable flows in MOIC (MOIC G40)</t>
  </si>
  <si>
    <t xml:space="preserve">Difference – payable</t>
  </si>
  <si>
    <t xml:space="preserve">Internal check</t>
  </si>
  <si>
    <t xml:space="preserve">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</si>
  <si>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 xml:space="preserve">MOIC – monthly calculation grid (month 0 = investment date). No inputs on this sheet. Column G holds row totals or scalar results. Sign convention in cash-flow blocks: + = inflow to the party, − = outflow.</t>
  </si>
  <si>
    <t xml:space="preserve">Block 13 (sensitivity) reuses columns H:N as scenarios, not months – labelled on the block header.</t>
  </si>
  <si>
    <t xml:space="preserve">RTB flag</t>
  </si>
  <si>
    <t xml:space="preserve">Sale flag</t>
  </si>
  <si>
    <t xml:space="preserve">Development period flag (month ≤ RTB)</t>
  </si>
  <si>
    <t xml:space="preserve">Pre-sale flag (month ≤ sale)</t>
  </si>
  <si>
    <t xml:space="preserve">Interest accrual flag (month ≤ freeze date)</t>
  </si>
  <si>
    <t xml:space="preserve">1. Development costs (devex) – BORA Devex line items (row 18). Milestone rows 12–17 are memo only, not used (grouped).</t>
  </si>
  <si>
    <t xml:space="preserve">Cum. month</t>
  </si>
  <si>
    <t xml:space="preserve">k€ total</t>
  </si>
  <si>
    <t xml:space="preserve">Total devex (BORA Devex line items via Devex_FEP)</t>
  </si>
  <si>
    <t xml:space="preserve">Cumulative devex</t>
  </si>
  <si>
    <t xml:space="preserve">Land costs paid by FEP – reimbursed by buyer at RtB exit (not refunded if project fails)</t>
  </si>
  <si>
    <t xml:space="preserve">2. Developer success fee / DSA – 2.5 k€/MW p.a. pro rata (30/360) from signing (Inputs E70) to sale, capped at Inputs E37</t>
  </si>
  <si>
    <t xml:space="preserve">Opening balance</t>
  </si>
  <si>
    <t xml:space="preserve">Accrual</t>
  </si>
  <si>
    <t xml:space="preserve">Closing balance</t>
  </si>
  <si>
    <t xml:space="preserve">Success fee payable at sale</t>
  </si>
  <si>
    <t xml:space="preserve">3. Securities and connection fee – payable flows (€k; + = paid, − = refunded). Source: Deposits</t>
  </si>
  <si>
    <t xml:space="preserve">Total payable flows</t>
  </si>
  <si>
    <t xml:space="preserve">4. Cash-settled deposits (line × cash switch)</t>
  </si>
  <si>
    <t xml:space="preserve">Total cash deposits paid / (refunded)</t>
  </si>
  <si>
    <t xml:space="preserve">Cash posted with counterparties (cumulative)</t>
  </si>
  <si>
    <t xml:space="preserve">5. Guarantee-backed securities and guarantee fee (line × (1 − cash switch))</t>
  </si>
  <si>
    <t xml:space="preserve">Total guarantee movements</t>
  </si>
  <si>
    <t xml:space="preserve">Opening guarantee balance</t>
  </si>
  <si>
    <t xml:space="preserve">Guarantees issued / (reduced)</t>
  </si>
  <si>
    <t xml:space="preserve">Release at sale</t>
  </si>
  <si>
    <t xml:space="preserve">Closing guarantee balance</t>
  </si>
  <si>
    <t xml:space="preserve">EURIBOR (Curves, selected)</t>
  </si>
  <si>
    <t xml:space="preserve">All-in guarantee rate (assumed flat if Inputs E97 = 1, else EURIBOR + margin)</t>
  </si>
  <si>
    <t xml:space="preserve">Guarantee fee</t>
  </si>
  <si>
    <t xml:space="preserve">Interest on guarantee-backed securities (credited to lenders)</t>
  </si>
  <si>
    <t xml:space="preserve">Opening accrued guarantee interest</t>
  </si>
  <si>
    <t xml:space="preserve">Guarantee interest accrual (to freeze date)</t>
  </si>
  <si>
    <t xml:space="preserve">Paid from proceeds at sale</t>
  </si>
  <si>
    <t xml:space="preserve">Closing accrued guarantee interest</t>
  </si>
  <si>
    <t xml:space="preserve">6. Recovery of securities at exit – buyer reimburses cash posted, per line % (Inputs J)</t>
  </si>
  <si>
    <t xml:space="preserve">Total recovered at exit</t>
  </si>
  <si>
    <t xml:space="preserve">7. Funding split of cash deposits between the two shareholder loans – 'recoverable' = refunded if the project FAILS (Deposits U / Inputs S)</t>
  </si>
  <si>
    <t xml:space="preserve">Funded by recoverable loan (refundable share of each line; participation fee per Inputs E256 / Deposits U7)</t>
  </si>
  <si>
    <t xml:space="preserve">Funded by unrecoverable (at-risk) loan (balance – forfeited on failure)</t>
  </si>
  <si>
    <t xml:space="preserve">8. Shareholder loans (monthly compounding; repaid from proceeds at sale)</t>
  </si>
  <si>
    <t xml:space="preserve">FEP share of loan funding</t>
  </si>
  <si>
    <t xml:space="preserve">Developer share of loan funding</t>
  </si>
  <si>
    <t xml:space="preserve">FEP – recoverable loan</t>
  </si>
  <si>
    <t xml:space="preserve">Drawdown (recoverable deposits)</t>
  </si>
  <si>
    <t xml:space="preserve">Interest</t>
  </si>
  <si>
    <t xml:space="preserve">Repayment at sale</t>
  </si>
  <si>
    <t xml:space="preserve">Developer – recoverable loan</t>
  </si>
  <si>
    <t xml:space="preserve">FEP – unrecoverable (at-risk) loan</t>
  </si>
  <si>
    <t xml:space="preserve">Drawdown – unrecoverable deposits and fees</t>
  </si>
  <si>
    <t xml:space="preserve">Drawdown – devex incl. land costs reimbursed by buyer at RtB exit (row 20)</t>
  </si>
  <si>
    <t xml:space="preserve">Cumulative principal drawn</t>
  </si>
  <si>
    <t xml:space="preserve">Minimum-return top-up due at sale (flat 2× principal if Inputs E66 = 1)</t>
  </si>
  <si>
    <t xml:space="preserve">FEP-convention multiple on devex / land principal (20% to freeze date, minimum 2× – BORA Devex 01-Oct-26)</t>
  </si>
  <si>
    <t xml:space="preserve">Developer – unrecoverable (at-risk) loan</t>
  </si>
  <si>
    <t xml:space="preserve">Minimum-return top-up due at sale</t>
  </si>
  <si>
    <t xml:space="preserve">9. Proceeds waterfall at sale (€k) – scalar results in column G</t>
  </si>
  <si>
    <t xml:space="preserve">RTB premium proceeds</t>
  </si>
  <si>
    <t xml:space="preserve">Buyer reimbursement at RtB exit: securities, connection fee and land costs (row 20)</t>
  </si>
  <si>
    <t xml:space="preserve">Total proceeds</t>
  </si>
  <si>
    <t xml:space="preserve">Less: sale costs</t>
  </si>
  <si>
    <t xml:space="preserve">Less: repayment of recoverable loans – principal + 12% interest per line to the freeze date (BORA Devex 01-Oct-26 method, Deposits Y23)</t>
  </si>
  <si>
    <t xml:space="preserve">Less: repayment of unrecoverable loans (all principal if Inputs E71 = 1; else only the buyer-reimbursed land costs, row 20)</t>
  </si>
  <si>
    <t xml:space="preserve">Less: return on at-risk items – devex and land 20% / min 2× (row 131) + participation fee 12% (Deposits Y24)</t>
  </si>
  <si>
    <t xml:space="preserve">Less: interest on bank-guaranteed securities – 6% per line to the freeze date, net of refunds (Deposits Y22)</t>
  </si>
  <si>
    <t xml:space="preserve">Less: developer success fee</t>
  </si>
  <si>
    <t xml:space="preserve">Distributable proceeds</t>
  </si>
  <si>
    <t xml:space="preserve">To FEP</t>
  </si>
  <si>
    <t xml:space="preserve">To Developer</t>
  </si>
  <si>
    <t xml:space="preserve">Memo: claims not covered by proceeds (shortfall)</t>
  </si>
  <si>
    <t xml:space="preserve">10. FEP cash flows (€k; + = inflow to FEP, − = outflow)</t>
  </si>
  <si>
    <t xml:space="preserve">Signing fee</t>
  </si>
  <si>
    <t xml:space="preserve">Transaction / DD costs</t>
  </si>
  <si>
    <t xml:space="preserve">Recoverable loan funding (refundable securities)</t>
  </si>
  <si>
    <t xml:space="preserve">Unrecoverable loan funding – deposits and fees</t>
  </si>
  <si>
    <t xml:space="preserve">Unrecoverable loan funding – devex</t>
  </si>
  <si>
    <t xml:space="preserve">Bank guarantee fees</t>
  </si>
  <si>
    <t xml:space="preserve">Total outflows</t>
  </si>
  <si>
    <t xml:space="preserve">Cumulative outflows</t>
  </si>
  <si>
    <t xml:space="preserve">Repayment of recoverable loan</t>
  </si>
  <si>
    <t xml:space="preserve">Repayment of unrecoverable loan</t>
  </si>
  <si>
    <t xml:space="preserve">Minimum-return top-up</t>
  </si>
  <si>
    <t xml:space="preserve">Interest on bank-guaranteed securities</t>
  </si>
  <si>
    <t xml:space="preserve">Share of distributable proceeds</t>
  </si>
  <si>
    <t xml:space="preserve">Total inflows</t>
  </si>
  <si>
    <t xml:space="preserve">Net cash flow (pre-tax)</t>
  </si>
  <si>
    <t xml:space="preserve">Cumulative (pre-tax)</t>
  </si>
  <si>
    <t xml:space="preserve">Corporate income tax on profit at sale (after participation exemption on share gain, Inputs E14)</t>
  </si>
  <si>
    <t xml:space="preserve">Net cash flow (post-tax)</t>
  </si>
  <si>
    <t xml:space="preserve">Cumulative (post-tax)</t>
  </si>
  <si>
    <t xml:space="preserve">Cumulative equity position (k€, for chart)</t>
  </si>
  <si>
    <t xml:space="preserve">Cost-of-capital charge on negative cumulative position</t>
  </si>
  <si>
    <t xml:space="preserve">Economic profit</t>
  </si>
  <si>
    <t xml:space="preserve">11. FEP returns (scalar, column G)</t>
  </si>
  <si>
    <t xml:space="preserve">FEP net profit (post-tax)</t>
  </si>
  <si>
    <t xml:space="preserve">Total FEP cash invested (all funding outflows)</t>
  </si>
  <si>
    <t xml:space="preserve">Total FEP cash returned, net of tax at sale</t>
  </si>
  <si>
    <t xml:space="preserve">MOIC (cash returned net of tax ÷ cash invested)</t>
  </si>
  <si>
    <t xml:space="preserve">IRR (post-tax, XIRR on monthly flows)</t>
  </si>
  <si>
    <t xml:space="preserve">Peak cumulative exposure (post-tax)</t>
  </si>
  <si>
    <t xml:space="preserve">Peak cumulative exposure</t>
  </si>
  <si>
    <t xml:space="preserve">Economic profit (after cost of capital)</t>
  </si>
  <si>
    <t xml:space="preserve">Months from investment to sale</t>
  </si>
  <si>
    <t xml:space="preserve">FEP NPV (post-tax) at NPV / Equity discount rate (Inputs E253), discounted to month 0</t>
  </si>
  <si>
    <t xml:space="preserve">PV of FEP equity invested (negative monthly post-tax flows, at Inputs E253)</t>
  </si>
  <si>
    <t xml:space="preserve">FEP NPV / Equity (NPV ÷ PV of equity invested)</t>
  </si>
  <si>
    <t xml:space="preserve">FEP NPV / Equity (NPV ÷ nominal equity invested)</t>
  </si>
  <si>
    <t xml:space="preserve">11b. Cost of capital on FEP cash-funded items (Case B; compounded at Inputs E72 from payment to sale)</t>
  </si>
  <si>
    <t xml:space="preserve">Opening capital employed</t>
  </si>
  <si>
    <t xml:space="preserve">Cash deployed by FEP (securities, connection fee, participation fee, devex)</t>
  </si>
  <si>
    <t xml:space="preserve">Cost of capital</t>
  </si>
  <si>
    <t xml:space="preserve">Closing capital employed (released at sale)</t>
  </si>
  <si>
    <t xml:space="preserve">12. Developer cash flows (€k) – ignores developer internal G&amp;A</t>
  </si>
  <si>
    <t xml:space="preserve">Recoverable loan funding</t>
  </si>
  <si>
    <t xml:space="preserve">Development success fee</t>
  </si>
  <si>
    <t xml:space="preserve">Developer net profit (post-tax)</t>
  </si>
  <si>
    <t xml:space="preserve">Developer MOIC (cash returned net of tax ÷ cash invested)</t>
  </si>
  <si>
    <t xml:space="preserve">Developer IRR</t>
  </si>
  <si>
    <t xml:space="preserve">13. Sensitivity to RTB premium – COLUMNS H:N ARE THE SEVEN SCENARIOS (not months). Everything except exit proceeds is held at the live case.</t>
  </si>
  <si>
    <t xml:space="preserve">RTB premium</t>
  </si>
  <si>
    <t xml:space="preserve">Buyer reimbursement: securities, connection fee and land costs</t>
  </si>
  <si>
    <t xml:space="preserve">Less: repayment of recoverable loans</t>
  </si>
  <si>
    <t xml:space="preserve">Less: repayment of unrecoverable loans (all principal if Inputs E71 = 1; else only buyer-reimbursed land costs, row 20)</t>
  </si>
  <si>
    <t xml:space="preserve">Less: at-risk return (devex / land 2×, fee 12%) and bank-guarantee interest – FEP-convention, as rows 149–150</t>
  </si>
  <si>
    <t xml:space="preserve">FEP inflows at sale</t>
  </si>
  <si>
    <t xml:space="preserve">FEP pre-tax profit</t>
  </si>
  <si>
    <t xml:space="preserve">Tax at sale (after participation exemption on share gain, Inputs E14)</t>
  </si>
  <si>
    <t xml:space="preserve">IRR (post-tax)</t>
  </si>
  <si>
    <t xml:space="preserve">FEP NPV (post-tax) at NPV / Equity discount rate (Inputs E253)</t>
  </si>
  <si>
    <t xml:space="preserve">Scenario monthly cash-flow rows (for IRR) – months in H:BP again</t>
  </si>
  <si>
    <t xml:space="preserve">Scenario 1 – FEP net cash flow (post-tax)</t>
  </si>
  <si>
    <t xml:space="preserve">Scenario 2 – FEP net cash flow (post-tax)</t>
  </si>
  <si>
    <t xml:space="preserve">Scenario 3 – FEP net cash flow (post-tax)</t>
  </si>
  <si>
    <t xml:space="preserve">Scenario 4 – FEP net cash flow (post-tax)</t>
  </si>
  <si>
    <t xml:space="preserve">Scenario 5 – FEP net cash flow (post-tax)</t>
  </si>
  <si>
    <t xml:space="preserve">Scenario 6 – FEP net cash flow (post-tax)</t>
  </si>
  <si>
    <t xml:space="preserve">Scenario 7 – FEP net cash flow (post-tax)</t>
  </si>
  <si>
    <t xml:space="preserve">14. Integrity checks (status in column G)</t>
  </si>
  <si>
    <t xml:space="preserve">Deposits schedule reconciles to source table at reference capacity</t>
  </si>
  <si>
    <t xml:space="preserve">Check</t>
  </si>
  <si>
    <t xml:space="preserve">FEP recoverable loan closes to nil</t>
  </si>
  <si>
    <t xml:space="preserve">FEP unrecoverable loan closes to nil</t>
  </si>
  <si>
    <t xml:space="preserve">Developer loans close to nil</t>
  </si>
  <si>
    <t xml:space="preserve">Guarantee balance nil at end of grid</t>
  </si>
  <si>
    <t xml:space="preserve">Waterfall conserves proceeds (deductions + distributable = proceeds)</t>
  </si>
  <si>
    <t xml:space="preserve">Distributable split sums to distributable</t>
  </si>
  <si>
    <t xml:space="preserve">Devex spent equals Devex_FEP total (BORA Devex line items)</t>
  </si>
  <si>
    <t xml:space="preserve">Success fee within cap</t>
  </si>
  <si>
    <t xml:space="preserve">Sale month inside the grid</t>
  </si>
  <si>
    <t xml:space="preserve">All included deposit payments fall inside the grid</t>
  </si>
  <si>
    <t xml:space="preserve">Key outputs are numeric</t>
  </si>
  <si>
    <t xml:space="preserve">Sensitivity ties to live case at the live premium</t>
  </si>
  <si>
    <t xml:space="preserve">Case selector valid (1–10)</t>
  </si>
  <si>
    <t xml:space="preserve">FEP net cash flow ties (outflows + inflows)</t>
  </si>
  <si>
    <t xml:space="preserve">Loan repayments claimed vs paid – shortfall is nil</t>
  </si>
  <si>
    <t xml:space="preserve">OVERALL STATUS</t>
  </si>
  <si>
    <t xml:space="preserve">HTM (build &amp; operate) – annual calculation grid 2026-2060, nominal k€. No inputs on this sheet. Column E = scalar parameter, column G = row total or result. Sign: + inflow, − outflow.</t>
  </si>
  <si>
    <t xml:space="preserve">Development-phase flows are pulled from MOIC / Deposits (Stage 1); everything from NTP onwards is driven by Inputs sections I–P.</t>
  </si>
  <si>
    <t xml:space="preserve">Timeline</t>
  </si>
  <si>
    <t xml:space="preserve">Development-phase flag (investment year → NTP year)</t>
  </si>
  <si>
    <t xml:space="preserve">Construction share of the year (by days NTP → COD)</t>
  </si>
  <si>
    <t xml:space="preserve">Full operating-year flag (operating fraction = 100%)</t>
  </si>
  <si>
    <t xml:space="preserve">Operating year index (1 = first full calendar year after COD; COD year = 0)</t>
  </si>
  <si>
    <t xml:space="preserve">Operating fraction of the year (partial COD year, full years, partial final year)</t>
  </si>
  <si>
    <t xml:space="preserve">Decommissioning / end-of-life flag</t>
  </si>
  <si>
    <t xml:space="preserve">Discount factor – unlevered (mid-year not applied)</t>
  </si>
  <si>
    <t xml:space="preserve">Discount factor – equity</t>
  </si>
  <si>
    <t xml:space="preserve">Construction fraction of the calendar year (NTP → COD, by days)</t>
  </si>
  <si>
    <t xml:space="preserve">1. Development phase (Stage 1 flows from MOIC / Deposits)</t>
  </si>
  <si>
    <t xml:space="preserve">← include switch</t>
  </si>
  <si>
    <t xml:space="preserve">Devex incl. land costs paid by FEP (MOIC rows 18 + 20)</t>
  </si>
  <si>
    <t xml:space="preserve">Signing fee and DD / transaction costs</t>
  </si>
  <si>
    <t xml:space="preserve">Tender securities paid in CASH, net of refunds (all instalments – no sale)</t>
  </si>
  <si>
    <t xml:space="preserve">Cash securities returned at COD (excl. TSO connection-request bond – consumed against the connection fee, Deposits I18)</t>
  </si>
  <si>
    <t xml:space="preserve">Developer success fee settled in cash at COD (JV case)</t>
  </si>
  <si>
    <t xml:space="preserve">Deemed exit at RTB – FEP profit forgone by not selling (opportunity cost)</t>
  </si>
  <si>
    <t xml:space="preserve">← deemed exit switch</t>
  </si>
  <si>
    <t xml:space="preserve">Deemed exit at RTB – cash paid to A.RES to take 100% (30% share + DSA)</t>
  </si>
  <si>
    <t xml:space="preserve">Bank guarantee fees (Stage 1 to sale per MOIC; hold case: guarantees outstanding at sale + 4th supplementary instalment carried to COD at E23 rate)</t>
  </si>
  <si>
    <t xml:space="preserve">Total development-phase cash flow</t>
  </si>
  <si>
    <t xml:space="preserve">2. Construction capex</t>
  </si>
  <si>
    <t xml:space="preserve">Capex excl. connection fee (k€/MW × successful MW, phased by construction share)</t>
  </si>
  <si>
    <t xml:space="preserve">Grid connection fee (Deposits – paid on HCsSz date)</t>
  </si>
  <si>
    <t xml:space="preserve">Municipal one-off contribution (tender commitment, k€/MVA × MVA – paid in COD year)</t>
  </si>
  <si>
    <t xml:space="preserve">Total capex</t>
  </si>
  <si>
    <t xml:space="preserve">Cumulative capex</t>
  </si>
  <si>
    <t xml:space="preserve">Capex per MW built</t>
  </si>
  <si>
    <t xml:space="preserve">3. Generation</t>
  </si>
  <si>
    <t xml:space="preserve">Installed capacity</t>
  </si>
  <si>
    <t xml:space="preserve">Net P50 hours after haircut, curtailment and yield factor</t>
  </si>
  <si>
    <t xml:space="preserve">Degradation factor</t>
  </si>
  <si>
    <t xml:space="preserve">Net generation</t>
  </si>
  <si>
    <t xml:space="preserve">Net capacity factor (full years)</t>
  </si>
  <si>
    <t xml:space="preserve">4. Power price</t>
  </si>
  <si>
    <t xml:space="preserve">← 1 = Aurora, 2 = estimate</t>
  </si>
  <si>
    <t xml:space="preserve">Aurora selected wind capture price (Curves; after the last Aurora year, held flat in real terms and inflated at Curves E19)</t>
  </si>
  <si>
    <t xml:space="preserve">Estimate: baseload price</t>
  </si>
  <si>
    <t xml:space="preserve">Estimate: wind capture price</t>
  </si>
  <si>
    <t xml:space="preserve">Merchant capture price used</t>
  </si>
  <si>
    <t xml:space="preserve">Aurora year missing (1 = fell back to estimate)</t>
  </si>
  <si>
    <t xml:space="preserve">PPA / CfD strike</t>
  </si>
  <si>
    <t xml:space="preserve">PPA share of output</t>
  </si>
  <si>
    <t xml:space="preserve">Blended achieved price</t>
  </si>
  <si>
    <t xml:space="preserve">5. Revenue, opex and EBITDA</t>
  </si>
  <si>
    <t xml:space="preserve">← opex escalation</t>
  </si>
  <si>
    <t xml:space="preserve">Merchant revenue</t>
  </si>
  <si>
    <t xml:space="preserve">PPA / CfD revenue</t>
  </si>
  <si>
    <t xml:space="preserve">Total revenue</t>
  </si>
  <si>
    <t xml:space="preserve">Escalation index (opex, base = COD year prices)</t>
  </si>
  <si>
    <t xml:space="preserve">Grid use-of-system charges</t>
  </si>
  <si>
    <t xml:space="preserve">Annual community contribution (tender commitment, €/MWh on net generation)</t>
  </si>
  <si>
    <t xml:space="preserve">Land lease (paid from NTP; pre-COD lease is a tax loss carried forward)</t>
  </si>
  <si>
    <t xml:space="preserve">Property tax</t>
  </si>
  <si>
    <t xml:space="preserve">Administration, audit, compliance</t>
  </si>
  <si>
    <t xml:space="preserve">Total operating costs</t>
  </si>
  <si>
    <t xml:space="preserve">EBITDA margin</t>
  </si>
  <si>
    <t xml:space="preserve">Opex per MW (full years)</t>
  </si>
  <si>
    <t xml:space="preserve">6. Senior debt (annuity term loan, drawn pro rata with capex)</t>
  </si>
  <si>
    <t xml:space="preserve">← all-in rate</t>
  </si>
  <si>
    <t xml:space="preserve">Debt sized on total capex incl. connection fee</t>
  </si>
  <si>
    <t xml:space="preserve">Drawdown</t>
  </si>
  <si>
    <t xml:space="preserve">Interest during construction (on opening + half drawdown; construction share of the COD year)</t>
  </si>
  <si>
    <t xml:space="preserve">IDC capitalised</t>
  </si>
  <si>
    <t xml:space="preserve">IDC paid by equity</t>
  </si>
  <si>
    <t xml:space="preserve">Interest – operating period (from COD; paid from cash flow)</t>
  </si>
  <si>
    <t xml:space="preserve">Annuity debt service (fixed, from balance at COD)</t>
  </si>
  <si>
    <t xml:space="preserve">Principal repayment</t>
  </si>
  <si>
    <t xml:space="preserve">Upfront, arrangement and commitment fees (commitment fee on average undrawn debt during construction, Inputs E222)</t>
  </si>
  <si>
    <t xml:space="preserve">Scheduled debt service (interest + annuity principal)</t>
  </si>
  <si>
    <t xml:space="preserve">Prepayment – cash sweep (Inputs E269) and the old loan repaid at the refinancing (block 18)</t>
  </si>
  <si>
    <t xml:space="preserve">DSRA target balance (Inputs E268 months of next year's scheduled debt service)</t>
  </si>
  <si>
    <t xml:space="preserve">DSRA funding (−) / release (+)</t>
  </si>
  <si>
    <t xml:space="preserve">Tax depreciation profile – share of annual charge (pro rata from COD)</t>
  </si>
  <si>
    <t xml:space="preserve">7. Corporate tax (levered)</t>
  </si>
  <si>
    <t xml:space="preserve">← CIT rate</t>
  </si>
  <si>
    <t xml:space="preserve">Tax depreciation (straight-line on total capex + capitalised IDC + TSO bond applied to the connection fee)</t>
  </si>
  <si>
    <t xml:space="preserve">Taxable income before loss relief (EBITDA − depreciation − interest − upfront fees − devex)</t>
  </si>
  <si>
    <t xml:space="preserve">Tax losses – opening</t>
  </si>
  <si>
    <t xml:space="preserve">Losses used (capped at share of positive income)</t>
  </si>
  <si>
    <t xml:space="preserve">Tax losses – closing</t>
  </si>
  <si>
    <t xml:space="preserve">Taxable income after loss relief</t>
  </si>
  <si>
    <t xml:space="preserve">Corporate income tax</t>
  </si>
  <si>
    <t xml:space="preserve">Robin Hood tax (if applicable)</t>
  </si>
  <si>
    <t xml:space="preserve">Total tax – levered</t>
  </si>
  <si>
    <t xml:space="preserve">Tax – unlevered proxy (no interest shield, no loss relief)</t>
  </si>
  <si>
    <t xml:space="preserve">8. Unlevered project cash flow</t>
  </si>
  <si>
    <t xml:space="preserve">Development phase</t>
  </si>
  <si>
    <t xml:space="preserve">Construction capex</t>
  </si>
  <si>
    <t xml:space="preserve">Decommissioning</t>
  </si>
  <si>
    <t xml:space="preserve">Terminal value</t>
  </si>
  <si>
    <t xml:space="preserve">Unlevered pre-tax cash flow</t>
  </si>
  <si>
    <t xml:space="preserve">Unlevered post-tax cash flow</t>
  </si>
  <si>
    <t xml:space="preserve">Cumulative unlevered post-tax</t>
  </si>
  <si>
    <t xml:space="preserve">9. Equity cash flow (100% of project)</t>
  </si>
  <si>
    <t xml:space="preserve">Upfront fees and IDC paid by equity</t>
  </si>
  <si>
    <t xml:space="preserve">Debt service incl. cash sweep</t>
  </si>
  <si>
    <t xml:space="preserve">Tax</t>
  </si>
  <si>
    <t xml:space="preserve">CFADS (EBITDA − tax)</t>
  </si>
  <si>
    <t xml:space="preserve">DSCR</t>
  </si>
  <si>
    <t xml:space="preserve">10. FEP share</t>
  </si>
  <si>
    <t xml:space="preserve">← FEP effective share. 100% when the deemed exit is on, because A.RES is bought out in full at RTB (row 22); otherwise the JV share from Inputs E33.</t>
  </si>
  <si>
    <t xml:space="preserve">FEP equity cash flow</t>
  </si>
  <si>
    <t xml:space="preserve">FEP cumulative equity position</t>
  </si>
  <si>
    <t xml:space="preserve">11. Results (column G)</t>
  </si>
  <si>
    <t xml:space="preserve">Project IRR – unlevered, pre-tax</t>
  </si>
  <si>
    <t xml:space="preserve">Project IRR – unlevered, post-tax</t>
  </si>
  <si>
    <t xml:space="preserve">Project NPV – unlevered post-tax at discount rate</t>
  </si>
  <si>
    <t xml:space="preserve">Equity IRR – levered, post-tax (100%)</t>
  </si>
  <si>
    <t xml:space="preserve">Equity NPV at equity discount rate</t>
  </si>
  <si>
    <t xml:space="preserve">FEP equity NPV at NPV / Equity discount rate (Inputs E253)</t>
  </si>
  <si>
    <t xml:space="preserve">PV of FEP equity invested (negative annual FEP flows, at Inputs E253)</t>
  </si>
  <si>
    <t xml:space="preserve">FEP net cash (sum of equity flows)</t>
  </si>
  <si>
    <t xml:space="preserve">FEP net cash</t>
  </si>
  <si>
    <t xml:space="preserve">FEP peak cumulative equity exposure</t>
  </si>
  <si>
    <t xml:space="preserve">FEP MOIC (cash back ÷ cash in)</t>
  </si>
  <si>
    <t xml:space="preserve">Payback year (cumulative equity turns positive)</t>
  </si>
  <si>
    <t xml:space="preserve">Lifetime revenue</t>
  </si>
  <si>
    <t xml:space="preserve">Average achieved price</t>
  </si>
  <si>
    <t xml:space="preserve">Average EBITDA margin</t>
  </si>
  <si>
    <t xml:space="preserve">LCOE (PV of dev + capex + opex + decom ÷ PV of generation, at unlevered rate)</t>
  </si>
  <si>
    <t xml:space="preserve">Debt at COD</t>
  </si>
  <si>
    <t xml:space="preserve">Debt fully repaid by end of tenor</t>
  </si>
  <si>
    <t xml:space="preserve">Memo: cash paid out to A.RES at the deemed exit</t>
  </si>
  <si>
    <t xml:space="preserve">Memo: cross-check – A.RES take per the FEP waterfall (Inputs E220 × gross RTB proceeds)</t>
  </si>
  <si>
    <t xml:space="preserve">12. Checks</t>
  </si>
  <si>
    <t xml:space="preserve">Model COD inside the tender window (earliest connection to COD deadline)</t>
  </si>
  <si>
    <t xml:space="preserve">Horizon covers operating life</t>
  </si>
  <si>
    <t xml:space="preserve">Construction shares sum to 100%</t>
  </si>
  <si>
    <t xml:space="preserve">Capex phased equals capex sized</t>
  </si>
  <si>
    <t xml:space="preserve">Debt repaid at end of tenor</t>
  </si>
  <si>
    <t xml:space="preserve">Tax losses never negative</t>
  </si>
  <si>
    <t xml:space="preserve">Aurora curve complete for all operating years (only when source = 1)</t>
  </si>
  <si>
    <t xml:space="preserve">Development-phase costs tie to Stage 1 (devex + land + fees + cash securities + connection fee; guarantee fees ≥ MOIC to-sale fees)</t>
  </si>
  <si>
    <t xml:space="preserve">Equity CF = unlevered CF + debt flows incl. sweep and DSRA (arithmetic tie)</t>
  </si>
  <si>
    <t xml:space="preserve">Overall</t>
  </si>
  <si>
    <t xml:space="preserve">13. HTM sensitivities – unlevered PRE-TAX project IRR and NPV (analytical: base cash flow ± linear deltas; tax not re-run). Columns H:AP are years as above.</t>
  </si>
  <si>
    <t xml:space="preserve">13a. Achieved-price sensitivity (multiplier on every year's revenue; MEKH fee and HIPA move with revenue)</t>
  </si>
  <si>
    <t xml:space="preserve">Scenario</t>
  </si>
  <si>
    <t xml:space="preserve">Price multiplier</t>
  </si>
  <si>
    <t xml:space="preserve">Avg price €/MWh</t>
  </si>
  <si>
    <t xml:space="preserve">Pre-tax IRR</t>
  </si>
  <si>
    <t xml:space="preserve">NPV @ unlevered rate (k€)</t>
  </si>
  <si>
    <t xml:space="preserve">Price 70%</t>
  </si>
  <si>
    <t xml:space="preserve">Price 80%</t>
  </si>
  <si>
    <t xml:space="preserve">Price 90%</t>
  </si>
  <si>
    <t xml:space="preserve">Price 100%</t>
  </si>
  <si>
    <t xml:space="preserve">Price 110%</t>
  </si>
  <si>
    <t xml:space="preserve">Price 120%</t>
  </si>
  <si>
    <t xml:space="preserve">Price 130%</t>
  </si>
  <si>
    <t xml:space="preserve">13b. Construction-capex sensitivity (multiplier on total capex incl. connection fee and municipal contribution)</t>
  </si>
  <si>
    <t xml:space="preserve">Capex multiplier</t>
  </si>
  <si>
    <t xml:space="preserve">Capex k€/MW</t>
  </si>
  <si>
    <t xml:space="preserve">Capex 80%</t>
  </si>
  <si>
    <t xml:space="preserve">Capex 90%</t>
  </si>
  <si>
    <t xml:space="preserve">Capex 100%</t>
  </si>
  <si>
    <t xml:space="preserve">Capex 110%</t>
  </si>
  <si>
    <t xml:space="preserve">Capex 120%</t>
  </si>
  <si>
    <t xml:space="preserve">13c. Break-even achieved price (unlevered pre-tax NPV = 0 at the unlevered discount rate)</t>
  </si>
  <si>
    <t xml:space="preserve">PV of revenue net of revenue-linked fees</t>
  </si>
  <si>
    <t xml:space="preserve">Base-case pre-tax NPV</t>
  </si>
  <si>
    <t xml:space="preserve">Required price multiplier</t>
  </si>
  <si>
    <t xml:space="preserve">Break-even average achieved price</t>
  </si>
  <si>
    <t xml:space="preserve">14. Buyer returns – buyer acquires 100% of the SPV at the sale date for the RTB price, then builds and operates (share deal: SPV tax base and losses carry over; no step-up)</t>
  </si>
  <si>
    <t xml:space="preserve">Purchase price at sale (RTB premium + reimbursement of securities and connection fee, MOIC G140)</t>
  </si>
  <si>
    <t xml:space="preserve">Securities (cash-settled) and connection fee falling due after the sale</t>
  </si>
  <si>
    <t xml:space="preserve">Construction capex excl. connection fee, plus municipal contribution</t>
  </si>
  <si>
    <t xml:space="preserve">EBITDA (incl. pre-COD land lease)</t>
  </si>
  <si>
    <t xml:space="preserve">Debt service incl. cash sweep and DSRA movements</t>
  </si>
  <si>
    <t xml:space="preserve">Tax – levered (SPV level, incl. losses inherited from development)</t>
  </si>
  <si>
    <t xml:space="preserve">Buyer levered equity cash flow</t>
  </si>
  <si>
    <t xml:space="preserve">Buyer unlevered post-tax cash flow</t>
  </si>
  <si>
    <t xml:space="preserve">Buyer IRR – unlevered, post-tax</t>
  </si>
  <si>
    <t xml:space="preserve">Buyer equity IRR – levered, post-tax</t>
  </si>
  <si>
    <t xml:space="preserve">Buyer equity NPV at equity discount rate (Inputs E225), valued at the sale year</t>
  </si>
  <si>
    <t xml:space="preserve">Buyer NPV / Equity (NPV ÷ PV of equity invested, both at Inputs E253, valued at the sale year)</t>
  </si>
  <si>
    <t xml:space="preserve">Buyer unlevered NPV at unlevered discount rate (Inputs E224), valued at the sale year</t>
  </si>
  <si>
    <t xml:space="preserve">RTB premium in the model (Inputs E141)</t>
  </si>
  <si>
    <t xml:space="preserve">Implied maximum RTB premium – buyer unlevered NPV = 0 at Inputs E224</t>
  </si>
  <si>
    <t xml:space="preserve">Implied maximum RTB premium – buyer equity NPV = 0 at Inputs E225</t>
  </si>
  <si>
    <t xml:space="preserve">Purchase price per MW (premium + reimbursed securities and connection fee)</t>
  </si>
  <si>
    <t xml:space="preserve">14b. Buyer unlevered post-tax IRR by RTB premium (Inputs E142:E148) – columns H:AQ hold each scenario's cash flow</t>
  </si>
  <si>
    <t xml:space="preserve">Premium k€/MVA</t>
  </si>
  <si>
    <t xml:space="preserve">Price k€</t>
  </si>
  <si>
    <t xml:space="preserve">Unlevered IRR</t>
  </si>
  <si>
    <t xml:space="preserve">Unlev. NPV @ E224 (k€, sale yr)</t>
  </si>
  <si>
    <t xml:space="preserve">Premium scenario 1</t>
  </si>
  <si>
    <t xml:space="preserve">Premium scenario 2</t>
  </si>
  <si>
    <t xml:space="preserve">Premium scenario 3</t>
  </si>
  <si>
    <t xml:space="preserve">Premium scenario 4</t>
  </si>
  <si>
    <t xml:space="preserve">Premium scenario 5</t>
  </si>
  <si>
    <t xml:space="preserve">Premium scenario 6</t>
  </si>
  <si>
    <t xml:space="preserve">Premium scenario 7</t>
  </si>
  <si>
    <t xml:space="preserve">14c. Buyer levered equity IRR by RTB premium (Inputs E142:E148) – columns H:AQ hold each scenario's cash flow</t>
  </si>
  <si>
    <t xml:space="preserve">Equity IRR</t>
  </si>
  <si>
    <t xml:space="preserve">NPV / Equity @ E253</t>
  </si>
  <si>
    <t xml:space="preserve">15. Gearing sensitivity – FEP HTM equity returns vs senior-debt gearing (debt flows scale linearly with gearing; IDC, depreciation, tax and loss carry-forward recomputed per scenario; detail rows 255+)</t>
  </si>
  <si>
    <t xml:space="preserve">Gearing</t>
  </si>
  <si>
    <t xml:space="preserve">Debt at COD k€</t>
  </si>
  <si>
    <t xml:space="preserve">FEP NPV / Equity</t>
  </si>
  <si>
    <t xml:space="preserve">Min DSCR</t>
  </si>
  <si>
    <t xml:space="preserve">FEP equity NPV k€</t>
  </si>
  <si>
    <t xml:space="preserve">DSCR vs Inputs E251</t>
  </si>
  <si>
    <t xml:space="preserve">Minimum gearing to reach the target FEP equity IRR (Inputs E252; interpolated between scenarios)</t>
  </si>
  <si>
    <t xml:space="preserve">Maximum gearing at the lender minimum DSCR (Inputs E251; interpolated between scenarios)</t>
  </si>
  <si>
    <t xml:space="preserve">Check: scenario at live gearing ties to base FEP equity IRR (G135)</t>
  </si>
  <si>
    <t xml:space="preserve">TSO bond in the tax depreciation base (as H92)</t>
  </si>
  <si>
    <t xml:space="preserve">Taxable income before loss relief</t>
  </si>
  <si>
    <t xml:space="preserve">Tax (CIT + Robin Hood)</t>
  </si>
  <si>
    <t xml:space="preserve">16. Lender downside case – Aurora Low price (Inputs E264) and P90 generation (Inputs E263); debt sized and scheduled on the base case</t>
  </si>
  <si>
    <t xml:space="preserve">Price factor (Aurora Low ÷ Central wind capture; 1 if switch off)</t>
  </si>
  <si>
    <t xml:space="preserve">Generation factor (P90 / P50)</t>
  </si>
  <si>
    <t xml:space="preserve">Revenue – downside</t>
  </si>
  <si>
    <t xml:space="preserve">Revenue ratio downside ÷ base</t>
  </si>
  <si>
    <t xml:space="preserve">Operating costs – downside (volume- and revenue-linked lines rescaled, contingency included)</t>
  </si>
  <si>
    <t xml:space="preserve">EBITDA – downside</t>
  </si>
  <si>
    <t xml:space="preserve">Taxable income before loss relief – downside</t>
  </si>
  <si>
    <t xml:space="preserve">Tax losses – closing – downside</t>
  </si>
  <si>
    <t xml:space="preserve">Tax – downside (CIT + Robin Hood)</t>
  </si>
  <si>
    <t xml:space="preserve">CFADS – downside</t>
  </si>
  <si>
    <t xml:space="preserve">DSCR – downside (on base scheduled debt service)</t>
  </si>
  <si>
    <t xml:space="preserve">Cash sweep – downside (approx.: base debt balance)</t>
  </si>
  <si>
    <t xml:space="preserve">FEP equity cash flow – downside (approx.)</t>
  </si>
  <si>
    <t xml:space="preserve">Downside – minimum DSCR</t>
  </si>
  <si>
    <t xml:space="preserve">Downside – DSCR test vs lender minimum (Inputs E274)</t>
  </si>
  <si>
    <t xml:space="preserve">Downside – FEP equity IRR (approx.)</t>
  </si>
  <si>
    <t xml:space="preserve">Downside – FEP NPV / Equity at Inputs E253 (approx.)</t>
  </si>
  <si>
    <t xml:space="preserve">Downside – average achieved price</t>
  </si>
  <si>
    <t xml:space="preserve">Base case – minimum DSCR (for reference)</t>
  </si>
  <si>
    <t xml:space="preserve">17. Sale at COD – buyer earns the unlevered discount rate</t>
  </si>
  <si>
    <t xml:space="preserve">COD year (the sale is at 31-Dec)</t>
  </si>
  <si>
    <t xml:space="preserve">Discount factor at the COD year (row 12)</t>
  </si>
  <si>
    <t xml:space="preserve">Post-COD unlevered post-tax cash flow</t>
  </si>
  <si>
    <t xml:space="preserve">COD sale price (buyer NPV = 0 at Inputs E224)</t>
  </si>
  <si>
    <t xml:space="preserve">Debt repaid at the sale (closing balance, COD year)</t>
  </si>
  <si>
    <t xml:space="preserve">FEP cash flow – sale at COD</t>
  </si>
  <si>
    <t xml:space="preserve">FEP IRR – sale at COD</t>
  </si>
  <si>
    <t xml:space="preserve">FEP profit – sale at COD</t>
  </si>
  <si>
    <t xml:space="preserve">FEP MOIC – sale at COD</t>
  </si>
  <si>
    <t xml:space="preserve">FEP NPV – sale at COD at the equity discount rate (Inputs E225)</t>
  </si>
  <si>
    <t xml:space="preserve">Sale year (RtB route)</t>
  </si>
  <si>
    <t xml:space="preserve">COD sale price at the buyer rate in E (step 1)</t>
  </si>
  <si>
    <t xml:space="preserve">COD sale price at the buyer rate in E (step 2)</t>
  </si>
  <si>
    <t xml:space="preserve">COD sale price at the buyer rate in E (step 3)</t>
  </si>
  <si>
    <t xml:space="preserve">FEP profit – sale at COD at the buyer rate (step 1)</t>
  </si>
  <si>
    <t xml:space="preserve">FEP profit – sale at COD at the buyer rate (step 2)</t>
  </si>
  <si>
    <t xml:space="preserve">FEP profit – sale at COD at the buyer rate (step 3)</t>
  </si>
  <si>
    <t xml:space="preserve">RtB premium at which the buyer earns the rate (step 1)</t>
  </si>
  <si>
    <t xml:space="preserve">RtB premium at which the buyer earns the rate (step 2)</t>
  </si>
  <si>
    <t xml:space="preserve">RtB premium at which the buyer earns the rate (step 3)</t>
  </si>
  <si>
    <t xml:space="preserve">18. Refinancing at COD + 1 year (case 3; In_Refi_On = 0 elsewhere)</t>
  </si>
  <si>
    <t xml:space="preserve">Refinancing year (end of year; COD year + In_Refi_Lag)</t>
  </si>
  <si>
    <t xml:space="preserve">New loan: (gearing + In_Refi_Gearing_Add) × the sizing base (E75)</t>
  </si>
  <si>
    <t xml:space="preserve">New loan annuity (In_Refi_Rate, In_Refi_Tenor)</t>
  </si>
  <si>
    <t xml:space="preserve">Refinancing year flag</t>
  </si>
  <si>
    <t xml:space="preserve">After-refinancing flag</t>
  </si>
  <si>
    <t xml:space="preserve">Interest rate on the opening balance</t>
  </si>
  <si>
    <t xml:space="preserve">Old loan principal (scheduled annuity, up to the refinancing)</t>
  </si>
  <si>
    <t xml:space="preserve">New loan principal (annuity after the refinancing)</t>
  </si>
  <si>
    <t xml:space="preserve">Cash sweep (row 87 as before)</t>
  </si>
  <si>
    <t xml:space="preserve">Old loan repaid at the refinancing (prepayment)</t>
  </si>
  <si>
    <t xml:space="preserve">Refinancing fee (upfront fee on the new loan)</t>
  </si>
  <si>
    <t xml:space="preserve">New loan drawn at the refinancing (in row 77; excluded from E82 and G157)</t>
  </si>
  <si>
    <t xml:space="preserve">Last debt-service year</t>
  </si>
  <si>
    <t xml:space="preserve">Closing debt balance in the last debt-service year</t>
  </si>
  <si>
    <t xml:space="preserve">Debt after refinancing (closing balance, refinancing year)</t>
  </si>
  <si>
    <t xml:space="preserve">Gearing after refinancing (debt ÷ sizing base)</t>
  </si>
  <si>
    <t xml:space="preserve">Released to equity at the refinancing (new loan − old loan repaid − fee)</t>
  </si>
  <si>
    <t xml:space="preserve">Bora Onshore wind</t>
  </si>
  <si>
    <t xml:space="preserve">Open items</t>
  </si>
  <si>
    <t xml:space="preserve">Every assumption not recoverable from the source model, every amber cell, and every explicit assumption made in its place.</t>
  </si>
  <si>
    <t xml:space="preserve">Sorted 29-Sep-2026: #1–10 = ten most critical open items; #11–15 = other open items; #16 onward = resolved / closed / superseded. Renumbered sequentially (earlier numbering had duplicates 31–35).</t>
  </si>
  <si>
    <t xml:space="preserve">Category</t>
  </si>
  <si>
    <t xml:space="preserve">Item</t>
  </si>
  <si>
    <t xml:space="preserve">Why it is open</t>
  </si>
  <si>
    <t xml:space="preserve">Interim treatment</t>
  </si>
  <si>
    <t xml:space="preserve">Owner</t>
  </si>
  <si>
    <t xml:space="preserve">Source reference (Polish precedent - do NOT default into a cell)</t>
  </si>
  <si>
    <t xml:space="preserve">Financing</t>
  </si>
  <si>
    <t xml:space="preserve">Lender downside (Aurora Low + P90): min DSCR 1.36x per review 1-Oct-26 – live value HTM G324</t>
  </si>
  <si>
    <t xml:space="preserve">Aurora Low is ~30% below Central. Lenders sizing on a Low/P90 case would lend materially less than 55% or require hedging/PPA.</t>
  </si>
  <si>
    <t xml:space="preserve">Accepted 02-Oct-26 (user decision): downside DSCR (Aurora Low + P90) is shown live in HTM block 16 (G324 vs Inputs E274); debt is sized at financing. Bora passed at 1.36x.</t>
  </si>
  <si>
    <t xml:space="preserve">User / lenders</t>
  </si>
  <si>
    <t xml:space="preserve">Closed – accepted, monitored live</t>
  </si>
  <si>
    <t xml:space="preserve">HTM – capex</t>
  </si>
  <si>
    <t xml:space="preserve">Construction capex estimates</t>
  </si>
  <si>
    <t xml:space="preserve">Inputs J (E162:E175) holds FEP placeholder estimates totalling ~1,444 k€/MW incl. the TSO connection fee (IC paper: ~1,500 k€/MW, Nordex 6.8 MW); the final tender adds a municipal one-off contribution (Inputs E233, 20 k€/MW bid offering). No turbine quote, BoP tender or grid design yet.</t>
  </si>
  <si>
    <t xml:space="preserve">Accepted 02-Oct-26 as the base-case estimate: turbine 950 k€/MW (European, see #12) plus Inputs E163:E171 lines; capex ≈1,720 k€/MW excl. / ≈1,880 k€/MW incl. connection fee (active project). Replace with tender quotes / technical DD when available.</t>
  </si>
  <si>
    <t xml:space="preserve">Technical DD / A.RES</t>
  </si>
  <si>
    <t xml:space="preserve">Closed – estimates accepted</t>
  </si>
  <si>
    <t xml:space="preserve">IC paper p.7</t>
  </si>
  <si>
    <t xml:space="preserve">Tender</t>
  </si>
  <si>
    <t xml:space="preserve">Mandatory 25% call option for a designated renewable-energy community</t>
  </si>
  <si>
    <t xml:space="preserve">The final tender obliges the bidder to grant a 25% call option over the SPV to a Government-designated energy community, exercisable unilaterally within two years of the final capacity decision; strike price and funding basis unknown.</t>
  </si>
  <si>
    <t xml:space="preserve">Info only, not modelled (user decision 02-Oct-26). Assumed not exercised; flagged on Inputs E235. A buyer at RTB would price it in.</t>
  </si>
  <si>
    <t xml:space="preserve">Legal DD</t>
  </si>
  <si>
    <t xml:space="preserve">Closed – info only</t>
  </si>
  <si>
    <t xml:space="preserve">Portfolio 31-Aug-26 (URL above).</t>
  </si>
  <si>
    <t xml:space="preserve">HTM – financing</t>
  </si>
  <si>
    <t xml:space="preserve">Senior debt terms</t>
  </si>
  <si>
    <t xml:space="preserve">60% gearing, 5.0% all-in fixed, 1.5% fees, 15-year annuity from COD, IDC capitalised. Min DSCR on estimates is ~1.03x after the final-tender community contributions – well below a typical 1.25-1.30x lock-up, so gearing would be sized down by lenders on a merchant case.</t>
  </si>
  <si>
    <t xml:space="preserve">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</si>
  <si>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 xml:space="preserve">Deal team / lenders</t>
  </si>
  <si>
    <t xml:space="preserve">Closed – modelled at market-standard terms</t>
  </si>
  <si>
    <t xml:space="preserve">HTM – opex</t>
  </si>
  <si>
    <t xml:space="preserve">Operating cost estimates</t>
  </si>
  <si>
    <t xml:space="preserve">Inputs M: ~37 k€/MW/yr all-in in 2031 prices (O&amp;M 12 (Inputs E201), BoP 3, land 5, insurance 2.5, AM 1.5, property tax 3) + 150 k€/yr admin + 5% contingency, escalating 2.5%; balancing 4 EUR/MWh, grid charges 1 EUR/MWh; HIPA 2% of revenue (conservative base).</t>
  </si>
  <si>
    <t xml:space="preserve">Accepted 02-Oct-26: O&amp;M full-service contract assumed for the full 30-year operating life (user decision), so no post-FSA uplift. Other opex lines remain estimates (Inputs M).</t>
  </si>
  <si>
    <t xml:space="preserve">Deal team / A.RES</t>
  </si>
  <si>
    <t xml:space="preserve">Closed – estimates accepted; FSA 30 years</t>
  </si>
  <si>
    <t xml:space="preserve">HTM – tax</t>
  </si>
  <si>
    <t xml:space="preserve">Robin Hood tax and tax depreciation</t>
  </si>
  <si>
    <t xml:space="preserve">Energy suppliers' income tax (31%) is switched OFF (Inputs E177) on the basis that each SPV is ≤ 50 MW. Tax depreciation assumed 20-year straight-line; loss relief capped at 50% of the tax base.</t>
  </si>
  <si>
    <t xml:space="preserve">Robin Hood tax left OFF (≤ 50 MW per SPV) and flagged; switch moved to the Control_Panel sheet (E52 → Inputs G197, per case K/L). 20-yr straight-line depreciation and 50% loss cap kept.</t>
  </si>
  <si>
    <t xml:space="preserve">Tax adviser (Futureal)</t>
  </si>
  <si>
    <t xml:space="preserve">Closed – off, switchable on Control_Panel E52</t>
  </si>
  <si>
    <t xml:space="preserve">IC paper p.5 (risk table)</t>
  </si>
  <si>
    <t xml:space="preserve">Municipal and community contributions (new scoring criteria)</t>
  </si>
  <si>
    <t xml:space="preserve">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</si>
  <si>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 xml:space="preserve">Bid offer kept at 20 k€/MW one-off and 2 €/MWh annual; now typed inputs on Control_Panel E53 / E54 (→ Inputs G233 / G234), so the bid can be flexed with one change (user decision 02-Oct-26).</t>
  </si>
  <si>
    <t xml:space="preserve">Deal team</t>
  </si>
  <si>
    <t xml:space="preserve">Closed – inputs on Control_Panel E53:E54</t>
  </si>
  <si>
    <t xml:space="preserve">Will lenders fund refundable deposits and bond cash collateral?</t>
  </si>
  <si>
    <t xml:space="preserve">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</si>
  <si>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 xml:space="preserve">Closed 02-Oct-26: conservative treatment kept – debt sized on capex incl. connection fee only (Inputs E217); refundable deposits and bond cash collateral are funded by FEP equity / shareholder loans. Any lender funding of deposits is upside to the equity cheque and IRR.</t>
  </si>
  <si>
    <t xml:space="preserve">Closed – conservative (equity-funded) treatment adopted</t>
  </si>
  <si>
    <t xml:space="preserve">Not a source question - a commercial negotiation point.</t>
  </si>
  <si>
    <t xml:space="preserve">Returns</t>
  </si>
  <si>
    <t xml:space="preserve">Distributable base vs FEP devex file (#26)</t>
  </si>
  <si>
    <t xml:space="preserve">Model deducts 12% interest, 2x at-risk return and DSA from the premium; the FEP file's distributable base is k€ 17,132 vs k€ 20,049 here. Need the devex file to reconcile line by line.</t>
  </si>
  <si>
    <t xml:space="preserve">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</si>
  <si>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 xml:space="preserve">User</t>
  </si>
  <si>
    <t xml:space="preserve">Closed – method aligned; timing residual 225 k€ shown</t>
  </si>
  <si>
    <t xml:space="preserve">Valuation</t>
  </si>
  <si>
    <t xml:space="preserve">Discount rate build-up</t>
  </si>
  <si>
    <t xml:space="preserve">No build-up anywhere. Stat_inp E25 cost of capital 8.9% is a bare input; the source hardcodes 7% / 10% NPV rates and an 8.5% buyer IRR.</t>
  </si>
  <si>
    <t xml:space="preserve">Single discount rate 8% on Control_Panel E51 (→ Inputs 253) now drives Inputs 13 (economic-profit charge, was 8.9%), 224 (unlevered NPV, was 7%) and 225 (equity NPV, was 10%) – user decision 02-Oct-26.</t>
  </si>
  <si>
    <t xml:space="preserve">Closed – one 8% rate</t>
  </si>
  <si>
    <t xml:space="preserve">VAT</t>
  </si>
  <si>
    <t xml:space="preserve">VAT scope of deposits and guarantee fees</t>
  </si>
  <si>
    <t xml:space="preserve">Whether refundable deposits and guarantee fees are within VAT scope is not determinable from the source.</t>
  </si>
  <si>
    <t xml:space="preserve">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</si>
  <si>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 xml:space="preserve">Tax adviser</t>
  </si>
  <si>
    <t xml:space="preserve">Closed – no model impact</t>
  </si>
  <si>
    <t xml:space="preserve">Capex</t>
  </si>
  <si>
    <t xml:space="preserve">80% EU-manufactured equipment scoring criterion</t>
  </si>
  <si>
    <t xml:space="preserve">The final tender awards points for sourcing ≥80% of plant and equipment from EU-based manufacturers, which pushes towards European turbines (higher capex than Chinese alternatives) – consistent with the 950 k€/MW turbine estimate but it narrows the capex-saving lever.</t>
  </si>
  <si>
    <t xml:space="preserve">Base case switched to the European turbine (950 k€/MW, Control_Panel E30 → Inputs E162) on user decision 02-Oct-26, so the bid can score the ≥80% EU-equipment points. Chinese 500 k€/MW stays as case 6 sensitivity.</t>
  </si>
  <si>
    <t xml:space="preserve">Technical DD</t>
  </si>
  <si>
    <t xml:space="preserve">Closed – base = European turbine</t>
  </si>
  <si>
    <t xml:space="preserve">HTM – structure</t>
  </si>
  <si>
    <t xml:space="preserve">Development-phase costs and JV in HTM</t>
  </si>
  <si>
    <t xml:space="preserve">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</si>
  <si>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 xml:space="preserve">Closed 02-Oct-26: accepted simplification. Switches Inputs E226 / E227 kept; A.RES is bought out in full at the deemed exit (HTM row 22, see #26), so FEP holds 100% from RTB and a shareholder-loan waterfall in HTM would not change FEP's cash flows.</t>
  </si>
  <si>
    <t xml:space="preserve">Closed – accepted simplification</t>
  </si>
  <si>
    <t xml:space="preserve">Term sheet (Annex 1)</t>
  </si>
  <si>
    <t xml:space="preserve">Commitment fee on undrawn debt</t>
  </si>
  <si>
    <t xml:space="preserve">Typically ~35–40% of margin on undrawn commitments during construction; not modelled (≈ €0.5–1m).</t>
  </si>
  <si>
    <t xml:space="preserve">Commitment fee 0.9% p.a. on undrawn senior debt during construction added: Control_Panel E55 (with comment) → Inputs 222 → HTM row 85 (average undrawn × construction fraction; tax-deductible, equity-funded).</t>
  </si>
  <si>
    <t xml:space="preserve">Closed – modelled, 0.9% p.a.</t>
  </si>
  <si>
    <t xml:space="preserve">25% community call option (Inputs E226) not reflected in HTM</t>
  </si>
  <si>
    <t xml:space="preserve">If exercised at cost within 2 years of the capacity decision, FEP's HTM economics fall by up to 25%; a buyer at RTB would price this in.</t>
  </si>
  <si>
    <t xml:space="preserve">Duplicate of #3 – handled there.</t>
  </si>
  <si>
    <t xml:space="preserve">Closed – duplicate of #3</t>
  </si>
  <si>
    <t xml:space="preserve">Exit tax / CGT treatment</t>
  </si>
  <si>
    <t xml:space="preserve">Current Calculation r239 / r267 apply a flat 9% to pre-tax profit at sale: no base cost, no participation-exemption test, no share-vs-asset switch. The source has the same shortcut at 19% and is no help.</t>
  </si>
  <si>
    <t xml:space="preserve">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</si>
  <si>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 xml:space="preserve">Resolved (model updated) – tax adviser to confirm NAV notification and ≥ 1-year holding</t>
  </si>
  <si>
    <t xml:space="preserve">Final tender nodes vs BORA's 400 kV connection</t>
  </si>
  <si>
    <t xml:space="preserve">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</si>
  <si>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 xml:space="preserve">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</si>
  <si>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 xml:space="preserve">Resolved (model updated)</t>
  </si>
  <si>
    <t xml:space="preserve">Portfolio 31-Aug-26, https://www.portfolio.hu/gazdasag/20260831/meg-csak-most-irtak-ki-a-szeltendert-de-maris-bearnyekolja-a-hazai-szelenergia-celokat-859412 ; Jogászvilág 3-Sep-26. To be verified against the MEKH kiírás (mekh.hu/kapacitas-palyazati-eljaras-2026).</t>
  </si>
  <si>
    <t xml:space="preserve">Generation</t>
  </si>
  <si>
    <t xml:space="preserve">Hungarian wind resource</t>
  </si>
  <si>
    <t xml:space="preserve">Source capacity factor 31.94%, P50 125,900 MWh and the monthly seasonality shape are Polish site-specific and must not be reused.</t>
  </si>
  <si>
    <t xml:space="preserve">CLOSED 29-Sep-2026 on user instruction: a Hungarian yield study is not needed for this model. Revenues use Aurora Q2-2026 Hungary wind capture prices; generation stays on IC-paper P50 2,460 h (NCF 28%, Inputs E179), with the P90 lender downside at Inputs E272.</t>
  </si>
  <si>
    <t xml:space="preserve">Closed – not needed (Aurora Hungary wind revenues)</t>
  </si>
  <si>
    <t xml:space="preserve">Devex</t>
  </si>
  <si>
    <t xml:space="preserve">Devex total and timing differ from the FEP line-item build</t>
  </si>
  <si>
    <t xml:space="preserve">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</si>
  <si>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 xml:space="preserve">RESOLVED: devex now built line by line from the BORA Devex FEP view on the Devex_FEP sheet (Inputs E67 = 1): k€ 2,532 FEP-borne incl. 10% contingency, plus k€ 179 land costs reimbursed by the buyer at RtB exit. Six-milestone build kept as the E67 = 0 alternative.</t>
  </si>
  <si>
    <t xml:space="preserve">FEP devex file itemises k€ 3,247 vs k€ 2,400 in the model (see #19)</t>
  </si>
  <si>
    <t xml:space="preserve">Now also relevant for HTM tax losses (devex deductible).</t>
  </si>
  <si>
    <t xml:space="preserve">Resolved with #19: line-item devex from Devex_FEP (Inputs E67 = 1) now feeds MOIC and HTM.</t>
  </si>
  <si>
    <t xml:space="preserve">HTM – revenue</t>
  </si>
  <si>
    <t xml:space="preserve">Wind capture price</t>
  </si>
  <si>
    <t xml:space="preserve">Inputs L: flat estimate 75 EUR/MWh baseload in 2031, +2% p.a., 85% capture rate (≈ 64 EUR/MWh achieved in year 1). Aurora Hungary curve not yet pasted (Curves rows 22-66).</t>
  </si>
  <si>
    <t xml:space="preserve">Aurora Q2-2026 Hungary Central in use (Inputs E177 = 1); wind capture ≈104% of baseload. Averages ~146 €/MWh nominal over life. Market practice: lenders run a Low case / P90 – see HTM block 13.</t>
  </si>
  <si>
    <t xml:space="preserve">User (Aurora)</t>
  </si>
  <si>
    <t xml:space="preserve">Resolved – Aurora in use; downside case recommended</t>
  </si>
  <si>
    <t xml:space="preserve">Aurora Hungary Power Market Forecast</t>
  </si>
  <si>
    <t xml:space="preserve">Timetable and deadlines from the final tender</t>
  </si>
  <si>
    <t xml:space="preserve">Bids 4 Sep – 30 Oct 2026; results by 13 Dec 2026; final building permit to be evidenced by 1 Jan 2030; earliest grid connection 30 Sep 2030; COD deadline 30 Sep 2032 (pro-rata loss of performance bond on partial COD). Participation fee HUF 3.0m per bid.</t>
  </si>
  <si>
    <t xml:space="preserve">Inputs E77/E78/E68 updated; Inputs E214–E216 hold the deadlines with COD checks E218/E219. Draft-basis reconciliation on Deposits S:T kept for audit.</t>
  </si>
  <si>
    <t xml:space="preserve">Világgazdaság 3-Sep-26; palyazatok.org; Portfolio 31-Aug-26.</t>
  </si>
  <si>
    <t xml:space="preserve">Deposits</t>
  </si>
  <si>
    <t xml:space="preserve">Grid connection fee is 4.6x higher in the FEP workbook</t>
  </si>
  <si>
    <t xml:space="preserve">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</si>
  <si>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 xml:space="preserve">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</si>
  <si>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 xml:space="preserve">Resolved (model updated) – underlying figure still an estimate</t>
  </si>
  <si>
    <t xml:space="preserve">Live FEP exit is 30-Jun-2029, six months later than modelled</t>
  </si>
  <si>
    <t xml:space="preserve">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</si>
  <si>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 xml:space="preserve">RESOLVED 22-Sep-2026 on user instruction: milestone months reset (Inputs E49:E54 = 0/6/6/6/7/7, 32 months to RTB) so RTB is 31-Mar-2029 and the sale 30-Jun-2029, matching the live FEP case. Longer accrual on both loan rates and a larger minimum-return top-up are now in the numbers.</t>
  </si>
  <si>
    <t xml:space="preserve">Ownership</t>
  </si>
  <si>
    <t xml:space="preserve">Party mapping in the FEP exit waterfall (FGX / Ventus+Solementore)</t>
  </si>
  <si>
    <t xml:space="preserve">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</si>
  <si>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 xml:space="preserve">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</si>
  <si>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 xml:space="preserve">Resolved</t>
  </si>
  <si>
    <t xml:space="preserve">BORA_Devex_20260921_FEP.xlsx Sheet1, Z44:AB58; confirmed unresolvable by the file owner 22-Sep-2026.</t>
  </si>
  <si>
    <t xml:space="preserve">70/30 profit split and DSA are switched off in this model</t>
  </si>
  <si>
    <t xml:space="preserve">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</si>
  <si>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 xml:space="preserve">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</si>
  <si>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 xml:space="preserve">Resolved – residual 750 k€ difference documented</t>
  </si>
  <si>
    <t xml:space="preserve">BORA_Devex_20260921_FEP.xlsx Sheet1 AA50/AA51/AA55/AA57/AA58, shared 22-Sep-2026.</t>
  </si>
  <si>
    <t xml:space="preserve">Derived COD (Jun-2031) is after the tender COD in Inputs E92 (Dec-2030)</t>
  </si>
  <si>
    <t xml:space="preserve">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</si>
  <si>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 xml:space="preserve">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</si>
  <si>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 xml:space="preserve">Inputs E92 vs E146; see also open item #22 (tender timetable).</t>
  </si>
  <si>
    <t xml:space="preserve">Funding</t>
  </si>
  <si>
    <t xml:space="preserve">Definition of 'recoverable' in the shareholder-loan split (MOIC block 7)</t>
  </si>
  <si>
    <t xml:space="preserve">MOIC block 7 funds the recoverable (12%) loan with the share of each deposit the BUYER reimburses at exit (Inputs J). The review expects 'recoverable' to mean recoverable from the regulator/TSO if the project FAILS.</t>
  </si>
  <si>
    <t xml:space="preserve">Unchanged pending answer. Fix = new per-line input 'refunded if the project fails (%)' driving MOIC rows 97-98; Inputs J keeps driving exit proceeds.</t>
  </si>
  <si>
    <t xml:space="preserve">User / deal team</t>
  </si>
  <si>
    <t xml:space="preserve">Closed – definition fixed; connection fee lines at 12% per FEP devex file (#23), other cash lines 20%, guarantees 6%. Confirm TSO bond (#34).</t>
  </si>
  <si>
    <t xml:space="preserve">HTM</t>
  </si>
  <si>
    <t xml:space="preserve">Deemed-exit charge (HTM row 21) inside development-phase cash flow</t>
  </si>
  <si>
    <t xml:space="preserve">Row 21 charges HTM the FEP profit forgone by not selling at RTB. It is an opportunity cost, not a cash cost; with historic costs it makes the HTM case equivalent to buying at the RTB price. Buyer block 14 now shows that view directly.</t>
  </si>
  <si>
    <t xml:space="preserve">Unchanged pending answer (switch Inputs E219 = 1).</t>
  </si>
  <si>
    <t xml:space="preserve">Closed – keep as is</t>
  </si>
  <si>
    <t xml:space="preserve">NPV / Equity definition (Gábor)</t>
  </si>
  <si>
    <t xml:space="preserve">Implemented as NPV ÷ PV of equity invested; nominal-denominator memo also shown. Sell case discounted at Inputs E13 (8.9%), HTM at Inputs E225 (10%).</t>
  </si>
  <si>
    <t xml:space="preserve">Both definitions shown; confirm which and whether one rate should apply to both.</t>
  </si>
  <si>
    <t xml:space="preserve">User / Gábor</t>
  </si>
  <si>
    <t xml:space="preserve">Closed – 8%, variable (Inputs E253)</t>
  </si>
  <si>
    <t xml:space="preserve">Target equity IRR and lender DSCR for gearing test</t>
  </si>
  <si>
    <t xml:space="preserve">Inputs E252 (12%) and E251 (1.40x) are placeholders.</t>
  </si>
  <si>
    <t xml:space="preserve">Yellow inputs; HTM block 15.</t>
  </si>
  <si>
    <t xml:space="preserve">Closed – market standard 1.50x / 11%</t>
  </si>
  <si>
    <t xml:space="preserve">Debt service reserve account (DSRA) not modelled</t>
  </si>
  <si>
    <t xml:space="preserve">Market standard for project finance is a 6-month DSRA funded at COD (from equity or debt). Omitting it overstates equity IRR slightly.</t>
  </si>
  <si>
    <t xml:space="preserve">Not modelled.</t>
  </si>
  <si>
    <t xml:space="preserve">Closed – 6-month DSRA added (Inputs E268)</t>
  </si>
  <si>
    <t xml:space="preserve">Cash sweep / DSCR-based sizing</t>
  </si>
  <si>
    <t xml:space="preserve">Lenders to a merchant project would size debt on DSCR (≈1.50x P50) with an early cash sweep; model uses fixed 60% gearing and an annuity.</t>
  </si>
  <si>
    <t xml:space="preserve">Gearing block 15 gives the DSCR-constrained gearing (~57%). Base gearing unchanged at 60%.</t>
  </si>
  <si>
    <t xml:space="preserve">Closed – 50% sweep yrs 1–5 added; gearing 55%</t>
  </si>
  <si>
    <t xml:space="preserve">Connection request security (TSO bond) – recoverable if project fails?</t>
  </si>
  <si>
    <t xml:space="preserve">Cash TSO bond (4.5 mHUF/MW) is REFUNDED if the project fails, as are the bank-guaranteed supplementary grid bonds (user correction 29-Sep-26).</t>
  </si>
  <si>
    <t xml:space="preserve">Inputs G259 and G261:G264 = 1: TSO bond on the 12% recoverable loan; supplementary bonds are guarantees (no cash funding) – only guarantee fees and interest at risk.</t>
  </si>
  <si>
    <t xml:space="preserve">Closed – refunded on failure, 12% loan</t>
  </si>
  <si>
    <t xml:space="preserve">FX / indexation</t>
  </si>
  <si>
    <t xml:space="preserve">Double-indexation method choice</t>
  </si>
  <si>
    <t xml:space="preserve">A HUF cost indexed at HU CPI and converted at a forward curve embedding the inflation differential is inflated twice. Every HUF-denominated HU-CPI-indexed line is exposed.</t>
  </si>
  <si>
    <t xml:space="preserve">Resolved in current model: HTM indexes EUR costs at a single EUR rate (Inputs E200); HUF items converted at constant FX (E11).</t>
  </si>
  <si>
    <t xml:space="preserve">Convention</t>
  </si>
  <si>
    <t xml:space="preserve">Colour convention collision</t>
  </si>
  <si>
    <t xml:space="preserve">Stage 1 already uses blue font on cream #FFF2CC for inputs and green font #00B050 for cross-sheet links. The spec's amber-awaiting and green-confirmed collide with both.</t>
  </si>
  <si>
    <t xml:space="preserve">Stage 1 left untouched. New sheets use a stronger amber #FFC000 for awaiting-input to distinguish it from the cream input fill; green used as fill only, never font.</t>
  </si>
  <si>
    <t xml:space="preserve">Noted - no action</t>
  </si>
  <si>
    <t xml:space="preserve">Design</t>
  </si>
  <si>
    <t xml:space="preserve">Calendar structure</t>
  </si>
  <si>
    <t xml:space="preserve">Monthly-to-COD plus quarterly operations, versus one quarterly grid throughout. Three incompatible calendars in play (MOIC monthly x31, source SPV quarterly x143, source HoldCo monthly to 2065).</t>
  </si>
  <si>
    <t xml:space="preserve">RESOLVED 03-Sep-2026: single monthly periodicity throughout, full operating life, one shared calendar keyed off one Timeline sheet. No monthly/quarterly split. ~430-480 monthly columns.</t>
  </si>
  <si>
    <t xml:space="preserve">Closed</t>
  </si>
  <si>
    <t xml:space="preserve">280 MW: one asset or several</t>
  </si>
  <si>
    <t xml:space="preserve">Single asset with one COD versus multiple projects with staggered RTB / COD. Determines whether Stage 2 / 3 run per-project or on a blended asset.</t>
  </si>
  <si>
    <t xml:space="preserve">RESOLVED 03-Sep-2026: 200 MW, single asset, one construction period, one COD, one operating block. Turbine count = capacity / unit MW.</t>
  </si>
  <si>
    <t xml:space="preserve">Primary output orientation</t>
  </si>
  <si>
    <t xml:space="preserve">Keep JV MOIC / IRR as headline with the SPV feeding it, versus reorienting to an SPV project-finance model with MOIC as a read-off.</t>
  </si>
  <si>
    <t xml:space="preserve">RESOLVED 03-Sep-2026: FEP MOIC/IRR stays the headline, SPV feeds it from below. FEP owns 100%, so no competing reporting layer.</t>
  </si>
  <si>
    <t xml:space="preserve">Scope</t>
  </si>
  <si>
    <t xml:space="preserve">Hungarian input scaffolding</t>
  </si>
  <si>
    <t xml:space="preserve">Whether to scaffold the ~40-60 blank Hungarian revenue and OPEX input lines now or wait for the yield study and HUPX curve.</t>
  </si>
  <si>
    <t xml:space="preserve">RESOLVED 03-Sep-2026: scaffold the complete blank amber Hungarian frame now, every value blank, no placeholder defaults.</t>
  </si>
  <si>
    <t xml:space="preserve">Tax / VAT</t>
  </si>
  <si>
    <t xml:space="preserve">VAT scope of refundable deposits and guarantee fees</t>
  </si>
  <si>
    <t xml:space="preserve">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</si>
  <si>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 xml:space="preserve">Duplicate of #11.</t>
  </si>
  <si>
    <t xml:space="preserve">Closed – duplicate of #11</t>
  </si>
  <si>
    <t xml:space="preserve">Source treatment not verified. Reference only.</t>
  </si>
  <si>
    <t xml:space="preserve">CAPEX</t>
  </si>
  <si>
    <t xml:space="preserve">"CMA" CAPEX line</t>
  </si>
  <si>
    <t xml:space="preserve">Undocumented acronym in the source (Asset Scenarios D148, PLN 4,000k, own drawdown curve, sits between BOP and the spare line). No definition anywhere in the source workbook.</t>
  </si>
  <si>
    <t xml:space="preserve">Excluded pending definition. Suspected connection-adjacent but not asserted.</t>
  </si>
  <si>
    <t xml:space="preserve">Superseded – v3 build removed 25-Sep-26</t>
  </si>
  <si>
    <t xml:space="preserve">Capacity</t>
  </si>
  <si>
    <t xml:space="preserve">Failed capacity after RTB</t>
  </si>
  <si>
    <t xml:space="preserve">The MOIC model splits successful / failed capacity pre-RTB. There is no post-RTB analogue; the source is a single 45 MW project with capacity fixed.</t>
  </si>
  <si>
    <t xml:space="preserve">Explicit assumption: Stages 2-3 run on successful capacity only.</t>
  </si>
  <si>
    <t xml:space="preserve">Lender treatment of refundable deposits</t>
  </si>
  <si>
    <t xml:space="preserve">Whether lenders fund refundable deposits is a negotiation point. In the source the deposit sits at HoldCo, outside project funding, so it never enters the funding requirement or IDC.</t>
  </si>
  <si>
    <t xml:space="preserve">Deposits to be brought inside the funding requirement and IDC at project level; lender funding assumption to be stated as a switch.</t>
  </si>
  <si>
    <t xml:space="preserve">Is 200 MW pipeline or post-conversion?</t>
  </si>
  <si>
    <t xml:space="preserve">Not resolved when capacity was cut from 280 MW. Whether 200 MW is the target pipeline (conversion 100%, so successful capacity = 200 MW) or is already the post-conversion successful capacity from a larger pipeline.</t>
  </si>
  <si>
    <t xml:space="preserve">Entered as 200 MWp gross with conversion at 100%, so successful capacity carried into Stages 2-3 = 200 MW either way. Stat_inp G29 = 200, G31 = 100%.</t>
  </si>
  <si>
    <t xml:space="preserve">Turbine unit size (MW / WTG)</t>
  </si>
  <si>
    <t xml:space="preserve">Drives turbine count and therefore every per-WTG cost in Stages 2-3. Source used 3.0 MW, which is Polish and superseded; modern Hungarian machines are larger.</t>
  </si>
  <si>
    <t xml:space="preserve">Assumptions E19 left blank amber. Turbine count on E20 stays blank until it is supplied - no default applied.</t>
  </si>
  <si>
    <t xml:space="preserve">Model mechanics</t>
  </si>
  <si>
    <t xml:space="preserve">What-If data tables recalculate on every edit</t>
  </si>
  <si>
    <t xml:space="preserve">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</si>
  <si>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 xml:space="preserve">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</si>
  <si>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 xml:space="preserve">Me / peer</t>
  </si>
  <si>
    <t xml:space="preserve">Construction duration (months)</t>
  </si>
  <si>
    <t xml:space="preserve">Drives the RTB -&gt; COD chain and therefore the position of every construction, financing and operating flag on the Timeline grid.</t>
  </si>
  <si>
    <t xml:space="preserve">Left blank amber on Assumptions. Flags return nil until supplied. Not defaulted.</t>
  </si>
  <si>
    <t xml:space="preserve">Construction 24 months IN TOTAL, of which the final 9 months are the pre-commissioning period - overlapping, NOT sequential. Source: construction 01-Jul-25 to 30-Jun-27, pre-commissioning 01-Oct-26 to 30-Jun-27, operations start 01-Jul-27. Reference only.</t>
  </si>
  <si>
    <t xml:space="preserve">Pre-commissioning lag (months before COD)</t>
  </si>
  <si>
    <t xml:space="preserve">Sets the pre-commissioning window between mechanical completion and COD.</t>
  </si>
  <si>
    <t xml:space="preserve">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</si>
  <si>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 xml:space="preserve">9 months, sitting INSIDE the 24-month construction window and ending on the same day construction ends. NOT additional to the 24 months - total chain is 24 months. Source: pre-commissioning 01-Oct-26 to 30-Jun-27. Reference only.</t>
  </si>
  <si>
    <t xml:space="preserve">Operating life (years)</t>
  </si>
  <si>
    <t xml:space="preserve">Sets the end of the operating block and therefore the total column count of the monthly grid.</t>
  </si>
  <si>
    <t xml:space="preserve">Left blank amber on Assumptions. Grid is sized off a separate documented structural horizon input so the column count does not depend on this cell.</t>
  </si>
  <si>
    <t xml:space="preserve">35 years (Polish source). Reference only.</t>
  </si>
  <si>
    <t xml:space="preserve">Staggered turbine energisation</t>
  </si>
  <si>
    <t xml:space="preserve">Whether turbines energise together or stagger over several weeks, which affects when the first test energy is produced and the shape of the generation ramp.</t>
  </si>
  <si>
    <t xml:space="preserve">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</si>
  <si>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 xml:space="preserve">About 5 weeks of staggered energisation, 16-Oct-26 to 18-Nov-26, beginning roughly 8.5 months BEFORE COD (01-Jul-27) and near the START of the pre-commissioning window - not immediately before COD. Reference only.</t>
  </si>
  <si>
    <t xml:space="preserve">Revenue / Tax</t>
  </si>
  <si>
    <t xml:space="preserve">Test-energy revenue in the energised-but-pre-COD window</t>
  </si>
  <si>
    <t xml:space="preserve">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</si>
  <si>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 xml:space="preserve">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</si>
  <si>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 xml:space="preserve">Deal team + auditors</t>
  </si>
  <si>
    <t xml:space="preserve">Source had roughly 8 months of energised-but-pre-COD operation. Treatment in the source not verified. Reference only.</t>
  </si>
  <si>
    <t xml:space="preserve">Construction</t>
  </si>
  <si>
    <t xml:space="preserve">Capex drawdown S-curve per line</t>
  </si>
  <si>
    <t xml:space="preserve">The monthly capex spend is currently straight-line across the construction window, which will misstate interest during construction and the peak debt draw once Financing is built. A real drawdown shape is needed per capex line before Financing.</t>
  </si>
  <si>
    <t xml:space="preserve">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</si>
  <si>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 xml:space="preserve">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</si>
  <si>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 xml:space="preserve">Merchant price risk in HTM (review 01-Oct-26 items B/C)</t>
  </si>
  <si>
    <t xml:space="preserve">Aurora Central capture ~104% of baseload every year; 2% inflation to 2061 gives ~145 €/MWh lifetime average with no merchant haircut on a 30-year tail. HTM implies max RTB premium ~1,718 k€/MW vs 150 k€/MW sale assumption.</t>
  </si>
  <si>
    <t xml:space="preserve">No haircut applied (user decision 02-Oct-26). Merchant price factor Inputs E184 = 1.00; downside covered by the Aurora Low / P90 lender case (HTM block 16) and Aurora scenario selector (Inputs E199).</t>
  </si>
  <si>
    <t xml:space="preserve">Closed – user decision (no haircut)</t>
  </si>
  <si>
    <t xml:space="preserve">Four hurdle rates / BESS capex without revenue (review items D/E)</t>
  </si>
  <si>
    <t xml:space="preserve">8.9% cost of capital (E13), 7% unlevered (E224), 10% equity (E225), 8% NPV/Equity (E253) with no build-up; BESS capex €20m (E168) with no BESS revenue or opex.</t>
  </si>
  <si>
    <t xml:space="preserve">Hurdle rates: see #10. BESS: capex kept deliberately with no BESS revenue/opex (user decision 02-Oct-26) – the higher PPA price / Aurora Central assumption is treated as compensating for the unmodelled BESS revenue.</t>
  </si>
  <si>
    <t xml:space="preserve">Closed – BESS capex kept deliberately; rates see #10</t>
  </si>
  <si>
    <t xml:space="preserve">Change log</t>
  </si>
  <si>
    <t xml:space="preserve">Phase</t>
  </si>
  <si>
    <t xml:space="preserve">Sheet</t>
  </si>
  <si>
    <t xml:space="preserve">Cell / Range</t>
  </si>
  <si>
    <t xml:space="preserve">What changed</t>
  </si>
  <si>
    <t xml:space="preserve">Old</t>
  </si>
  <si>
    <t xml:space="preserve">New</t>
  </si>
  <si>
    <t xml:space="preserve">0 - Scaffolding</t>
  </si>
  <si>
    <t xml:space="preserve">Checks</t>
  </si>
  <si>
    <t xml:space="preserve">New sheet</t>
  </si>
  <si>
    <t xml:space="preserve">Created Checks sheet. Stage 1 regression block (C7:I13) with the four baseline targets as labelled reference inputs, live links to Calculation, delta, tolerance and pass/fail. Plus the 14 integrity-check rows scaffolded (C19:I34), all marked Not built.</t>
  </si>
  <si>
    <t xml:space="preserve">n/a - new</t>
  </si>
  <si>
    <t xml:space="preserve">MOIC 2.529x / IRR 81.2% / Futureal EUR 24,364.8k / Developer EUR 8,598.4k</t>
  </si>
  <si>
    <t xml:space="preserve">Calculation F234 / F233 / F230 / F269; agreed Q6</t>
  </si>
  <si>
    <t xml:space="preserve">Open_Items</t>
  </si>
  <si>
    <t xml:space="preserve">Created Open_Items sheet with 13 items logged: the four escalated design decisions, CMA, post-RTB failed capacity, exit tax, discount rate, double-indexation, lender treatment of deposits, VAT scope, colour convention, Hungarian wind resource.</t>
  </si>
  <si>
    <t xml:space="preserve">13 items, 11 Open / 1 Resolved</t>
  </si>
  <si>
    <t xml:space="preserve">bora_expansion_spec.md; moic_extension_answers.md</t>
  </si>
  <si>
    <t xml:space="preserve">Change_Log</t>
  </si>
  <si>
    <t xml:space="preserve">Created this change log.</t>
  </si>
  <si>
    <t xml:space="preserve">Working rule 13</t>
  </si>
  <si>
    <t xml:space="preserve">Stat_inp / Dyn_Inp / Calculation</t>
  </si>
  <si>
    <t xml:space="preserve">None</t>
  </si>
  <si>
    <t xml:space="preserve">Stage 1 deliberately left untouched, including its colour convention. New sheets use blue-input / amber-awaiting (#FFC000) / green-confirmed; Stage 1 keeps blue-on-cream inputs and green-font cross-sheet links. Inconsistency accepted to keep the Stage 1 regression diff readable.</t>
  </si>
  <si>
    <t xml:space="preserve">unchanged</t>
  </si>
  <si>
    <t xml:space="preserve">Agreed point 9</t>
  </si>
  <si>
    <t xml:space="preserve">1 - Conversion</t>
  </si>
  <si>
    <t xml:space="preserve">C4:J13</t>
  </si>
  <si>
    <t xml:space="preserve">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</si>
  <si>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 xml:space="preserve">Single target col, live pass/fail vs 2.529x</t>
  </si>
  <si>
    <t xml:space="preserve">Two baselines, guard vs Baseline 2</t>
  </si>
  <si>
    <t xml:space="preserve">moic_design_decisions.md s.5</t>
  </si>
  <si>
    <t xml:space="preserve">Assumptions</t>
  </si>
  <si>
    <t xml:space="preserve">New sheet, C5:F20</t>
  </si>
  <si>
    <t xml:space="preserve">Created Assumptions sheet. Block 1 deal structure and ownership (JV master switch, FEP/Developer shares, success-fee flag). Block 2 capacity and turbine count, with turbine unit size left blank amber and turbine count blank until supplied.</t>
  </si>
  <si>
    <t xml:space="preserve">JV switch = 0 (FEP 100%)</t>
  </si>
  <si>
    <t xml:space="preserve">moic_design_decisions.md s.2, s.3</t>
  </si>
  <si>
    <t xml:space="preserve">Stat_inp</t>
  </si>
  <si>
    <t xml:space="preserve">G29</t>
  </si>
  <si>
    <t xml:space="preserve">Capacity reduced from 280 MWp to 200 MWp. Conversion rate G31 left at 100%, so successful capacity carried into Stages 2-3 = 200 MW. Entered on the case-1 column so the existing case selector and the data tables keep working.</t>
  </si>
  <si>
    <t xml:space="preserve">moic_design_decisions.md s.2; user confirmed</t>
  </si>
  <si>
    <t xml:space="preserve">Calculation</t>
  </si>
  <si>
    <t xml:space="preserve">F42</t>
  </si>
  <si>
    <t xml:space="preserve">Futureal share of net proceeds re-routed through the JV master switch. Now returns 100% under FEP sole ownership; reverts to Stat_inp E36 (70%) if the switch is turned back on. The G42 manual override is preserved. F43 developer share falls out at nil.</t>
  </si>
  <si>
    <t xml:space="preserve">=IF(ISBLANK(G42), Stat_inp!E36, G42) -&gt; 70%</t>
  </si>
  <si>
    <t xml:space="preserve">=IF(ISBLANK(G42), Assumptions!$E$9, G42) -&gt; 100%</t>
  </si>
  <si>
    <t xml:space="preserve">moic_design_decisions.md s.3</t>
  </si>
  <si>
    <t xml:space="preserve">F25</t>
  </si>
  <si>
    <t xml:space="preserve">Developer success fee p.a. gated by the same master switch. Returns nil under FEP 100%, which zeroes the accrual (r79), the payment at RTB (r83) and the waterfall deduction (F194). Mechanics retained not deleted, so the JV case is reinstatable from one cell.</t>
  </si>
  <si>
    <t xml:space="preserve">=Stat_inp!E46 -&gt; 2.5 EURk/MW</t>
  </si>
  <si>
    <t xml:space="preserve">=IF(Assumptions!$E$11=1, Stat_inp!E46, 0) -&gt; nil</t>
  </si>
  <si>
    <t xml:space="preserve">F8:F11</t>
  </si>
  <si>
    <t xml:space="preserve">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</si>
  <si>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 xml:space="preserve">MOIC 2.529x / IRR 81.2% / EURk 24,364.8 / Dev EURk 8,598.4</t>
  </si>
  <si>
    <t xml:space="preserve">MOIC 3.142x / IRR 103.7% / EURk 24,297.0 / Dev nil</t>
  </si>
  <si>
    <t xml:space="preserve">Calculation F234/F233/F230/F269, settled read</t>
  </si>
  <si>
    <t xml:space="preserve">Rows 6-9, 19-21</t>
  </si>
  <si>
    <t xml:space="preserve">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</si>
  <si>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 xml:space="preserve">13 items, 11 Open</t>
  </si>
  <si>
    <t xml:space="preserve">16 items, 10 Open / 5 Resolved</t>
  </si>
  <si>
    <t xml:space="preserve">moic_design_decisions.md</t>
  </si>
  <si>
    <t xml:space="preserve">E7, F7, K7:K13</t>
  </si>
  <si>
    <t xml:space="preserve">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</si>
  <si>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 xml:space="preserve">Baseline basis implicit, no re-base quantification</t>
  </si>
  <si>
    <t xml:space="preserve">Basis and freeze date on the face; re-base quantified</t>
  </si>
  <si>
    <t xml:space="preserve">moic_regression_correction.md s.2</t>
  </si>
  <si>
    <t xml:space="preserve">Workbook</t>
  </si>
  <si>
    <t xml:space="preserve">Calculation mode</t>
  </si>
  <si>
    <t xml:space="preserve">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</si>
  <si>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 xml:space="preserve">Automatic</t>
  </si>
  <si>
    <t xml:space="preserve">AutomaticExceptTables</t>
  </si>
  <si>
    <t xml:space="preserve">moic_conversion_response.md s.3</t>
  </si>
  <si>
    <t xml:space="preserve">Inserted rows 15:19</t>
  </si>
  <si>
    <t xml:space="preserve">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</si>
  <si>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 xml:space="preserve">Cell comment only, invisible unless hovered</t>
  </si>
  <si>
    <t xml:space="preserve">Visible bordered warning block, Checks C15:K19</t>
  </si>
  <si>
    <t xml:space="preserve">moic_conversion_response.md s.2</t>
  </si>
  <si>
    <t xml:space="preserve">I5, E21:F21, H21, rows 22-25</t>
  </si>
  <si>
    <t xml:space="preserve">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</si>
  <si>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 xml:space="preserve">16 items, no source reference column</t>
  </si>
  <si>
    <t xml:space="preserve">20 items, 10 Open / 5 Resolved / 1 Mitigated / 4 new Open</t>
  </si>
  <si>
    <t xml:space="preserve">moic_conversion_response.md s.3, s.6</t>
  </si>
  <si>
    <t xml:space="preserve">2 - Timeline</t>
  </si>
  <si>
    <t xml:space="preserve">Rows 22-50</t>
  </si>
  <si>
    <t xml:space="preserve">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</si>
  <si>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 xml:space="preserve">No timeline chain; no documented grid horizon</t>
  </si>
  <si>
    <t xml:space="preserve">Chain derived, 6 amber inputs blank, horizon 480 months</t>
  </si>
  <si>
    <t xml:space="preserve">moic_conversion_response.md s.6</t>
  </si>
  <si>
    <t xml:space="preserve">Timeline (new sheet)</t>
  </si>
  <si>
    <t xml:space="preserve">A1:RT56</t>
  </si>
  <si>
    <t xml:space="preserve">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</si>
  <si>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 xml:space="preserve">No timeline sheet; no shared calendar</t>
  </si>
  <si>
    <t xml:space="preserve">481-column monthly grid, 10 stage flags, payment calendar, 9 checks</t>
  </si>
  <si>
    <t xml:space="preserve">moic_design_decisions.md s.1, s.7; moic_conversion_response.md s.6</t>
  </si>
  <si>
    <t xml:space="preserve">E31:E36 (TEMPORARY - now cleared)</t>
  </si>
  <si>
    <t xml:space="preserve">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</si>
  <si>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 xml:space="preserve">Six amber cells blank</t>
  </si>
  <si>
    <t xml:space="preserve">Six amber cells blank - confirmed by re-read after clearing</t>
  </si>
  <si>
    <t xml:space="preserve">moic_conversion_response.md s.6 constraint 1</t>
  </si>
  <si>
    <t xml:space="preserve">Timeline / Assumptions / Open_Items</t>
  </si>
  <si>
    <t xml:space="preserve">Timeline F17, row 33, rows 56-58; Assumptions E37, E42</t>
  </si>
  <si>
    <t xml:space="preserve">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</si>
  <si>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 xml:space="preserve">10 flags, 9 checks; no test-energy window</t>
  </si>
  <si>
    <t xml:space="preserve">11 flags, 12 checks; test-energy window addressable</t>
  </si>
  <si>
    <t xml:space="preserve">Peer message 03-Sep-2026, source dates verified live</t>
  </si>
  <si>
    <t xml:space="preserve">E31:E37 (TEMPORARY - now cleared)</t>
  </si>
  <si>
    <t xml:space="preserve">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</si>
  <si>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 xml:space="preserve">Seven amber cells blank</t>
  </si>
  <si>
    <t xml:space="preserve">Seven amber cells blank - confirmed by re-read after clearing</t>
  </si>
  <si>
    <t xml:space="preserve">Assumptions / Timeline</t>
  </si>
  <si>
    <t xml:space="preserve">Assumptions E49, C47, F50, row 52; Timeline C4, H:UB, F47:F58</t>
  </si>
  <si>
    <t xml:space="preserve">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</si>
  <si>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 xml:space="preserve">480 months, H:RT, 481 columns, ends Jul-2066</t>
  </si>
  <si>
    <t xml:space="preserve">540 months, H:UB, 541 columns, ends Jul-2071</t>
  </si>
  <si>
    <t xml:space="preserve">Peer message 03-Sep-2026 item 2</t>
  </si>
  <si>
    <t xml:space="preserve">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</si>
  <si>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 xml:space="preserve">3 - Construction</t>
  </si>
  <si>
    <t xml:space="preserve">Rows 54-104</t>
  </si>
  <si>
    <t xml:space="preserve">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</si>
  <si>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 xml:space="preserve">No Hungarian construction inputs</t>
  </si>
  <si>
    <t xml:space="preserve">46 blank amber input lines with unit, currency and index tags</t>
  </si>
  <si>
    <t xml:space="preserve">Original scope carry-over; peer message 03-Sep-2026</t>
  </si>
  <si>
    <t xml:space="preserve">Construction (new sheet)</t>
  </si>
  <si>
    <t xml:space="preserve">A1:UB114</t>
  </si>
  <si>
    <t xml:space="preserve">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</si>
  <si>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 xml:space="preserve">No construction engine</t>
  </si>
  <si>
    <t xml:space="preserve">Construction sheet, 114 rows x 541 columns, 11 checks</t>
  </si>
  <si>
    <t xml:space="preserve">Original scope carry-over</t>
  </si>
  <si>
    <t xml:space="preserve">Assumptions / Construction</t>
  </si>
  <si>
    <t xml:space="preserve">Test values (now cleared); Construction H66, C109, C112, C113</t>
  </si>
  <si>
    <t xml:space="preserve">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</si>
  <si>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 xml:space="preserve">Forfeit row silently nil; check double-counted subtotals</t>
  </si>
  <si>
    <t xml:space="preserve">Both fixed; 11 checks; all inputs blank and confirmed</t>
  </si>
  <si>
    <t xml:space="preserve">Timeline / Assumptions</t>
  </si>
  <si>
    <t xml:space="preserve">Timeline C61:G63; Assumptions E37 note</t>
  </si>
  <si>
    <t xml:space="preserve">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</si>
  <si>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 xml:space="preserve">No constraint linking energisation to commissioning</t>
  </si>
  <si>
    <t xml:space="preserve">Soft warning, proved both ways, does not affect pass/fail</t>
  </si>
  <si>
    <t xml:space="preserve">Peer message 03-Sep-2026</t>
  </si>
  <si>
    <t xml:space="preserve">Construction / Open_Items</t>
  </si>
  <si>
    <t xml:space="preserve">Construction C84, C90, rows 101-109, row 124; Open_Items 22-23</t>
  </si>
  <si>
    <t xml:space="preserve">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</si>
  <si>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 xml:space="preserve">No funding requirement view; VAT scope silently assumed</t>
  </si>
  <si>
    <t xml:space="preserve">Funding requirement with recoverables split out; VAT scope flagged; 12 checks</t>
  </si>
  <si>
    <t xml:space="preserve">Peer message 03-Sep-2026; original scope carry-over</t>
  </si>
  <si>
    <t xml:space="preserve">Audit</t>
  </si>
  <si>
    <t xml:space="preserve">Timeline / Construction</t>
  </si>
  <si>
    <t xml:space="preserve">Construction G117; Timeline rows 59-63, G64</t>
  </si>
  <si>
    <t xml:space="preserve">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</si>
  <si>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 xml:space="preserve">12 Timeline / 12 Construction checks, one silently wrong</t>
  </si>
  <si>
    <t xml:space="preserve">17 Timeline / 13 Construction checks, N() defect removed</t>
  </si>
  <si>
    <t xml:space="preserve">moic_construction_response.md s.4</t>
  </si>
  <si>
    <t xml:space="preserve">Rows 111-121, 123, 136; renumbered blocks</t>
  </si>
  <si>
    <t xml:space="preserve">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</si>
  <si>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 xml:space="preserve">No summary block; duplicate block number 9</t>
  </si>
  <si>
    <t xml:space="preserve">Summary block with peak funding; blocks renumbered 9/10/11</t>
  </si>
  <si>
    <t xml:space="preserve">moic_construction_response.md s.3</t>
  </si>
  <si>
    <t xml:space="preserve">Test values (now cleared)</t>
  </si>
  <si>
    <t xml:space="preserve">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</si>
  <si>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 xml:space="preserve">All inputs blank - confirmed by re-read</t>
  </si>
  <si>
    <t xml:space="preserve">Full formula scan - no changes required</t>
  </si>
  <si>
    <t xml:space="preserve">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</si>
  <si>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 xml:space="preserve">Three prior instances of unwired or short-range checks</t>
  </si>
  <si>
    <t xml:space="preserve">30 checks audited, 0 unwired, 0 short ranges, 0 stale refs</t>
  </si>
  <si>
    <t xml:space="preserve">moic_construction_response.md s.4 follow-up</t>
  </si>
  <si>
    <t xml:space="preserve">Item 24, columns F and I</t>
  </si>
  <si>
    <t xml:space="preserve">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</si>
  <si>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 xml:space="preserve">Superseded WTG figures, shifted one quarter early</t>
  </si>
  <si>
    <t xml:space="preserve">Corrected figures with the per-line peaking consequence recorded</t>
  </si>
  <si>
    <t xml:space="preserve">Peer correction 03-Sep-2026, verified against source row 6 headers</t>
  </si>
  <si>
    <t xml:space="preserve">Register</t>
  </si>
  <si>
    <t xml:space="preserve">Input_Register (new sheet)</t>
  </si>
  <si>
    <t xml:space="preserve">A1:J84</t>
  </si>
  <si>
    <t xml:space="preserve">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</si>
  <si>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 xml:space="preserve">No register; blank inputs findable only per-check</t>
  </si>
  <si>
    <t xml:space="preserve">67 inputs tracked with live status and an outstanding headline</t>
  </si>
  <si>
    <t xml:space="preserve">moic_construction_response.md s.2; original scope one-pager</t>
  </si>
  <si>
    <t xml:space="preserve">Input_Register</t>
  </si>
  <si>
    <t xml:space="preserve">Rows 78-84</t>
  </si>
  <si>
    <t xml:space="preserve">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</si>
  <si>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 xml:space="preserve">Register could drift from Assumptions undetected</t>
  </si>
  <si>
    <t xml:space="preserve">Guard reconciles counts on both dimensions; FAIL path untested</t>
  </si>
  <si>
    <t xml:space="preserve">Own initiative - list-rot risk raised by reviewer</t>
  </si>
  <si>
    <t xml:space="preserve">All sheets - standing policy</t>
  </si>
  <si>
    <t xml:space="preserve">Test-value convention</t>
  </si>
  <si>
    <t xml:space="preserve">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</si>
  <si>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 xml:space="preserve">No stated test convention; equal/round values used</t>
  </si>
  <si>
    <t xml:space="preserve">Distinct, non-round, non-multiple test values required</t>
  </si>
  <si>
    <t xml:space="preserve">moic_construction_response.md - adopt as explicit policy</t>
  </si>
  <si>
    <t xml:space="preserve">Structural</t>
  </si>
  <si>
    <t xml:space="preserve">Timeline / Construction / Checks / Operations</t>
  </si>
  <si>
    <t xml:space="preserve">Spare row at the bottom of every check block</t>
  </si>
  <si>
    <t xml:space="preserve">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</si>
  <si>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 xml:space="preserve">Convention depended on memory</t>
  </si>
  <si>
    <t xml:space="preserve">Spare row inside every check range</t>
  </si>
  <si>
    <t xml:space="preserve">Assumptions block 6 (rows 106-121); Construction rows 39-56</t>
  </si>
  <si>
    <t xml:space="preserve">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</si>
  <si>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 xml:space="preserve">Single blended straight-line profile</t>
  </si>
  <si>
    <t xml:space="preserve">12 per-line profile rows with sums-to-100% checks</t>
  </si>
  <si>
    <t xml:space="preserve">moic_construction_response.md; peer correction on peaking</t>
  </si>
  <si>
    <t xml:space="preserve">4 - Operations</t>
  </si>
  <si>
    <t xml:space="preserve">Blocks 7 and 8 (rows 123-172)</t>
  </si>
  <si>
    <t xml:space="preserve">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</si>
  <si>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 xml:space="preserve">No operations inputs; fees and taxes unplaced</t>
  </si>
  <si>
    <t xml:space="preserve">29 blank amber inputs, each with currency and index; fees placed</t>
  </si>
  <si>
    <t xml:space="preserve">Peer carry-forward for Operations</t>
  </si>
  <si>
    <t xml:space="preserve">Assumptions block 8</t>
  </si>
  <si>
    <t xml:space="preserve">Rows 160-167</t>
  </si>
  <si>
    <t xml:space="preserve">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</si>
  <si>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 xml:space="preserve">Trap unflagged; no FX method switch existed</t>
  </si>
  <si>
    <t xml:space="preserve">Live exposure flag with a stated fix, proved in both directions</t>
  </si>
  <si>
    <t xml:space="preserve">Operations (new sheet)</t>
  </si>
  <si>
    <t xml:space="preserve">A1:UB86</t>
  </si>
  <si>
    <t xml:space="preserve">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</si>
  <si>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 xml:space="preserve">No operations engine</t>
  </si>
  <si>
    <t xml:space="preserve">Operations sheet, 86 rows x 541 columns, 9 checks</t>
  </si>
  <si>
    <t xml:space="preserve">Peer instruction - proceed to Operations</t>
  </si>
  <si>
    <t xml:space="preserve">Defect</t>
  </si>
  <si>
    <t xml:space="preserve">Operations</t>
  </si>
  <si>
    <t xml:space="preserve">Rows 40-48, 52-65 (rewritten)</t>
  </si>
  <si>
    <t xml:space="preserve">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</si>
  <si>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 xml:space="preserve">Revenue and OPEX pointed at wrong driver rows</t>
  </si>
  <si>
    <t xml:space="preserve">All drivers re-verified; year-1 reconciles to hand calculation</t>
  </si>
  <si>
    <t xml:space="preserve">Own test cycle</t>
  </si>
  <si>
    <t xml:space="preserve">Rows 77-117, guard 122-128</t>
  </si>
  <si>
    <t xml:space="preserve">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</si>
  <si>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 xml:space="preserve">79 tracked items</t>
  </si>
  <si>
    <t xml:space="preserve">108 tracked items; guard reconciles</t>
  </si>
  <si>
    <t xml:space="preserve">Own initiative after adding Operations inputs</t>
  </si>
  <si>
    <t xml:space="preserve">Input_Register / Assumptions</t>
  </si>
  <si>
    <t xml:space="preserve">Temporary row insert (now deleted)</t>
  </si>
  <si>
    <t xml:space="preserve">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</si>
  <si>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 xml:space="preserve">Guard FAIL path untested</t>
  </si>
  <si>
    <t xml:space="preserve">FAIL path proved on both dimensions and cleanly reverted</t>
  </si>
  <si>
    <t xml:space="preserve">Peer instruction 03-Sep-2026, method as they specified</t>
  </si>
  <si>
    <t xml:space="preserve">TEXT() prohibition for numeric display</t>
  </si>
  <si>
    <t xml:space="preserve">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</si>
  <si>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 xml:space="preserve">TEXT() used for a percentage; no stated rule</t>
  </si>
  <si>
    <t xml:space="preserve">Zero locale-exposed TEXT() uses; rule recorded</t>
  </si>
  <si>
    <t xml:space="preserve">Peer instruction - take the general rule</t>
  </si>
  <si>
    <t xml:space="preserve">5 - Financing</t>
  </si>
  <si>
    <t xml:space="preserve">Block 9 (rows 174-198)</t>
  </si>
  <si>
    <t xml:space="preserve">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</si>
  <si>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 xml:space="preserve">No financing inputs</t>
  </si>
  <si>
    <t xml:space="preserve">22 blank amber inputs, fixed-quantum path</t>
  </si>
  <si>
    <t xml:space="preserve">Peer Q4 answer - fixed quantum first, no VBA</t>
  </si>
  <si>
    <t xml:space="preserve">Financing (new sheet)</t>
  </si>
  <si>
    <t xml:space="preserve">A1:UB92</t>
  </si>
  <si>
    <t xml:space="preserve">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</si>
  <si>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 xml:space="preserve">No financing engine</t>
  </si>
  <si>
    <t xml:space="preserve">Financing sheet, 92 rows x 541 columns, 12 checks</t>
  </si>
  <si>
    <t xml:space="preserve">Peer instruction - Financing after Operations</t>
  </si>
  <si>
    <t xml:space="preserve">H29, H30, H37, H39, H45</t>
  </si>
  <si>
    <t xml:space="preserve">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</si>
  <si>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 xml:space="preserve">Wrong funding row; facility never closed; flag too wide</t>
  </si>
  <si>
    <t xml:space="preserve">Funding row corrected; facility closes at COD; flag narrowed</t>
  </si>
  <si>
    <t xml:space="preserve">Finding</t>
  </si>
  <si>
    <t xml:space="preserve">Financing / Input_Register</t>
  </si>
  <si>
    <t xml:space="preserve">G76 check; register guard ranges</t>
  </si>
  <si>
    <t xml:space="preserve">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</si>
  <si>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 xml:space="preserve">Guard blind to new blocks; 108 tracked</t>
  </si>
  <si>
    <t xml:space="preserve">130 tracked; blind spot documented</t>
  </si>
  <si>
    <t xml:space="preserve">Own review</t>
  </si>
  <si>
    <t xml:space="preserve">Environment</t>
  </si>
  <si>
    <t xml:space="preserve">G77, G81, F90, F91, C92</t>
  </si>
  <si>
    <t xml:space="preserve">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</si>
  <si>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 xml:space="preserve">Undocumented; would look like broken checks</t>
  </si>
  <si>
    <t xml:space="preserve">Documented with evidence, helpers and an on-sheet note</t>
  </si>
  <si>
    <t xml:space="preserve">Own diagnosis</t>
  </si>
  <si>
    <t xml:space="preserve">6 - v5 redesign</t>
  </si>
  <si>
    <t xml:space="preserve">Cover / Dashboard / Inputs / Curves / Deposits / MOIC (new sheets)</t>
  </si>
  <si>
    <t xml:space="preserve">New sheets</t>
  </si>
  <si>
    <t xml:space="preserve">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</si>
  <si>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 xml:space="preserve">Stat_inp / Dyn_Inp / Calculation / Checks (12 sheets, #VALUE! cascade live)</t>
  </si>
  <si>
    <t xml:space="preserve">Case 1 (200 MW, FEP 100%, EUR 150k/MW): net profit EUR 24,291.9k / 8,745 mHUF; MOIC 2.47x; IRR 65.9%; peak exposure EUR 19,550k</t>
  </si>
  <si>
    <t xml:space="preserve">This session; IC paper 27-Jul-26 used for context only</t>
  </si>
  <si>
    <t xml:space="preserve">v3_Stat_inp / v3_Dyn_Inp / v3_Calculation / v3_Checks</t>
  </si>
  <si>
    <t xml:space="preserve">Whole sheets</t>
  </si>
  <si>
    <t xml:space="preserve">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</si>
  <si>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 xml:space="preserve">Live links into Stat_inp / Calculation</t>
  </si>
  <si>
    <t xml:space="preserve">All links into Inputs; no live formula anywhere reads a v3_ sheet</t>
  </si>
  <si>
    <t xml:space="preserve">Own scan of every sheet for Stat_inp / Dyn_Inp / Calculation references</t>
  </si>
  <si>
    <t xml:space="preserve">MOIC / Deposits</t>
  </si>
  <si>
    <t xml:space="preserve">Deposits block, rows 28-57, 82-94</t>
  </si>
  <si>
    <t xml:space="preserve">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</si>
  <si>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 xml:space="preserve">Deposits materially mis-stated; recovery nil</t>
  </si>
  <si>
    <t xml:space="preserve">Payable at 280 MW reconciles to source 8,074.4 mHUF (Deposits E34 = OK)</t>
  </si>
  <si>
    <t xml:space="preserve">Own review; peer file bora_deposits_and_fees.json</t>
  </si>
  <si>
    <t xml:space="preserve">MOIC</t>
  </si>
  <si>
    <t xml:space="preserve">G177:G179, H223:N223</t>
  </si>
  <si>
    <t xml:space="preserve">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</si>
  <si>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 xml:space="preserve">MOIC = inflows / (outflows + tax)</t>
  </si>
  <si>
    <t xml:space="preserve">MOIC = (inflows + tax) / outflows</t>
  </si>
  <si>
    <t xml:space="preserve">Independent recomputation this session</t>
  </si>
  <si>
    <t xml:space="preserve">Inputs / Deposits / MOIC / Dashboard / Cover</t>
  </si>
  <si>
    <t xml:space="preserve">Inputs D62:D74 and E62:E74; Deposits F:J, S:T, summary; MOIC row 170; unit labels throughout</t>
  </si>
  <si>
    <t xml:space="preserve">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</si>
  <si>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 xml:space="preserve">Mixed: raw HUF (billions) alongside mHUF outputs; EUR labelled €k</t>
  </si>
  <si>
    <t xml:space="preserve">All HUF in mHUF, all EUR in k€; every result unchanged (net profit k€ 24,291.9 / 8,745 mHUF, MOIC 2.47x, IRR 65.9%, all 17 checks OK)</t>
  </si>
  <si>
    <t xml:space="preserve">User instruction this session</t>
  </si>
  <si>
    <t xml:space="preserve">7 - HTM</t>
  </si>
  <si>
    <t xml:space="preserve">Inputs (rows 131-206) / HTM (new sheet) / Dashboard (rows 96-117, second chart) / Curves / Cover</t>
  </si>
  <si>
    <t xml:space="preserve">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</si>
  <si>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 xml:space="preserve">No HTM numbers (scaffolds blank)</t>
  </si>
  <si>
    <t xml:space="preserve">On estimates: capex 1,444 k€/MW; unlevered IRR 5.3% pre-tax / 4.9% post-tax; equity IRR 4.8%; LCOE 85 EUR/MWh; min DSCR 1.12x; FEP net cash 165.8 m€ over 25 years; all HTM checks OK. IRRs re-computed independently in Python (match to 4 d.p.).</t>
  </si>
  <si>
    <t xml:space="preserve">User request this session; IC paper for context only</t>
  </si>
  <si>
    <t xml:space="preserve">v3_Assumptions / v3_Input_Register / v3_Timeline / v3_Construction / v3_Operations / v3_Financing</t>
  </si>
  <si>
    <t xml:space="preserve">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</si>
  <si>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 xml:space="preserve">Six live scaffold tabs, 541 columns, blank inputs</t>
  </si>
  <si>
    <t xml:space="preserve">Archived</t>
  </si>
  <si>
    <t xml:space="preserve">Own scan</t>
  </si>
  <si>
    <t xml:space="preserve">7 - Improvements</t>
  </si>
  <si>
    <t xml:space="preserve">Curves / Inputs</t>
  </si>
  <si>
    <t xml:space="preserve">Curves D22:I55, M22:R55, J22:K66, E17:E19, G19, C14:C15, F16:F18, note on C20; Inputs G166, F166</t>
  </si>
  <si>
    <t xml:space="preserve">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</si>
  <si>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 xml:space="preserve">Placeholder empty; HTM on flat estimate (75 €/MWh nominal, 2.0% esc., 90% capture)</t>
  </si>
  <si>
    <t xml:space="preserve">Aurora Central nominal (2031 selected wind capture 115.7 €/MWh nominal vs ~68 est.); HTM pre-tax unlevered IRR 4.65% → 13.15%, post-tax 4.36% → 12.33%, FEP MOIC 2.08x → 6.82x, break-even price 95.3 → 94.2 €/MWh</t>
  </si>
  <si>
    <t xml:space="preserve">Aurora Q2 2026 HUN Power &amp; Renewables Market Forecast Data.xlsx (shared file hungary_wind_capture_price_aurora_q2_2026.json)</t>
  </si>
  <si>
    <t xml:space="preserve">Inputs / Deposits / HTM</t>
  </si>
  <si>
    <t xml:space="preserve">Inputs G77:G79, G68, new row 69, section Q rows 210-219; HTM rows 27 and 57; Deposits G7:H7, S7</t>
  </si>
  <si>
    <t xml:space="preserve">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</si>
  <si>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 xml:space="preserve">Draft-tender dates and 2.0m fee; no community contributions</t>
  </si>
  <si>
    <t xml:space="preserve">Final terms; HTM post-tax unlevered IRR 4.9% → 4.4%; FEP HTM MOIC 2.37x → 2.08x</t>
  </si>
  <si>
    <t xml:space="preserve">Portfolio 31-Aug-26; Világgazdaság 3-Sep-26; palyazatok.org – news reports of the MEKH kiírás, to be verified against the primary document</t>
  </si>
  <si>
    <t xml:space="preserve">HTM / Dashboard</t>
  </si>
  <si>
    <t xml:space="preserve">HTM rows 163-186; Dashboard C121:E139</t>
  </si>
  <si>
    <t xml:space="preserve">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</si>
  <si>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 xml:space="preserve">Two sensitivity grids + break-even</t>
  </si>
  <si>
    <t xml:space="preserve">Own design</t>
  </si>
  <si>
    <t xml:space="preserve">Inputs / HTM / text</t>
  </si>
  <si>
    <t xml:space="preserve">Inputs row 69 insert; HTM H5; text notes</t>
  </si>
  <si>
    <t xml:space="preserve">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</si>
  <si>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 xml:space="preserve">Typed start year; notes with stale addresses</t>
  </si>
  <si>
    <t xml:space="preserve">Derived; notes consistent</t>
  </si>
  <si>
    <t xml:space="preserve">Own audit</t>
  </si>
  <si>
    <t xml:space="preserve">Inputs / MOIC</t>
  </si>
  <si>
    <t xml:space="preserve">Inputs rows 96-97 inserted, G94, G101, G103, G104; MOIC C78 and H78:BP78</t>
  </si>
  <si>
    <t xml:space="preserve">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</si>
  <si>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 xml:space="preserve">All 10 lines cash; guarantee block dormant; margin 1.75% over EURIBOR (3.95% all-in, unused). MOIC 2.46x, IRR 65.9%, cash invested k€ 16,611, cash posted k€ 17,194</t>
  </si>
  <si>
    <t xml:space="preserve">5 lines guarantee-backed at 6.00% flat: peak guarantee k€ 12,406, fees k€ 1,133. Cash posted falls to k€ 4,789, FEP cash invested k€ 8,722. MOIC 2.46x -&gt; 3.66x, IRR 65.9% -&gt; 134.6%, FEP net profit k€ 23,220. All 17 checks OK.</t>
  </si>
  <si>
    <t xml:space="preserve">User instruction this session; shared file bora_deposits_securities.csv / bora_devex_line_items.csv from BORA_Devex_20260921_FEP.xlsx</t>
  </si>
  <si>
    <t xml:space="preserve">8 - Review comments</t>
  </si>
  <si>
    <t xml:space="preserve">Inputs / HTM</t>
  </si>
  <si>
    <t xml:space="preserve">Inputs E147; HTM rows 8-10</t>
  </si>
  <si>
    <t xml:space="preserve">First full operating year fixed to YEAR(COD)+1 (COD is a month-end). COD year was flagged as a full year AND a partial year (HTM M10 = 150%). Row 10 now: partial COD year, full years, partial final year; row 8 = 100% flag; row 9 index from first full year.</t>
  </si>
  <si>
    <t xml:space="preserve">2031 fraction 150%</t>
  </si>
  <si>
    <t xml:space="preserve">2031 fraction 50%</t>
  </si>
  <si>
    <t xml:space="preserve">User review comments 25-Sep-26</t>
  </si>
  <si>
    <t xml:space="preserve">Inputs / HTM / Curves link</t>
  </si>
  <si>
    <t xml:space="preserve">Inputs G148, E149, E150; HTM column AQ; HTM row 42</t>
  </si>
  <si>
    <t xml:space="preserve">Operating life 25 → 30 years, measured from COD (Jun-31 → Jun-61). HTM grid extended one column to 2061. Aurora ends 2060, so HTM row 42 holds the last Aurora year flat in real terms (inflated at Curves E19) for 2061.</t>
  </si>
  <si>
    <t xml:space="preserve">25 yrs from first full year; grid 2026-2060</t>
  </si>
  <si>
    <t xml:space="preserve">30 yrs from COD; grid 2026-2061</t>
  </si>
  <si>
    <t xml:space="preserve">HTM rows 14, 62</t>
  </si>
  <si>
    <t xml:space="preserve">Land lease paid from NTP (construction start). New row 14 = construction fraction of each calendar year; row 62 = lease × (operating + construction fraction). Pre-COD lease is negative EBITDA, so it builds the tax-loss carry-forward (rows 90-93).</t>
  </si>
  <si>
    <t xml:space="preserve">Lease from COD</t>
  </si>
  <si>
    <t xml:space="preserve">Lease from NTP</t>
  </si>
  <si>
    <t xml:space="preserve">HTM row 90</t>
  </si>
  <si>
    <t xml:space="preserve">Devex (row 16) now deducted in taxable income, building tax losses before COD.</t>
  </si>
  <si>
    <t xml:space="preserve">Devex not tax-deductible</t>
  </si>
  <si>
    <t xml:space="preserve">Devex in tax losses</t>
  </si>
  <si>
    <t xml:space="preserve">Inputs</t>
  </si>
  <si>
    <t xml:space="preserve">Inputs G210, G211, F211</t>
  </si>
  <si>
    <t xml:space="preserve">Senior debt: upfront fee 1.50% → 1.75%; tenor 15 → 10 years (annuity as proxy for a sculpted loan with early sweep).</t>
  </si>
  <si>
    <t xml:space="preserve">1.5% / 15 yrs</t>
  </si>
  <si>
    <t xml:space="preserve">1.75% / 10 yrs</t>
  </si>
  <si>
    <t xml:space="preserve">HTM / MOIC / Dashboard / Cover</t>
  </si>
  <si>
    <t xml:space="preserve">HTM G136:G139; MOIC G185:G188, H229:N230; Dashboard rows 14-15, 63, 120</t>
  </si>
  <si>
    <t xml:space="preserve">NPV / Equity added: NPV of FEP post-tax flows ÷ PV of equity invested (negative flows), plus nominal-denominator memo. Sell case at Inputs E13 (monthly, daily compounding); HTM at Inputs E216.</t>
  </si>
  <si>
    <t xml:space="preserve">Sell 0.26x; HTM 0.30x</t>
  </si>
  <si>
    <t xml:space="preserve">HTM block 14 (rows 197-239); Dashboard rows 64-65, 121-124</t>
  </si>
  <si>
    <t xml:space="preserve">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</si>
  <si>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 xml:space="preserve">Buyer unlevered 10.0% / levered 12.0% at 150 k€/MW</t>
  </si>
  <si>
    <t xml:space="preserve">Inputs / HTM / Dashboard</t>
  </si>
  <si>
    <t xml:space="preserve">Inputs rows 234-243; HTM block 15 (rows 242-302); Dashboard section 9</t>
  </si>
  <si>
    <t xml:space="preserve">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</si>
  <si>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 xml:space="preserve">Min gearing 60.2% for 12%; max 59.5% at 1.40x</t>
  </si>
  <si>
    <t xml:space="preserve">HTM rows 43, 47, 55, 62</t>
  </si>
  <si>
    <t xml:space="preserve">Escalation base set explicitly to the COD year so price/opex inputs keep their 'first operating year' meaning after the E147 fix.</t>
  </si>
  <si>
    <t xml:space="preserve">Base = E147</t>
  </si>
  <si>
    <t xml:space="preserve">Base = YEAR(E146)</t>
  </si>
  <si>
    <t xml:space="preserve">Workbook / Cover</t>
  </si>
  <si>
    <t xml:space="preserve">v3_* tabs; Cover B14, C28:C37</t>
  </si>
  <si>
    <t xml:space="preserve">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</si>
  <si>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 xml:space="preserve">v3 tabs present</t>
  </si>
  <si>
    <t xml:space="preserve">Deleted</t>
  </si>
  <si>
    <t xml:space="preserve">Inputs / Deposits / MOIC</t>
  </si>
  <si>
    <t xml:space="preserve">Inputs S (rows 246-256); Deposits U7:U18; MOIC H97:BP97</t>
  </si>
  <si>
    <t xml:space="preserve">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</si>
  <si>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 xml:space="preserve">Buyer-reimbursable share</t>
  </si>
  <si>
    <t xml:space="preserve">Refunded-on-failure share</t>
  </si>
  <si>
    <t xml:space="preserve">User answers 27-Sep-26</t>
  </si>
  <si>
    <t xml:space="preserve">Inputs / MOIC / HTM / Dashboard</t>
  </si>
  <si>
    <t xml:space="preserve">Inputs E244; MOIC G185:G186, H229:N230; HTM G136:G137, G214, G233:G239, G244:G250, I244:I250</t>
  </si>
  <si>
    <t xml:space="preserve">NPV / Equity discounted at a single variable rate, 8% (Inputs E244), for sell, HTM, buyer and gearing blocks. Buyer hurdle NPV and implied max premium stay at Inputs E216.</t>
  </si>
  <si>
    <t xml:space="preserve">E13 8.9% / E216 10%</t>
  </si>
  <si>
    <t xml:space="preserve">E244 8%</t>
  </si>
  <si>
    <t xml:space="preserve">Inputs G242, G243</t>
  </si>
  <si>
    <t xml:space="preserve">Gearing test set to market-standard: lender minimum DSCR 1.50x (merchant wind, no offtake), target levered equity IRR 11%. Result: min gearing for 11% = 34.8%; max gearing at 1.50x = 55.4%.</t>
  </si>
  <si>
    <t xml:space="preserve">1.40x / 12%</t>
  </si>
  <si>
    <t xml:space="preserve">1.50x / 11%</t>
  </si>
  <si>
    <t xml:space="preserve">HTM row 21</t>
  </si>
  <si>
    <t xml:space="preserve">Deemed-exit charge kept as is (confirmed by user).</t>
  </si>
  <si>
    <t xml:space="preserve">9 - Full review</t>
  </si>
  <si>
    <t xml:space="preserve">Inputs G250, G251, G256</t>
  </si>
  <si>
    <t xml:space="preserve">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</si>
  <si>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 xml:space="preserve">Full model review 27-Sep-26</t>
  </si>
  <si>
    <t xml:space="preserve">HTM rows 78, 81, 87, 89, gearing rows 256+7i</t>
  </si>
  <si>
    <t xml:space="preserve">COD-year timing: IDC only for the construction share of 2031; operating interest paid from COD; tax depreciation pro rata from COD (new profile row 87, 20 years exactly). HTM FEP equity IRR 12.0% → 11.9%; min DSCR 1.39x → 1.42x.</t>
  </si>
  <si>
    <t xml:space="preserve">Post-COD interest capitalised; no depreciation in COD year</t>
  </si>
  <si>
    <t xml:space="preserve">Pro rata from COD</t>
  </si>
  <si>
    <t xml:space="preserve">MOIC / Open_Items</t>
  </si>
  <si>
    <t xml:space="preserve">MOIC G258; Open_Items</t>
  </si>
  <si>
    <t xml:space="preserve">Overall MOIC status now reports warnings (previously showed ALL OK with an active warning). Open items refreshed: v3-era items superseded, stale text updated, new items #46-51.</t>
  </si>
  <si>
    <t xml:space="preserve">Inputs / Deposits</t>
  </si>
  <si>
    <t xml:space="preserve">Inputs C246, F250, G208; Deposits U5</t>
  </si>
  <si>
    <t xml:space="preserve">Section S relabelled 'funded on the 12% loan (refunded if fails, or agreed at 12%)'. TSO connection request security is NOT refunded on failure but agreed at 12% (G250 = 100%). Base gearing 60% → 55%.</t>
  </si>
  <si>
    <t xml:space="preserve">Inputs rows 258-261; HTM rows 84, 86-89, 119-120, 123, 171, 209; gearing detail FEP CF rows</t>
  </si>
  <si>
    <t xml:space="preserve">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</si>
  <si>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 xml:space="preserve">FEP HTM IRR 11.9% → 11.1%; min DSCR 1.54x</t>
  </si>
  <si>
    <t xml:space="preserve">Inputs rows 263-265; HTM block 16 (rows 309-329); Dashboard section 10</t>
  </si>
  <si>
    <t xml:space="preserve">Lender downside: Aurora Low (÷ Central, per year) and P90 = 0.90 × P50, debt held at base sizing. Min DSCR 0.79x, FEP IRR ~3.8% (approx.). Tax re-run with loss carry-forward.</t>
  </si>
  <si>
    <t xml:space="preserve">Downside DSCR 0.79x</t>
  </si>
  <si>
    <t xml:space="preserve">HTM C21</t>
  </si>
  <si>
    <t xml:space="preserve">Label restored.</t>
  </si>
  <si>
    <t xml:space="preserve">blank</t>
  </si>
  <si>
    <t xml:space="preserve">Deemed exit at RTB – opportunity cost</t>
  </si>
  <si>
    <t xml:space="preserve">MOIC rows 82-94, 138-149</t>
  </si>
  <si>
    <t xml:space="preserve">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</si>
  <si>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 xml:space="preserve">Dashboard</t>
  </si>
  <si>
    <t xml:space="preserve">Dashboard rows 105-128 (section 7a, inside the HTM section)</t>
  </si>
  <si>
    <t xml:space="preserve">Section 7a added inside the HTM section (below Capex per MW): full HTM capex breakdown per MW and total – WTG, BoP, owner's costs, land, contingency, BESS, connection fee (indirect + direct), municipal contribution; memo IDC and upfront fees; tie-out check to HTM G30.</t>
  </si>
  <si>
    <t xml:space="preserve">User request 28-Sep-26</t>
  </si>
  <si>
    <t xml:space="preserve">Inputs row 14; MOIC rows 174, 217, 237</t>
  </si>
  <si>
    <t xml:space="preserve">Participation exemption on RtB share sale added (Inputs E14 = 1). Gain on shares (share of distributable proceeds) exempt; loan interest and 2× top-up still taxed at 9%. FEP exit tax k€ 1,452 → 221; MOIC 1.313x → 1.339x; IRR 25.5% → 27.5%.</t>
  </si>
  <si>
    <t xml:space="preserve">1.3126x / 25.5%</t>
  </si>
  <si>
    <t xml:space="preserve">1.3389x / 27.5%</t>
  </si>
  <si>
    <t xml:space="preserve">User request 29-Sep-26 (open item 7)</t>
  </si>
  <si>
    <t xml:space="preserve">Inputs F84, F85, F239</t>
  </si>
  <si>
    <t xml:space="preserve">Connection fee notes now cite the BORA Devex table rows 18–19 (k€ 37,066 + 1,374 = 38,439, unchanged). Szombathely node recorded.</t>
  </si>
  <si>
    <t xml:space="preserve">User request 29-Sep-26 (open item 31)</t>
  </si>
  <si>
    <t xml:space="preserve">Open_Items B4:I58</t>
  </si>
  <si>
    <t xml:space="preserve">Items renumbered 1–53 (removed duplicate numbers 31–35) and sorted: top-10 critical open, other open, then resolved/closed/superseded. #7 tax, #13 yield study, #31 tender node, #37/#51 devex closed.</t>
  </si>
  <si>
    <t xml:space="preserve">User request 29-Sep-26</t>
  </si>
  <si>
    <t xml:space="preserve">Deposits / Inputs</t>
  </si>
  <si>
    <t xml:space="preserve">Deposits F8, E33; Inputs C90, F76, F90, G87</t>
  </si>
  <si>
    <t xml:space="preserve">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</si>
  <si>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 xml:space="preserve">1.3389x / 27.52%</t>
  </si>
  <si>
    <t xml:space="preserve">1.3387x / 27.49%</t>
  </si>
  <si>
    <t xml:space="preserve">Inputs / Dashboard / Open_Items</t>
  </si>
  <si>
    <t xml:space="preserve">Inputs G261:G264, F259, F261:F264; Dashboard C37; Open_Items row 39</t>
  </si>
  <si>
    <t xml:space="preserve">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</si>
  <si>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 xml:space="preserve">BORA Devex file correction 29-Sep-26</t>
  </si>
  <si>
    <t xml:space="preserve">Deposits E8, F8; Inputs C90, F76, F87, F90, G87</t>
  </si>
  <si>
    <t xml:space="preserve">Reverted change 89 on user instruction: bid bond back to 0.5% without the 1.5× uplift = 606 mHUF, matching BORA Devex I6. Uplift applies to the performance bond only (payable 3,939 mHUF). Source gross total restored to 22,797.61. Deposits E33 formula fix kept.</t>
  </si>
  <si>
    <t xml:space="preserve">BORA_Devex / Devex_FEP / MOIC / Inputs</t>
  </si>
  <si>
    <t xml:space="preserve">New sheet BORA_Devex; Devex_FEP E5:F37; MOIC H18:BP18, C11, C18, C261, G261; Inputs C40, F41, C67; rows grouped Inputs 41–48, MOIC 12–17</t>
  </si>
  <si>
    <t xml:space="preserve">BORA_Devex_20260925.xlsx Sheet1 (B2:AY72, formulas + formats) copied into the model as BORA_Devex. Devex_FEP amounts and payment dates now link to it (were typed copies). Six-milestone devex retired: MOIC row 18 always uses the line items. Results unchanged (the typed copies matched).</t>
  </si>
  <si>
    <t xml:space="preserve">K32, H32, K39, H39</t>
  </si>
  <si>
    <t xml:space="preserve">Case A tax was 9% of all pre-tax profit, ignoring the participation exemption; now exempts the share-gain proceeds (MOIC G170) like MOIC row 174. Profit bridge K32 now adds back land costs repaid by the buyer at RtB exit (MOIC G167), fixing the L41 tie-out check (was ERROR).</t>
  </si>
  <si>
    <t xml:space="preserve">Case A post-tax 17,580</t>
  </si>
  <si>
    <t xml:space="preserve">Case A post-tax 18,975</t>
  </si>
  <si>
    <t xml:space="preserve">Turbine cases + tornado</t>
  </si>
  <si>
    <t xml:space="preserve">Inputs; Curves; Dashboard</t>
  </si>
  <si>
    <t xml:space="preserve">Inputs K7:L8, K162:L162, K190:L191, K199:L199, K217:L217, row 199; Curves E16; Dashboard C206:L282</t>
  </si>
  <si>
    <t xml:space="preserve">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</si>
  <si>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 xml:space="preserve">Curves E16 hardcoded 2; Cases 5–6 spare</t>
  </si>
  <si>
    <t xml:space="preserve">EU FEP equity IRR 10.4% / CN 14.6%; base case 1 FEP IRR unchanged 16.9%</t>
  </si>
  <si>
    <t xml:space="preserve">User request 01-Oct-2026</t>
  </si>
  <si>
    <t xml:space="preserve">Dashboard; Inputs</t>
  </si>
  <si>
    <t xml:space="preserve">Dashboard G4:H23, C206:L282; Inputs K7:L7</t>
  </si>
  <si>
    <t xml:space="preserve">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</si>
  <si>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 xml:space="preserve">Sections 11–12 basic layout; Chart 3 blank</t>
  </si>
  <si>
    <t xml:space="preserve">Restyled; values unchanged (EU 10.4% / CN 14.6% FEP equity IRR)</t>
  </si>
  <si>
    <t xml:space="preserve">Project scenarios</t>
  </si>
  <si>
    <t xml:space="preserve">Inputs; Devex_FEP; new sheets</t>
  </si>
  <si>
    <t xml:space="preserve">Inputs E9, rows 16/20/24/31/32/38/82/84–88, block M C277:J296; Devex_FEP E5:E37, L4:L39; sheets Comparison, Bora, Iváncsa, Dunaújváros, Bána; Dashboard G14</t>
  </si>
  <si>
    <t xml:space="preserve">Project selector (Inputs E9: 1 Bora, 2 Iváncsa, 3 Dunaújváros, 4 Bána). Grid fees from Kapacitás pályázati kiírás 2026 Annex 1 (Iváncsa / Dunaújváros Dél 19 826 680 Ft/MVA, Ács Katódgyár 54 830 209 Ft/MVA, direct 460 m Ft per connection point). 50 MW + 25 MW/50 MWh BESS, 1 bid. Devex scaled to 1.5 m€ (Iváncsa, Dunaújváros) and 1.0 m€ (Bána) all-in; Bána signing fee 4.5 m€; JV 75% FEP Dunaújváros, 100% FEP Iváncsa / Bána. Project sheets + Comparison hold snapshot results (RTB, HTM European, HTM Chinese). Restored Dashboard G14 formula (had been overwritten with 0).</t>
  </si>
  <si>
    <t xml:space="preserve">Single-project model (Bora)</t>
  </si>
  <si>
    <t xml:space="preserve">Bora unchanged; RTB FEP IRR Bora 27.5% / Iváncsa 42.6% / Dunaújváros 31.5% / Bána 2.7%</t>
  </si>
  <si>
    <t xml:space="preserve">Kapacitas_palyazati_kiiras_2026 (2).pdf, uploaded 01-Oct-2026</t>
  </si>
  <si>
    <t xml:space="preserve">Scenario control panel</t>
  </si>
  <si>
    <t xml:space="preserve">Dashboard; Inputs; Run_Map; project sheets</t>
  </si>
  <si>
    <t xml:space="preserve">Dashboard C4:I52 (new rows 3–53), button btnRunAll; Inputs E6, E9, G16/20/24/31/32/82/84/85, G/K/L of 26 case rows, G279:J292; Run_Map (new)</t>
  </si>
  <si>
    <t xml:space="preserve">Added Dashboard scenario control panel: project / case selectors, per-project inputs (incl. signing fee / purchase price, fees, devex) and case inputs (Base / European / Chinese: EYA, capex, PPA, Aurora, opex, gearing, rate …). Inputs now link to the panel (green). Run_Map holds live result formulas; RunAllScenarios VBA (text in Run_Map B100+) rewrites project sheets rows 22–52 and Dashboard section 11. Button added – macro must be pasted and assigned by the user.</t>
  </si>
  <si>
    <t xml:space="preserve">Inputs typed on Inputs sheet; snapshots refreshed manually</t>
  </si>
  <si>
    <t xml:space="preserve">Results unchanged (Bora case 1 17.7%, EU 10.8%, CN 15.1%, RTB 27.5%)</t>
  </si>
  <si>
    <t xml:space="preserve">Review fixes</t>
  </si>
  <si>
    <t xml:space="preserve">Run_Map</t>
  </si>
  <si>
    <t xml:space="preserve">B101:B102, B119</t>
  </si>
  <si>
    <t xml:space="preserve">Macro text: comment lines lost their leading apostrophe (compile error on paste); en dash in StatusBar string replaced with hyphen</t>
  </si>
  <si>
    <t xml:space="preserve">Comment lines without '</t>
  </si>
  <si>
    <t xml:space="preserve">Valid VBA – paste and assign to btnRunAll</t>
  </si>
  <si>
    <t xml:space="preserve">HUN_Wind_Model_Review.docx (review 01-Oct-2026), user request 02-Oct-2026</t>
  </si>
  <si>
    <t xml:space="preserve">MOIC; Dashboard</t>
  </si>
  <si>
    <t xml:space="preserve">MOIC H242:N243 → Dashboard row 116</t>
  </si>
  <si>
    <t xml:space="preserve">NPV and NPV/Equity sensitivity now reference each scenario's own row 245–251</t>
  </si>
  <si>
    <t xml:space="preserve">All columns referenced row 245</t>
  </si>
  <si>
    <t xml:space="preserve">150 k€/MW column ties to G194</t>
  </si>
  <si>
    <t xml:space="preserve">Dashboard; Run_Map; project sheets</t>
  </si>
  <si>
    <t xml:space="preserve">Dashboard E61/E63, C61/C63, K76, K90, H90; Run_Map C22:C23; Bora–Bána G22</t>
  </si>
  <si>
    <t xml:space="preserve">Headline FEP net profit aligned to MOIC basis (G172 pre-tax / G182 post-tax); Case A relabelled profit bridge; Case A tax = actual MOIC G174</t>
  </si>
  <si>
    <t xml:space="preserve">Case A (K89/K91) headline</t>
  </si>
  <si>
    <t xml:space="preserve">MOIC G172 / G182</t>
  </si>
  <si>
    <t xml:space="preserve">H19:AQ19, H204:AQ204, H92:AQ92</t>
  </si>
  <si>
    <t xml:space="preserve">TSO connection-request bond (Deposits row 11) no longer returned at COD – it is consumed against the connection fee (Deposits I18); added to tax depreciation base</t>
  </si>
  <si>
    <t xml:space="preserve">Bond returned in cash at COD</t>
  </si>
  <si>
    <t xml:space="preserve">Bond capitalised</t>
  </si>
  <si>
    <t xml:space="preserve">E23, H23:AQ23, H16:AQ16, G170</t>
  </si>
  <si>
    <t xml:space="preserve">Hold case: guarantee fees run from sale to COD on guarantees outstanding at sale + 4th supplementary instalment; land costs (MOIC row 20) added to devex; integrity check updated</t>
  </si>
  <si>
    <t xml:space="preserve">Fees stopped at sale; land omitted</t>
  </si>
  <si>
    <t xml:space="preserve">Fees to COD; land included</t>
  </si>
  <si>
    <t xml:space="preserve">G222; H102:BP102</t>
  </si>
  <si>
    <t xml:space="preserve">Developer IRR returns n/a when developer invests nothing; participation fee no longer forced onto 12% loan (follows Inputs E256 / Deposits U7)</t>
  </si>
  <si>
    <t xml:space="preserve">1,872,108% ; +H44*(1−U7)</t>
  </si>
  <si>
    <t xml:space="preserve">n/a ; per E256</t>
  </si>
  <si>
    <t xml:space="preserve">Inputs; Dashboard; HTM; Curves; Open_Items; sheet tab</t>
  </si>
  <si>
    <t xml:space="preserve">Labels (see review §4)</t>
  </si>
  <si>
    <t xml:space="preserve">Stale cell-address labels updated after row inserts; 400 kV → 132 kV notes; E220 tenor label; Dashboard F8 stale-snapshot warning; Bana tab renamed Bána; Open_Items D6/E7/F9/E10/F12 refreshed</t>
  </si>
  <si>
    <t xml:space="preserve">Stale text</t>
  </si>
  <si>
    <t xml:space="preserve">Current text</t>
  </si>
  <si>
    <t xml:space="preserve">Dashboard E35, E30</t>
  </si>
  <si>
    <t xml:space="preserve">P50 set to typed 2,460 h (IC paper); base turbine price set to 500 k€/MW (= Chinese case)</t>
  </si>
  <si>
    <t xml:space="preserve">=2460*1.1 / 450</t>
  </si>
  <si>
    <t xml:space="preserve">2,460 / 500</t>
  </si>
  <si>
    <t xml:space="preserve">HUN_Wind_Model_Review.docx (review 01-Oct-2026), user decisions 02-Oct-2026</t>
  </si>
  <si>
    <t xml:space="preserve">MOIC; Dashboard; Run_Map; project sheets</t>
  </si>
  <si>
    <t xml:space="preserve">MOIC rows 270, 272–278 deleted; Dashboard row 150 deleted; Dashboard C65:E66; Run_Map B36:C37; project sheets B36:G37</t>
  </si>
  <si>
    <t xml:space="preserve">Removed 'excl. buyer-reimbursed deposits' metrics and their check; headline MOIC / IRR show all-cash only</t>
  </si>
  <si>
    <t xml:space="preserve">3.62x / 84.7% shown</t>
  </si>
  <si>
    <t xml:space="preserve">Removed</t>
  </si>
  <si>
    <t xml:space="preserve">B59:I60</t>
  </si>
  <si>
    <t xml:space="preserve">Merchant haircut left unchanged (user decision) and logged as open item 54; hurdle rates / BESS logged as item 55</t>
  </si>
  <si>
    <t xml:space="preserve">Open items added</t>
  </si>
  <si>
    <t xml:space="preserve">Bana sheet; Comparison; Inputs; Run_Map</t>
  </si>
  <si>
    <t xml:space="preserve">Comparison B1, G5, G19, L19, Q19, B36; Inputs C9, J278, J279, F283, F284, F292; Run_Map C8</t>
  </si>
  <si>
    <t xml:space="preserve">Project 4 spelled 'Bana' (no accent) throughout, matching the sheet tab, on user instruction – supersedes the Bána rename in #104. Dashboard F6, Bana B1 and Inputs E279 follow Inputs J279.</t>
  </si>
  <si>
    <t xml:space="preserve">Bána</t>
  </si>
  <si>
    <t xml:space="preserve">Bana</t>
  </si>
  <si>
    <t xml:space="preserve">User request 02-Oct-2026</t>
  </si>
  <si>
    <t xml:space="preserve">Items 4, 8, 11, 13, 15, 54</t>
  </si>
  <si>
    <t xml:space="preserve">Closed on review: debt terms per current inputs; deposits equity-funded (conservative); VAT not modelled (reverse charge / out of scope / exempt); HTM JV simplification accepted; #15 duplicate of #3; #54 per user decision.</t>
  </si>
  <si>
    <t xml:space="preserve">Open</t>
  </si>
  <si>
    <t xml:space="preserve">Open-items review 02-Oct-2026</t>
  </si>
  <si>
    <t xml:space="preserve">Dashboard E30, I30; Inputs F162</t>
  </si>
  <si>
    <t xml:space="preserve">Base turbine price 500 → 950 k€/MW (European) to score the ≥80% EU-equipment tender points. Bana HTM equity IRR 13.3% → 10.3%, project IRR post-tax 12.0% → 9.5%.</t>
  </si>
  <si>
    <t xml:space="preserve">User decision 02-Oct-2026 (#12)</t>
  </si>
  <si>
    <t xml:space="preserve">Dashboard C52:I52 (new row; note moved to row 53); Inputs G197, K197:L197, F197</t>
  </si>
  <si>
    <t xml:space="preserve">Robin Hood tax switch added to the Dashboard control panel and linked into Inputs row 197 (per-case K/L). Left OFF and flagged. Tested on/off.</t>
  </si>
  <si>
    <t xml:space="preserve">Switch on Inputs only</t>
  </si>
  <si>
    <t xml:space="preserve">Dashboard E52 = 0</t>
  </si>
  <si>
    <t xml:space="preserve">User decision 02-Oct-2026 (#6)</t>
  </si>
  <si>
    <t xml:space="preserve">Inputs; Open_Items</t>
  </si>
  <si>
    <t xml:space="preserve">Inputs F201; Open_Items 1, 2, 3, 5, 6, 12, 55</t>
  </si>
  <si>
    <t xml:space="preserve">O&amp;M FSA assumed for full 30-yr life; items 1, 2, 3, 5, 6, 12, 55 closed per user decisions.</t>
  </si>
  <si>
    <t xml:space="preserve">User decisions 02-Oct-2026</t>
  </si>
  <si>
    <t xml:space="preserve">Structure</t>
  </si>
  <si>
    <t xml:space="preserve">Control_Panel (new); Dashboard; Run_Map</t>
  </si>
  <si>
    <t xml:space="preserve">Dashboard B3:I53 → Control_Panel B3:I53; Dashboard rows 5:53 deleted; Run_Map B2, B98, B102, B104–B137</t>
  </si>
  <si>
    <t xml:space="preserve">Control panel (selectors, case inputs, ▶ Run button) moved to a new Control_Panel sheet; all links follow. Dashboard keeps results + live pointer row 3. Macro text updated to read/write E6/E7/E8 on Control_Panel – re-paste into the VBA module.</t>
  </si>
  <si>
    <t xml:space="preserve">Panel on Dashboard</t>
  </si>
  <si>
    <t xml:space="preserve">Control_Panel sheet</t>
  </si>
  <si>
    <t xml:space="preserve">Control_Panel; Inputs</t>
  </si>
  <si>
    <t xml:space="preserve">Control_Panel E53:E54; Inputs G/K/L 233:234</t>
  </si>
  <si>
    <t xml:space="preserve">Bid offer contributions made panel inputs (#7)</t>
  </si>
  <si>
    <t xml:space="preserve">Inputs typed 20 / 2</t>
  </si>
  <si>
    <t xml:space="preserve">Control_Panel E53 = 20 k€/MW, E54 = 2 €/MWh</t>
  </si>
  <si>
    <t xml:space="preserve">User decision 02-Oct-2026</t>
  </si>
  <si>
    <t xml:space="preserve">Inputs; Control_Panel</t>
  </si>
  <si>
    <t xml:space="preserve">Inputs G/K/L 13, 224, 225; Control_Panel C51, I51</t>
  </si>
  <si>
    <t xml:space="preserve">Single discount rate (#10)</t>
  </si>
  <si>
    <t xml:space="preserve">8.9% / 7% / 10%</t>
  </si>
  <si>
    <t xml:space="preserve">Linked to Inputs row 253 (8%, Control_Panel E51)</t>
  </si>
  <si>
    <t xml:space="preserve">Control_Panel; Inputs; HTM</t>
  </si>
  <si>
    <t xml:space="preserve">Control_Panel E55 (+comment); Inputs row 222; HTM C85, H85:AQ85</t>
  </si>
  <si>
    <t xml:space="preserve">Commitment fee on undrawn debt during construction added (#14)</t>
  </si>
  <si>
    <t xml:space="preserve">Not modelled</t>
  </si>
  <si>
    <t xml:space="preserve">0.9% p.a. × average undrawn × construction fraction</t>
  </si>
  <si>
    <t xml:space="preserve">Devex_FEP; Inputs; Control_Panel</t>
  </si>
  <si>
    <t xml:space="preserve">Devex_FEP G35, J37, E38; Inputs G294:J294; Control_Panel E22</t>
  </si>
  <si>
    <t xml:space="preserve">Line treatment per BORA Devex 01-Oct-26: financial costs FEP-borne; RtB land purchase = buyer-reimbursed land; contingency on devex + land + fee; scaling factor updated (#9)</t>
  </si>
  <si>
    <t xml:space="preserve">Devex 2,532 / land 179 k€</t>
  </si>
  <si>
    <t xml:space="preserve">Devex 2,662 / land 425 k€ (matches file)</t>
  </si>
  <si>
    <t xml:space="preserve">BORA_Devex_20261001.xlsx (frozen case)</t>
  </si>
  <si>
    <t xml:space="preserve">Deposits; MOIC; Dashboard</t>
  </si>
  <si>
    <t xml:space="preserve">Deposits W5:Y24; MOIC row 131, G147, G149, G150, G155, H230:N230, H232:N232; Dashboard K28, K30, K34, H46:L60</t>
  </si>
  <si>
    <t xml:space="preserve">Exit waterfall interest per FEP method, frozen 30/06/2029 (#9)</t>
  </si>
  <si>
    <t xml:space="preserve">Monthly loan-ledger interest; distributable 19,551</t>
  </si>
  <si>
    <t xml:space="preserve">Per-line FEP interest; distributable 19,570 vs file 19,346 (timing residual 225)</t>
  </si>
  <si>
    <t xml:space="preserve">Control_Panel E47, I47 → Inputs 203</t>
  </si>
  <si>
    <t xml:space="preserve">Land lease reduced</t>
  </si>
  <si>
    <t xml:space="preserve">5 k€/MW/yr</t>
  </si>
  <si>
    <t xml:space="preserve">3 k€/MW/yr</t>
  </si>
  <si>
    <t xml:space="preserve">M. Balástyai chat 01-Oct-2026 20:22</t>
  </si>
  <si>
    <t xml:space="preserve">Dashboard; project sheets; Comparison; Run_Map</t>
  </si>
  <si>
    <t xml:space="preserve">Dashboard E7:E8; Bora/Iváncsa/Dunaújváros/Bana D22:F52; Dashboard section 11 E/F; Run_Map C3; Control_Panel E8</t>
  </si>
  <si>
    <t xml:space="preserve">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</si>
  <si>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 xml:space="preserve">Identical snapshots; E7/E8 overwritten</t>
  </si>
  <si>
    <t xml:space="preserve">Snapshots per project/case; E7/E8 formulas</t>
  </si>
  <si>
    <t xml:space="preserve">Repair 02-Oct-2026 – paste updated macro from Run_Map before next ▶ run</t>
  </si>
  <si>
    <t xml:space="preserve">Tie-out</t>
  </si>
  <si>
    <t xml:space="preserve">G95, G97, G99, G100, G102, G103</t>
  </si>
  <si>
    <t xml:space="preserve">Tender / grid dates aligned to BORA_Devex_20261001.xlsx payment dates (bid 30-Oct-26, perf/TSO bond 30-Dec-26, supplementary instalments 23-Apr, connection fee 08-Jan-29, permit/refund 14-Mar-28)</t>
  </si>
  <si>
    <t xml:space="preserve">31-Oct-26; 31-Dec-26; 28-Jan-29; 46874; 18; 30</t>
  </si>
  <si>
    <t xml:space="preserve">30-Oct-26; 30-Dec-26; 08-Jan-29; 46825; 17; 23</t>
  </si>
  <si>
    <t xml:space="preserve">BORA_Devex_20261001.xlsx Sheet1 col E</t>
  </si>
  <si>
    <t xml:space="preserve">Inputs; Dashboard; Control_Panel; project sheets; Run_Map</t>
  </si>
  <si>
    <t xml:space="preserve">Inputs H7:I276 ↔ K7:L276; Dashboard F7:G8, E241:F241; project sheets D54:F54; macro</t>
  </si>
  <si>
    <t xml:space="preserve">Case renumbering: European turbine 5 → 2, Chinese turbine 6 → 3 (old case 2 IC-deck basis → 5, old case 3 cash-settled → 6). Macro now loops cases 1 / 2 / 3.</t>
  </si>
  <si>
    <t xml:space="preserve">European = case 5, Chinese = case 6</t>
  </si>
  <si>
    <t xml:space="preserve">European = case 2, Chinese = case 3</t>
  </si>
  <si>
    <t xml:space="preserve">Control_Panel E42:F42 → Inputs row 191</t>
  </si>
  <si>
    <t xml:space="preserve">PPA strike set to 90 €/MWh for all cases (European case now inherits base). Chinese case stays 100% merchant (no PPA).</t>
  </si>
  <si>
    <t xml:space="preserve">Base 70, European 90</t>
  </si>
  <si>
    <t xml:space="preserve">All 90</t>
  </si>
  <si>
    <t xml:space="preserve">M. Balástyai chat 01/02-Oct-2026</t>
  </si>
  <si>
    <t xml:space="preserve">Workbook; Control_Panel; Inputs; Dashboard; Run_Map; Cover</t>
  </si>
  <si>
    <t xml:space="preserve">Sheets Comparison, Iváncsa, Dunaújváros, Bana; Control_Panel E6, F6, F11:H22; Inputs E9, H278:J296; Dashboard E211:F240; Run_Map C6:C8, VBA text</t>
  </si>
  <si>
    <t xml:space="preserve">Model reduced to Bora only: other-project sheets and the Comparison sheet (incl. its 2 charts) deleted, other-project inputs and notes removed, project selector fixed to 1. Dashboard section 11 re-populated with Bora case 2 / case 3 results (was Iváncsa).</t>
  </si>
  <si>
    <t xml:space="preserve">4 projects (Bora, Iváncsa, Dunaújváros, Bana)</t>
  </si>
  <si>
    <t xml:space="preserve">Bora only; Bora results unchanged</t>
  </si>
  <si>
    <t xml:space="preserve">User request 05-Oct-2026</t>
  </si>
  <si>
    <t xml:space="preserve">BESS 4h</t>
  </si>
  <si>
    <t xml:space="preserve">Inputs; Control_Panel; Deposits</t>
  </si>
  <si>
    <t xml:space="preserve">Inputs G21, F21, G87:G88, F87:F88; Control_Panel I14</t>
  </si>
  <si>
    <t xml:space="preserve">BESS duration 2h → 4h (400 MWh). Security bases E91/E92 121,200 → 161,200 mHUF; Deposits source totals reset to the BORA_Devex_20260921_FEP 400 MWh basis so the reconciliation (Deposits E34) ties. Ported from Bora MOIC_HTM_model_20260928.xlsb.</t>
  </si>
  <si>
    <t xml:space="preserve">2h; source 22,797.61 / 21,291.61</t>
  </si>
  <si>
    <t xml:space="preserve">4h; source 24,497.61 / 22,791.61</t>
  </si>
  <si>
    <t xml:space="preserve">Dashboard headline</t>
  </si>
  <si>
    <t xml:space="preserve">Dashboard C16:G18 (3 rows inserted above FEP MOIC; rows below +3)</t>
  </si>
  <si>
    <t xml:space="preserve">Added A.RES (developer) net profit post-tax (MOIC G220), FEP net profit per MW post-tax (Case A / Case B, K45/L45; HTM from section 11 E227/F227) and A.RES net profit per MW. Ported from Bora MOIC_HTM_model_20260928.xlsb.</t>
  </si>
  <si>
    <t xml:space="preserve">Not shown</t>
  </si>
  <si>
    <t xml:space="preserve">A.RES 6,978 k€ (34.9 k€/MW); FEP 97.3 / 61.7 k€/MW</t>
  </si>
  <si>
    <t xml:space="preserve">Exit timing</t>
  </si>
  <si>
    <t xml:space="preserve">Control_Panel; Inputs; Dashboard</t>
  </si>
  <si>
    <t xml:space="preserve">Control_Panel E27 (→ Inputs row 28); Inputs F28, F64; Dashboard H30</t>
  </si>
  <si>
    <t xml:space="preserve">Lag RTB → sale 9 → 6 months (sale 30/09/2029; interest freeze 30/06/2029 kept). Dashboard FEP-profit title now live from Inputs E58/E64. Ported from Bora MOIC_HTM_model_20260928.xlsb.</t>
  </si>
  <si>
    <t xml:space="preserve">Sale 31/12/2029; RTB FEP IRR 27.3%, MOIC 1.34x</t>
  </si>
  <si>
    <t xml:space="preserve">Sale 30/09/2029; RTB FEP IRR 33.9%, MOIC 1.33x</t>
  </si>
  <si>
    <t xml:space="preserve">Dashboard and Cash_Flow</t>
  </si>
  <si>
    <t xml:space="preserve">Cash_Flow; Dashboard; Inputs; Deposits; HTM; MOIC</t>
  </si>
  <si>
    <t xml:space="preserve">Inputs E6, E16, E20, E24:E26, E82, E90, E142:E148, E167, E168, E173, E174, E207, E233, E234, E244:E250, E294, G:I case cells, rows 300+; Deposits G7, G11, G12, G18, C28:E34; HTM D178:D192, D227:D254, E21, E27, E35, E36, G32, H29:AQ29, E227:E243, G221:G222, rows 260…302, rows 332+; MOIC G143, H225:N226</t>
  </si>
  <si>
    <t xml:space="preserve">Dashboard (one IC page) and Cash_Flow (HTM equity cash flow) added; Cover, Control_Panel, old Dashboard, Bora, Run_Map deleted (links → values; G292 formula moved from Control_Panel E22). Levers on the Dashboard (Dash_*: MVA, overbuild, BESS, PB, municipal, community, build shortfall …); one capacity lever (In_Bids follows); lump sums scaled from the 200 MVA source (In_Scale, E294); wind built = bid − 10 % (In_Wind_Built: HTM E27, E35, G32, Inputs E173/E174); capacity, PB, connection fees, municipal and RtB price on the MVA basis; two cases (EU 950, CN 500 k€/MW); debt tenor 15 years; HTM E21 profit forgone off; HTM block 17 sale at COD to a buyer at 8 % and at the buyer-rate steps; engine defect fixed: gearing-sensitivity tax depreciation (HTM 260…302) now includes the TSO-bond term; sensitivity steps on the Dashboard; Deposits E34 internal check; Module1/Module2 replaced by Scenarios.bas.</t>
  </si>
  <si>
    <t xml:space="preserve">200 MW, BESS 100 MW, PB ×1.5, merchant base, 950 k€/MW, 3 cases, tenor 10</t>
  </si>
  <si>
    <t xml:space="preserve">100 MVA / 140 MW bid / 126 MW built, BESS 40 MW, PB ×1.0, PPA 90 €/MWh 30 yrs, 950 / 500 k€/MW</t>
  </si>
  <si>
    <t xml:space="preserve">User 22-Oct-2026; projects/bora_v5_summary/SPEC.md</t>
  </si>
  <si>
    <t xml:space="preserve">Refinancing at COD + 1</t>
  </si>
  <si>
    <t xml:space="preserve">Inputs; HTM; Dashboard</t>
  </si>
  <si>
    <t xml:space="preserve">Inputs I7:I8, I217:I220, F217, rows 349–355; HTM rows 77, 81, 83, 85, 87, C87, G158, block 18 (rows 357+); Dashboard returns and key-assumption rows</t>
  </si>
  <si>
    <t xml:space="preserve">Case 3 refinances at the end of the year after the COD year: old loan repaid (prepayment row), new loan at base gearing + 4 pp, 4.5 %, 15-year annuity, upfront fee; release to equity via the debt rows.</t>
  </si>
  <si>
    <t xml:space="preserve">Case 3: 64 % at 4.5 % from NTP</t>
  </si>
  <si>
    <t xml:space="preserve">Case 3: 60 % at 5 %, refinanced at COD + 1 to 64 % at 4.5 %</t>
  </si>
  <si>
    <t xml:space="preserve">User 22-Oct-2026; SPEC §16</t>
  </si>
  <si>
    <t xml:space="preserve">OVIT overbuild, clipping curve, Bid_Points</t>
  </si>
  <si>
    <t xml:space="preserve">Dashboard; Inputs; Bid_Points</t>
  </si>
  <si>
    <t xml:space="preserve">Dashboard levers, key assumptions, check row; Inputs block U clipping curve and helpers; new sheet Bid_Points; Dash_Bottleneck_Loss removed</t>
  </si>
  <si>
    <t xml:space="preserve">Overbuild 51 % (max-points band), shortfall 10 %, BESS 30 % × 4 h, municipal 50, community 3; clipping per OVIT memo Table 7 replaces the 5 % rule; Wind HU points sheet linked to the model (ÖSZ-6 top band inclusive).</t>
  </si>
  <si>
    <t xml:space="preserve">Overbuild 11 %, BESS 0, municipal 0, community 0, 5 % of overbuilt MW lost</t>
  </si>
  <si>
    <t xml:space="preserve">Overbuild 51 %, BESS 30 MW / 120 MWh, municipal 50, community 3, OVIT clipping curve</t>
  </si>
  <si>
    <t xml:space="preserve">User 26-Oct-2026; SPEC §17</t>
  </si>
  <si>
    <t xml:space="preserve">FEP devex line items (k€) – BORA Devex basis, feeds MOIC row 18 when Inputs E67 = 1</t>
  </si>
  <si>
    <t xml:space="preserve">Devex row</t>
  </si>
  <si>
    <t xml:space="preserve">Task</t>
  </si>
  <si>
    <t xml:space="preserve">Amount (k€)</t>
  </si>
  <si>
    <t xml:space="preserve">FEP pays (1/0)</t>
  </si>
  <si>
    <t xml:space="preserve">FEP principal (k€)</t>
  </si>
  <si>
    <t xml:space="preserve">Buyer reimburses at RtB exit (1/0)</t>
  </si>
  <si>
    <t xml:space="preserve">Buyer-reimbursed principal (k€)</t>
  </si>
  <si>
    <t xml:space="preserve">Base amount – BORA Devex, unscaled (k€)</t>
  </si>
  <si>
    <t xml:space="preserve">Capacity allocation process - Awarding</t>
  </si>
  <si>
    <t xml:space="preserve">Land reservation fee</t>
  </si>
  <si>
    <t xml:space="preserve">Grid connection plan</t>
  </si>
  <si>
    <t xml:space="preserve">Land contracting (additional land)</t>
  </si>
  <si>
    <t xml:space="preserve">Legal fee, agent fee</t>
  </si>
  <si>
    <t xml:space="preserve">Wind measurement</t>
  </si>
  <si>
    <t xml:space="preserve">Met Masts</t>
  </si>
  <si>
    <t xml:space="preserve">Land reclassification </t>
  </si>
  <si>
    <t xml:space="preserve">Zoning plan modification </t>
  </si>
  <si>
    <t xml:space="preserve">Municipality donation</t>
  </si>
  <si>
    <t xml:space="preserve">Donation</t>
  </si>
  <si>
    <t xml:space="preserve">Environmental assessment</t>
  </si>
  <si>
    <t xml:space="preserve">Bird-bat monitoring</t>
  </si>
  <si>
    <t xml:space="preserve">Other project development </t>
  </si>
  <si>
    <t xml:space="preserve">Geotechnical assessment fee</t>
  </si>
  <si>
    <t xml:space="preserve">Building permit - Turbines</t>
  </si>
  <si>
    <t xml:space="preserve">Cable right</t>
  </si>
  <si>
    <t xml:space="preserve">Building permit - Substation, switching station</t>
  </si>
  <si>
    <t xml:space="preserve">Building permit - BESS</t>
  </si>
  <si>
    <t xml:space="preserve">HEPURA permit</t>
  </si>
  <si>
    <t xml:space="preserve">Other costs (HR, car etc.) </t>
  </si>
  <si>
    <t xml:space="preserve">RtB </t>
  </si>
  <si>
    <t xml:space="preserve">Contingency (% of FEP-borne devex incl. participation fee)</t>
  </si>
  <si>
    <t xml:space="preserve">Column E = column L × devex scaling factor (Inputs E294, block M). Bora factor = 1.</t>
  </si>
  <si>
    <t xml:space="preserve">J = 1: paid by FEP, earns the at-risk flat 2× return, principal reimbursed by the buyer at RtB exit (not refunded if the project fails). Devex rows 14–15 per BORA_Devex update 29/09/2026. Feeds MOIC row 20.</t>
  </si>
  <si>
    <t xml:space="preserve">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</si>
  <si>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 xml:space="preserve">Copy of BORA_Devex_20260925.xlsx, Sheet1 (B2:AY72), imported 29-Sep-2026 as the reference for Devex_FEP. Do not edit here – update from the source file.</t>
  </si>
  <si>
    <t xml:space="preserve">PROJECT BORA </t>
  </si>
  <si>
    <t xml:space="preserve">TERM SHEET Conditions</t>
  </si>
  <si>
    <t xml:space="preserve">FEP proposal - Bank guarantee ok, connection fee not at risk, no GA</t>
  </si>
  <si>
    <t xml:space="preserve">Task/Permit</t>
  </si>
  <si>
    <t xml:space="preserve">Expected start date</t>
  </si>
  <si>
    <t xml:space="preserve">Expected end date</t>
  </si>
  <si>
    <t xml:space="preserve">Expected payment  date</t>
  </si>
  <si>
    <t xml:space="preserve">Days in 1st year</t>
  </si>
  <si>
    <t xml:space="preserve">Connected payment </t>
  </si>
  <si>
    <t xml:space="preserve">Amount of payment 
(net, HUF)</t>
  </si>
  <si>
    <t xml:space="preserve">Amount of payment 
(net, EUR)</t>
  </si>
  <si>
    <t xml:space="preserve">Exit: 2029.12.31.</t>
  </si>
  <si>
    <t xml:space="preserve">Exit: 2029.06.30.</t>
  </si>
  <si>
    <t xml:space="preserve">Comment </t>
  </si>
  <si>
    <t xml:space="preserve">Amount with interest  (net, EUR)</t>
  </si>
  <si>
    <t xml:space="preserve">Interest amount (EUR) </t>
  </si>
  <si>
    <t xml:space="preserve">FEP pays?</t>
  </si>
  <si>
    <t xml:space="preserve">FEP principal</t>
  </si>
  <si>
    <t xml:space="preserve">Case B carrying cost</t>
  </si>
  <si>
    <t xml:space="preserve">TERM SHEET interest</t>
  </si>
  <si>
    <t xml:space="preserve">(1=yes, 0=no)</t>
  </si>
  <si>
    <t xml:space="preserve">(EUR)</t>
  </si>
  <si>
    <t xml:space="preserve">(EUR, to sale)</t>
  </si>
  <si>
    <t xml:space="preserve">MEKH capacity  tender</t>
  </si>
  <si>
    <t xml:space="preserve">Application fee</t>
  </si>
  <si>
    <t xml:space="preserve">Application bond</t>
  </si>
  <si>
    <t xml:space="preserve">W+BESS; bank guarantee</t>
  </si>
  <si>
    <t xml:space="preserve">FY rate (HUF/EUR)</t>
  </si>
  <si>
    <t xml:space="preserve">W+BESS; Application bond deducted; w/ 50% extra; bank guarantee</t>
  </si>
  <si>
    <t xml:space="preserve">Wind capacity (MW)</t>
  </si>
  <si>
    <t xml:space="preserve">Capacity allocation process - Application</t>
  </si>
  <si>
    <t xml:space="preserve">Application bond (TSO)</t>
  </si>
  <si>
    <t xml:space="preserve">NOT bank guarantee; refunded if project fails</t>
  </si>
  <si>
    <t xml:space="preserve">BESS percentage </t>
  </si>
  <si>
    <t xml:space="preserve">Supplementary grid bond - 2027</t>
  </si>
  <si>
    <t xml:space="preserve">Supplementary grid bond annual instalment for 2027</t>
  </si>
  <si>
    <t xml:space="preserve">double amount; bank guarantee; refunded if project fails</t>
  </si>
  <si>
    <t xml:space="preserve">BESS connection capacity (MW)</t>
  </si>
  <si>
    <t xml:space="preserve">Supplementary grid bond - 2028</t>
  </si>
  <si>
    <t xml:space="preserve">Supplementary grid bond annual instalment for 2028</t>
  </si>
  <si>
    <t xml:space="preserve">bank guarantee; refunded if project fails</t>
  </si>
  <si>
    <t xml:space="preserve">BESS storage capacity (MWh) – 2h</t>
  </si>
  <si>
    <t xml:space="preserve">Supplementary grid bond - refund</t>
  </si>
  <si>
    <t xml:space="preserve">Supplementary grid bond refund after BP</t>
  </si>
  <si>
    <t xml:space="preserve">refund after BP (with time buffer)</t>
  </si>
  <si>
    <t xml:space="preserve">Benchmark CAPEX - wind (HUF/MW)</t>
  </si>
  <si>
    <t xml:space="preserve">Supplementary grid bond - 2029</t>
  </si>
  <si>
    <t xml:space="preserve">Supplementary grid bond annual instalment for 2029</t>
  </si>
  <si>
    <t xml:space="preserve">50% after building permit; bank guarantee; refunded if project fails</t>
  </si>
  <si>
    <t xml:space="preserve">Benchmark CAPEX - BESS (HUF/MWh)</t>
  </si>
  <si>
    <t xml:space="preserve">Supplementary grid bond - 2030</t>
  </si>
  <si>
    <t xml:space="preserve">Supplementary grid bond annual instalment for 2030</t>
  </si>
  <si>
    <t xml:space="preserve">50% after building permit - to be paid by new owner; refunded if project fails</t>
  </si>
  <si>
    <t xml:space="preserve">Tender application</t>
  </si>
  <si>
    <t xml:space="preserve">Potentially to be increased</t>
  </si>
  <si>
    <t xml:space="preserve">No. of top. lots</t>
  </si>
  <si>
    <t xml:space="preserve">Land purchase price </t>
  </si>
  <si>
    <t xml:space="preserve">No. of WTGs</t>
  </si>
  <si>
    <t xml:space="preserve">Design fee </t>
  </si>
  <si>
    <t xml:space="preserve">No. of small power plants</t>
  </si>
  <si>
    <t xml:space="preserve">No. of municipalities </t>
  </si>
  <si>
    <t xml:space="preserve">Grid connection agreement </t>
  </si>
  <si>
    <t xml:space="preserve">Connection fee - Indirect</t>
  </si>
  <si>
    <t xml:space="preserve">TSO application bond deducted</t>
  </si>
  <si>
    <t xml:space="preserve">RtB year </t>
  </si>
  <si>
    <t xml:space="preserve">Connection fee - Direct</t>
  </si>
  <si>
    <t xml:space="preserve">depending on the SPV's declaration and TSO's decision</t>
  </si>
  <si>
    <t xml:space="preserve">Legal fee, agent fee </t>
  </si>
  <si>
    <t xml:space="preserve">to be paid</t>
  </si>
  <si>
    <t xml:space="preserve">Met Masts </t>
  </si>
  <si>
    <t xml:space="preserve">for 2 MM</t>
  </si>
  <si>
    <t xml:space="preserve">EYA </t>
  </si>
  <si>
    <t xml:space="preserve">Donation </t>
  </si>
  <si>
    <t xml:space="preserve">Administrative fee </t>
  </si>
  <si>
    <t xml:space="preserve">Topography </t>
  </si>
  <si>
    <t xml:space="preserve">FEP Split</t>
  </si>
  <si>
    <t xml:space="preserve">Bank quarantee %</t>
  </si>
  <si>
    <t xml:space="preserve">DSA / success fee (EUR/MW/yr)</t>
  </si>
  <si>
    <t xml:space="preserve">W+BESS</t>
  </si>
  <si>
    <t xml:space="preserve">DSA accrual start (signing)</t>
  </si>
  <si>
    <t xml:space="preserve">Exit date</t>
  </si>
  <si>
    <t xml:space="preserve">Continuous</t>
  </si>
  <si>
    <t xml:space="preserve">TERM SHEET Exit: 2029.06.30.</t>
  </si>
  <si>
    <t xml:space="preserve">NEW FEP proposal EXit: 2029.12.31.</t>
  </si>
  <si>
    <t xml:space="preserve">OLD FEP proposal EXit: 2029.12.31</t>
  </si>
  <si>
    <t xml:space="preserve"> FEP proposal EXit: 2029.12.31</t>
  </si>
  <si>
    <t xml:space="preserve">EUR</t>
  </si>
  <si>
    <t xml:space="preserve">EUR/MW</t>
  </si>
  <si>
    <t xml:space="preserve">Purchase price</t>
  </si>
  <si>
    <t xml:space="preserve">Total interest</t>
  </si>
  <si>
    <t xml:space="preserve">Transaction costs</t>
  </si>
  <si>
    <t xml:space="preserve">DSA</t>
  </si>
  <si>
    <t xml:space="preserve">TOTAL WITH BONDS AND CONN FEE</t>
  </si>
  <si>
    <t xml:space="preserve">Profit - total</t>
  </si>
  <si>
    <t xml:space="preserve">TOTAL WITH BONDS AND CONN FEE /MW (FOR WIND)</t>
  </si>
  <si>
    <t xml:space="preserve">Profit FGX</t>
  </si>
  <si>
    <t xml:space="preserve">TOTAL WITHOUT BONDS AND CONN FEE </t>
  </si>
  <si>
    <t xml:space="preserve">Profit FGX + interest</t>
  </si>
  <si>
    <t xml:space="preserve">TOTAL WITHOUT BONDS AND CONN FEE /MW (FOR WIND)</t>
  </si>
  <si>
    <t xml:space="preserve">Profit Ventus+Solementore</t>
  </si>
  <si>
    <t xml:space="preserve">TOTAL BONDS AND CONN FEE</t>
  </si>
  <si>
    <t xml:space="preserve">Profit + DSA Ventus+Solementore</t>
  </si>
  <si>
    <t xml:space="preserve">Diff</t>
  </si>
  <si>
    <t xml:space="preserve">Profit FGX + interest - Devex</t>
  </si>
  <si>
    <t xml:space="preserve">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</si>
  <si>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 xml:space="preserve">Cases – NEW FEP proposal (sale 31/12/2029)</t>
  </si>
  <si>
    <t xml:space="preserve">k€ / mHUF</t>
  </si>
  <si>
    <t xml:space="preserve">Bank guarantee fee (% p.a., all-in)</t>
  </si>
  <si>
    <t xml:space="preserve">Cost of capital – cash-funded items (% p.a., Bora MOIC standard)</t>
  </si>
  <si>
    <t xml:space="preserve">DD costs</t>
  </si>
  <si>
    <t xml:space="preserve">Case A – profit without cost of capital</t>
  </si>
  <si>
    <t xml:space="preserve">Less: signing fee</t>
  </si>
  <si>
    <t xml:space="preserve">Less: DD costs</t>
  </si>
  <si>
    <t xml:space="preserve">Less: bank guarantee fees (guarantee-backed securities)</t>
  </si>
  <si>
    <t xml:space="preserve">Less: cost of capital (TSO bond, conn. fee, particip. fee, devex)</t>
  </si>
  <si>
    <t xml:space="preserve">Case B – profit after cost of capital</t>
  </si>
</sst>
</file>

<file path=xl/styles.xml><?xml version="1.0" encoding="utf-8"?>
<styleSheet xmlns="http://schemas.openxmlformats.org/spreadsheetml/2006/main">
  <numFmts count="40">
    <numFmt numFmtId="164" formatCode="General"/>
    <numFmt numFmtId="165" formatCode="_(* #,##0.00_);_(* \(#,##0.00\);_(* \-??_);_(@_)"/>
    <numFmt numFmtId="166" formatCode="#,##0.0;\(#,##0.0\);\–"/>
    <numFmt numFmtId="167" formatCode="#,##0;\(#,##0\);\–"/>
    <numFmt numFmtId="168" formatCode="0"/>
    <numFmt numFmtId="169" formatCode="@"/>
    <numFmt numFmtId="170" formatCode="0%"/>
    <numFmt numFmtId="171" formatCode="0.0%;\(0.0%\);\–"/>
    <numFmt numFmtId="172" formatCode="0.00"/>
    <numFmt numFmtId="173" formatCode="0;\-0;\–"/>
    <numFmt numFmtId="174" formatCode="0.00\x"/>
    <numFmt numFmtId="175" formatCode="#,##0.00;\(#,##0.00\);\–"/>
    <numFmt numFmtId="176" formatCode="0.00%"/>
    <numFmt numFmtId="177" formatCode="0.0E+00"/>
    <numFmt numFmtId="178" formatCode="0.0%"/>
    <numFmt numFmtId="179" formatCode="d\-mmm\-yy"/>
    <numFmt numFmtId="180" formatCode="_(* #,##0.00_);_(* \(#,##0.00\);_(* \-??_);_(@_)"/>
    <numFmt numFmtId="181" formatCode="_-* #,##0.00_-;\-* #,##0.00_-;_-* \-??_-;_-@_-"/>
    <numFmt numFmtId="182" formatCode="#,##0"/>
    <numFmt numFmtId="183" formatCode="dd\-mmm\-yy"/>
    <numFmt numFmtId="184" formatCode="0.0"/>
    <numFmt numFmtId="185" formatCode="0.0\x"/>
    <numFmt numFmtId="186" formatCode="General"/>
    <numFmt numFmtId="187" formatCode="#,##0;\(#,##0\);\-"/>
    <numFmt numFmtId="188" formatCode="#,##0.0;\(#,##0.0\);\-"/>
    <numFmt numFmtId="189" formatCode="#,##0.00"/>
    <numFmt numFmtId="190" formatCode="m/d/yyyy"/>
    <numFmt numFmtId="191" formatCode="#,##0.00;\(#,##0.00\);\-"/>
    <numFmt numFmtId="192" formatCode="#,##0.0"/>
    <numFmt numFmtId="193" formatCode="0.000"/>
    <numFmt numFmtId="194" formatCode="0.000\x"/>
    <numFmt numFmtId="195" formatCode="0.0000"/>
    <numFmt numFmtId="196" formatCode="0.000000"/>
    <numFmt numFmtId="197" formatCode="mmm\-yy"/>
    <numFmt numFmtId="198" formatCode="0.000%"/>
    <numFmt numFmtId="199" formatCode="#,##0.000;\(#,##0.000\);\-"/>
    <numFmt numFmtId="200" formatCode="_-* #,##0_-;\-* #,##0_-;_-* \-??_-;_-@_-"/>
    <numFmt numFmtId="201" formatCode="_-* #,##0_-;\-* #,##0_-;_-* \-??_-;_-@"/>
    <numFmt numFmtId="202" formatCode="yyyy\.mm\.dd"/>
    <numFmt numFmtId="203" formatCode="_-* #,##0.0_-;\-* #,##0.0_-;_-* \-??_-;_-@_-"/>
  </numFmts>
  <fonts count="44">
    <font>
      <sz val="11"/>
      <color theme="1"/>
      <name val="Calibri"/>
      <family val="2"/>
      <charset val="1"/>
    </font>
    <font>
      <sz val="10"/>
      <name val="Arial"/>
      <family val="0"/>
    </font>
    <font>
      <sz val="10"/>
      <name val="Arial"/>
      <family val="0"/>
    </font>
    <font>
      <sz val="10"/>
      <name val="Arial"/>
      <family val="0"/>
    </font>
    <font>
      <b val="true"/>
      <sz val="12"/>
      <color rgb="FFFFFFFF"/>
      <name val="Aptos Narrow"/>
      <family val="2"/>
      <charset val="1"/>
    </font>
    <font>
      <sz val="10"/>
      <color rgb="FF000000"/>
      <name val="Aptos Narrow"/>
      <family val="2"/>
      <charset val="1"/>
    </font>
    <font>
      <b val="true"/>
      <sz val="10"/>
      <color rgb="FF808080"/>
      <name val="Aptos Narrow"/>
      <family val="2"/>
      <charset val="1"/>
    </font>
    <font>
      <b val="true"/>
      <sz val="10"/>
      <color rgb="FF3C3C3B"/>
      <name val="Aptos Narrow"/>
      <family val="2"/>
      <charset val="1"/>
    </font>
    <font>
      <sz val="10"/>
      <color rgb="FF0000FF"/>
      <name val="Aptos Narrow"/>
      <family val="2"/>
      <charset val="1"/>
    </font>
    <font>
      <sz val="10"/>
      <color rgb="FF00B050"/>
      <name val="Aptos Narrow"/>
      <family val="2"/>
      <charset val="1"/>
    </font>
    <font>
      <sz val="10"/>
      <color rgb="FF7030A0"/>
      <name val="Aptos Narrow"/>
      <family val="2"/>
      <charset val="1"/>
    </font>
    <font>
      <b val="true"/>
      <sz val="10"/>
      <color rgb="FFFFFFFF"/>
      <name val="Aptos Narrow"/>
      <family val="2"/>
      <charset val="1"/>
    </font>
    <font>
      <b val="true"/>
      <sz val="10"/>
      <color rgb="FF000000"/>
      <name val="Aptos Narrow"/>
      <family val="2"/>
      <charset val="1"/>
    </font>
    <font>
      <i val="true"/>
      <sz val="10"/>
      <color rgb="FF808080"/>
      <name val="Aptos Narrow"/>
      <family val="2"/>
      <charset val="1"/>
    </font>
    <font>
      <sz val="10"/>
      <color theme="1"/>
      <name val="Arial"/>
      <family val="2"/>
      <charset val="1"/>
    </font>
    <font>
      <sz val="11"/>
      <name val="Calibri"/>
      <family val="2"/>
      <charset val="1"/>
    </font>
    <font>
      <b val="true"/>
      <sz val="10"/>
      <name val="Aptos Narrow"/>
      <family val="2"/>
      <charset val="1"/>
    </font>
    <font>
      <sz val="10"/>
      <color rgb="FF008000"/>
      <name val="Aptos Narrow"/>
      <family val="2"/>
      <charset val="1"/>
    </font>
    <font>
      <sz val="11"/>
      <color rgb="FF0000FF"/>
      <name val="Calibri"/>
      <family val="2"/>
      <charset val="1"/>
    </font>
    <font>
      <i val="true"/>
      <sz val="11"/>
      <color rgb="FF808080"/>
      <name val="Calibri"/>
      <family val="2"/>
      <charset val="1"/>
    </font>
    <font>
      <sz val="10"/>
      <name val="Arial"/>
      <family val="2"/>
    </font>
    <font>
      <b val="true"/>
      <sz val="16"/>
      <color rgb="FF0000FF"/>
      <name val="Aptos Narrow"/>
      <family val="2"/>
      <charset val="1"/>
    </font>
    <font>
      <sz val="10"/>
      <color rgb="FF00B050"/>
      <name val="Aptos Narrow"/>
      <family val="0"/>
      <charset val="1"/>
    </font>
    <font>
      <sz val="10"/>
      <color rgb="FF000000"/>
      <name val="Aptos Narrow"/>
      <family val="0"/>
      <charset val="1"/>
    </font>
    <font>
      <b val="true"/>
      <sz val="14"/>
      <color theme="1"/>
      <name val="Calibri"/>
      <family val="2"/>
      <charset val="1"/>
    </font>
    <font>
      <i val="true"/>
      <sz val="11"/>
      <color rgb="FF595959"/>
      <name val="Calibri"/>
      <family val="2"/>
      <charset val="1"/>
    </font>
    <font>
      <b val="true"/>
      <sz val="11"/>
      <color rgb="FFFFFFFF"/>
      <name val="Calibri"/>
      <family val="2"/>
      <charset val="1"/>
    </font>
    <font>
      <b val="true"/>
      <sz val="11"/>
      <color rgb="FF008000"/>
      <name val="Calibri"/>
      <family val="2"/>
      <charset val="1"/>
    </font>
    <font>
      <b val="true"/>
      <sz val="11"/>
      <color theme="1"/>
      <name val="Calibri"/>
      <family val="2"/>
      <charset val="1"/>
    </font>
    <font>
      <b val="true"/>
      <i val="true"/>
      <sz val="11"/>
      <color rgb="FF595959"/>
      <name val="Calibri"/>
      <family val="2"/>
      <charset val="1"/>
    </font>
    <font>
      <sz val="11"/>
      <color rgb="FF000000"/>
      <name val="Calibri"/>
      <family val="2"/>
      <charset val="1"/>
    </font>
    <font>
      <sz val="11"/>
      <color rgb="FF00B050"/>
      <name val="Calibri"/>
      <family val="2"/>
      <charset val="1"/>
    </font>
    <font>
      <sz val="11"/>
      <color rgb="FF008000"/>
      <name val="Calibri"/>
      <family val="2"/>
      <charset val="1"/>
    </font>
    <font>
      <i val="true"/>
      <sz val="11"/>
      <color theme="1"/>
      <name val="Calibri"/>
      <family val="2"/>
      <charset val="1"/>
    </font>
    <font>
      <b val="true"/>
      <i val="true"/>
      <sz val="11"/>
      <color theme="1"/>
      <name val="Calibri"/>
      <family val="2"/>
      <charset val="1"/>
    </font>
    <font>
      <sz val="11"/>
      <color rgb="FF808080"/>
      <name val="Calibri"/>
      <family val="2"/>
      <charset val="1"/>
    </font>
    <font>
      <b val="true"/>
      <sz val="11"/>
      <color theme="1"/>
      <name val="Calibri"/>
      <family val="2"/>
      <charset val="238"/>
    </font>
    <font>
      <sz val="11"/>
      <color theme="1"/>
      <name val="Calibri"/>
      <family val="2"/>
      <charset val="238"/>
    </font>
    <font>
      <i val="true"/>
      <sz val="11"/>
      <color rgb="FFED0000"/>
      <name val="Calibri"/>
      <family val="2"/>
      <charset val="1"/>
    </font>
    <font>
      <b val="true"/>
      <sz val="11"/>
      <color rgb="FF000000"/>
      <name val="Calibri"/>
      <family val="2"/>
      <charset val="1"/>
    </font>
    <font>
      <i val="true"/>
      <sz val="11"/>
      <color rgb="FF000000"/>
      <name val="Calibri"/>
      <family val="2"/>
      <charset val="1"/>
    </font>
    <font>
      <b val="true"/>
      <i val="true"/>
      <sz val="11"/>
      <color rgb="FFC00000"/>
      <name val="Calibri"/>
      <family val="2"/>
      <charset val="1"/>
    </font>
    <font>
      <b val="true"/>
      <sz val="12"/>
      <color theme="1"/>
      <name val="Calibri"/>
      <family val="2"/>
      <charset val="1"/>
    </font>
    <font>
      <i val="true"/>
      <sz val="11"/>
      <color rgb="FF7F7F7F"/>
      <name val="Calibri"/>
      <family val="2"/>
      <charset val="1"/>
    </font>
  </fonts>
  <fills count="15">
    <fill>
      <patternFill patternType="none"/>
    </fill>
    <fill>
      <patternFill patternType="gray125"/>
    </fill>
    <fill>
      <patternFill patternType="solid">
        <fgColor rgb="FF808080"/>
        <bgColor rgb="FF7F7F7F"/>
      </patternFill>
    </fill>
    <fill>
      <patternFill patternType="solid">
        <fgColor rgb="FF00563C"/>
        <bgColor rgb="FF1F3864"/>
      </patternFill>
    </fill>
    <fill>
      <patternFill patternType="solid">
        <fgColor rgb="FFFFF2CC"/>
        <bgColor rgb="FFFFF9E6"/>
      </patternFill>
    </fill>
    <fill>
      <patternFill patternType="solid">
        <fgColor rgb="FFEDEDED"/>
        <bgColor rgb="FFF2F2F2"/>
      </patternFill>
    </fill>
    <fill>
      <patternFill patternType="solid">
        <fgColor rgb="FFE6F4EC"/>
        <bgColor rgb="FFEDEDED"/>
      </patternFill>
    </fill>
    <fill>
      <patternFill patternType="solid">
        <fgColor rgb="FFFFFF00"/>
        <bgColor rgb="FFFFFF00"/>
      </patternFill>
    </fill>
    <fill>
      <patternFill patternType="solid">
        <fgColor rgb="FFFFC000"/>
        <bgColor rgb="FFFF9900"/>
      </patternFill>
    </fill>
    <fill>
      <patternFill patternType="solid">
        <fgColor rgb="FF1F3864"/>
        <bgColor rgb="FF333399"/>
      </patternFill>
    </fill>
    <fill>
      <patternFill patternType="solid">
        <fgColor rgb="FFFFF9E6"/>
        <bgColor rgb="FFFFFFFF"/>
      </patternFill>
    </fill>
    <fill>
      <patternFill patternType="solid">
        <fgColor rgb="FFD9E1F2"/>
        <bgColor rgb="FFE2EFDA"/>
      </patternFill>
    </fill>
    <fill>
      <patternFill patternType="solid">
        <fgColor rgb="FFE2EFDA"/>
        <bgColor rgb="FFE6F4EC"/>
      </patternFill>
    </fill>
    <fill>
      <patternFill patternType="solid">
        <fgColor rgb="FFF2F2F2"/>
        <bgColor rgb="FFEDEDED"/>
      </patternFill>
    </fill>
    <fill>
      <patternFill patternType="solid">
        <fgColor rgb="FFC6EFCE"/>
        <bgColor rgb="FFE2EFDA"/>
      </patternFill>
    </fill>
  </fills>
  <borders count="12">
    <border diagonalUp="false" diagonalDown="false">
      <left/>
      <right/>
      <top/>
      <bottom/>
      <diagonal/>
    </border>
    <border diagonalUp="false" diagonalDown="false">
      <left/>
      <right/>
      <top/>
      <bottom style="medium">
        <color rgb="FF3C3C3B"/>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right/>
      <top style="thin"/>
      <bottom/>
      <diagonal/>
    </border>
    <border diagonalUp="false" diagonalDown="false">
      <left style="thin">
        <color rgb="FFBFBFBF"/>
      </left>
      <right/>
      <top/>
      <bottom/>
      <diagonal/>
    </border>
    <border diagonalUp="false" diagonalDown="false">
      <left/>
      <right/>
      <top/>
      <bottom style="medium"/>
      <diagonal/>
    </border>
    <border diagonalUp="false" diagonalDown="false">
      <left style="thin">
        <color rgb="FFBFBFBF"/>
      </left>
      <right style="thin">
        <color rgb="FFBFBFBF"/>
      </right>
      <top style="thin">
        <color rgb="FFBFBFBF"/>
      </top>
      <bottom style="medium"/>
      <diagonal/>
    </border>
    <border diagonalUp="false" diagonalDown="false">
      <left style="thin">
        <color rgb="FFBFBFBF"/>
      </left>
      <right style="thin">
        <color rgb="FFBFBFBF"/>
      </right>
      <top/>
      <bottom style="thin">
        <color rgb="FFBFBFBF"/>
      </bottom>
      <diagonal/>
    </border>
    <border diagonalUp="false" diagonalDown="false">
      <left/>
      <right/>
      <top/>
      <bottom style="thin"/>
      <diagonal/>
    </border>
    <border diagonalUp="false" diagonalDown="false">
      <left/>
      <right/>
      <top style="thin"/>
      <bottom style="thin"/>
      <diagonal/>
    </border>
    <border diagonalUp="false" diagonalDown="false">
      <left/>
      <right/>
      <top style="thin">
        <color rgb="FFBFBFBF"/>
      </top>
      <bottom/>
      <diagonal/>
    </border>
    <border diagonalUp="false" diagonalDown="false">
      <left/>
      <right/>
      <top style="thin">
        <color rgb="FFBFBFBF"/>
      </top>
      <bottom style="thin">
        <color rgb="FFBFBFBF"/>
      </bottom>
      <diagonal/>
    </border>
  </borders>
  <cellStyleXfs count="39">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80" fontId="0" fillId="0" borderId="0" applyFont="true" applyBorder="true" applyAlignment="true" applyProtection="true">
      <alignment horizontal="general" vertical="bottom" textRotation="0" wrapText="false" indent="0" shrinkToFit="false"/>
      <protection locked="true" hidden="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0" fontId="0" fillId="0"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center"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right"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1" applyFont="true" applyBorder="true" applyAlignment="true" applyProtection="true">
      <alignment horizontal="right" vertical="bottom" textRotation="0" wrapText="false" indent="0" shrinkToFit="false"/>
      <protection locked="true" hidden="false"/>
    </xf>
    <xf numFmtId="164" fontId="8" fillId="4" borderId="2" applyFont="true" applyBorder="true" applyAlignment="true" applyProtection="true">
      <alignment horizontal="right"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right" vertical="bottom" textRotation="0" wrapText="false" indent="0" shrinkToFit="false"/>
      <protection locked="true" hidden="false"/>
    </xf>
    <xf numFmtId="164" fontId="10" fillId="5" borderId="2" applyFont="true" applyBorder="true" applyAlignment="true" applyProtection="true">
      <alignment horizontal="right" vertical="bottom" textRotation="0" wrapText="false" indent="0" shrinkToFit="false"/>
      <protection locked="true" hidden="false"/>
    </xf>
    <xf numFmtId="164" fontId="11" fillId="3" borderId="0" applyFont="true" applyBorder="true" applyAlignment="true" applyProtection="true">
      <alignment horizontal="general" vertical="bottom" textRotation="0" wrapText="false" indent="0" shrinkToFit="false"/>
      <protection locked="true" hidden="false"/>
    </xf>
    <xf numFmtId="164" fontId="7" fillId="6" borderId="0" applyFont="true" applyBorder="true" applyAlignment="true" applyProtection="true">
      <alignment horizontal="general" vertical="bottom" textRotation="0" wrapText="false" indent="0" shrinkToFit="false"/>
      <protection locked="true" hidden="false"/>
    </xf>
    <xf numFmtId="164" fontId="12" fillId="0" borderId="3" applyFont="true" applyBorder="true" applyAlignment="true" applyProtection="true">
      <alignment horizontal="right" vertical="bottom" textRotation="0" wrapText="false" indent="0" shrinkToFit="false"/>
      <protection locked="true" hidden="false"/>
    </xf>
    <xf numFmtId="164" fontId="13"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cellStyleXfs>
  <cellXfs count="328">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3" borderId="0" xfId="22" applyFont="true" applyBorder="false" applyAlignment="false" applyProtection="false">
      <alignment horizontal="general"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false" indent="0" shrinkToFit="false"/>
      <protection locked="true" hidden="false"/>
    </xf>
    <xf numFmtId="164" fontId="5" fillId="0" borderId="0" xfId="27" applyFont="true" applyBorder="false" applyAlignment="false" applyProtection="false">
      <alignment horizontal="general" vertical="bottom" textRotation="0" wrapText="false" indent="0" shrinkToFit="false"/>
      <protection locked="true" hidden="false"/>
    </xf>
    <xf numFmtId="166" fontId="9" fillId="0" borderId="0" xfId="28" applyFont="true" applyBorder="false" applyAlignment="true" applyProtection="false">
      <alignment horizontal="right" vertical="bottom" textRotation="0" wrapText="false" indent="0" shrinkToFit="false"/>
      <protection locked="true" hidden="false"/>
    </xf>
    <xf numFmtId="167" fontId="9" fillId="0" borderId="0" xfId="28" applyFont="true" applyBorder="false" applyAlignment="true" applyProtection="false">
      <alignment horizontal="right" vertical="bottom" textRotation="0" wrapText="false" indent="0" shrinkToFit="false"/>
      <protection locked="true" hidden="false"/>
    </xf>
    <xf numFmtId="167" fontId="5" fillId="0" borderId="0" xfId="23" applyFont="true" applyBorder="false" applyAlignment="true" applyProtection="false">
      <alignment horizontal="right" vertical="bottom" textRotation="0" wrapText="false" indent="0" shrinkToFit="false"/>
      <protection locked="true" hidden="false"/>
    </xf>
    <xf numFmtId="164" fontId="13" fillId="0" borderId="0" xfId="33" applyFont="true" applyBorder="false" applyAlignment="false" applyProtection="false">
      <alignment horizontal="general" vertical="bottom" textRotation="0" wrapText="false" indent="0" shrinkToFit="false"/>
      <protection locked="true" hidden="false"/>
    </xf>
    <xf numFmtId="168" fontId="7" fillId="0" borderId="1" xfId="25" applyFont="true" applyBorder="true" applyAlignment="true" applyProtection="false">
      <alignment horizontal="right" vertical="bottom" textRotation="0" wrapText="false" indent="0" shrinkToFit="false"/>
      <protection locked="true" hidden="false"/>
    </xf>
    <xf numFmtId="164" fontId="7" fillId="6" borderId="0" xfId="31" applyFont="true" applyBorder="false" applyAlignment="false" applyProtection="false">
      <alignment horizontal="general" vertical="bottom" textRotation="0" wrapText="false" indent="0" shrinkToFit="false"/>
      <protection locked="true" hidden="false"/>
    </xf>
    <xf numFmtId="164" fontId="7" fillId="6" borderId="0" xfId="31" applyFont="true" applyBorder="false" applyAlignment="true" applyProtection="false">
      <alignment horizontal="center" vertical="bottom" textRotation="0" wrapText="false" indent="0" shrinkToFit="false"/>
      <protection locked="true" hidden="false"/>
    </xf>
    <xf numFmtId="166" fontId="5" fillId="0" borderId="0" xfId="23" applyFont="true" applyBorder="false" applyAlignment="true" applyProtection="false">
      <alignment horizontal="right" vertical="bottom" textRotation="0" wrapText="false" indent="0" shrinkToFit="false"/>
      <protection locked="true" hidden="false"/>
    </xf>
    <xf numFmtId="164" fontId="16" fillId="0" borderId="0" xfId="27" applyFont="true" applyBorder="false" applyAlignment="false" applyProtection="false">
      <alignment horizontal="general" vertical="bottom" textRotation="0" wrapText="false" indent="0" shrinkToFit="false"/>
      <protection locked="true" hidden="false"/>
    </xf>
    <xf numFmtId="166" fontId="12" fillId="0" borderId="3" xfId="32" applyFont="true" applyBorder="true" applyAlignment="true" applyProtection="false">
      <alignment horizontal="right" vertical="bottom" textRotation="0" wrapText="false" indent="0" shrinkToFit="false"/>
      <protection locked="true" hidden="false"/>
    </xf>
    <xf numFmtId="167" fontId="12" fillId="0" borderId="3" xfId="32" applyFont="true" applyBorder="true" applyAlignment="true" applyProtection="false">
      <alignment horizontal="right" vertical="bottom" textRotation="0" wrapText="false" indent="0" shrinkToFit="false"/>
      <protection locked="true" hidden="false"/>
    </xf>
    <xf numFmtId="164" fontId="13" fillId="0" borderId="0" xfId="27" applyFont="true" applyBorder="false" applyAlignment="false" applyProtection="false">
      <alignment horizontal="general" vertical="bottom" textRotation="0" wrapText="false" indent="0" shrinkToFit="false"/>
      <protection locked="true" hidden="false"/>
    </xf>
    <xf numFmtId="166" fontId="13" fillId="0" borderId="0" xfId="23" applyFont="true" applyBorder="false" applyAlignment="true" applyProtection="false">
      <alignment horizontal="right" vertical="bottom" textRotation="0" wrapText="false" indent="0" shrinkToFit="false"/>
      <protection locked="true" hidden="false"/>
    </xf>
    <xf numFmtId="167" fontId="13" fillId="0" borderId="0" xfId="23" applyFont="true" applyBorder="false" applyAlignment="true" applyProtection="false">
      <alignment horizontal="right"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8" fontId="12" fillId="0" borderId="3" xfId="32" applyFont="true" applyBorder="true" applyAlignment="true" applyProtection="false">
      <alignment horizontal="right" vertical="bottom" textRotation="0" wrapText="false" indent="0" shrinkToFit="false"/>
      <protection locked="true" hidden="false"/>
    </xf>
    <xf numFmtId="168" fontId="5" fillId="0" borderId="0" xfId="23" applyFont="true" applyBorder="false" applyAlignment="true" applyProtection="false">
      <alignment horizontal="right" vertical="bottom" textRotation="0" wrapText="false" indent="0" shrinkToFit="false"/>
      <protection locked="true" hidden="false"/>
    </xf>
    <xf numFmtId="164" fontId="6" fillId="0" borderId="0" xfId="24" applyFont="true" applyBorder="false" applyAlignment="false" applyProtection="false">
      <alignment horizontal="general" vertical="bottom" textRotation="0" wrapText="false" indent="0" shrinkToFit="false"/>
      <protection locked="true" hidden="false"/>
    </xf>
    <xf numFmtId="164" fontId="12" fillId="0" borderId="3" xfId="32" applyFont="true" applyBorder="true" applyAlignment="true" applyProtection="false">
      <alignment horizontal="right" vertical="bottom" textRotation="0" wrapText="false" indent="0" shrinkToFit="false"/>
      <protection locked="true" hidden="false"/>
    </xf>
    <xf numFmtId="164" fontId="11" fillId="3" borderId="0" xfId="30" applyFont="true" applyBorder="false" applyAlignment="false" applyProtection="false">
      <alignment horizontal="general" vertical="bottom" textRotation="0" wrapText="false" indent="0" shrinkToFit="false"/>
      <protection locked="true" hidden="false"/>
    </xf>
    <xf numFmtId="169" fontId="8" fillId="4" borderId="2" xfId="26" applyFont="true" applyBorder="true" applyAlignment="true" applyProtection="false">
      <alignment horizontal="left" vertical="bottom" textRotation="0" wrapText="false" indent="0" shrinkToFit="false"/>
      <protection locked="true" hidden="false"/>
    </xf>
    <xf numFmtId="167" fontId="8" fillId="4" borderId="2" xfId="26" applyFont="true" applyBorder="true" applyAlignment="true" applyProtection="false">
      <alignment horizontal="right" vertical="bottom" textRotation="0" wrapText="false" indent="0" shrinkToFit="false"/>
      <protection locked="true" hidden="false"/>
    </xf>
    <xf numFmtId="166" fontId="8" fillId="4" borderId="2" xfId="26" applyFont="true" applyBorder="true" applyAlignment="true" applyProtection="false">
      <alignment horizontal="right" vertical="bottom" textRotation="0" wrapText="false" indent="0" shrinkToFit="false"/>
      <protection locked="true" hidden="false"/>
    </xf>
    <xf numFmtId="167" fontId="17" fillId="4" borderId="2" xfId="26" applyFont="true" applyBorder="true" applyAlignment="true" applyProtection="false">
      <alignment horizontal="right" vertical="bottom" textRotation="0" wrapText="false" indent="0" shrinkToFit="false"/>
      <protection locked="true" hidden="false"/>
    </xf>
    <xf numFmtId="167" fontId="5" fillId="4" borderId="2" xfId="26" applyFont="true" applyBorder="true" applyAlignment="true" applyProtection="false">
      <alignment horizontal="right" vertical="bottom" textRotation="0" wrapText="false" indent="0" shrinkToFit="false"/>
      <protection locked="true" hidden="false"/>
    </xf>
    <xf numFmtId="170" fontId="18"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71" fontId="9" fillId="0" borderId="0" xfId="28" applyFont="true" applyBorder="false" applyAlignment="true" applyProtection="false">
      <alignment horizontal="right" vertical="bottom" textRotation="0" wrapText="false" indent="0" shrinkToFit="false"/>
      <protection locked="true" hidden="false"/>
    </xf>
    <xf numFmtId="172" fontId="5" fillId="0" borderId="0" xfId="23" applyFont="true" applyBorder="false" applyAlignment="true" applyProtection="false">
      <alignment horizontal="right" vertical="bottom" textRotation="0" wrapText="false" indent="0" shrinkToFit="false"/>
      <protection locked="true" hidden="false"/>
    </xf>
    <xf numFmtId="168" fontId="9" fillId="0" borderId="0" xfId="28" applyFont="true" applyBorder="false" applyAlignment="true" applyProtection="false">
      <alignment horizontal="right" vertical="bottom" textRotation="0" wrapText="false" indent="0" shrinkToFit="false"/>
      <protection locked="true" hidden="false"/>
    </xf>
    <xf numFmtId="171" fontId="8" fillId="4" borderId="2" xfId="26" applyFont="true" applyBorder="true" applyAlignment="true" applyProtection="false">
      <alignment horizontal="right" vertical="bottom" textRotation="0" wrapText="false" indent="0" shrinkToFit="false"/>
      <protection locked="true" hidden="false"/>
    </xf>
    <xf numFmtId="173" fontId="8" fillId="4" borderId="2" xfId="26" applyFont="true" applyBorder="true" applyAlignment="true" applyProtection="false">
      <alignment horizontal="right" vertical="bottom" textRotation="0" wrapText="false" indent="0" shrinkToFit="false"/>
      <protection locked="true" hidden="false"/>
    </xf>
    <xf numFmtId="174" fontId="8" fillId="4" borderId="2" xfId="26" applyFont="true" applyBorder="true" applyAlignment="true" applyProtection="false">
      <alignment horizontal="right" vertical="bottom" textRotation="0" wrapText="false" indent="0" shrinkToFit="false"/>
      <protection locked="true" hidden="false"/>
    </xf>
    <xf numFmtId="175" fontId="8" fillId="4" borderId="2" xfId="26" applyFont="true" applyBorder="true" applyAlignment="true" applyProtection="false">
      <alignment horizontal="right" vertical="bottom" textRotation="0" wrapText="false" indent="0" shrinkToFit="false"/>
      <protection locked="true" hidden="false"/>
    </xf>
    <xf numFmtId="173" fontId="5" fillId="0" borderId="0" xfId="23" applyFont="true" applyBorder="false" applyAlignment="true" applyProtection="false">
      <alignment horizontal="right" vertical="bottom" textRotation="0" wrapText="false" indent="0" shrinkToFit="false"/>
      <protection locked="true" hidden="false"/>
    </xf>
    <xf numFmtId="169" fontId="8" fillId="4" borderId="4" xfId="26" applyFont="true" applyBorder="true" applyAlignment="true" applyProtection="false">
      <alignment horizontal="center" vertical="bottom" textRotation="0" wrapText="false" indent="0" shrinkToFit="false"/>
      <protection locked="true" hidden="false"/>
    </xf>
    <xf numFmtId="172" fontId="12" fillId="0" borderId="3" xfId="32" applyFont="true" applyBorder="true" applyAlignment="true" applyProtection="false">
      <alignment horizontal="right" vertical="bottom" textRotation="0" wrapText="false" indent="0" shrinkToFit="false"/>
      <protection locked="true" hidden="false"/>
    </xf>
    <xf numFmtId="176" fontId="5" fillId="0" borderId="0" xfId="23" applyFont="true" applyBorder="false" applyAlignment="true" applyProtection="false">
      <alignment horizontal="right" vertical="bottom" textRotation="0" wrapText="false" indent="0" shrinkToFit="false"/>
      <protection locked="true" hidden="false"/>
    </xf>
    <xf numFmtId="167" fontId="0" fillId="0" borderId="0" xfId="0" applyFont="true" applyBorder="false" applyAlignment="false" applyProtection="false">
      <alignment horizontal="general" vertical="bottom" textRotation="0" wrapText="false" indent="0" shrinkToFit="false"/>
      <protection locked="true" hidden="false"/>
    </xf>
    <xf numFmtId="176" fontId="12" fillId="0" borderId="3" xfId="19" applyFont="true" applyBorder="true" applyAlignment="true" applyProtection="false">
      <alignment horizontal="right" vertical="bottom" textRotation="0" wrapText="false" indent="0" shrinkToFit="false"/>
      <protection locked="true" hidden="false"/>
    </xf>
    <xf numFmtId="176" fontId="0" fillId="0" borderId="0" xfId="0" applyFont="true" applyBorder="false" applyAlignment="false" applyProtection="false">
      <alignment horizontal="general" vertical="bottom" textRotation="0" wrapText="false" indent="0" shrinkToFit="false"/>
      <protection locked="true" hidden="false"/>
    </xf>
    <xf numFmtId="171" fontId="5" fillId="0" borderId="0" xfId="23" applyFont="true" applyBorder="false" applyAlignment="true" applyProtection="false">
      <alignment horizontal="right" vertical="bottom" textRotation="0" wrapText="false" indent="0" shrinkToFit="false"/>
      <protection locked="true" hidden="false"/>
    </xf>
    <xf numFmtId="166" fontId="12" fillId="0" borderId="0" xfId="23" applyFont="true" applyBorder="false" applyAlignment="true" applyProtection="false">
      <alignment horizontal="right"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true" indent="0" shrinkToFit="false"/>
      <protection locked="true" hidden="false"/>
    </xf>
    <xf numFmtId="172" fontId="10" fillId="5" borderId="2" xfId="29" applyFont="true" applyBorder="true" applyAlignment="true" applyProtection="false">
      <alignment horizontal="right" vertical="bottom" textRotation="0" wrapText="false" indent="0" shrinkToFit="false"/>
      <protection locked="true" hidden="false"/>
    </xf>
    <xf numFmtId="177" fontId="5" fillId="0" borderId="0" xfId="23" applyFont="true" applyBorder="false" applyAlignment="true" applyProtection="false">
      <alignment horizontal="right" vertical="bottom" textRotation="0" wrapText="false" indent="0" shrinkToFit="false"/>
      <protection locked="true" hidden="false"/>
    </xf>
    <xf numFmtId="171" fontId="10" fillId="5" borderId="2" xfId="29" applyFont="true" applyBorder="true" applyAlignment="true" applyProtection="false">
      <alignment horizontal="right" vertical="bottom" textRotation="0" wrapText="false" indent="0" shrinkToFit="false"/>
      <protection locked="true" hidden="false"/>
    </xf>
    <xf numFmtId="166" fontId="10" fillId="5" borderId="2" xfId="29" applyFont="true" applyBorder="true" applyAlignment="true" applyProtection="false">
      <alignment horizontal="right" vertical="bottom" textRotation="0" wrapText="false" indent="0" shrinkToFit="false"/>
      <protection locked="true" hidden="false"/>
    </xf>
    <xf numFmtId="174" fontId="9" fillId="0" borderId="0" xfId="28" applyFont="true" applyBorder="false" applyAlignment="true" applyProtection="false">
      <alignment horizontal="right" vertical="bottom" textRotation="0" wrapText="false" indent="0" shrinkToFit="false"/>
      <protection locked="true" hidden="false"/>
    </xf>
    <xf numFmtId="174" fontId="10" fillId="5" borderId="2" xfId="29" applyFont="true" applyBorder="true" applyAlignment="true" applyProtection="false">
      <alignment horizontal="right" vertical="bottom" textRotation="0" wrapText="false" indent="0" shrinkToFit="false"/>
      <protection locked="true" hidden="false"/>
    </xf>
    <xf numFmtId="168" fontId="10" fillId="5" borderId="2" xfId="29" applyFont="true" applyBorder="true" applyAlignment="true" applyProtection="false">
      <alignment horizontal="right" vertical="bottom" textRotation="0" wrapText="false" indent="0" shrinkToFit="false"/>
      <protection locked="true" hidden="false"/>
    </xf>
    <xf numFmtId="167" fontId="10" fillId="5" borderId="2" xfId="29" applyFont="true" applyBorder="true" applyAlignment="true" applyProtection="false">
      <alignment horizontal="right" vertical="bottom" textRotation="0" wrapText="false" indent="0" shrinkToFit="false"/>
      <protection locked="true" hidden="false"/>
    </xf>
    <xf numFmtId="175" fontId="5" fillId="0" borderId="0" xfId="23" applyFont="true" applyBorder="false" applyAlignment="true" applyProtection="false">
      <alignment horizontal="right" vertical="bottom" textRotation="0" wrapText="false" indent="0" shrinkToFit="false"/>
      <protection locked="true" hidden="false"/>
    </xf>
    <xf numFmtId="170" fontId="8" fillId="4" borderId="2" xfId="26" applyFont="true" applyBorder="true" applyAlignment="true" applyProtection="false">
      <alignment horizontal="right" vertical="bottom" textRotation="0" wrapText="false" indent="0" shrinkToFit="false"/>
      <protection locked="true" hidden="false"/>
    </xf>
    <xf numFmtId="169" fontId="9" fillId="0" borderId="0" xfId="28" applyFont="true" applyBorder="false" applyAlignment="true" applyProtection="false">
      <alignment horizontal="right" vertical="bottom" textRotation="0" wrapText="false" indent="0" shrinkToFit="false"/>
      <protection locked="true" hidden="false"/>
    </xf>
    <xf numFmtId="178" fontId="8" fillId="4" borderId="2" xfId="26" applyFont="true" applyBorder="true" applyAlignment="true" applyProtection="false">
      <alignment horizontal="right" vertical="bottom" textRotation="0" wrapText="false" indent="0" shrinkToFit="false"/>
      <protection locked="true" hidden="false"/>
    </xf>
    <xf numFmtId="164" fontId="5" fillId="0" borderId="0" xfId="23" applyFont="true" applyBorder="false" applyAlignment="true" applyProtection="false">
      <alignment horizontal="right" vertical="bottom" textRotation="0" wrapText="false" indent="0" shrinkToFit="false"/>
      <protection locked="true" hidden="false"/>
    </xf>
    <xf numFmtId="179" fontId="9" fillId="0" borderId="0" xfId="28" applyFont="true" applyBorder="false" applyAlignment="true" applyProtection="false">
      <alignment horizontal="right" vertical="bottom" textRotation="0" wrapText="false" indent="0" shrinkToFit="false"/>
      <protection locked="true" hidden="false"/>
    </xf>
    <xf numFmtId="173" fontId="9" fillId="0" borderId="0" xfId="28" applyFont="true" applyBorder="false" applyAlignment="true" applyProtection="false">
      <alignment horizontal="right" vertical="bottom" textRotation="0" wrapText="false" indent="0" shrinkToFit="false"/>
      <protection locked="true" hidden="false"/>
    </xf>
    <xf numFmtId="178" fontId="9" fillId="0" borderId="0" xfId="28" applyFont="true" applyBorder="false" applyAlignment="true" applyProtection="false">
      <alignment horizontal="right" vertical="bottom" textRotation="0" wrapText="false" indent="0" shrinkToFit="false"/>
      <protection locked="true" hidden="false"/>
    </xf>
    <xf numFmtId="176" fontId="9" fillId="0" borderId="0" xfId="28" applyFont="true" applyBorder="false" applyAlignment="true" applyProtection="false">
      <alignment horizontal="right" vertical="bottom" textRotation="0" wrapText="false" indent="0" shrinkToFit="false"/>
      <protection locked="true" hidden="false"/>
    </xf>
    <xf numFmtId="170" fontId="0" fillId="0" borderId="0" xfId="0" applyFont="true" applyBorder="false" applyAlignment="false" applyProtection="false">
      <alignment horizontal="general" vertical="bottom" textRotation="0" wrapText="false" indent="0" shrinkToFit="false"/>
      <protection locked="true" hidden="false"/>
    </xf>
    <xf numFmtId="181" fontId="0" fillId="0" borderId="0" xfId="15" applyFont="true" applyBorder="false" applyAlignment="false" applyProtection="false">
      <alignment horizontal="general" vertical="bottom" textRotation="0" wrapText="false" indent="0" shrinkToFit="false"/>
      <protection locked="true" hidden="false"/>
    </xf>
    <xf numFmtId="164" fontId="4" fillId="3" borderId="0" xfId="0" applyFont="true" applyBorder="false" applyAlignment="false" applyProtection="false">
      <alignment horizontal="general" vertical="bottom" textRotation="0" wrapText="false" indent="0" shrinkToFit="false"/>
      <protection locked="true" hidden="false"/>
    </xf>
    <xf numFmtId="164" fontId="21" fillId="4" borderId="2" xfId="0" applyFont="true" applyBorder="true" applyAlignment="true" applyProtection="false">
      <alignment horizontal="left"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82" fontId="8" fillId="4" borderId="2" xfId="0" applyFont="true" applyBorder="true" applyAlignment="true" applyProtection="false">
      <alignment horizontal="right" vertical="bottom" textRotation="0" wrapText="false" indent="0" shrinkToFit="false"/>
      <protection locked="true" hidden="false"/>
    </xf>
    <xf numFmtId="164" fontId="11" fillId="3" borderId="0" xfId="0" applyFont="true" applyBorder="false" applyAlignment="false" applyProtection="false">
      <alignment horizontal="general" vertical="bottom" textRotation="0" wrapText="false" indent="0" shrinkToFit="false"/>
      <protection locked="true" hidden="false"/>
    </xf>
    <xf numFmtId="164" fontId="11" fillId="3" borderId="0" xfId="0" applyFont="true" applyBorder="false" applyAlignment="true" applyProtection="false">
      <alignment horizontal="right" vertical="bottom" textRotation="0" wrapText="false" indent="0" shrinkToFit="false"/>
      <protection locked="true" hidden="false"/>
    </xf>
    <xf numFmtId="167" fontId="22" fillId="0" borderId="2" xfId="0" applyFont="true" applyBorder="true" applyAlignment="true" applyProtection="false">
      <alignment horizontal="right" vertical="bottom" textRotation="0" wrapText="false" indent="0" shrinkToFit="false"/>
      <protection locked="true" hidden="false"/>
    </xf>
    <xf numFmtId="167" fontId="8" fillId="4" borderId="2" xfId="0" applyFont="true" applyBorder="true" applyAlignment="true" applyProtection="false">
      <alignment horizontal="right" vertical="bottom" textRotation="0" wrapText="false" indent="0" shrinkToFit="false"/>
      <protection locked="true" hidden="false"/>
    </xf>
    <xf numFmtId="171" fontId="22" fillId="0" borderId="2" xfId="0" applyFont="true" applyBorder="true" applyAlignment="true" applyProtection="false">
      <alignment horizontal="right" vertical="bottom" textRotation="0" wrapText="false" indent="0" shrinkToFit="false"/>
      <protection locked="true" hidden="false"/>
    </xf>
    <xf numFmtId="171" fontId="8" fillId="4" borderId="2" xfId="0" applyFont="true" applyBorder="true" applyAlignment="true" applyProtection="false">
      <alignment horizontal="right" vertical="bottom" textRotation="0" wrapText="false" indent="0" shrinkToFit="false"/>
      <protection locked="true" hidden="false"/>
    </xf>
    <xf numFmtId="173" fontId="22" fillId="0" borderId="2" xfId="0" applyFont="true" applyBorder="true" applyAlignment="true" applyProtection="false">
      <alignment horizontal="right" vertical="bottom" textRotation="0" wrapText="false" indent="0" shrinkToFit="false"/>
      <protection locked="true" hidden="false"/>
    </xf>
    <xf numFmtId="173" fontId="8" fillId="4" borderId="2" xfId="0" applyFont="true" applyBorder="true" applyAlignment="true" applyProtection="false">
      <alignment horizontal="right" vertical="bottom" textRotation="0" wrapText="false" indent="0" shrinkToFit="false"/>
      <protection locked="true" hidden="false"/>
    </xf>
    <xf numFmtId="164" fontId="5" fillId="0" borderId="5" xfId="0" applyFont="true" applyBorder="true" applyAlignment="false" applyProtection="false">
      <alignment horizontal="general" vertical="bottom" textRotation="0" wrapText="false" indent="0" shrinkToFit="false"/>
      <protection locked="true" hidden="false"/>
    </xf>
    <xf numFmtId="164" fontId="13" fillId="0" borderId="5" xfId="0" applyFont="true" applyBorder="true" applyAlignment="false" applyProtection="false">
      <alignment horizontal="general" vertical="bottom" textRotation="0" wrapText="false" indent="0" shrinkToFit="false"/>
      <protection locked="true" hidden="false"/>
    </xf>
    <xf numFmtId="174" fontId="22" fillId="0" borderId="6" xfId="0" applyFont="true" applyBorder="true" applyAlignment="true" applyProtection="false">
      <alignment horizontal="right" vertical="bottom" textRotation="0" wrapText="false" indent="0" shrinkToFit="false"/>
      <protection locked="true" hidden="false"/>
    </xf>
    <xf numFmtId="174" fontId="8" fillId="4" borderId="6" xfId="0" applyFont="true" applyBorder="true" applyAlignment="true" applyProtection="false">
      <alignment horizontal="right" vertical="bottom" textRotation="0" wrapText="false" indent="0" shrinkToFit="false"/>
      <protection locked="true" hidden="false"/>
    </xf>
    <xf numFmtId="173" fontId="22" fillId="0" borderId="7" xfId="0" applyFont="true" applyBorder="true" applyAlignment="true" applyProtection="false">
      <alignment horizontal="right" vertical="bottom" textRotation="0" wrapText="false" indent="0" shrinkToFit="false"/>
      <protection locked="true" hidden="false"/>
    </xf>
    <xf numFmtId="173" fontId="8" fillId="4" borderId="7" xfId="0" applyFont="true" applyBorder="true" applyAlignment="true" applyProtection="false">
      <alignment horizontal="right" vertical="bottom" textRotation="0" wrapText="false" indent="0" shrinkToFit="false"/>
      <protection locked="true" hidden="false"/>
    </xf>
    <xf numFmtId="167" fontId="5" fillId="0" borderId="0" xfId="0" applyFont="true" applyBorder="false" applyAlignment="true" applyProtection="false">
      <alignment horizontal="right" vertical="bottom" textRotation="0" wrapText="false" indent="0" shrinkToFit="false"/>
      <protection locked="true" hidden="false"/>
    </xf>
    <xf numFmtId="166" fontId="5" fillId="0" borderId="0" xfId="0" applyFont="true" applyBorder="false" applyAlignment="true" applyProtection="false">
      <alignment horizontal="right" vertical="bottom" textRotation="0" wrapText="false" indent="0" shrinkToFit="false"/>
      <protection locked="true" hidden="false"/>
    </xf>
    <xf numFmtId="175" fontId="23" fillId="0" borderId="2" xfId="0" applyFont="true" applyBorder="true" applyAlignment="true" applyProtection="false">
      <alignment horizontal="right" vertical="bottom" textRotation="0" wrapText="false" indent="0" shrinkToFit="false"/>
      <protection locked="true" hidden="false"/>
    </xf>
    <xf numFmtId="175" fontId="23" fillId="0" borderId="0" xfId="0" applyFont="true" applyBorder="false" applyAlignment="true" applyProtection="false">
      <alignment horizontal="right"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75" fontId="12" fillId="0" borderId="3" xfId="0" applyFont="true" applyBorder="true" applyAlignment="true" applyProtection="false">
      <alignment horizontal="right" vertical="bottom" textRotation="0" wrapText="false" indent="0" shrinkToFit="false"/>
      <protection locked="true" hidden="false"/>
    </xf>
    <xf numFmtId="183" fontId="22" fillId="0" borderId="2" xfId="0" applyFont="true" applyBorder="true" applyAlignment="true" applyProtection="false">
      <alignment horizontal="right" vertical="bottom" textRotation="0" wrapText="false" indent="0" shrinkToFit="false"/>
      <protection locked="true" hidden="false"/>
    </xf>
    <xf numFmtId="183" fontId="8" fillId="4" borderId="2" xfId="0" applyFont="true" applyBorder="true" applyAlignment="true" applyProtection="false">
      <alignment horizontal="right" vertical="bottom" textRotation="0" wrapText="false" indent="0" shrinkToFit="false"/>
      <protection locked="true" hidden="false"/>
    </xf>
    <xf numFmtId="164" fontId="11" fillId="3" borderId="0" xfId="0" applyFont="true" applyBorder="false" applyAlignment="true" applyProtection="false">
      <alignment horizontal="center" vertical="bottom" textRotation="0" wrapText="false" indent="0" shrinkToFit="false"/>
      <protection locked="true" hidden="false"/>
    </xf>
    <xf numFmtId="183" fontId="5" fillId="0" borderId="0" xfId="0" applyFont="true" applyBorder="false" applyAlignment="true" applyProtection="false">
      <alignment horizontal="right" vertical="bottom" textRotation="0" wrapText="false" indent="0" shrinkToFit="false"/>
      <protection locked="true" hidden="false"/>
    </xf>
    <xf numFmtId="164" fontId="5" fillId="7" borderId="0" xfId="0" applyFont="true" applyBorder="false" applyAlignment="false" applyProtection="false">
      <alignment horizontal="general" vertical="bottom" textRotation="0" wrapText="false" indent="0" shrinkToFit="false"/>
      <protection locked="true" hidden="false"/>
    </xf>
    <xf numFmtId="164" fontId="13" fillId="7" borderId="0" xfId="0" applyFont="true" applyBorder="false" applyAlignment="false" applyProtection="false">
      <alignment horizontal="general" vertical="bottom" textRotation="0" wrapText="false" indent="0" shrinkToFit="false"/>
      <protection locked="true" hidden="false"/>
    </xf>
    <xf numFmtId="167" fontId="5" fillId="7" borderId="0" xfId="0" applyFont="true" applyBorder="false" applyAlignment="true" applyProtection="false">
      <alignment horizontal="right" vertical="bottom" textRotation="0" wrapText="false" indent="0" shrinkToFit="false"/>
      <protection locked="true" hidden="false"/>
    </xf>
    <xf numFmtId="164" fontId="23" fillId="7" borderId="0" xfId="0" applyFont="true" applyBorder="false" applyAlignment="false" applyProtection="false">
      <alignment horizontal="general" vertical="bottom" textRotation="0" wrapText="false" indent="0" shrinkToFit="false"/>
      <protection locked="true" hidden="false"/>
    </xf>
    <xf numFmtId="183" fontId="5" fillId="7" borderId="0" xfId="0" applyFont="true" applyBorder="false" applyAlignment="true" applyProtection="false">
      <alignment horizontal="right" vertical="bottom" textRotation="0" wrapText="false" indent="0" shrinkToFit="false"/>
      <protection locked="true" hidden="false"/>
    </xf>
    <xf numFmtId="164" fontId="5" fillId="8" borderId="0" xfId="0" applyFont="true" applyBorder="false" applyAlignment="false" applyProtection="false">
      <alignment horizontal="general" vertical="bottom" textRotation="0" wrapText="false" indent="0" shrinkToFit="false"/>
      <protection locked="true" hidden="false"/>
    </xf>
    <xf numFmtId="164" fontId="13" fillId="8" borderId="0" xfId="0" applyFont="true" applyBorder="false" applyAlignment="false" applyProtection="false">
      <alignment horizontal="general" vertical="bottom" textRotation="0" wrapText="false" indent="0" shrinkToFit="false"/>
      <protection locked="true" hidden="false"/>
    </xf>
    <xf numFmtId="167" fontId="5" fillId="8" borderId="0" xfId="0" applyFont="true" applyBorder="false" applyAlignment="true" applyProtection="false">
      <alignment horizontal="right" vertical="bottom" textRotation="0" wrapText="false" indent="0" shrinkToFit="false"/>
      <protection locked="true" hidden="false"/>
    </xf>
    <xf numFmtId="164" fontId="23" fillId="8" borderId="0" xfId="0" applyFont="true" applyBorder="false" applyAlignment="false" applyProtection="false">
      <alignment horizontal="general" vertical="bottom" textRotation="0" wrapText="false" indent="0" shrinkToFit="false"/>
      <protection locked="true" hidden="false"/>
    </xf>
    <xf numFmtId="183" fontId="5" fillId="8" borderId="0" xfId="0" applyFont="true" applyBorder="false" applyAlignment="true" applyProtection="false">
      <alignment horizontal="right" vertical="bottom" textRotation="0" wrapText="false" indent="0" shrinkToFit="false"/>
      <protection locked="true" hidden="false"/>
    </xf>
    <xf numFmtId="167" fontId="5" fillId="0" borderId="8" xfId="0" applyFont="true" applyBorder="true" applyAlignment="true" applyProtection="false">
      <alignment horizontal="right" vertical="bottom" textRotation="0" wrapText="false" indent="0" shrinkToFit="false"/>
      <protection locked="true" hidden="false"/>
    </xf>
    <xf numFmtId="167" fontId="12" fillId="0" borderId="3" xfId="0" applyFont="true" applyBorder="true" applyAlignment="true" applyProtection="false">
      <alignment horizontal="right" vertical="bottom" textRotation="0" wrapText="false" indent="0" shrinkToFit="false"/>
      <protection locked="true" hidden="false"/>
    </xf>
    <xf numFmtId="167" fontId="12" fillId="0" borderId="9" xfId="0" applyFont="true" applyBorder="true" applyAlignment="true" applyProtection="false">
      <alignment horizontal="right" vertical="bottom" textRotation="0" wrapText="false" indent="0" shrinkToFit="false"/>
      <protection locked="true" hidden="false"/>
    </xf>
    <xf numFmtId="167" fontId="12" fillId="0" borderId="0" xfId="0" applyFont="true" applyBorder="false" applyAlignment="true" applyProtection="false">
      <alignment horizontal="right" vertical="bottom" textRotation="0" wrapText="false" indent="0" shrinkToFit="false"/>
      <protection locked="true" hidden="false"/>
    </xf>
    <xf numFmtId="168" fontId="8" fillId="4" borderId="0" xfId="0" applyFont="true" applyBorder="false" applyAlignment="true" applyProtection="false">
      <alignment horizontal="right" vertical="bottom" textRotation="0" wrapText="false" indent="0" shrinkToFit="false"/>
      <protection locked="true" hidden="false"/>
    </xf>
    <xf numFmtId="167" fontId="23" fillId="0" borderId="0" xfId="0" applyFont="true" applyBorder="false" applyAlignment="false" applyProtection="false">
      <alignment horizontal="general" vertical="bottom" textRotation="0" wrapText="false" indent="0" shrinkToFit="false"/>
      <protection locked="true" hidden="false"/>
    </xf>
    <xf numFmtId="166" fontId="22" fillId="0" borderId="0" xfId="0" applyFont="true" applyBorder="false" applyAlignment="true" applyProtection="false">
      <alignment horizontal="right" vertical="bottom" textRotation="0" wrapText="false" indent="0" shrinkToFit="false"/>
      <protection locked="true" hidden="false"/>
    </xf>
    <xf numFmtId="175" fontId="5" fillId="0" borderId="0" xfId="0" applyFont="true" applyBorder="false" applyAlignment="true" applyProtection="false">
      <alignment horizontal="right" vertical="bottom" textRotation="0" wrapText="false" indent="0" shrinkToFit="false"/>
      <protection locked="true" hidden="false"/>
    </xf>
    <xf numFmtId="183" fontId="8" fillId="4" borderId="2" xfId="0" applyFont="true" applyBorder="true" applyAlignment="true" applyProtection="false">
      <alignment horizontal="left" vertical="bottom" textRotation="0" wrapText="false" indent="0" shrinkToFit="false"/>
      <protection locked="true" hidden="false"/>
    </xf>
    <xf numFmtId="183" fontId="5" fillId="0" borderId="0" xfId="0" applyFont="true" applyBorder="false" applyAlignment="true" applyProtection="false">
      <alignment horizontal="left" vertical="bottom" textRotation="0" wrapText="false" indent="0" shrinkToFit="false"/>
      <protection locked="true" hidden="false"/>
    </xf>
    <xf numFmtId="164" fontId="5" fillId="0" borderId="0" xfId="0" applyFont="true" applyBorder="false" applyAlignment="true" applyProtection="false">
      <alignment horizontal="right" vertical="bottom" textRotation="0" wrapText="false" indent="0" shrinkToFit="false"/>
      <protection locked="true" hidden="false"/>
    </xf>
    <xf numFmtId="164" fontId="12" fillId="0" borderId="10" xfId="0" applyFont="true" applyBorder="true" applyAlignment="false" applyProtection="false">
      <alignment horizontal="general" vertical="bottom" textRotation="0" wrapText="false" indent="0" shrinkToFit="false"/>
      <protection locked="true" hidden="false"/>
    </xf>
    <xf numFmtId="164" fontId="13" fillId="0" borderId="10" xfId="0" applyFont="true" applyBorder="true" applyAlignment="false" applyProtection="false">
      <alignment horizontal="general" vertical="bottom" textRotation="0" wrapText="false" indent="0" shrinkToFit="false"/>
      <protection locked="true" hidden="false"/>
    </xf>
    <xf numFmtId="172" fontId="8" fillId="4" borderId="11" xfId="0" applyFont="true" applyBorder="true" applyAlignment="true" applyProtection="false">
      <alignment horizontal="right" vertical="bottom" textRotation="0" wrapText="false" indent="0" shrinkToFit="false"/>
      <protection locked="true" hidden="false"/>
    </xf>
    <xf numFmtId="164" fontId="5" fillId="0" borderId="10" xfId="0" applyFont="true" applyBorder="true" applyAlignment="false" applyProtection="false">
      <alignment horizontal="general" vertical="bottom" textRotation="0" wrapText="false" indent="0" shrinkToFit="false"/>
      <protection locked="true" hidden="false"/>
    </xf>
    <xf numFmtId="173" fontId="5" fillId="0" borderId="0" xfId="0" applyFont="true" applyBorder="false" applyAlignment="true" applyProtection="false">
      <alignment horizontal="right" vertical="bottom" textRotation="0" wrapText="false" indent="0" shrinkToFit="false"/>
      <protection locked="true" hidden="false"/>
    </xf>
    <xf numFmtId="167" fontId="8" fillId="4" borderId="0" xfId="0" applyFont="true" applyBorder="false" applyAlignment="true" applyProtection="false">
      <alignment horizontal="right" vertical="bottom" textRotation="0" wrapText="false" indent="0" shrinkToFit="false"/>
      <protection locked="true" hidden="false"/>
    </xf>
    <xf numFmtId="182" fontId="8" fillId="4" borderId="0" xfId="0" applyFont="true" applyBorder="false" applyAlignment="true" applyProtection="false">
      <alignment horizontal="right" vertical="bottom" textRotation="0" wrapText="false" indent="0" shrinkToFit="false"/>
      <protection locked="true" hidden="false"/>
    </xf>
    <xf numFmtId="173" fontId="8" fillId="4" borderId="0" xfId="0" applyFont="true" applyBorder="false" applyAlignment="true" applyProtection="false">
      <alignment horizontal="right" vertical="bottom" textRotation="0" wrapText="false" indent="0" shrinkToFit="false"/>
      <protection locked="true" hidden="false"/>
    </xf>
    <xf numFmtId="184" fontId="8" fillId="4" borderId="0" xfId="0" applyFont="true" applyBorder="false" applyAlignment="true" applyProtection="false">
      <alignment horizontal="right" vertical="bottom" textRotation="0" wrapText="false" indent="0" shrinkToFit="false"/>
      <protection locked="true" hidden="false"/>
    </xf>
    <xf numFmtId="178" fontId="8" fillId="4" borderId="0" xfId="0" applyFont="true" applyBorder="false" applyAlignment="true" applyProtection="false">
      <alignment horizontal="right" vertical="bottom" textRotation="0" wrapText="false" indent="0" shrinkToFit="false"/>
      <protection locked="true" hidden="false"/>
    </xf>
    <xf numFmtId="185" fontId="8" fillId="4" borderId="0" xfId="0" applyFont="true" applyBorder="false" applyAlignment="true" applyProtection="false">
      <alignment horizontal="right" vertical="bottom" textRotation="0" wrapText="false" indent="0" shrinkToFit="false"/>
      <protection locked="true" hidden="false"/>
    </xf>
    <xf numFmtId="164" fontId="8" fillId="4" borderId="0" xfId="0" applyFont="true" applyBorder="false" applyAlignment="true" applyProtection="false">
      <alignment horizontal="right" vertical="bottom" textRotation="0" wrapText="false" indent="0" shrinkToFit="false"/>
      <protection locked="true" hidden="false"/>
    </xf>
    <xf numFmtId="175" fontId="12" fillId="0" borderId="10" xfId="0" applyFont="true" applyBorder="true" applyAlignment="false" applyProtection="false">
      <alignment horizontal="general" vertical="bottom" textRotation="0" wrapText="false" indent="0" shrinkToFit="false"/>
      <protection locked="true" hidden="false"/>
    </xf>
    <xf numFmtId="164" fontId="24" fillId="0" borderId="0" xfId="0" applyFont="true" applyBorder="false" applyAlignment="false" applyProtection="false">
      <alignment horizontal="general" vertical="bottom" textRotation="0" wrapText="false" indent="0" shrinkToFit="false"/>
      <protection locked="tru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64" fontId="26" fillId="9" borderId="0" xfId="0" applyFont="true" applyBorder="false" applyAlignment="false" applyProtection="false">
      <alignment horizontal="general" vertical="bottom" textRotation="0" wrapText="false" indent="0" shrinkToFit="false"/>
      <protection locked="true" hidden="false"/>
    </xf>
    <xf numFmtId="186" fontId="27" fillId="10" borderId="0" xfId="0" applyFont="true" applyBorder="false" applyAlignment="false" applyProtection="false">
      <alignment horizontal="general" vertical="bottom" textRotation="0" wrapText="false" indent="0" shrinkToFit="false"/>
      <protection locked="true" hidden="false"/>
    </xf>
    <xf numFmtId="186" fontId="0" fillId="0" borderId="0" xfId="0" applyFont="fals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27" fillId="7" borderId="0" xfId="0" applyFont="true" applyBorder="false" applyAlignment="false" applyProtection="false">
      <alignment horizontal="general" vertical="bottom" textRotation="0" wrapText="false" indent="0" shrinkToFit="false"/>
      <protection locked="true" hidden="false"/>
    </xf>
    <xf numFmtId="164" fontId="28" fillId="11" borderId="0" xfId="0" applyFont="true" applyBorder="false" applyAlignment="false" applyProtection="false">
      <alignment horizontal="general" vertical="bottom" textRotation="0" wrapText="false" indent="0" shrinkToFit="false"/>
      <protection locked="true" hidden="false"/>
    </xf>
    <xf numFmtId="164" fontId="29" fillId="11" borderId="0" xfId="0" applyFont="true" applyBorder="false" applyAlignment="false" applyProtection="false">
      <alignment horizontal="general" vertical="bottom" textRotation="0" wrapText="false" indent="0" shrinkToFit="false"/>
      <protection locked="true" hidden="false"/>
    </xf>
    <xf numFmtId="182" fontId="0" fillId="0" borderId="0" xfId="0" applyFont="true" applyBorder="false" applyAlignment="false" applyProtection="false">
      <alignment horizontal="general" vertical="bottom" textRotation="0" wrapText="false" indent="0" shrinkToFit="false"/>
      <protection locked="true" hidden="false"/>
    </xf>
    <xf numFmtId="182" fontId="25" fillId="0" borderId="0" xfId="0" applyFont="true" applyBorder="false" applyAlignment="false" applyProtection="false">
      <alignment horizontal="general" vertical="bottom" textRotation="0" wrapText="false" indent="0" shrinkToFit="false"/>
      <protection locked="true" hidden="false"/>
    </xf>
    <xf numFmtId="182" fontId="18" fillId="10" borderId="0" xfId="0" applyFont="true" applyBorder="false" applyAlignment="false" applyProtection="false">
      <alignment horizontal="general" vertical="bottom" textRotation="0" wrapText="false" indent="0" shrinkToFit="false"/>
      <protection locked="true" hidden="false"/>
    </xf>
    <xf numFmtId="178" fontId="0" fillId="0" borderId="0" xfId="0" applyFont="true" applyBorder="false" applyAlignment="false" applyProtection="false">
      <alignment horizontal="general" vertical="bottom" textRotation="0" wrapText="false" indent="0" shrinkToFit="false"/>
      <protection locked="true" hidden="false"/>
    </xf>
    <xf numFmtId="178" fontId="25" fillId="0" borderId="0" xfId="0" applyFont="true" applyBorder="false" applyAlignment="false" applyProtection="false">
      <alignment horizontal="general" vertical="bottom" textRotation="0" wrapText="false" indent="0" shrinkToFit="false"/>
      <protection locked="true" hidden="false"/>
    </xf>
    <xf numFmtId="178" fontId="18" fillId="10" borderId="0" xfId="0" applyFont="true" applyBorder="false" applyAlignment="false" applyProtection="false">
      <alignment horizontal="general" vertical="bottom" textRotation="0" wrapText="false" indent="0" shrinkToFit="false"/>
      <protection locked="true" hidden="false"/>
    </xf>
    <xf numFmtId="178" fontId="30" fillId="10" borderId="0" xfId="0" applyFont="true" applyBorder="false" applyAlignment="false" applyProtection="false">
      <alignment horizontal="general" vertical="bottom" textRotation="0" wrapText="false" indent="0" shrinkToFit="false"/>
      <protection locked="true" hidden="false"/>
    </xf>
    <xf numFmtId="182" fontId="18" fillId="4" borderId="0" xfId="0" applyFont="true" applyBorder="false" applyAlignment="false" applyProtection="false">
      <alignment horizontal="general" vertical="bottom" textRotation="0" wrapText="false" indent="0" shrinkToFit="false"/>
      <protection locked="true" hidden="false"/>
    </xf>
    <xf numFmtId="187" fontId="0" fillId="0" borderId="0" xfId="0" applyFont="true" applyBorder="false" applyAlignment="false" applyProtection="false">
      <alignment horizontal="general" vertical="bottom" textRotation="0" wrapText="false" indent="0" shrinkToFit="false"/>
      <protection locked="true" hidden="false"/>
    </xf>
    <xf numFmtId="187" fontId="25" fillId="0" borderId="0" xfId="0" applyFont="true" applyBorder="false" applyAlignment="false" applyProtection="false">
      <alignment horizontal="general" vertical="bottom" textRotation="0" wrapText="false" indent="0" shrinkToFit="false"/>
      <protection locked="true" hidden="false"/>
    </xf>
    <xf numFmtId="187" fontId="18" fillId="4" borderId="0" xfId="0" applyFont="true" applyBorder="false" applyAlignment="false" applyProtection="false">
      <alignment horizontal="general" vertical="bottom" textRotation="0" wrapText="false" indent="0" shrinkToFit="false"/>
      <protection locked="true" hidden="false"/>
    </xf>
    <xf numFmtId="187" fontId="18" fillId="10" borderId="0" xfId="0" applyFont="true" applyBorder="false" applyAlignment="false" applyProtection="false">
      <alignment horizontal="general" vertical="bottom" textRotation="0" wrapText="false" indent="0" shrinkToFit="false"/>
      <protection locked="true" hidden="false"/>
    </xf>
    <xf numFmtId="179" fontId="0" fillId="0" borderId="0" xfId="0" applyFont="true" applyBorder="false" applyAlignment="false" applyProtection="false">
      <alignment horizontal="general" vertical="bottom" textRotation="0" wrapText="false" indent="0" shrinkToFit="false"/>
      <protection locked="true" hidden="false"/>
    </xf>
    <xf numFmtId="179" fontId="25" fillId="0" borderId="0" xfId="0" applyFont="true" applyBorder="false" applyAlignment="false" applyProtection="false">
      <alignment horizontal="general" vertical="bottom" textRotation="0" wrapText="false" indent="0" shrinkToFit="false"/>
      <protection locked="true" hidden="false"/>
    </xf>
    <xf numFmtId="179" fontId="18" fillId="10" borderId="0" xfId="0" applyFont="true" applyBorder="false" applyAlignment="false" applyProtection="false">
      <alignment horizontal="general" vertical="bottom" textRotation="0" wrapText="false" indent="0" shrinkToFit="false"/>
      <protection locked="true" hidden="false"/>
    </xf>
    <xf numFmtId="168" fontId="0" fillId="0" borderId="0" xfId="0" applyFont="true" applyBorder="false" applyAlignment="false" applyProtection="false">
      <alignment horizontal="general" vertical="bottom" textRotation="0" wrapText="false" indent="0" shrinkToFit="false"/>
      <protection locked="true" hidden="false"/>
    </xf>
    <xf numFmtId="168" fontId="25" fillId="0" borderId="0" xfId="0" applyFont="true" applyBorder="false" applyAlignment="false" applyProtection="false">
      <alignment horizontal="general" vertical="bottom" textRotation="0" wrapText="false" indent="0" shrinkToFit="false"/>
      <protection locked="true" hidden="false"/>
    </xf>
    <xf numFmtId="168" fontId="18" fillId="4" borderId="0" xfId="0" applyFont="true" applyBorder="false" applyAlignment="false" applyProtection="false">
      <alignment horizontal="general" vertical="bottom" textRotation="0" wrapText="false" indent="0" shrinkToFit="false"/>
      <protection locked="true" hidden="false"/>
    </xf>
    <xf numFmtId="168" fontId="18" fillId="10" borderId="0" xfId="0" applyFont="true" applyBorder="false" applyAlignment="false" applyProtection="false">
      <alignment horizontal="general" vertical="bottom" textRotation="0" wrapText="false" indent="0" shrinkToFit="false"/>
      <protection locked="true" hidden="false"/>
    </xf>
    <xf numFmtId="178" fontId="18" fillId="4" borderId="0" xfId="0" applyFont="true" applyBorder="false" applyAlignment="false" applyProtection="false">
      <alignment horizontal="general" vertical="bottom" textRotation="0" wrapText="false" indent="0" shrinkToFit="false"/>
      <protection locked="true" hidden="false"/>
    </xf>
    <xf numFmtId="188" fontId="0" fillId="0" borderId="0" xfId="0" applyFont="true" applyBorder="false" applyAlignment="false" applyProtection="false">
      <alignment horizontal="general" vertical="bottom" textRotation="0" wrapText="false" indent="0" shrinkToFit="false"/>
      <protection locked="true" hidden="false"/>
    </xf>
    <xf numFmtId="188" fontId="25" fillId="0" borderId="0" xfId="0" applyFont="true" applyBorder="false" applyAlignment="false" applyProtection="false">
      <alignment horizontal="general" vertical="bottom" textRotation="0" wrapText="false" indent="0" shrinkToFit="false"/>
      <protection locked="true" hidden="false"/>
    </xf>
    <xf numFmtId="188" fontId="18" fillId="10" borderId="0" xfId="0" applyFont="true" applyBorder="false" applyAlignment="false" applyProtection="false">
      <alignment horizontal="general" vertical="bottom" textRotation="0" wrapText="false" indent="0" shrinkToFit="false"/>
      <protection locked="true" hidden="false"/>
    </xf>
    <xf numFmtId="189" fontId="25" fillId="0"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false" applyProtection="false">
      <alignment horizontal="general" vertical="bottom" textRotation="0" wrapText="false" indent="0" shrinkToFit="false"/>
      <protection locked="true" hidden="false"/>
    </xf>
    <xf numFmtId="174" fontId="25" fillId="0" borderId="0" xfId="0" applyFont="true" applyBorder="false" applyAlignment="false" applyProtection="false">
      <alignment horizontal="general" vertical="bottom" textRotation="0" wrapText="false" indent="0" shrinkToFit="false"/>
      <protection locked="true" hidden="false"/>
    </xf>
    <xf numFmtId="174" fontId="18" fillId="10" borderId="0" xfId="0" applyFont="true" applyBorder="false" applyAlignment="false" applyProtection="false">
      <alignment horizontal="general" vertical="bottom" textRotation="0" wrapText="false" indent="0" shrinkToFit="false"/>
      <protection locked="true" hidden="false"/>
    </xf>
    <xf numFmtId="190" fontId="30" fillId="0" borderId="0" xfId="0" applyFont="true" applyBorder="false" applyAlignment="false" applyProtection="false">
      <alignment horizontal="general" vertical="bottom" textRotation="0" wrapText="false" indent="0" shrinkToFit="false"/>
      <protection locked="true" hidden="false"/>
    </xf>
    <xf numFmtId="190" fontId="18" fillId="10" borderId="0" xfId="0" applyFont="true" applyBorder="false" applyAlignment="false" applyProtection="false">
      <alignment horizontal="general" vertical="bottom" textRotation="0" wrapText="false" indent="0" shrinkToFit="false"/>
      <protection locked="true" hidden="false"/>
    </xf>
    <xf numFmtId="178" fontId="30" fillId="0" borderId="0" xfId="0" applyFont="true" applyBorder="false" applyAlignment="false" applyProtection="false">
      <alignment horizontal="general" vertical="bottom" textRotation="0" wrapText="false" indent="0" shrinkToFit="false"/>
      <protection locked="true" hidden="false"/>
    </xf>
    <xf numFmtId="168" fontId="30" fillId="0" borderId="0" xfId="0" applyFont="true" applyBorder="false" applyAlignment="false" applyProtection="false">
      <alignment horizontal="general" vertical="bottom" textRotation="0" wrapText="false" indent="0" shrinkToFit="false"/>
      <protection locked="true" hidden="false"/>
    </xf>
    <xf numFmtId="169" fontId="25" fillId="0" borderId="0" xfId="0" applyFont="true" applyBorder="false" applyAlignment="false" applyProtection="false">
      <alignment horizontal="general" vertical="bottom" textRotation="0" wrapText="false" indent="0" shrinkToFit="false"/>
      <protection locked="true" hidden="false"/>
    </xf>
    <xf numFmtId="191" fontId="0" fillId="0" borderId="0" xfId="0" applyFont="true" applyBorder="false" applyAlignment="false" applyProtection="false">
      <alignment horizontal="general" vertical="bottom" textRotation="0" wrapText="false" indent="0" shrinkToFit="false"/>
      <protection locked="true" hidden="false"/>
    </xf>
    <xf numFmtId="191" fontId="18" fillId="10" borderId="0" xfId="0" applyFont="true" applyBorder="false" applyAlignment="false" applyProtection="false">
      <alignment horizontal="general" vertical="bottom" textRotation="0" wrapText="false" indent="0" shrinkToFit="false"/>
      <protection locked="true" hidden="false"/>
    </xf>
    <xf numFmtId="176" fontId="25" fillId="0" borderId="0" xfId="0" applyFont="true" applyBorder="false" applyAlignment="false" applyProtection="false">
      <alignment horizontal="general" vertical="bottom" textRotation="0" wrapText="false" indent="0" shrinkToFit="false"/>
      <protection locked="true" hidden="false"/>
    </xf>
    <xf numFmtId="176" fontId="18" fillId="10" borderId="0" xfId="0" applyFont="true" applyBorder="false" applyAlignment="false" applyProtection="false">
      <alignment horizontal="general" vertical="bottom" textRotation="0" wrapText="false" indent="0" shrinkToFit="false"/>
      <protection locked="true" hidden="false"/>
    </xf>
    <xf numFmtId="191" fontId="18" fillId="4" borderId="0" xfId="0" applyFont="true" applyBorder="false" applyAlignment="false" applyProtection="false">
      <alignment horizontal="general" vertical="bottom" textRotation="0" wrapText="false" indent="0" shrinkToFit="false"/>
      <protection locked="true" hidden="false"/>
    </xf>
    <xf numFmtId="168" fontId="0" fillId="7" borderId="0" xfId="0" applyFont="true" applyBorder="false" applyAlignment="false" applyProtection="false">
      <alignment horizontal="general" vertical="bottom" textRotation="0" wrapText="false" indent="0" shrinkToFit="false"/>
      <protection locked="true" hidden="false"/>
    </xf>
    <xf numFmtId="164" fontId="18" fillId="10" borderId="0" xfId="0" applyFont="true" applyBorder="false" applyAlignment="false" applyProtection="false">
      <alignment horizontal="general" vertical="bottom" textRotation="0" wrapText="false" indent="0" shrinkToFit="false"/>
      <protection locked="true" hidden="false"/>
    </xf>
    <xf numFmtId="178" fontId="0" fillId="7" borderId="0" xfId="0" applyFont="true" applyBorder="false" applyAlignment="false" applyProtection="false">
      <alignment horizontal="general" vertical="bottom" textRotation="0" wrapText="false" indent="0" shrinkToFit="false"/>
      <protection locked="true" hidden="false"/>
    </xf>
    <xf numFmtId="188" fontId="31" fillId="4" borderId="0" xfId="0" applyFont="true" applyBorder="false" applyAlignment="false" applyProtection="false">
      <alignment horizontal="general" vertical="bottom" textRotation="0" wrapText="false" indent="0" shrinkToFit="false"/>
      <protection locked="true" hidden="false"/>
    </xf>
    <xf numFmtId="188" fontId="18" fillId="4" borderId="0" xfId="0" applyFont="true" applyBorder="false" applyAlignment="false" applyProtection="false">
      <alignment horizontal="general" vertical="bottom" textRotation="0" wrapText="false" indent="0" shrinkToFit="false"/>
      <protection locked="true" hidden="false"/>
    </xf>
    <xf numFmtId="192" fontId="0" fillId="0" borderId="0" xfId="0" applyFont="true" applyBorder="false" applyAlignment="false" applyProtection="false">
      <alignment horizontal="general" vertical="bottom" textRotation="0" wrapText="false" indent="0" shrinkToFit="false"/>
      <protection locked="true" hidden="false"/>
    </xf>
    <xf numFmtId="192" fontId="31" fillId="4" borderId="0" xfId="0" applyFont="true" applyBorder="false" applyAlignment="false" applyProtection="false">
      <alignment horizontal="general" vertical="bottom" textRotation="0" wrapText="false" indent="0" shrinkToFit="false"/>
      <protection locked="true" hidden="false"/>
    </xf>
    <xf numFmtId="192" fontId="18" fillId="4" borderId="0" xfId="0" applyFont="true" applyBorder="false" applyAlignment="false" applyProtection="false">
      <alignment horizontal="general" vertical="bottom" textRotation="0" wrapText="false" indent="0" shrinkToFit="false"/>
      <protection locked="true" hidden="false"/>
    </xf>
    <xf numFmtId="192" fontId="18" fillId="7" borderId="0" xfId="0" applyFont="true" applyBorder="false" applyAlignment="false" applyProtection="false">
      <alignment horizontal="general" vertical="bottom" textRotation="0" wrapText="false" indent="0" shrinkToFit="false"/>
      <protection locked="true" hidden="false"/>
    </xf>
    <xf numFmtId="182" fontId="18" fillId="7" borderId="0" xfId="0" applyFont="true" applyBorder="false" applyAlignment="false" applyProtection="false">
      <alignment horizontal="general" vertical="bottom" textRotation="0" wrapText="false" indent="0" shrinkToFit="false"/>
      <protection locked="true" hidden="false"/>
    </xf>
    <xf numFmtId="192" fontId="32" fillId="7" borderId="0" xfId="0" applyFont="true" applyBorder="false" applyAlignment="false" applyProtection="false">
      <alignment horizontal="general" vertical="bottom" textRotation="0" wrapText="false" indent="0" shrinkToFit="false"/>
      <protection locked="true" hidden="false"/>
    </xf>
    <xf numFmtId="178" fontId="18" fillId="7" borderId="0" xfId="0" applyFont="true" applyBorder="false" applyAlignment="false" applyProtection="false">
      <alignment horizontal="general" vertical="bottom" textRotation="0" wrapText="false" indent="0" shrinkToFit="false"/>
      <protection locked="true" hidden="false"/>
    </xf>
    <xf numFmtId="192" fontId="18" fillId="10" borderId="0" xfId="0" applyFont="true" applyBorder="false" applyAlignment="false" applyProtection="false">
      <alignment horizontal="general" vertical="bottom" textRotation="0" wrapText="false" indent="0" shrinkToFit="false"/>
      <protection locked="true" hidden="false"/>
    </xf>
    <xf numFmtId="182" fontId="31" fillId="4" borderId="0" xfId="0" applyFont="true" applyBorder="false" applyAlignment="false" applyProtection="false">
      <alignment horizontal="general" vertical="bottom" textRotation="0" wrapText="false" indent="0" shrinkToFit="false"/>
      <protection locked="true" hidden="false"/>
    </xf>
    <xf numFmtId="172" fontId="0" fillId="0" borderId="0" xfId="0" applyFont="true" applyBorder="false" applyAlignment="false" applyProtection="false">
      <alignment horizontal="general" vertical="bottom" textRotation="0" wrapText="false" indent="0" shrinkToFit="false"/>
      <protection locked="true" hidden="false"/>
    </xf>
    <xf numFmtId="172" fontId="18" fillId="10" borderId="0" xfId="0" applyFont="true" applyBorder="false" applyAlignment="false" applyProtection="false">
      <alignment horizontal="general" vertical="bottom" textRotation="0" wrapText="false" indent="0" shrinkToFit="false"/>
      <protection locked="true" hidden="false"/>
    </xf>
    <xf numFmtId="172" fontId="18" fillId="4" borderId="0" xfId="0" applyFont="true" applyBorder="false" applyAlignment="false" applyProtection="false">
      <alignment horizontal="general" vertical="bottom" textRotation="0" wrapText="false" indent="0" shrinkToFit="false"/>
      <protection locked="true" hidden="false"/>
    </xf>
    <xf numFmtId="168" fontId="18" fillId="7" borderId="0" xfId="0" applyFont="true" applyBorder="false" applyAlignment="false" applyProtection="false">
      <alignment horizontal="general" vertical="bottom" textRotation="0" wrapText="false" indent="0" shrinkToFit="false"/>
      <protection locked="true" hidden="false"/>
    </xf>
    <xf numFmtId="176" fontId="18" fillId="7" borderId="0" xfId="0" applyFont="true" applyBorder="false" applyAlignment="false" applyProtection="false">
      <alignment horizontal="general" vertical="bottom" textRotation="0" wrapText="false" indent="0" shrinkToFit="false"/>
      <protection locked="true" hidden="false"/>
    </xf>
    <xf numFmtId="178" fontId="30" fillId="7" borderId="0" xfId="0" applyFont="true" applyBorder="false" applyAlignment="false" applyProtection="false">
      <alignment horizontal="general" vertical="bottom" textRotation="0" wrapText="false" indent="0" shrinkToFit="false"/>
      <protection locked="true" hidden="false"/>
    </xf>
    <xf numFmtId="192" fontId="0" fillId="7" borderId="0" xfId="0" applyFont="true" applyBorder="false" applyAlignment="false" applyProtection="false">
      <alignment horizontal="general" vertical="bottom" textRotation="0" wrapText="false" indent="0" shrinkToFit="false"/>
      <protection locked="true" hidden="false"/>
    </xf>
    <xf numFmtId="172" fontId="0" fillId="7" borderId="0" xfId="0" applyFont="true" applyBorder="false" applyAlignment="false" applyProtection="false">
      <alignment horizontal="general" vertical="bottom" textRotation="0" wrapText="false" indent="0" shrinkToFit="false"/>
      <protection locked="true" hidden="false"/>
    </xf>
    <xf numFmtId="170" fontId="18" fillId="7" borderId="0" xfId="0" applyFont="true" applyBorder="false" applyAlignment="false" applyProtection="false">
      <alignment horizontal="general" vertical="bottom" textRotation="0" wrapText="false" indent="0" shrinkToFit="false"/>
      <protection locked="true" hidden="false"/>
    </xf>
    <xf numFmtId="179" fontId="18" fillId="7" borderId="0" xfId="0" applyFont="true" applyBorder="false" applyAlignment="false" applyProtection="false">
      <alignment horizontal="general" vertical="bottom" textRotation="0" wrapText="false" indent="0" shrinkToFit="false"/>
      <protection locked="true" hidden="false"/>
    </xf>
    <xf numFmtId="164" fontId="0" fillId="12" borderId="0" xfId="0" applyFont="true" applyBorder="false" applyAlignment="true" applyProtection="false">
      <alignment horizontal="right" vertical="bottom" textRotation="0" wrapText="false" indent="0" shrinkToFit="false"/>
      <protection locked="true" hidden="false"/>
    </xf>
    <xf numFmtId="174" fontId="18" fillId="7" borderId="0" xfId="0" applyFont="true" applyBorder="false" applyAlignment="false" applyProtection="false">
      <alignment horizontal="general" vertical="bottom" textRotation="0" wrapText="false" indent="0" shrinkToFit="false"/>
      <protection locked="true" hidden="false"/>
    </xf>
    <xf numFmtId="170" fontId="18" fillId="4" borderId="0" xfId="0" applyFont="true" applyBorder="false" applyAlignment="false" applyProtection="false">
      <alignment horizontal="general" vertical="bottom" textRotation="0" wrapText="false" indent="0" shrinkToFit="false"/>
      <protection locked="true" hidden="false"/>
    </xf>
    <xf numFmtId="170" fontId="0" fillId="7"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74" fontId="18" fillId="4" borderId="0" xfId="0" applyFont="true" applyBorder="false" applyAlignment="false" applyProtection="false">
      <alignment horizontal="general" vertical="bottom" textRotation="0" wrapText="false" indent="0" shrinkToFit="false"/>
      <protection locked="true" hidden="false"/>
    </xf>
    <xf numFmtId="164" fontId="28" fillId="0" borderId="0" xfId="0" applyFont="true" applyBorder="false" applyAlignment="false" applyProtection="false">
      <alignment horizontal="general" vertical="bottom" textRotation="0" wrapText="false" indent="0" shrinkToFit="false"/>
      <protection locked="true" hidden="false"/>
    </xf>
    <xf numFmtId="164" fontId="18" fillId="4" borderId="0" xfId="0" applyFont="true" applyBorder="false" applyAlignment="false" applyProtection="false">
      <alignment horizontal="general" vertical="bottom" textRotation="0" wrapText="false" indent="0" shrinkToFit="false"/>
      <protection locked="true" hidden="false"/>
    </xf>
    <xf numFmtId="170" fontId="25" fillId="0" borderId="0" xfId="0" applyFont="true" applyBorder="false" applyAlignment="false" applyProtection="false">
      <alignment horizontal="general" vertical="bottom" textRotation="0" wrapText="false" indent="0" shrinkToFit="false"/>
      <protection locked="true" hidden="false"/>
    </xf>
    <xf numFmtId="193" fontId="0" fillId="0" borderId="0" xfId="0" applyFont="true" applyBorder="false" applyAlignment="false" applyProtection="false">
      <alignment horizontal="general" vertical="bottom" textRotation="0" wrapText="false" indent="0" shrinkToFit="false"/>
      <protection locked="true" hidden="false"/>
    </xf>
    <xf numFmtId="193" fontId="25" fillId="0" borderId="0" xfId="0" applyFont="true" applyBorder="false" applyAlignment="false" applyProtection="false">
      <alignment horizontal="general" vertical="bottom" textRotation="0" wrapText="false" indent="0" shrinkToFit="false"/>
      <protection locked="true" hidden="false"/>
    </xf>
    <xf numFmtId="182" fontId="32" fillId="0" borderId="0" xfId="0" applyFont="true" applyBorder="false" applyAlignment="false" applyProtection="false">
      <alignment horizontal="general" vertical="bottom" textRotation="0" wrapText="false" indent="0" shrinkToFit="false"/>
      <protection locked="true" hidden="false"/>
    </xf>
    <xf numFmtId="194" fontId="0" fillId="0" borderId="0" xfId="0" applyFont="true" applyBorder="false" applyAlignment="false" applyProtection="false">
      <alignment horizontal="general" vertical="bottom" textRotation="0" wrapText="false" indent="0" shrinkToFit="false"/>
      <protection locked="true" hidden="false"/>
    </xf>
    <xf numFmtId="194" fontId="25" fillId="0" borderId="0" xfId="0" applyFont="true" applyBorder="false" applyAlignment="false" applyProtection="false">
      <alignment horizontal="general" vertical="bottom" textRotation="0" wrapText="false" indent="0" shrinkToFit="false"/>
      <protection locked="true" hidden="false"/>
    </xf>
    <xf numFmtId="167" fontId="18" fillId="4" borderId="0" xfId="0" applyFont="true" applyBorder="false" applyAlignment="false" applyProtection="false">
      <alignment horizontal="general" vertical="bottom" textRotation="0" wrapText="false" indent="0" shrinkToFit="false"/>
      <protection locked="true" hidden="false"/>
    </xf>
    <xf numFmtId="173" fontId="18" fillId="4" borderId="0" xfId="0" applyFont="true" applyBorder="false" applyAlignment="false" applyProtection="false">
      <alignment horizontal="general" vertical="bottom"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71" fontId="0" fillId="0" borderId="0" xfId="0" applyFont="true" applyBorder="false" applyAlignment="false" applyProtection="false">
      <alignment horizontal="general" vertical="bottom" textRotation="0" wrapText="false" indent="0" shrinkToFit="false"/>
      <protection locked="true" hidden="false"/>
    </xf>
    <xf numFmtId="195" fontId="0" fillId="0" borderId="0" xfId="0" applyFont="true" applyBorder="false" applyAlignment="false" applyProtection="false">
      <alignment horizontal="general" vertical="bottom" textRotation="0" wrapText="false" indent="0" shrinkToFit="false"/>
      <protection locked="true" hidden="false"/>
    </xf>
    <xf numFmtId="171" fontId="18" fillId="4" borderId="0" xfId="0" applyFont="true" applyBorder="false" applyAlignment="false" applyProtection="false">
      <alignment horizontal="general" vertical="bottom" textRotation="0" wrapText="false" indent="0" shrinkToFit="false"/>
      <protection locked="true" hidden="false"/>
    </xf>
    <xf numFmtId="166" fontId="18" fillId="4" borderId="0" xfId="0" applyFont="true" applyBorder="false" applyAlignment="false" applyProtection="false">
      <alignment horizontal="general" vertical="bottom" textRotation="0" wrapText="false" indent="0" shrinkToFit="false"/>
      <protection locked="true" hidden="false"/>
    </xf>
    <xf numFmtId="196" fontId="18" fillId="4" borderId="0" xfId="0" applyFont="true" applyBorder="false" applyAlignment="false" applyProtection="false">
      <alignment horizontal="general" vertical="bottom" textRotation="0" wrapText="false" indent="0" shrinkToFit="false"/>
      <protection locked="true" hidden="false"/>
    </xf>
    <xf numFmtId="176" fontId="18" fillId="4" borderId="0" xfId="0" applyFont="true" applyBorder="false" applyAlignment="false" applyProtection="false">
      <alignment horizontal="general" vertical="bottom" textRotation="0" wrapText="false" indent="0" shrinkToFit="false"/>
      <protection locked="true" hidden="false"/>
    </xf>
    <xf numFmtId="164" fontId="0" fillId="11" borderId="0" xfId="0" applyFont="true" applyBorder="false" applyAlignment="false" applyProtection="false">
      <alignment horizontal="general" vertical="bottom" textRotation="0" wrapText="false" indent="0" shrinkToFit="false"/>
      <protection locked="true" hidden="false"/>
    </xf>
    <xf numFmtId="197" fontId="0" fillId="0" borderId="0" xfId="0" applyFont="true" applyBorder="false" applyAlignment="false" applyProtection="false">
      <alignment horizontal="general" vertical="bottom" textRotation="0" wrapText="false" indent="0" shrinkToFit="false"/>
      <protection locked="true" hidden="false"/>
    </xf>
    <xf numFmtId="164" fontId="32" fillId="0" borderId="0" xfId="0" applyFont="true" applyBorder="false" applyAlignment="false" applyProtection="false">
      <alignment horizontal="general" vertical="bottom" textRotation="0" wrapText="false" indent="0" shrinkToFit="false"/>
      <protection locked="true" hidden="false"/>
    </xf>
    <xf numFmtId="198" fontId="0" fillId="0" borderId="0" xfId="0" applyFont="true" applyBorder="false" applyAlignment="false" applyProtection="false">
      <alignment horizontal="general" vertical="bottom" textRotation="0" wrapText="false" indent="0" shrinkToFit="false"/>
      <protection locked="true" hidden="false"/>
    </xf>
    <xf numFmtId="198" fontId="28" fillId="0" borderId="0" xfId="0" applyFont="true" applyBorder="false" applyAlignment="false" applyProtection="false">
      <alignment horizontal="general" vertical="bottom" textRotation="0" wrapText="false" indent="0" shrinkToFit="false"/>
      <protection locked="true" hidden="false"/>
    </xf>
    <xf numFmtId="198" fontId="18" fillId="10" borderId="0" xfId="0" applyFont="true" applyBorder="false" applyAlignment="false" applyProtection="false">
      <alignment horizontal="general" vertical="bottom" textRotation="0" wrapText="false" indent="0" shrinkToFit="false"/>
      <protection locked="true" hidden="false"/>
    </xf>
    <xf numFmtId="168" fontId="32" fillId="8" borderId="0" xfId="0" applyFont="true" applyBorder="false" applyAlignment="false" applyProtection="false">
      <alignment horizontal="general" vertical="bottom" textRotation="0" wrapText="false" indent="0" shrinkToFit="false"/>
      <protection locked="true" hidden="false"/>
    </xf>
    <xf numFmtId="164" fontId="18" fillId="8" borderId="0" xfId="0" applyFont="true" applyBorder="false" applyAlignment="false" applyProtection="false">
      <alignment horizontal="general" vertical="bottom" textRotation="0" wrapText="false" indent="0" shrinkToFit="false"/>
      <protection locked="true" hidden="false"/>
    </xf>
    <xf numFmtId="178" fontId="18" fillId="8" borderId="0" xfId="0" applyFont="true" applyBorder="false" applyAlignment="false" applyProtection="false">
      <alignment horizontal="general" vertical="bottom" textRotation="0" wrapText="false" indent="0" shrinkToFit="false"/>
      <protection locked="true" hidden="false"/>
    </xf>
    <xf numFmtId="168" fontId="18" fillId="8" borderId="0" xfId="0" applyFont="true" applyBorder="false" applyAlignment="false" applyProtection="false">
      <alignment horizontal="general" vertical="bottom" textRotation="0" wrapText="false" indent="0" shrinkToFit="false"/>
      <protection locked="true" hidden="false"/>
    </xf>
    <xf numFmtId="164" fontId="26" fillId="9" borderId="0" xfId="0" applyFont="true" applyBorder="false" applyAlignment="true" applyProtection="false">
      <alignment horizontal="general" vertical="bottom" textRotation="0" wrapText="true" indent="0" shrinkToFit="false"/>
      <protection locked="true" hidden="false"/>
    </xf>
    <xf numFmtId="164" fontId="33" fillId="0" borderId="0" xfId="0" applyFont="true" applyBorder="false" applyAlignment="false" applyProtection="false">
      <alignment horizontal="general" vertical="bottom" textRotation="0" wrapText="false" indent="0" shrinkToFit="false"/>
      <protection locked="true" hidden="false"/>
    </xf>
    <xf numFmtId="172" fontId="18" fillId="8"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false" applyProtection="false">
      <alignment horizontal="general" vertical="bottom" textRotation="0" wrapText="false" indent="0" shrinkToFit="false"/>
      <protection locked="true" hidden="false"/>
    </xf>
    <xf numFmtId="191" fontId="32" fillId="0" borderId="0" xfId="0" applyFont="true" applyBorder="false" applyAlignment="false" applyProtection="false">
      <alignment horizontal="general" vertical="bottom" textRotation="0" wrapText="false" indent="0" shrinkToFit="false"/>
      <protection locked="true" hidden="false"/>
    </xf>
    <xf numFmtId="188" fontId="30" fillId="0" borderId="0" xfId="0" applyFont="true" applyBorder="false" applyAlignment="false" applyProtection="false">
      <alignment horizontal="general" vertical="bottom" textRotation="0" wrapText="false" indent="0" shrinkToFit="false"/>
      <protection locked="true" hidden="false"/>
    </xf>
    <xf numFmtId="179" fontId="32" fillId="0" borderId="0" xfId="0" applyFont="true" applyBorder="false" applyAlignment="false" applyProtection="false">
      <alignment horizontal="general" vertical="bottom" textRotation="0" wrapText="false" indent="0" shrinkToFit="false"/>
      <protection locked="true" hidden="false"/>
    </xf>
    <xf numFmtId="168" fontId="32" fillId="0" borderId="0" xfId="0" applyFont="true" applyBorder="false" applyAlignment="false" applyProtection="false">
      <alignment horizontal="general" vertical="bottom" textRotation="0" wrapText="false" indent="0" shrinkToFit="false"/>
      <protection locked="true" hidden="false"/>
    </xf>
    <xf numFmtId="170" fontId="32" fillId="0" borderId="0" xfId="0" applyFont="true" applyBorder="false" applyAlignment="false" applyProtection="false">
      <alignment horizontal="general" vertical="bottom" textRotation="0" wrapText="false" indent="0" shrinkToFit="false"/>
      <protection locked="true" hidden="false"/>
    </xf>
    <xf numFmtId="169" fontId="30" fillId="0" borderId="0" xfId="0" applyFont="true" applyBorder="false" applyAlignment="false" applyProtection="false">
      <alignment horizontal="general" vertical="bottom" textRotation="0" wrapText="false" indent="0" shrinkToFit="false"/>
      <protection locked="true" hidden="false"/>
    </xf>
    <xf numFmtId="188" fontId="18" fillId="0" borderId="0" xfId="0" applyFont="true" applyBorder="false" applyAlignment="false" applyProtection="false">
      <alignment horizontal="general" vertical="bottom" textRotation="0" wrapText="false" indent="0" shrinkToFit="false"/>
      <protection locked="true" hidden="false"/>
    </xf>
    <xf numFmtId="199" fontId="32" fillId="0" borderId="0" xfId="0" applyFont="true" applyBorder="false" applyAlignment="false" applyProtection="false">
      <alignment horizontal="general" vertical="bottom" textRotation="0" wrapText="false" indent="0" shrinkToFit="false"/>
      <protection locked="true" hidden="false"/>
    </xf>
    <xf numFmtId="179" fontId="30" fillId="0" borderId="0" xfId="0" applyFont="true" applyBorder="false" applyAlignment="false" applyProtection="false">
      <alignment horizontal="general" vertical="bottom" textRotation="0" wrapText="false" indent="0" shrinkToFit="false"/>
      <protection locked="true" hidden="false"/>
    </xf>
    <xf numFmtId="169" fontId="28" fillId="0" borderId="3" xfId="0" applyFont="true" applyBorder="true" applyAlignment="false" applyProtection="false">
      <alignment horizontal="general" vertical="bottom" textRotation="0" wrapText="false" indent="0" shrinkToFit="false"/>
      <protection locked="true" hidden="false"/>
    </xf>
    <xf numFmtId="182" fontId="28" fillId="0" borderId="3" xfId="0" applyFont="true" applyBorder="true" applyAlignment="false" applyProtection="false">
      <alignment horizontal="general" vertical="bottom" textRotation="0" wrapText="false" indent="0" shrinkToFit="false"/>
      <protection locked="true" hidden="false"/>
    </xf>
    <xf numFmtId="188" fontId="28" fillId="0" borderId="3" xfId="0" applyFont="true" applyBorder="true" applyAlignment="false" applyProtection="false">
      <alignment horizontal="general" vertical="bottom" textRotation="0" wrapText="false" indent="0" shrinkToFit="false"/>
      <protection locked="true" hidden="false"/>
    </xf>
    <xf numFmtId="179" fontId="28" fillId="0" borderId="3" xfId="0" applyFont="true" applyBorder="true" applyAlignment="false" applyProtection="false">
      <alignment horizontal="general" vertical="bottom" textRotation="0" wrapText="false" indent="0" shrinkToFit="false"/>
      <protection locked="true" hidden="false"/>
    </xf>
    <xf numFmtId="168" fontId="28" fillId="0" borderId="3" xfId="0" applyFont="true" applyBorder="true" applyAlignment="false" applyProtection="false">
      <alignment horizontal="general" vertical="bottom" textRotation="0" wrapText="false" indent="0" shrinkToFit="false"/>
      <protection locked="true" hidden="false"/>
    </xf>
    <xf numFmtId="170" fontId="28" fillId="0" borderId="3" xfId="0" applyFont="true" applyBorder="true" applyAlignment="false" applyProtection="false">
      <alignment horizontal="general" vertical="bottom" textRotation="0" wrapText="false" indent="0" shrinkToFit="false"/>
      <protection locked="true" hidden="false"/>
    </xf>
    <xf numFmtId="188" fontId="28" fillId="0" borderId="0" xfId="0" applyFont="true" applyBorder="false" applyAlignment="false" applyProtection="false">
      <alignment horizontal="general" vertical="bottom" textRotation="0" wrapText="false" indent="0" shrinkToFit="false"/>
      <protection locked="true" hidden="false"/>
    </xf>
    <xf numFmtId="169" fontId="28" fillId="11" borderId="0" xfId="0" applyFont="true" applyBorder="false" applyAlignment="false" applyProtection="false">
      <alignment horizontal="general" vertical="bottom" textRotation="0" wrapText="false" indent="0" shrinkToFit="false"/>
      <protection locked="true" hidden="false"/>
    </xf>
    <xf numFmtId="164" fontId="28" fillId="13" borderId="0" xfId="0" applyFont="true" applyBorder="false" applyAlignment="false" applyProtection="false">
      <alignment horizontal="general" vertical="bottom" textRotation="0" wrapText="false" indent="0" shrinkToFit="false"/>
      <protection locked="true" hidden="false"/>
    </xf>
    <xf numFmtId="168" fontId="28" fillId="13" borderId="0" xfId="0" applyFont="true" applyBorder="false" applyAlignment="false" applyProtection="false">
      <alignment horizontal="general" vertical="bottom" textRotation="0" wrapText="false" indent="0" shrinkToFit="false"/>
      <protection locked="true" hidden="false"/>
    </xf>
    <xf numFmtId="197" fontId="27" fillId="13" borderId="0" xfId="0" applyFont="true" applyBorder="false" applyAlignment="false" applyProtection="false">
      <alignment horizontal="general" vertical="bottom" textRotation="0" wrapText="false" indent="0" shrinkToFit="false"/>
      <protection locked="true" hidden="false"/>
    </xf>
    <xf numFmtId="197" fontId="28" fillId="13" borderId="0" xfId="0" applyFont="true" applyBorder="false" applyAlignment="false" applyProtection="false">
      <alignment horizontal="general" vertical="bottom" textRotation="0" wrapText="false" indent="0" shrinkToFit="false"/>
      <protection locked="true" hidden="false"/>
    </xf>
    <xf numFmtId="164" fontId="0" fillId="13" borderId="0" xfId="0" applyFont="true" applyBorder="false" applyAlignment="false" applyProtection="false">
      <alignment horizontal="general" vertical="bottom" textRotation="0" wrapText="false" indent="0" shrinkToFit="false"/>
      <protection locked="true" hidden="false"/>
    </xf>
    <xf numFmtId="168" fontId="0" fillId="13" borderId="0" xfId="0" applyFont="true" applyBorder="false" applyAlignment="false" applyProtection="false">
      <alignment horizontal="general" vertical="bottom" textRotation="0" wrapText="false" indent="0" shrinkToFit="false"/>
      <protection locked="true" hidden="false"/>
    </xf>
    <xf numFmtId="188" fontId="28" fillId="11" borderId="0" xfId="0" applyFont="true" applyBorder="false" applyAlignment="false" applyProtection="false">
      <alignment horizontal="general" vertical="bottom" textRotation="0" wrapText="false" indent="0" shrinkToFit="false"/>
      <protection locked="true" hidden="false"/>
    </xf>
    <xf numFmtId="169" fontId="32" fillId="0" borderId="0" xfId="0" applyFont="true" applyBorder="false" applyAlignment="false" applyProtection="false">
      <alignment horizontal="general" vertical="bottom" textRotation="0" wrapText="false" indent="0" shrinkToFit="false"/>
      <protection locked="true" hidden="false"/>
    </xf>
    <xf numFmtId="188" fontId="32" fillId="0" borderId="0" xfId="0" applyFont="true" applyBorder="false" applyAlignment="false" applyProtection="false">
      <alignment horizontal="general" vertical="bottom" textRotation="0" wrapText="false" indent="0" shrinkToFit="false"/>
      <protection locked="true" hidden="false"/>
    </xf>
    <xf numFmtId="198" fontId="32" fillId="0" borderId="0" xfId="0" applyFont="true" applyBorder="false" applyAlignment="false" applyProtection="false">
      <alignment horizontal="general" vertical="bottom" textRotation="0" wrapText="false" indent="0" shrinkToFit="false"/>
      <protection locked="true" hidden="false"/>
    </xf>
    <xf numFmtId="178" fontId="32" fillId="0" borderId="0" xfId="0" applyFont="true" applyBorder="false" applyAlignment="false" applyProtection="false">
      <alignment horizontal="general" vertical="bottom" textRotation="0" wrapText="false" indent="0" shrinkToFit="false"/>
      <protection locked="true" hidden="false"/>
    </xf>
    <xf numFmtId="187" fontId="0" fillId="4" borderId="0" xfId="0" applyFont="true" applyBorder="false" applyAlignment="false" applyProtection="false">
      <alignment horizontal="general" vertical="bottom" textRotation="0" wrapText="false" indent="0" shrinkToFit="false"/>
      <protection locked="true" hidden="false"/>
    </xf>
    <xf numFmtId="188" fontId="0" fillId="4" borderId="0" xfId="0" applyFont="true" applyBorder="false" applyAlignment="false" applyProtection="false">
      <alignment horizontal="general" vertical="bottom" textRotation="0" wrapText="false" indent="0" shrinkToFit="false"/>
      <protection locked="true" hidden="false"/>
    </xf>
    <xf numFmtId="174" fontId="28" fillId="4" borderId="0" xfId="0" applyFont="true" applyBorder="false" applyAlignment="false" applyProtection="false">
      <alignment horizontal="general" vertical="bottom" textRotation="0" wrapText="false" indent="0" shrinkToFit="false"/>
      <protection locked="true" hidden="false"/>
    </xf>
    <xf numFmtId="178" fontId="28" fillId="4" borderId="0" xfId="0" applyFont="true" applyBorder="false" applyAlignment="false" applyProtection="false">
      <alignment horizontal="general" vertical="bottom" textRotation="0" wrapText="false" indent="0" shrinkToFit="false"/>
      <protection locked="true" hidden="false"/>
    </xf>
    <xf numFmtId="168" fontId="0" fillId="4" borderId="0" xfId="0" applyFont="true" applyBorder="false" applyAlignment="false" applyProtection="false">
      <alignment horizontal="general" vertical="bottom" textRotation="0" wrapText="false" indent="0" shrinkToFit="false"/>
      <protection locked="true" hidden="false"/>
    </xf>
    <xf numFmtId="192" fontId="28" fillId="0" borderId="0" xfId="0" applyFont="true" applyBorder="false" applyAlignment="false" applyProtection="false">
      <alignment horizontal="general" vertical="bottom" textRotation="0" wrapText="false" indent="0" shrinkToFit="false"/>
      <protection locked="true" hidden="false"/>
    </xf>
    <xf numFmtId="168" fontId="28" fillId="11" borderId="0" xfId="0" applyFont="true" applyBorder="false" applyAlignment="false" applyProtection="false">
      <alignment horizontal="general" vertical="bottom" textRotation="0" wrapText="false" indent="0" shrinkToFit="false"/>
      <protection locked="true" hidden="false"/>
    </xf>
    <xf numFmtId="176" fontId="0" fillId="13" borderId="0" xfId="0" applyFont="true" applyBorder="false" applyAlignment="false" applyProtection="false">
      <alignment horizontal="general" vertical="bottom" textRotation="0" wrapText="false" indent="0" shrinkToFit="false"/>
      <protection locked="true" hidden="false"/>
    </xf>
    <xf numFmtId="170" fontId="0" fillId="13" borderId="0" xfId="0" applyFont="true" applyBorder="false" applyAlignment="false" applyProtection="false">
      <alignment horizontal="general" vertical="bottom" textRotation="0" wrapText="false" indent="0" shrinkToFit="false"/>
      <protection locked="true" hidden="false"/>
    </xf>
    <xf numFmtId="178" fontId="0" fillId="13" borderId="0" xfId="0" applyFont="true" applyBorder="false" applyAlignment="false" applyProtection="false">
      <alignment horizontal="general" vertical="bottom" textRotation="0" wrapText="false" indent="0" shrinkToFit="false"/>
      <protection locked="true" hidden="false"/>
    </xf>
    <xf numFmtId="193" fontId="0" fillId="13" borderId="0" xfId="0" applyFont="true" applyBorder="false" applyAlignment="false" applyProtection="false">
      <alignment horizontal="general" vertical="bottom" textRotation="0" wrapText="false" indent="0" shrinkToFit="false"/>
      <protection locked="true" hidden="false"/>
    </xf>
    <xf numFmtId="164" fontId="34" fillId="11" borderId="0" xfId="0" applyFont="true" applyBorder="false" applyAlignment="false" applyProtection="false">
      <alignment horizontal="general" vertical="bottom" textRotation="0" wrapText="false" indent="0" shrinkToFit="false"/>
      <protection locked="true" hidden="false"/>
    </xf>
    <xf numFmtId="187" fontId="32" fillId="0" borderId="0" xfId="0" applyFont="true" applyBorder="false" applyAlignment="false" applyProtection="false">
      <alignment horizontal="general" vertical="bottom" textRotation="0" wrapText="false" indent="0" shrinkToFit="false"/>
      <protection locked="true" hidden="false"/>
    </xf>
    <xf numFmtId="187" fontId="28" fillId="0" borderId="0" xfId="0" applyFont="true" applyBorder="false" applyAlignment="false" applyProtection="false">
      <alignment horizontal="general" vertical="bottom" textRotation="0" wrapText="false" indent="0" shrinkToFit="false"/>
      <protection locked="true" hidden="false"/>
    </xf>
    <xf numFmtId="187" fontId="28" fillId="11" borderId="0" xfId="0" applyFont="true" applyBorder="false" applyAlignment="false" applyProtection="false">
      <alignment horizontal="general" vertical="bottom" textRotation="0" wrapText="false" indent="0" shrinkToFit="false"/>
      <protection locked="true" hidden="false"/>
    </xf>
    <xf numFmtId="187" fontId="34" fillId="11" borderId="0" xfId="0" applyFont="true" applyBorder="false" applyAlignment="false" applyProtection="false">
      <alignment horizontal="general" vertical="bottom" textRotation="0" wrapText="false" indent="0" shrinkToFit="false"/>
      <protection locked="true" hidden="false"/>
    </xf>
    <xf numFmtId="178" fontId="28" fillId="11" borderId="0" xfId="0" applyFont="true" applyBorder="false" applyAlignment="false" applyProtection="false">
      <alignment horizontal="general" vertical="bottom" textRotation="0" wrapText="false" indent="0" shrinkToFit="false"/>
      <protection locked="true" hidden="false"/>
    </xf>
    <xf numFmtId="176" fontId="28" fillId="11" borderId="0" xfId="0" applyFont="true" applyBorder="false" applyAlignment="false" applyProtection="false">
      <alignment horizontal="general" vertical="bottom" textRotation="0" wrapText="false" indent="0" shrinkToFit="false"/>
      <protection locked="true" hidden="false"/>
    </xf>
    <xf numFmtId="187" fontId="28" fillId="4" borderId="0" xfId="0" applyFont="true" applyBorder="false" applyAlignment="false" applyProtection="false">
      <alignment horizontal="general" vertical="bottom" textRotation="0" wrapText="false" indent="0" shrinkToFit="false"/>
      <protection locked="true" hidden="false"/>
    </xf>
    <xf numFmtId="168" fontId="28" fillId="4" borderId="0" xfId="0" applyFont="true" applyBorder="false" applyAlignment="false" applyProtection="false">
      <alignment horizontal="general" vertical="bottom" textRotation="0" wrapText="false" indent="0" shrinkToFit="false"/>
      <protection locked="true" hidden="false"/>
    </xf>
    <xf numFmtId="182" fontId="28" fillId="4" borderId="0" xfId="0" applyFont="true" applyBorder="false" applyAlignment="false" applyProtection="false">
      <alignment horizontal="general" vertical="bottom" textRotation="0" wrapText="false" indent="0" shrinkToFit="false"/>
      <protection locked="true" hidden="false"/>
    </xf>
    <xf numFmtId="192" fontId="28" fillId="4" borderId="0" xfId="0" applyFont="true" applyBorder="false" applyAlignment="false" applyProtection="false">
      <alignment horizontal="general" vertical="bottom" textRotation="0" wrapText="false" indent="0" shrinkToFit="false"/>
      <protection locked="true" hidden="false"/>
    </xf>
    <xf numFmtId="164" fontId="28" fillId="4" borderId="0" xfId="0" applyFont="true" applyBorder="false" applyAlignment="false" applyProtection="false">
      <alignment horizontal="general" vertical="bottom" textRotation="0" wrapText="false" indent="0" shrinkToFit="false"/>
      <protection locked="true" hidden="false"/>
    </xf>
    <xf numFmtId="164" fontId="0" fillId="7" borderId="0" xfId="0" applyFont="true" applyBorder="false" applyAlignment="false" applyProtection="false">
      <alignment horizontal="general" vertical="bottom" textRotation="0" wrapText="false" indent="0" shrinkToFit="false"/>
      <protection locked="true" hidden="false"/>
    </xf>
    <xf numFmtId="187" fontId="0" fillId="7" borderId="0" xfId="0" applyFont="true" applyBorder="false" applyAlignment="false" applyProtection="false">
      <alignment horizontal="general" vertical="bottom" textRotation="0" wrapText="false" indent="0" shrinkToFit="false"/>
      <protection locked="true" hidden="false"/>
    </xf>
    <xf numFmtId="187" fontId="0" fillId="13" borderId="0" xfId="0" applyFont="true" applyBorder="false" applyAlignment="false" applyProtection="false">
      <alignment horizontal="general" vertical="bottom" textRotation="0" wrapText="false" indent="0" shrinkToFit="false"/>
      <protection locked="true" hidden="false"/>
    </xf>
    <xf numFmtId="182" fontId="0" fillId="7" borderId="0" xfId="0" applyFont="true" applyBorder="false" applyAlignment="false" applyProtection="false">
      <alignment horizontal="general" vertical="bottom" textRotation="0" wrapText="false" indent="0" shrinkToFit="false"/>
      <protection locked="true" hidden="false"/>
    </xf>
    <xf numFmtId="182" fontId="18" fillId="0" borderId="0" xfId="0" applyFont="true" applyBorder="false" applyAlignment="false" applyProtection="false">
      <alignment horizontal="general" vertical="bottom" textRotation="0" wrapText="false" indent="0" shrinkToFit="false"/>
      <protection locked="true" hidden="false"/>
    </xf>
    <xf numFmtId="174" fontId="0" fillId="7" borderId="0" xfId="0" applyFont="true" applyBorder="false" applyAlignment="false" applyProtection="false">
      <alignment horizontal="general" vertical="bottom" textRotation="0" wrapText="false" indent="0" shrinkToFit="false"/>
      <protection locked="true" hidden="false"/>
    </xf>
    <xf numFmtId="168" fontId="35" fillId="0" borderId="0" xfId="0" applyFont="true" applyBorder="false" applyAlignment="false" applyProtection="false">
      <alignment horizontal="general" vertical="bottom" textRotation="0" wrapText="false" indent="0" shrinkToFit="false"/>
      <protection locked="true" hidden="false"/>
    </xf>
    <xf numFmtId="184" fontId="0" fillId="0" borderId="0" xfId="0" applyFont="true" applyBorder="false" applyAlignment="false" applyProtection="false">
      <alignment horizontal="general" vertical="bottom" textRotation="0" wrapText="false" indent="0" shrinkToFit="false"/>
      <protection locked="true" hidden="false"/>
    </xf>
    <xf numFmtId="164" fontId="36" fillId="0" borderId="0" xfId="0" applyFont="true" applyBorder="false" applyAlignment="false" applyProtection="false">
      <alignment horizontal="general" vertical="bottom" textRotation="0" wrapText="false" indent="0" shrinkToFit="false"/>
      <protection locked="true" hidden="false"/>
    </xf>
    <xf numFmtId="164" fontId="37" fillId="0" borderId="0" xfId="0" applyFont="true" applyBorder="false" applyAlignment="false" applyProtection="false">
      <alignment horizontal="general" vertical="bottom" textRotation="0" wrapText="false" indent="0" shrinkToFit="false"/>
      <protection locked="true" hidden="false"/>
    </xf>
    <xf numFmtId="164" fontId="38" fillId="0" borderId="0" xfId="0" applyFont="true" applyBorder="false" applyAlignment="false" applyProtection="false">
      <alignment horizontal="general" vertical="bottom" textRotation="0" wrapText="false" indent="0" shrinkToFit="false"/>
      <protection locked="true" hidden="false"/>
    </xf>
    <xf numFmtId="164" fontId="30" fillId="0" borderId="0" xfId="0" applyFont="true" applyBorder="false" applyAlignment="true" applyProtection="false">
      <alignment horizontal="general" vertical="top" textRotation="0" wrapText="false" indent="0" shrinkToFit="false"/>
      <protection locked="true" hidden="false"/>
    </xf>
    <xf numFmtId="164" fontId="39" fillId="0" borderId="0" xfId="0" applyFont="true" applyBorder="false" applyAlignment="true" applyProtection="false">
      <alignment horizontal="center" vertical="top" textRotation="0" wrapText="false" indent="0" shrinkToFit="false"/>
      <protection locked="true" hidden="false"/>
    </xf>
    <xf numFmtId="164" fontId="39" fillId="0" borderId="0" xfId="0" applyFont="true" applyBorder="false" applyAlignment="true" applyProtection="false">
      <alignment horizontal="general" vertical="top" textRotation="0" wrapText="false" indent="0" shrinkToFit="false"/>
      <protection locked="true" hidden="false"/>
    </xf>
    <xf numFmtId="164" fontId="39" fillId="0" borderId="0" xfId="0" applyFont="true" applyBorder="false" applyAlignment="true" applyProtection="false">
      <alignment horizontal="general" vertical="top" textRotation="0" wrapText="true" indent="0" shrinkToFit="false"/>
      <protection locked="true" hidden="false"/>
    </xf>
    <xf numFmtId="164" fontId="39" fillId="0" borderId="0" xfId="0" applyFont="true" applyBorder="false" applyAlignment="true" applyProtection="false">
      <alignment horizontal="general" vertical="bottom" textRotation="0" wrapText="true" indent="0" shrinkToFit="false"/>
      <protection locked="true" hidden="false"/>
    </xf>
    <xf numFmtId="164" fontId="30" fillId="0" borderId="0" xfId="0" applyFont="true" applyBorder="false" applyAlignment="true" applyProtection="false">
      <alignment horizontal="general" vertical="top" textRotation="0" wrapText="true" indent="0" shrinkToFit="false"/>
      <protection locked="true" hidden="false"/>
    </xf>
    <xf numFmtId="164" fontId="40" fillId="8" borderId="0" xfId="0" applyFont="true" applyBorder="false" applyAlignment="true" applyProtection="false">
      <alignment horizontal="center" vertical="top" textRotation="0" wrapText="true" indent="0" shrinkToFit="false"/>
      <protection locked="true" hidden="false"/>
    </xf>
    <xf numFmtId="164" fontId="40" fillId="8" borderId="0" xfId="0" applyFont="true" applyBorder="false" applyAlignment="true" applyProtection="false">
      <alignment horizontal="center" vertical="top"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41" fillId="8" borderId="0" xfId="0" applyFont="true" applyBorder="false" applyAlignment="true" applyProtection="false">
      <alignment horizontal="center" vertical="top" textRotation="0" wrapText="true" indent="0" shrinkToFit="false"/>
      <protection locked="true" hidden="false"/>
    </xf>
    <xf numFmtId="164" fontId="40" fillId="14" borderId="0" xfId="0" applyFont="true" applyBorder="false" applyAlignment="true" applyProtection="false">
      <alignment horizontal="center" vertical="top" textRotation="0" wrapText="false" indent="0" shrinkToFit="false"/>
      <protection locked="true" hidden="false"/>
    </xf>
    <xf numFmtId="190" fontId="30" fillId="0" borderId="0" xfId="0" applyFont="true" applyBorder="false" applyAlignment="true" applyProtection="false">
      <alignment horizontal="center" vertical="top" textRotation="0" wrapText="false" indent="0" shrinkToFit="false"/>
      <protection locked="true" hidden="false"/>
    </xf>
    <xf numFmtId="190" fontId="0" fillId="0" borderId="0" xfId="0" applyFont="true" applyBorder="false" applyAlignment="true" applyProtection="false">
      <alignment horizontal="center" vertical="bottom" textRotation="0" wrapText="false" indent="0" shrinkToFit="false"/>
      <protection locked="true" hidden="false"/>
    </xf>
    <xf numFmtId="190" fontId="30" fillId="0" borderId="0" xfId="0" applyFont="true" applyBorder="false" applyAlignment="true" applyProtection="false">
      <alignment horizontal="general" vertical="top" textRotation="0" wrapText="false" indent="0" shrinkToFit="false"/>
      <protection locked="true" hidden="false"/>
    </xf>
    <xf numFmtId="179" fontId="30" fillId="0" borderId="0" xfId="0" applyFont="true" applyBorder="false" applyAlignment="true" applyProtection="false">
      <alignment horizontal="general" vertical="top" textRotation="0" wrapText="false" indent="0" shrinkToFit="false"/>
      <protection locked="true" hidden="false"/>
    </xf>
    <xf numFmtId="170" fontId="30" fillId="0" borderId="0" xfId="0" applyFont="true" applyBorder="false" applyAlignment="true" applyProtection="false">
      <alignment horizontal="general" vertical="top" textRotation="0" wrapText="true" indent="0" shrinkToFit="false"/>
      <protection locked="true" hidden="false"/>
    </xf>
    <xf numFmtId="164" fontId="42" fillId="0" borderId="0" xfId="0" applyFont="true" applyBorder="false" applyAlignment="false" applyProtection="false">
      <alignment horizontal="general" vertical="bottom" textRotation="0" wrapText="false" indent="0" shrinkToFit="false"/>
      <protection locked="true" hidden="false"/>
    </xf>
    <xf numFmtId="190" fontId="32" fillId="0" borderId="0" xfId="0" applyFont="true" applyBorder="false" applyAlignment="false" applyProtection="false">
      <alignment horizontal="general" vertical="bottom" textRotation="0" wrapText="false" indent="0" shrinkToFit="false"/>
      <protection locked="true" hidden="false"/>
    </xf>
    <xf numFmtId="168" fontId="18" fillId="0" borderId="0" xfId="0" applyFont="true" applyBorder="false" applyAlignment="false" applyProtection="false">
      <alignment horizontal="general" vertical="bottom" textRotation="0" wrapText="false" indent="0" shrinkToFit="false"/>
      <protection locked="true" hidden="false"/>
    </xf>
    <xf numFmtId="190" fontId="18" fillId="0" borderId="0" xfId="0" applyFont="true" applyBorder="false" applyAlignment="false" applyProtection="false">
      <alignment horizontal="general" vertical="bottom" textRotation="0" wrapText="false" indent="0" shrinkToFit="false"/>
      <protection locked="true" hidden="false"/>
    </xf>
    <xf numFmtId="164" fontId="28" fillId="0" borderId="3" xfId="0" applyFont="true" applyBorder="true" applyAlignment="false" applyProtection="false">
      <alignment horizontal="general" vertical="bottom" textRotation="0" wrapText="false" indent="0" shrinkToFit="false"/>
      <protection locked="true" hidden="false"/>
    </xf>
    <xf numFmtId="164" fontId="43" fillId="0" borderId="0" xfId="0" applyFont="true" applyBorder="false" applyAlignment="false" applyProtection="false">
      <alignment horizontal="general" vertical="bottom" textRotation="0" wrapText="false" indent="0" shrinkToFit="false"/>
      <protection locked="true" hidden="false"/>
    </xf>
    <xf numFmtId="164" fontId="28" fillId="0" borderId="0" xfId="0" applyFont="true" applyBorder="false" applyAlignment="true" applyProtection="false">
      <alignment horizontal="general" vertical="bottom" textRotation="0" wrapText="true" indent="0" shrinkToFit="false"/>
      <protection locked="true" hidden="false"/>
    </xf>
    <xf numFmtId="168" fontId="28" fillId="0" borderId="0" xfId="0" applyFont="true" applyBorder="false" applyAlignment="true" applyProtection="false">
      <alignment horizontal="general" vertical="bottom" textRotation="0" wrapText="true" indent="0" shrinkToFit="false"/>
      <protection locked="true" hidden="false"/>
    </xf>
    <xf numFmtId="190" fontId="0" fillId="0" borderId="0" xfId="0" applyFont="true" applyBorder="false" applyAlignment="false" applyProtection="false">
      <alignment horizontal="general" vertical="bottom" textRotation="0" wrapText="false" indent="0" shrinkToFit="false"/>
      <protection locked="true" hidden="false"/>
    </xf>
    <xf numFmtId="200" fontId="0" fillId="0" borderId="0" xfId="0" applyFont="true" applyBorder="false" applyAlignment="false" applyProtection="false">
      <alignment horizontal="general" vertical="bottom" textRotation="0" wrapText="false" indent="0" shrinkToFit="false"/>
      <protection locked="true" hidden="false"/>
    </xf>
    <xf numFmtId="201" fontId="0" fillId="0" borderId="0" xfId="0" applyFont="true" applyBorder="false" applyAlignment="false" applyProtection="false">
      <alignment horizontal="general" vertical="bottom" textRotation="0" wrapText="false" indent="0" shrinkToFit="false"/>
      <protection locked="true" hidden="false"/>
    </xf>
    <xf numFmtId="202" fontId="0" fillId="0" borderId="0" xfId="0" applyFont="true" applyBorder="false" applyAlignment="false" applyProtection="false">
      <alignment horizontal="general" vertical="bottom" textRotation="0" wrapText="false" indent="0" shrinkToFit="false"/>
      <protection locked="true" hidden="false"/>
    </xf>
    <xf numFmtId="203" fontId="0" fillId="0"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true" applyProtection="false">
      <alignment horizontal="general" vertical="bottom" textRotation="0" wrapText="true" indent="0" shrinkToFit="false"/>
      <protection locked="true" hidden="false"/>
    </xf>
  </cellXfs>
  <cellStyles count="25">
    <cellStyle name="Normal" xfId="0" builtinId="0"/>
    <cellStyle name="Comma" xfId="15" builtinId="3"/>
    <cellStyle name="Comma [0]" xfId="16" builtinId="6"/>
    <cellStyle name="Currency" xfId="17" builtinId="4"/>
    <cellStyle name="Currency [0]" xfId="18" builtinId="7"/>
    <cellStyle name="Percent" xfId="19" builtinId="5"/>
    <cellStyle name="Blank_Cell" xfId="20"/>
    <cellStyle name="Comma 2" xfId="21"/>
    <cellStyle name="fep_banner" xfId="22"/>
    <cellStyle name="fep_calc" xfId="23"/>
    <cellStyle name="fep_end" xfId="24"/>
    <cellStyle name="fep_header" xfId="25"/>
    <cellStyle name="fep_input" xfId="26"/>
    <cellStyle name="fep_label" xfId="27"/>
    <cellStyle name="fep_link" xfId="28"/>
    <cellStyle name="fep_macro" xfId="29"/>
    <cellStyle name="fep_section" xfId="30"/>
    <cellStyle name="fep_subheader" xfId="31"/>
    <cellStyle name="fep_total" xfId="32"/>
    <cellStyle name="fep_unit" xfId="33"/>
    <cellStyle name="Normal 11 3 4" xfId="34"/>
    <cellStyle name="Normal 2" xfId="35"/>
    <cellStyle name="Normal 2 2" xfId="36"/>
    <cellStyle name="Normal 3" xfId="37"/>
    <cellStyle name="Normal 3 2" xfId="38"/>
  </cellStyles>
  <dxfs count="4">
    <dxf>
      <font>
        <b val="1"/>
        <color rgb="FF00B050"/>
      </font>
    </dxf>
    <dxf>
      <font>
        <b val="1"/>
        <color rgb="FFFF0000"/>
      </font>
    </dxf>
    <dxf>
      <fill>
        <patternFill>
          <bgColor rgb="FFC6EFCE"/>
        </patternFill>
      </fill>
    </dxf>
    <dxf>
      <fill>
        <patternFill>
          <bgColor rgb="FFFFC7CE"/>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808080"/>
      <rgbColor rgb="FF9999FF"/>
      <rgbColor rgb="FF7030A0"/>
      <rgbColor rgb="FFFFF9E6"/>
      <rgbColor rgb="FFE6F4EC"/>
      <rgbColor rgb="FF660066"/>
      <rgbColor rgb="FFFF8080"/>
      <rgbColor rgb="FF0070C0"/>
      <rgbColor rgb="FFD9E1F2"/>
      <rgbColor rgb="FF000080"/>
      <rgbColor rgb="FFFF00FF"/>
      <rgbColor rgb="FFFFFF00"/>
      <rgbColor rgb="FF00FFFF"/>
      <rgbColor rgb="FF800080"/>
      <rgbColor rgb="FFED0000"/>
      <rgbColor rgb="FF008080"/>
      <rgbColor rgb="FF0000FF"/>
      <rgbColor rgb="FF00CCFF"/>
      <rgbColor rgb="FFE2EFDA"/>
      <rgbColor rgb="FFC6EFCE"/>
      <rgbColor rgb="FFFFF2CC"/>
      <rgbColor rgb="FFEDEDED"/>
      <rgbColor rgb="FFF2F2F2"/>
      <rgbColor rgb="FFCC99FF"/>
      <rgbColor rgb="FFFFC7CE"/>
      <rgbColor rgb="FF3366FF"/>
      <rgbColor rgb="FF33CCCC"/>
      <rgbColor rgb="FF99CC00"/>
      <rgbColor rgb="FFFFC000"/>
      <rgbColor rgb="FFFF9900"/>
      <rgbColor rgb="FFFF6600"/>
      <rgbColor rgb="FF595959"/>
      <rgbColor rgb="FF7F7F7F"/>
      <rgbColor rgb="FF1F3864"/>
      <rgbColor rgb="FF00B050"/>
      <rgbColor rgb="FF00563C"/>
      <rgbColor rgb="FF333300"/>
      <rgbColor rgb="FF993300"/>
      <rgbColor rgb="FF993366"/>
      <rgbColor rgb="FF333399"/>
      <rgbColor rgb="FF3C3C3B"/>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1.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vmlDrawing" Target="../drawings/vmlDrawing2.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3.v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vmlDrawing" Target="../drawings/vmlDrawing4.v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vmlDrawing" Target="../drawings/vmlDrawing5.vml"/>
</Relationships>
</file>

<file path=xl/worksheets/_rels/sheet11.xml.rels><?xml version="1.0" encoding="UTF-8"?>
<Relationships xmlns="http://schemas.openxmlformats.org/package/2006/relationships"><Relationship Id="rId1" Type="http://schemas.openxmlformats.org/officeDocument/2006/relationships/comments" Target="../comments11.xml"/><Relationship Id="rId2" Type="http://schemas.openxmlformats.org/officeDocument/2006/relationships/vmlDrawing" Target="../drawings/vmlDrawing6.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AR3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8" ySplit="8" topLeftCell="I12" activePane="bottomRight" state="frozen"/>
      <selection pane="topLeft" activeCell="A1" activeCellId="0" sqref="A1"/>
      <selection pane="topRight" activeCell="I1" activeCellId="0" sqref="I1"/>
      <selection pane="bottomLeft" activeCell="A12" activeCellId="0" sqref="A12"/>
      <selection pane="bottomRight" activeCell="M17" activeCellId="0" sqref="M17"/>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44"/>
    <col collapsed="false" customWidth="true" hidden="false" outlineLevel="0" max="4" min="4" style="0" width="8"/>
    <col collapsed="false" customWidth="true" hidden="false" outlineLevel="0" max="7" min="5" style="0" width="11"/>
    <col collapsed="false" customWidth="true" hidden="false" outlineLevel="0" max="8" min="8" style="0" width="2"/>
    <col collapsed="false" customWidth="true" hidden="false" outlineLevel="0" max="44" min="9" style="0" width="9"/>
    <col collapsed="false" customWidth="false" hidden="true" outlineLevel="1" max="16384" min="45" style="0" width="13"/>
  </cols>
  <sheetData>
    <row r="2" customFormat="false" ht="15.75" hidden="false" customHeight="true" outlineLevel="0" collapsed="false">
      <c r="A2" s="1"/>
      <c r="B2" s="1" t="str">
        <f aca="false">Inputs!$A$1&amp;" – Equity cash flow, build and operate (HTM, EUR k)"</f>
        <v>HUN Onshore Wind – MOIC model v5 – Equity cash flow, build and operate (HTM, EUR k)</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4" customFormat="false" ht="15" hidden="false" customHeight="false" outlineLevel="0" collapsed="false">
      <c r="E4" s="2" t="s">
        <v>0</v>
      </c>
      <c r="F4" s="2" t="s">
        <v>1</v>
      </c>
      <c r="G4" s="2" t="s">
        <v>2</v>
      </c>
    </row>
    <row r="5" customFormat="false" ht="15" hidden="false" customHeight="false" outlineLevel="0" collapsed="false">
      <c r="C5" s="3" t="s">
        <v>3</v>
      </c>
      <c r="E5" s="4" t="n">
        <f aca="false">Dashboard!$E$66</f>
        <v>171.42989811746</v>
      </c>
      <c r="F5" s="5" t="n">
        <f aca="false">Dashboard!$F$66</f>
        <v>1261.44148725136</v>
      </c>
      <c r="G5" s="5" t="n">
        <f aca="false">Dashboard!$G$66</f>
        <v>1714.2989811746</v>
      </c>
    </row>
    <row r="6" customFormat="false" ht="15" hidden="false" customHeight="false" outlineLevel="0" collapsed="false">
      <c r="C6" s="3" t="s">
        <v>4</v>
      </c>
      <c r="E6" s="4" t="n">
        <f aca="false">Dashboard!$E$78</f>
        <v>27.25764028155</v>
      </c>
      <c r="F6" s="6" t="n">
        <f aca="false">E6*Thousand/In_Wind_Built</f>
        <v>200.5713045</v>
      </c>
      <c r="G6" s="6" t="n">
        <f aca="false">E6*Thousand/Dash_MVA</f>
        <v>272.5764028155</v>
      </c>
    </row>
    <row r="8" customFormat="false" ht="15" hidden="false" customHeight="false" outlineLevel="0" collapsed="false">
      <c r="C8" s="3" t="s">
        <v>5</v>
      </c>
      <c r="D8" s="7" t="s">
        <v>6</v>
      </c>
      <c r="I8" s="8" t="n">
        <f aca="false">HTM!H$5</f>
        <v>2026</v>
      </c>
      <c r="J8" s="8" t="n">
        <f aca="false">HTM!I$5</f>
        <v>2027</v>
      </c>
      <c r="K8" s="8" t="n">
        <f aca="false">HTM!J$5</f>
        <v>2028</v>
      </c>
      <c r="L8" s="8" t="n">
        <f aca="false">HTM!K$5</f>
        <v>2029</v>
      </c>
      <c r="M8" s="8" t="n">
        <f aca="false">HTM!L$5</f>
        <v>2030</v>
      </c>
      <c r="N8" s="8" t="n">
        <f aca="false">HTM!M$5</f>
        <v>2031</v>
      </c>
      <c r="O8" s="8" t="n">
        <f aca="false">HTM!N$5</f>
        <v>2032</v>
      </c>
      <c r="P8" s="8" t="n">
        <f aca="false">HTM!O$5</f>
        <v>2033</v>
      </c>
      <c r="Q8" s="8" t="n">
        <f aca="false">HTM!P$5</f>
        <v>2034</v>
      </c>
      <c r="R8" s="8" t="n">
        <f aca="false">HTM!Q$5</f>
        <v>2035</v>
      </c>
      <c r="S8" s="8" t="n">
        <f aca="false">HTM!R$5</f>
        <v>2036</v>
      </c>
      <c r="T8" s="8" t="n">
        <f aca="false">HTM!S$5</f>
        <v>2037</v>
      </c>
      <c r="U8" s="8" t="n">
        <f aca="false">HTM!T$5</f>
        <v>2038</v>
      </c>
      <c r="V8" s="8" t="n">
        <f aca="false">HTM!U$5</f>
        <v>2039</v>
      </c>
      <c r="W8" s="8" t="n">
        <f aca="false">HTM!V$5</f>
        <v>2040</v>
      </c>
      <c r="X8" s="8" t="n">
        <f aca="false">HTM!W$5</f>
        <v>2041</v>
      </c>
      <c r="Y8" s="8" t="n">
        <f aca="false">HTM!X$5</f>
        <v>2042</v>
      </c>
      <c r="Z8" s="8" t="n">
        <f aca="false">HTM!Y$5</f>
        <v>2043</v>
      </c>
      <c r="AA8" s="8" t="n">
        <f aca="false">HTM!Z$5</f>
        <v>2044</v>
      </c>
      <c r="AB8" s="8" t="n">
        <f aca="false">HTM!AA$5</f>
        <v>2045</v>
      </c>
      <c r="AC8" s="8" t="n">
        <f aca="false">HTM!AB$5</f>
        <v>2046</v>
      </c>
      <c r="AD8" s="8" t="n">
        <f aca="false">HTM!AC$5</f>
        <v>2047</v>
      </c>
      <c r="AE8" s="8" t="n">
        <f aca="false">HTM!AD$5</f>
        <v>2048</v>
      </c>
      <c r="AF8" s="8" t="n">
        <f aca="false">HTM!AE$5</f>
        <v>2049</v>
      </c>
      <c r="AG8" s="8" t="n">
        <f aca="false">HTM!AF$5</f>
        <v>2050</v>
      </c>
      <c r="AH8" s="8" t="n">
        <f aca="false">HTM!AG$5</f>
        <v>2051</v>
      </c>
      <c r="AI8" s="8" t="n">
        <f aca="false">HTM!AH$5</f>
        <v>2052</v>
      </c>
      <c r="AJ8" s="8" t="n">
        <f aca="false">HTM!AI$5</f>
        <v>2053</v>
      </c>
      <c r="AK8" s="8" t="n">
        <f aca="false">HTM!AJ$5</f>
        <v>2054</v>
      </c>
      <c r="AL8" s="8" t="n">
        <f aca="false">HTM!AK$5</f>
        <v>2055</v>
      </c>
      <c r="AM8" s="8" t="n">
        <f aca="false">HTM!AL$5</f>
        <v>2056</v>
      </c>
      <c r="AN8" s="8" t="n">
        <f aca="false">HTM!AM$5</f>
        <v>2057</v>
      </c>
      <c r="AO8" s="8" t="n">
        <f aca="false">HTM!AN$5</f>
        <v>2058</v>
      </c>
      <c r="AP8" s="8" t="n">
        <f aca="false">HTM!AO$5</f>
        <v>2059</v>
      </c>
      <c r="AQ8" s="8" t="n">
        <f aca="false">HTM!AP$5</f>
        <v>2060</v>
      </c>
      <c r="AR8" s="8" t="n">
        <f aca="false">HTM!AQ$5</f>
        <v>2061</v>
      </c>
    </row>
    <row r="9" customFormat="false" ht="15" hidden="false" customHeight="false" outlineLevel="0" collapsed="false">
      <c r="A9" s="9" t="s">
        <v>7</v>
      </c>
      <c r="B9" s="9"/>
      <c r="C9" s="9" t="s">
        <v>8</v>
      </c>
      <c r="D9" s="9"/>
      <c r="E9" s="9"/>
      <c r="F9" s="9"/>
      <c r="G9" s="10" t="s">
        <v>9</v>
      </c>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row>
    <row r="10" customFormat="false" ht="15" hidden="false" customHeight="false" outlineLevel="0" collapsed="false">
      <c r="C10" s="3" t="s">
        <v>10</v>
      </c>
      <c r="D10" s="7" t="s">
        <v>11</v>
      </c>
      <c r="G10" s="11" t="n">
        <f aca="false">SUM(I10:AR10)</f>
        <v>-1302.8302220275</v>
      </c>
      <c r="I10" s="11" t="n">
        <f aca="false">I18/In_Wind_Built</f>
        <v>-11.55715709359</v>
      </c>
      <c r="J10" s="11" t="n">
        <f aca="false">J18/In_Wind_Built</f>
        <v>-5.7302291632102</v>
      </c>
      <c r="K10" s="11" t="n">
        <f aca="false">K18/In_Wind_Built</f>
        <v>-9.03192149508648</v>
      </c>
      <c r="L10" s="11" t="n">
        <f aca="false">L18/In_Wind_Built</f>
        <v>-460.743517400479</v>
      </c>
      <c r="M10" s="11" t="n">
        <f aca="false">M18/In_Wind_Built</f>
        <v>-521.466224866752</v>
      </c>
      <c r="N10" s="11" t="n">
        <f aca="false">N18/In_Wind_Built</f>
        <v>-294.301172008382</v>
      </c>
      <c r="O10" s="11" t="n">
        <f aca="false">O18/In_Wind_Built</f>
        <v>0</v>
      </c>
      <c r="P10" s="11" t="n">
        <f aca="false">P18/In_Wind_Built</f>
        <v>0</v>
      </c>
      <c r="Q10" s="11" t="n">
        <f aca="false">Q18/In_Wind_Built</f>
        <v>0</v>
      </c>
      <c r="R10" s="11" t="n">
        <f aca="false">R18/In_Wind_Built</f>
        <v>0</v>
      </c>
      <c r="S10" s="11" t="n">
        <f aca="false">S18/In_Wind_Built</f>
        <v>0</v>
      </c>
      <c r="T10" s="11" t="n">
        <f aca="false">T18/In_Wind_Built</f>
        <v>0</v>
      </c>
      <c r="U10" s="11" t="n">
        <f aca="false">U18/In_Wind_Built</f>
        <v>0</v>
      </c>
      <c r="V10" s="11" t="n">
        <f aca="false">V18/In_Wind_Built</f>
        <v>0</v>
      </c>
      <c r="W10" s="11" t="n">
        <f aca="false">W18/In_Wind_Built</f>
        <v>0</v>
      </c>
      <c r="X10" s="11" t="n">
        <f aca="false">X18/In_Wind_Built</f>
        <v>0</v>
      </c>
      <c r="Y10" s="11" t="n">
        <f aca="false">Y18/In_Wind_Built</f>
        <v>0</v>
      </c>
      <c r="Z10" s="11" t="n">
        <f aca="false">Z18/In_Wind_Built</f>
        <v>0</v>
      </c>
      <c r="AA10" s="11" t="n">
        <f aca="false">AA18/In_Wind_Built</f>
        <v>0</v>
      </c>
      <c r="AB10" s="11" t="n">
        <f aca="false">AB18/In_Wind_Built</f>
        <v>0</v>
      </c>
      <c r="AC10" s="11" t="n">
        <f aca="false">AC18/In_Wind_Built</f>
        <v>0</v>
      </c>
      <c r="AD10" s="11" t="n">
        <f aca="false">AD18/In_Wind_Built</f>
        <v>0</v>
      </c>
      <c r="AE10" s="11" t="n">
        <f aca="false">AE18/In_Wind_Built</f>
        <v>0</v>
      </c>
      <c r="AF10" s="11" t="n">
        <f aca="false">AF18/In_Wind_Built</f>
        <v>0</v>
      </c>
      <c r="AG10" s="11" t="n">
        <f aca="false">AG18/In_Wind_Built</f>
        <v>0</v>
      </c>
      <c r="AH10" s="11" t="n">
        <f aca="false">AH18/In_Wind_Built</f>
        <v>0</v>
      </c>
      <c r="AI10" s="11" t="n">
        <f aca="false">AI18/In_Wind_Built</f>
        <v>0</v>
      </c>
      <c r="AJ10" s="11" t="n">
        <f aca="false">AJ18/In_Wind_Built</f>
        <v>0</v>
      </c>
      <c r="AK10" s="11" t="n">
        <f aca="false">AK18/In_Wind_Built</f>
        <v>0</v>
      </c>
      <c r="AL10" s="11" t="n">
        <f aca="false">AL18/In_Wind_Built</f>
        <v>0</v>
      </c>
      <c r="AM10" s="11" t="n">
        <f aca="false">AM18/In_Wind_Built</f>
        <v>0</v>
      </c>
      <c r="AN10" s="11" t="n">
        <f aca="false">AN18/In_Wind_Built</f>
        <v>0</v>
      </c>
      <c r="AO10" s="11" t="n">
        <f aca="false">AO18/In_Wind_Built</f>
        <v>0</v>
      </c>
      <c r="AP10" s="11" t="n">
        <f aca="false">AP18/In_Wind_Built</f>
        <v>0</v>
      </c>
      <c r="AQ10" s="11" t="n">
        <f aca="false">AQ18/In_Wind_Built</f>
        <v>0</v>
      </c>
      <c r="AR10" s="11" t="n">
        <f aca="false">AR18/In_Wind_Built</f>
        <v>0</v>
      </c>
    </row>
    <row r="11" customFormat="false" ht="15" hidden="false" customHeight="false" outlineLevel="0" collapsed="false">
      <c r="C11" s="3" t="s">
        <v>12</v>
      </c>
      <c r="D11" s="7" t="s">
        <v>11</v>
      </c>
      <c r="G11" s="11" t="n">
        <f aca="false">SUM(I11:AR11)</f>
        <v>6671.77375665825</v>
      </c>
      <c r="I11" s="11" t="n">
        <f aca="false">I19/In_Wind_Built</f>
        <v>0</v>
      </c>
      <c r="J11" s="11" t="n">
        <f aca="false">J19/In_Wind_Built</f>
        <v>0</v>
      </c>
      <c r="K11" s="11" t="n">
        <f aca="false">K19/In_Wind_Built</f>
        <v>0</v>
      </c>
      <c r="L11" s="11" t="n">
        <f aca="false">L19/In_Wind_Built</f>
        <v>0</v>
      </c>
      <c r="M11" s="11" t="n">
        <f aca="false">M19/In_Wind_Built</f>
        <v>0</v>
      </c>
      <c r="N11" s="11" t="n">
        <f aca="false">N19/In_Wind_Built</f>
        <v>127.685713413257</v>
      </c>
      <c r="O11" s="11" t="n">
        <f aca="false">O19/In_Wind_Built</f>
        <v>200.5713045</v>
      </c>
      <c r="P11" s="11" t="n">
        <f aca="false">P19/In_Wind_Built</f>
        <v>201.969286492365</v>
      </c>
      <c r="Q11" s="11" t="n">
        <f aca="false">Q19/In_Wind_Built</f>
        <v>203.377012419217</v>
      </c>
      <c r="R11" s="11" t="n">
        <f aca="false">R19/In_Wind_Built</f>
        <v>204.794550195779</v>
      </c>
      <c r="S11" s="11" t="n">
        <f aca="false">S19/In_Wind_Built</f>
        <v>206.221968210643</v>
      </c>
      <c r="T11" s="11" t="n">
        <f aca="false">T19/In_Wind_Built</f>
        <v>207.659335329072</v>
      </c>
      <c r="U11" s="11" t="n">
        <f aca="false">U19/In_Wind_Built</f>
        <v>209.106720896315</v>
      </c>
      <c r="V11" s="11" t="n">
        <f aca="false">V19/In_Wind_Built</f>
        <v>210.564194740962</v>
      </c>
      <c r="W11" s="11" t="n">
        <f aca="false">W19/In_Wind_Built</f>
        <v>212.031827178307</v>
      </c>
      <c r="X11" s="11" t="n">
        <f aca="false">X19/In_Wind_Built</f>
        <v>213.50968901374</v>
      </c>
      <c r="Y11" s="11" t="n">
        <f aca="false">Y19/In_Wind_Built</f>
        <v>214.997851546166</v>
      </c>
      <c r="Z11" s="11" t="n">
        <f aca="false">Z19/In_Wind_Built</f>
        <v>216.496386571442</v>
      </c>
      <c r="AA11" s="11" t="n">
        <f aca="false">AA19/In_Wind_Built</f>
        <v>218.005366385845</v>
      </c>
      <c r="AB11" s="11" t="n">
        <f aca="false">AB19/In_Wind_Built</f>
        <v>219.524863789555</v>
      </c>
      <c r="AC11" s="11" t="n">
        <f aca="false">AC19/In_Wind_Built</f>
        <v>221.054952090168</v>
      </c>
      <c r="AD11" s="11" t="n">
        <f aca="false">AD19/In_Wind_Built</f>
        <v>222.595705106236</v>
      </c>
      <c r="AE11" s="11" t="n">
        <f aca="false">AE19/In_Wind_Built</f>
        <v>224.147197170827</v>
      </c>
      <c r="AF11" s="11" t="n">
        <f aca="false">AF19/In_Wind_Built</f>
        <v>225.709503135107</v>
      </c>
      <c r="AG11" s="11" t="n">
        <f aca="false">AG19/In_Wind_Built</f>
        <v>227.282698371959</v>
      </c>
      <c r="AH11" s="11" t="n">
        <f aca="false">AH19/In_Wind_Built</f>
        <v>228.866858779612</v>
      </c>
      <c r="AI11" s="11" t="n">
        <f aca="false">AI19/In_Wind_Built</f>
        <v>230.462060785306</v>
      </c>
      <c r="AJ11" s="11" t="n">
        <f aca="false">AJ19/In_Wind_Built</f>
        <v>232.068381348979</v>
      </c>
      <c r="AK11" s="11" t="n">
        <f aca="false">AK19/In_Wind_Built</f>
        <v>233.685897966981</v>
      </c>
      <c r="AL11" s="11" t="n">
        <f aca="false">AL19/In_Wind_Built</f>
        <v>235.314688675811</v>
      </c>
      <c r="AM11" s="11" t="n">
        <f aca="false">AM19/In_Wind_Built</f>
        <v>236.954832055882</v>
      </c>
      <c r="AN11" s="11" t="n">
        <f aca="false">AN19/In_Wind_Built</f>
        <v>238.606407235311</v>
      </c>
      <c r="AO11" s="11" t="n">
        <f aca="false">AO19/In_Wind_Built</f>
        <v>240.269493893741</v>
      </c>
      <c r="AP11" s="11" t="n">
        <f aca="false">AP19/In_Wind_Built</f>
        <v>241.944172266181</v>
      </c>
      <c r="AQ11" s="11" t="n">
        <f aca="false">AQ19/In_Wind_Built</f>
        <v>243.630523146876</v>
      </c>
      <c r="AR11" s="11" t="n">
        <f aca="false">AR19/In_Wind_Built</f>
        <v>122.664313946605</v>
      </c>
    </row>
    <row r="12" customFormat="false" ht="15" hidden="false" customHeight="false" outlineLevel="0" collapsed="false">
      <c r="C12" s="3" t="s">
        <v>13</v>
      </c>
      <c r="D12" s="7" t="s">
        <v>11</v>
      </c>
      <c r="G12" s="11" t="n">
        <f aca="false">SUM(I12:AR12)</f>
        <v>4650.96980475832</v>
      </c>
      <c r="I12" s="11" t="n">
        <f aca="false">I21/In_Wind_Built</f>
        <v>0</v>
      </c>
      <c r="J12" s="11" t="n">
        <f aca="false">J21/In_Wind_Built</f>
        <v>0</v>
      </c>
      <c r="K12" s="11" t="n">
        <f aca="false">K21/In_Wind_Built</f>
        <v>0</v>
      </c>
      <c r="L12" s="11" t="n">
        <f aca="false">L21/In_Wind_Built</f>
        <v>-1.51142910694059</v>
      </c>
      <c r="M12" s="11" t="n">
        <f aca="false">M21/In_Wind_Built</f>
        <v>-3.07317073170732</v>
      </c>
      <c r="N12" s="11" t="n">
        <f aca="false">N21/In_Wind_Built</f>
        <v>100.91930612705</v>
      </c>
      <c r="O12" s="11" t="n">
        <f aca="false">O21/In_Wind_Built</f>
        <v>150.355801555383</v>
      </c>
      <c r="P12" s="11" t="n">
        <f aca="false">P21/In_Wind_Built</f>
        <v>150.796377318907</v>
      </c>
      <c r="Q12" s="11" t="n">
        <f aca="false">Q21/In_Wind_Built</f>
        <v>151.223536921283</v>
      </c>
      <c r="R12" s="11" t="n">
        <f aca="false">R21/In_Wind_Built</f>
        <v>151.636792193017</v>
      </c>
      <c r="S12" s="11" t="n">
        <f aca="false">S21/In_Wind_Built</f>
        <v>152.035641941453</v>
      </c>
      <c r="T12" s="11" t="n">
        <f aca="false">T21/In_Wind_Built</f>
        <v>152.41957162529</v>
      </c>
      <c r="U12" s="11" t="n">
        <f aca="false">U21/In_Wind_Built</f>
        <v>152.788053021093</v>
      </c>
      <c r="V12" s="11" t="n">
        <f aca="false">V21/In_Wind_Built</f>
        <v>153.140543881587</v>
      </c>
      <c r="W12" s="11" t="n">
        <f aca="false">W21/In_Wind_Built</f>
        <v>153.476487585555</v>
      </c>
      <c r="X12" s="11" t="n">
        <f aca="false">X21/In_Wind_Built</f>
        <v>153.795312779113</v>
      </c>
      <c r="Y12" s="11" t="n">
        <f aca="false">Y21/In_Wind_Built</f>
        <v>154.096433008161</v>
      </c>
      <c r="Z12" s="11" t="n">
        <f aca="false">Z21/In_Wind_Built</f>
        <v>154.37924634179</v>
      </c>
      <c r="AA12" s="11" t="n">
        <f aca="false">AA21/In_Wind_Built</f>
        <v>154.64313498643</v>
      </c>
      <c r="AB12" s="11" t="n">
        <f aca="false">AB21/In_Wind_Built</f>
        <v>154.887464890495</v>
      </c>
      <c r="AC12" s="11" t="n">
        <f aca="false">AC21/In_Wind_Built</f>
        <v>155.111585339312</v>
      </c>
      <c r="AD12" s="11" t="n">
        <f aca="false">AD21/In_Wind_Built</f>
        <v>155.314828540085</v>
      </c>
      <c r="AE12" s="11" t="n">
        <f aca="false">AE21/In_Wind_Built</f>
        <v>155.496509196642</v>
      </c>
      <c r="AF12" s="11" t="n">
        <f aca="false">AF21/In_Wind_Built</f>
        <v>155.655924073735</v>
      </c>
      <c r="AG12" s="11" t="n">
        <f aca="false">AG21/In_Wind_Built</f>
        <v>155.792351550612</v>
      </c>
      <c r="AH12" s="11" t="n">
        <f aca="false">AH21/In_Wind_Built</f>
        <v>155.905051163623</v>
      </c>
      <c r="AI12" s="11" t="n">
        <f aca="false">AI21/In_Wind_Built</f>
        <v>155.993263137563</v>
      </c>
      <c r="AJ12" s="11" t="n">
        <f aca="false">AJ21/In_Wind_Built</f>
        <v>156.0562079055</v>
      </c>
      <c r="AK12" s="11" t="n">
        <f aca="false">AK21/In_Wind_Built</f>
        <v>156.093085616794</v>
      </c>
      <c r="AL12" s="11" t="n">
        <f aca="false">AL21/In_Wind_Built</f>
        <v>156.103075633016</v>
      </c>
      <c r="AM12" s="11" t="n">
        <f aca="false">AM21/In_Wind_Built</f>
        <v>156.085336011469</v>
      </c>
      <c r="AN12" s="11" t="n">
        <f aca="false">AN21/In_Wind_Built</f>
        <v>156.039002976021</v>
      </c>
      <c r="AO12" s="11" t="n">
        <f aca="false">AO21/In_Wind_Built</f>
        <v>155.963190374915</v>
      </c>
      <c r="AP12" s="11" t="n">
        <f aca="false">AP21/In_Wind_Built</f>
        <v>155.856989125256</v>
      </c>
      <c r="AQ12" s="11" t="n">
        <f aca="false">AQ21/In_Wind_Built</f>
        <v>155.719466643836</v>
      </c>
      <c r="AR12" s="11" t="n">
        <f aca="false">AR21/In_Wind_Built</f>
        <v>77.7748331319864</v>
      </c>
    </row>
    <row r="13" customFormat="false" ht="15" hidden="false" customHeight="false" outlineLevel="0" collapsed="false">
      <c r="C13" s="3" t="s">
        <v>14</v>
      </c>
      <c r="D13" s="7" t="s">
        <v>11</v>
      </c>
      <c r="G13" s="11" t="n">
        <f aca="false">SUM(I13:AR13)</f>
        <v>2524.40356322923</v>
      </c>
      <c r="I13" s="11" t="n">
        <f aca="false">I28/In_Wind_Built</f>
        <v>-11.55715709359</v>
      </c>
      <c r="J13" s="11" t="n">
        <f aca="false">J28/In_Wind_Built</f>
        <v>-5.7302291632102</v>
      </c>
      <c r="K13" s="11" t="n">
        <f aca="false">K28/In_Wind_Built</f>
        <v>-9.03192149508648</v>
      </c>
      <c r="L13" s="11" t="n">
        <f aca="false">L28/In_Wind_Built</f>
        <v>-309.4388464039</v>
      </c>
      <c r="M13" s="11" t="n">
        <f aca="false">M28/In_Wind_Built</f>
        <v>-221.398762240934</v>
      </c>
      <c r="N13" s="11" t="n">
        <f aca="false">N28/In_Wind_Built</f>
        <v>-63.0370686121217</v>
      </c>
      <c r="O13" s="11" t="n">
        <f aca="false">O28/In_Wind_Built</f>
        <v>81.169358780112</v>
      </c>
      <c r="P13" s="11" t="n">
        <f aca="false">P28/In_Wind_Built</f>
        <v>80.5747727752545</v>
      </c>
      <c r="Q13" s="11" t="n">
        <f aca="false">Q28/In_Wind_Built</f>
        <v>80.7045801630503</v>
      </c>
      <c r="R13" s="11" t="n">
        <f aca="false">R28/In_Wind_Built</f>
        <v>80.8109049560888</v>
      </c>
      <c r="S13" s="11" t="n">
        <f aca="false">S28/In_Wind_Built</f>
        <v>80.8927379449275</v>
      </c>
      <c r="T13" s="11" t="n">
        <f aca="false">T28/In_Wind_Built</f>
        <v>80.9490294139911</v>
      </c>
      <c r="U13" s="11" t="n">
        <f aca="false">U28/In_Wind_Built</f>
        <v>80.978687400115</v>
      </c>
      <c r="V13" s="11" t="n">
        <f aca="false">V28/In_Wind_Built</f>
        <v>80.9805758712113</v>
      </c>
      <c r="W13" s="11" t="n">
        <f aca="false">W28/In_Wind_Built</f>
        <v>80.9535128212444</v>
      </c>
      <c r="X13" s="11" t="n">
        <f aca="false">X28/In_Wind_Built</f>
        <v>80.8962682775118</v>
      </c>
      <c r="Y13" s="11" t="n">
        <f aca="false">Y28/In_Wind_Built</f>
        <v>80.8075622160325</v>
      </c>
      <c r="Z13" s="11" t="n">
        <f aca="false">Z28/In_Wind_Built</f>
        <v>80.6860623806393</v>
      </c>
      <c r="AA13" s="11" t="n">
        <f aca="false">AA28/In_Wind_Built</f>
        <v>80.5303820011559</v>
      </c>
      <c r="AB13" s="11" t="n">
        <f aca="false">AB28/In_Wind_Built</f>
        <v>80.3390774058124</v>
      </c>
      <c r="AC13" s="11" t="n">
        <f aca="false">AC28/In_Wind_Built</f>
        <v>80.1106455228192</v>
      </c>
      <c r="AD13" s="11" t="n">
        <f aca="false">AD28/In_Wind_Built</f>
        <v>141.426858145564</v>
      </c>
      <c r="AE13" s="11" t="n">
        <f aca="false">AE28/In_Wind_Built</f>
        <v>141.581286703637</v>
      </c>
      <c r="AF13" s="11" t="n">
        <f aca="false">AF28/In_Wind_Built</f>
        <v>141.716789349166</v>
      </c>
      <c r="AG13" s="11" t="n">
        <f aca="false">AG28/In_Wind_Built</f>
        <v>141.832752704512</v>
      </c>
      <c r="AH13" s="11" t="n">
        <f aca="false">AH28/In_Wind_Built</f>
        <v>137.223920432325</v>
      </c>
      <c r="AI13" s="11" t="n">
        <f aca="false">AI28/In_Wind_Built</f>
        <v>132.594273666928</v>
      </c>
      <c r="AJ13" s="11" t="n">
        <f aca="false">AJ28/In_Wind_Built</f>
        <v>132.647776719675</v>
      </c>
      <c r="AK13" s="11" t="n">
        <f aca="false">AK28/In_Wind_Built</f>
        <v>132.679122774275</v>
      </c>
      <c r="AL13" s="11" t="n">
        <f aca="false">AL28/In_Wind_Built</f>
        <v>132.687614288063</v>
      </c>
      <c r="AM13" s="11" t="n">
        <f aca="false">AM28/In_Wind_Built</f>
        <v>132.672535609748</v>
      </c>
      <c r="AN13" s="11" t="n">
        <f aca="false">AN28/In_Wind_Built</f>
        <v>132.633152529618</v>
      </c>
      <c r="AO13" s="11" t="n">
        <f aca="false">AO28/In_Wind_Built</f>
        <v>132.568711818678</v>
      </c>
      <c r="AP13" s="11" t="n">
        <f aca="false">AP28/In_Wind_Built</f>
        <v>132.478440756467</v>
      </c>
      <c r="AQ13" s="11" t="n">
        <f aca="false">AQ28/In_Wind_Built</f>
        <v>132.361546647261</v>
      </c>
      <c r="AR13" s="11" t="n">
        <f aca="false">AR28/In_Wind_Built</f>
        <v>36.1086081621884</v>
      </c>
    </row>
    <row r="15" customFormat="false" ht="15" hidden="false" customHeight="false" outlineLevel="0" collapsed="false">
      <c r="C15" s="12" t="s">
        <v>15</v>
      </c>
      <c r="E15" s="2" t="s">
        <v>16</v>
      </c>
      <c r="F15" s="2" t="s">
        <v>1</v>
      </c>
      <c r="G15" s="2" t="s">
        <v>2</v>
      </c>
    </row>
    <row r="16" customFormat="false" ht="15" hidden="false" customHeight="false" outlineLevel="0" collapsed="false">
      <c r="C16" s="3" t="s">
        <v>17</v>
      </c>
      <c r="D16" s="7" t="s">
        <v>18</v>
      </c>
      <c r="E16" s="11" t="n">
        <f aca="false">SUM(I16:AR16)/Thousand</f>
        <v>-10.1002844738237</v>
      </c>
      <c r="F16" s="6" t="n">
        <f aca="false">E16*Thousand/In_Wind_Built</f>
        <v>-74.3214457235004</v>
      </c>
      <c r="G16" s="6" t="n">
        <f aca="false">E16*Thousand/Dash_MVA</f>
        <v>-101.002844738237</v>
      </c>
      <c r="I16" s="5" t="n">
        <f aca="false">HTM!H24</f>
        <v>-1570.61764901888</v>
      </c>
      <c r="J16" s="5" t="n">
        <f aca="false">HTM!I24</f>
        <v>-778.738143280267</v>
      </c>
      <c r="K16" s="5" t="n">
        <f aca="false">HTM!J24</f>
        <v>-1227.43813118225</v>
      </c>
      <c r="L16" s="5" t="n">
        <f aca="false">HTM!K24</f>
        <v>-5999.07235555905</v>
      </c>
      <c r="M16" s="5" t="n">
        <f aca="false">HTM!L24</f>
        <v>-350.572602739726</v>
      </c>
      <c r="N16" s="5" t="n">
        <f aca="false">HTM!M24</f>
        <v>-173.845592043535</v>
      </c>
      <c r="O16" s="5" t="n">
        <f aca="false">HTM!N24</f>
        <v>0</v>
      </c>
      <c r="P16" s="5" t="n">
        <f aca="false">HTM!O24</f>
        <v>0</v>
      </c>
      <c r="Q16" s="5" t="n">
        <f aca="false">HTM!P24</f>
        <v>0</v>
      </c>
      <c r="R16" s="5" t="n">
        <f aca="false">HTM!Q24</f>
        <v>0</v>
      </c>
      <c r="S16" s="5" t="n">
        <f aca="false">HTM!R24</f>
        <v>0</v>
      </c>
      <c r="T16" s="5" t="n">
        <f aca="false">HTM!S24</f>
        <v>0</v>
      </c>
      <c r="U16" s="5" t="n">
        <f aca="false">HTM!T24</f>
        <v>0</v>
      </c>
      <c r="V16" s="5" t="n">
        <f aca="false">HTM!U24</f>
        <v>0</v>
      </c>
      <c r="W16" s="5" t="n">
        <f aca="false">HTM!V24</f>
        <v>0</v>
      </c>
      <c r="X16" s="5" t="n">
        <f aca="false">HTM!W24</f>
        <v>0</v>
      </c>
      <c r="Y16" s="5" t="n">
        <f aca="false">HTM!X24</f>
        <v>0</v>
      </c>
      <c r="Z16" s="5" t="n">
        <f aca="false">HTM!Y24</f>
        <v>0</v>
      </c>
      <c r="AA16" s="5" t="n">
        <f aca="false">HTM!Z24</f>
        <v>0</v>
      </c>
      <c r="AB16" s="5" t="n">
        <f aca="false">HTM!AA24</f>
        <v>0</v>
      </c>
      <c r="AC16" s="5" t="n">
        <f aca="false">HTM!AB24</f>
        <v>0</v>
      </c>
      <c r="AD16" s="5" t="n">
        <f aca="false">HTM!AC24</f>
        <v>0</v>
      </c>
      <c r="AE16" s="5" t="n">
        <f aca="false">HTM!AD24</f>
        <v>0</v>
      </c>
      <c r="AF16" s="5" t="n">
        <f aca="false">HTM!AE24</f>
        <v>0</v>
      </c>
      <c r="AG16" s="5" t="n">
        <f aca="false">HTM!AF24</f>
        <v>0</v>
      </c>
      <c r="AH16" s="5" t="n">
        <f aca="false">HTM!AG24</f>
        <v>0</v>
      </c>
      <c r="AI16" s="5" t="n">
        <f aca="false">HTM!AH24</f>
        <v>0</v>
      </c>
      <c r="AJ16" s="5" t="n">
        <f aca="false">HTM!AI24</f>
        <v>0</v>
      </c>
      <c r="AK16" s="5" t="n">
        <f aca="false">HTM!AJ24</f>
        <v>0</v>
      </c>
      <c r="AL16" s="5" t="n">
        <f aca="false">HTM!AK24</f>
        <v>0</v>
      </c>
      <c r="AM16" s="5" t="n">
        <f aca="false">HTM!AL24</f>
        <v>0</v>
      </c>
      <c r="AN16" s="5" t="n">
        <f aca="false">HTM!AM24</f>
        <v>0</v>
      </c>
      <c r="AO16" s="5" t="n">
        <f aca="false">HTM!AN24</f>
        <v>0</v>
      </c>
      <c r="AP16" s="5" t="n">
        <f aca="false">HTM!AO24</f>
        <v>0</v>
      </c>
      <c r="AQ16" s="5" t="n">
        <f aca="false">HTM!AP24</f>
        <v>0</v>
      </c>
      <c r="AR16" s="5" t="n">
        <f aca="false">HTM!AQ24</f>
        <v>0</v>
      </c>
    </row>
    <row r="17" customFormat="false" ht="15" hidden="false" customHeight="false" outlineLevel="0" collapsed="false">
      <c r="C17" s="3" t="s">
        <v>19</v>
      </c>
      <c r="D17" s="7" t="s">
        <v>18</v>
      </c>
      <c r="E17" s="11" t="n">
        <f aca="false">SUM(I17:AR17)/Thousand</f>
        <v>-166.954342699714</v>
      </c>
      <c r="F17" s="6" t="n">
        <f aca="false">E17*Thousand/In_Wind_Built</f>
        <v>-1228.508776304</v>
      </c>
      <c r="G17" s="6" t="n">
        <f aca="false">E17*Thousand/Dash_MVA</f>
        <v>-1669.54342699714</v>
      </c>
      <c r="I17" s="6" t="n">
        <f aca="false">HTM!H30+HTM!H117</f>
        <v>-0</v>
      </c>
      <c r="J17" s="6" t="n">
        <f aca="false">HTM!I30+HTM!I117</f>
        <v>-0</v>
      </c>
      <c r="K17" s="6" t="n">
        <f aca="false">HTM!J30+HTM!J117</f>
        <v>-0</v>
      </c>
      <c r="L17" s="6" t="n">
        <f aca="false">HTM!K30+HTM!K117</f>
        <v>-56615.9716591661</v>
      </c>
      <c r="M17" s="6" t="n">
        <f aca="false">HTM!L30+HTM!L117</f>
        <v>-70516.6873566519</v>
      </c>
      <c r="N17" s="6" t="n">
        <f aca="false">HTM!M30+HTM!M117</f>
        <v>-39821.6836838956</v>
      </c>
      <c r="O17" s="6" t="n">
        <f aca="false">HTM!N30+HTM!N117</f>
        <v>-0</v>
      </c>
      <c r="P17" s="6" t="n">
        <f aca="false">HTM!O30+HTM!O117</f>
        <v>-0</v>
      </c>
      <c r="Q17" s="6" t="n">
        <f aca="false">HTM!P30+HTM!P117</f>
        <v>-0</v>
      </c>
      <c r="R17" s="6" t="n">
        <f aca="false">HTM!Q30+HTM!Q117</f>
        <v>-0</v>
      </c>
      <c r="S17" s="6" t="n">
        <f aca="false">HTM!R30+HTM!R117</f>
        <v>-0</v>
      </c>
      <c r="T17" s="6" t="n">
        <f aca="false">HTM!S30+HTM!S117</f>
        <v>-0</v>
      </c>
      <c r="U17" s="6" t="n">
        <f aca="false">HTM!T30+HTM!T117</f>
        <v>-0</v>
      </c>
      <c r="V17" s="6" t="n">
        <f aca="false">HTM!U30+HTM!U117</f>
        <v>-0</v>
      </c>
      <c r="W17" s="6" t="n">
        <f aca="false">HTM!V30+HTM!V117</f>
        <v>-0</v>
      </c>
      <c r="X17" s="6" t="n">
        <f aca="false">HTM!W30+HTM!W117</f>
        <v>-0</v>
      </c>
      <c r="Y17" s="6" t="n">
        <f aca="false">HTM!X30+HTM!X117</f>
        <v>-0</v>
      </c>
      <c r="Z17" s="6" t="n">
        <f aca="false">HTM!Y30+HTM!Y117</f>
        <v>-0</v>
      </c>
      <c r="AA17" s="6" t="n">
        <f aca="false">HTM!Z30+HTM!Z117</f>
        <v>-0</v>
      </c>
      <c r="AB17" s="6" t="n">
        <f aca="false">HTM!AA30+HTM!AA117</f>
        <v>-0</v>
      </c>
      <c r="AC17" s="6" t="n">
        <f aca="false">HTM!AB30+HTM!AB117</f>
        <v>-0</v>
      </c>
      <c r="AD17" s="6" t="n">
        <f aca="false">HTM!AC30+HTM!AC117</f>
        <v>-0</v>
      </c>
      <c r="AE17" s="6" t="n">
        <f aca="false">HTM!AD30+HTM!AD117</f>
        <v>-0</v>
      </c>
      <c r="AF17" s="6" t="n">
        <f aca="false">HTM!AE30+HTM!AE117</f>
        <v>-0</v>
      </c>
      <c r="AG17" s="6" t="n">
        <f aca="false">HTM!AF30+HTM!AF117</f>
        <v>-0</v>
      </c>
      <c r="AH17" s="6" t="n">
        <f aca="false">HTM!AG30+HTM!AG117</f>
        <v>-0</v>
      </c>
      <c r="AI17" s="6" t="n">
        <f aca="false">HTM!AH30+HTM!AH117</f>
        <v>-0</v>
      </c>
      <c r="AJ17" s="6" t="n">
        <f aca="false">HTM!AI30+HTM!AI117</f>
        <v>-0</v>
      </c>
      <c r="AK17" s="6" t="n">
        <f aca="false">HTM!AJ30+HTM!AJ117</f>
        <v>-0</v>
      </c>
      <c r="AL17" s="6" t="n">
        <f aca="false">HTM!AK30+HTM!AK117</f>
        <v>-0</v>
      </c>
      <c r="AM17" s="6" t="n">
        <f aca="false">HTM!AL30+HTM!AL117</f>
        <v>-0</v>
      </c>
      <c r="AN17" s="6" t="n">
        <f aca="false">HTM!AM30+HTM!AM117</f>
        <v>-0</v>
      </c>
      <c r="AO17" s="6" t="n">
        <f aca="false">HTM!AN30+HTM!AN117</f>
        <v>-0</v>
      </c>
      <c r="AP17" s="6" t="n">
        <f aca="false">HTM!AO30+HTM!AO117</f>
        <v>-0</v>
      </c>
      <c r="AQ17" s="6" t="n">
        <f aca="false">HTM!AP30+HTM!AP117</f>
        <v>-0</v>
      </c>
      <c r="AR17" s="6" t="n">
        <f aca="false">HTM!AQ30+HTM!AQ117</f>
        <v>-0</v>
      </c>
    </row>
    <row r="18" customFormat="false" ht="15" hidden="false" customHeight="false" outlineLevel="0" collapsed="false">
      <c r="C18" s="12" t="s">
        <v>10</v>
      </c>
      <c r="D18" s="7" t="s">
        <v>18</v>
      </c>
      <c r="E18" s="13" t="n">
        <f aca="false">SUM(I18:AR18)/Thousand</f>
        <v>-177.054627173537</v>
      </c>
      <c r="F18" s="14" t="n">
        <f aca="false">E18*Thousand/In_Wind_Built</f>
        <v>-1302.8302220275</v>
      </c>
      <c r="G18" s="14" t="n">
        <f aca="false">E18*Thousand/Dash_MVA</f>
        <v>-1770.54627173537</v>
      </c>
      <c r="I18" s="14" t="n">
        <f aca="false">I16+I17</f>
        <v>-1570.61764901888</v>
      </c>
      <c r="J18" s="14" t="n">
        <f aca="false">J16+J17</f>
        <v>-778.738143280267</v>
      </c>
      <c r="K18" s="14" t="n">
        <f aca="false">K16+K17</f>
        <v>-1227.43813118225</v>
      </c>
      <c r="L18" s="14" t="n">
        <f aca="false">L16+L17</f>
        <v>-62615.0440147251</v>
      </c>
      <c r="M18" s="14" t="n">
        <f aca="false">M16+M17</f>
        <v>-70867.2599593916</v>
      </c>
      <c r="N18" s="14" t="n">
        <f aca="false">N16+N17</f>
        <v>-39995.5292759391</v>
      </c>
      <c r="O18" s="14" t="n">
        <f aca="false">O16+O17</f>
        <v>0</v>
      </c>
      <c r="P18" s="14" t="n">
        <f aca="false">P16+P17</f>
        <v>0</v>
      </c>
      <c r="Q18" s="14" t="n">
        <f aca="false">Q16+Q17</f>
        <v>0</v>
      </c>
      <c r="R18" s="14" t="n">
        <f aca="false">R16+R17</f>
        <v>0</v>
      </c>
      <c r="S18" s="14" t="n">
        <f aca="false">S16+S17</f>
        <v>0</v>
      </c>
      <c r="T18" s="14" t="n">
        <f aca="false">T16+T17</f>
        <v>0</v>
      </c>
      <c r="U18" s="14" t="n">
        <f aca="false">U16+U17</f>
        <v>0</v>
      </c>
      <c r="V18" s="14" t="n">
        <f aca="false">V16+V17</f>
        <v>0</v>
      </c>
      <c r="W18" s="14" t="n">
        <f aca="false">W16+W17</f>
        <v>0</v>
      </c>
      <c r="X18" s="14" t="n">
        <f aca="false">X16+X17</f>
        <v>0</v>
      </c>
      <c r="Y18" s="14" t="n">
        <f aca="false">Y16+Y17</f>
        <v>0</v>
      </c>
      <c r="Z18" s="14" t="n">
        <f aca="false">Z16+Z17</f>
        <v>0</v>
      </c>
      <c r="AA18" s="14" t="n">
        <f aca="false">AA16+AA17</f>
        <v>0</v>
      </c>
      <c r="AB18" s="14" t="n">
        <f aca="false">AB16+AB17</f>
        <v>0</v>
      </c>
      <c r="AC18" s="14" t="n">
        <f aca="false">AC16+AC17</f>
        <v>0</v>
      </c>
      <c r="AD18" s="14" t="n">
        <f aca="false">AD16+AD17</f>
        <v>0</v>
      </c>
      <c r="AE18" s="14" t="n">
        <f aca="false">AE16+AE17</f>
        <v>0</v>
      </c>
      <c r="AF18" s="14" t="n">
        <f aca="false">AF16+AF17</f>
        <v>0</v>
      </c>
      <c r="AG18" s="14" t="n">
        <f aca="false">AG16+AG17</f>
        <v>0</v>
      </c>
      <c r="AH18" s="14" t="n">
        <f aca="false">AH16+AH17</f>
        <v>0</v>
      </c>
      <c r="AI18" s="14" t="n">
        <f aca="false">AI16+AI17</f>
        <v>0</v>
      </c>
      <c r="AJ18" s="14" t="n">
        <f aca="false">AJ16+AJ17</f>
        <v>0</v>
      </c>
      <c r="AK18" s="14" t="n">
        <f aca="false">AK16+AK17</f>
        <v>0</v>
      </c>
      <c r="AL18" s="14" t="n">
        <f aca="false">AL16+AL17</f>
        <v>0</v>
      </c>
      <c r="AM18" s="14" t="n">
        <f aca="false">AM16+AM17</f>
        <v>0</v>
      </c>
      <c r="AN18" s="14" t="n">
        <f aca="false">AN16+AN17</f>
        <v>0</v>
      </c>
      <c r="AO18" s="14" t="n">
        <f aca="false">AO16+AO17</f>
        <v>0</v>
      </c>
      <c r="AP18" s="14" t="n">
        <f aca="false">AP16+AP17</f>
        <v>0</v>
      </c>
      <c r="AQ18" s="14" t="n">
        <f aca="false">AQ16+AQ17</f>
        <v>0</v>
      </c>
      <c r="AR18" s="14" t="n">
        <f aca="false">AR16+AR17</f>
        <v>0</v>
      </c>
    </row>
    <row r="19" customFormat="false" ht="15" hidden="false" customHeight="false" outlineLevel="0" collapsed="false">
      <c r="C19" s="3" t="s">
        <v>12</v>
      </c>
      <c r="D19" s="7" t="s">
        <v>18</v>
      </c>
      <c r="E19" s="11" t="n">
        <f aca="false">SUM(I19:AR19)/Thousand</f>
        <v>906.694053529856</v>
      </c>
      <c r="F19" s="6" t="n">
        <f aca="false">E19*Thousand/In_Wind_Built</f>
        <v>6671.77375665825</v>
      </c>
      <c r="G19" s="6" t="n">
        <f aca="false">E19*Thousand/Dash_MVA</f>
        <v>9066.94053529856</v>
      </c>
      <c r="I19" s="5" t="n">
        <f aca="false">HTM!H54</f>
        <v>0</v>
      </c>
      <c r="J19" s="5" t="n">
        <f aca="false">HTM!I54</f>
        <v>0</v>
      </c>
      <c r="K19" s="5" t="n">
        <f aca="false">HTM!J54</f>
        <v>0</v>
      </c>
      <c r="L19" s="5" t="n">
        <f aca="false">HTM!K54</f>
        <v>0</v>
      </c>
      <c r="M19" s="5" t="n">
        <f aca="false">HTM!L54</f>
        <v>0</v>
      </c>
      <c r="N19" s="5" t="n">
        <f aca="false">HTM!M54</f>
        <v>17352.4884528617</v>
      </c>
      <c r="O19" s="5" t="n">
        <f aca="false">HTM!N54</f>
        <v>27257.64028155</v>
      </c>
      <c r="P19" s="5" t="n">
        <f aca="false">HTM!O54</f>
        <v>27447.6260343124</v>
      </c>
      <c r="Q19" s="5" t="n">
        <f aca="false">HTM!P54</f>
        <v>27638.9359877716</v>
      </c>
      <c r="R19" s="5" t="n">
        <f aca="false">HTM!Q54</f>
        <v>27831.5793716063</v>
      </c>
      <c r="S19" s="5" t="n">
        <f aca="false">HTM!R54</f>
        <v>28025.5654798264</v>
      </c>
      <c r="T19" s="5" t="n">
        <f aca="false">HTM!S54</f>
        <v>28220.9036712208</v>
      </c>
      <c r="U19" s="5" t="n">
        <f aca="false">HTM!T54</f>
        <v>28417.6033698092</v>
      </c>
      <c r="V19" s="5" t="n">
        <f aca="false">HTM!U54</f>
        <v>28615.6740652968</v>
      </c>
      <c r="W19" s="5" t="n">
        <f aca="false">HTM!V54</f>
        <v>28815.1253135319</v>
      </c>
      <c r="X19" s="5" t="n">
        <f aca="false">HTM!W54</f>
        <v>29015.9667369672</v>
      </c>
      <c r="Y19" s="5" t="n">
        <f aca="false">HTM!X54</f>
        <v>29218.2080251239</v>
      </c>
      <c r="Z19" s="5" t="n">
        <f aca="false">HTM!Y54</f>
        <v>29421.858935059</v>
      </c>
      <c r="AA19" s="5" t="n">
        <f aca="false">HTM!Z54</f>
        <v>29626.9292918364</v>
      </c>
      <c r="AB19" s="5" t="n">
        <f aca="false">HTM!AA54</f>
        <v>29833.4289890005</v>
      </c>
      <c r="AC19" s="5" t="n">
        <f aca="false">HTM!AB54</f>
        <v>30041.3679890538</v>
      </c>
      <c r="AD19" s="5" t="n">
        <f aca="false">HTM!AC54</f>
        <v>30250.7563239375</v>
      </c>
      <c r="AE19" s="5" t="n">
        <f aca="false">HTM!AD54</f>
        <v>30461.6040955154</v>
      </c>
      <c r="AF19" s="5" t="n">
        <f aca="false">HTM!AE54</f>
        <v>30673.9214760611</v>
      </c>
      <c r="AG19" s="5" t="n">
        <f aca="false">HTM!AF54</f>
        <v>30887.7187087492</v>
      </c>
      <c r="AH19" s="5" t="n">
        <f aca="false">HTM!AG54</f>
        <v>31103.0061081492</v>
      </c>
      <c r="AI19" s="5" t="n">
        <f aca="false">HTM!AH54</f>
        <v>31319.794060723</v>
      </c>
      <c r="AJ19" s="5" t="n">
        <f aca="false">HTM!AI54</f>
        <v>31538.0930253263</v>
      </c>
      <c r="AK19" s="5" t="n">
        <f aca="false">HTM!AJ54</f>
        <v>31757.9135337128</v>
      </c>
      <c r="AL19" s="5" t="n">
        <f aca="false">HTM!AK54</f>
        <v>31979.2661910428</v>
      </c>
      <c r="AM19" s="5" t="n">
        <f aca="false">HTM!AL54</f>
        <v>32202.1616763943</v>
      </c>
      <c r="AN19" s="5" t="n">
        <f aca="false">HTM!AM54</f>
        <v>32426.6107432788</v>
      </c>
      <c r="AO19" s="5" t="n">
        <f aca="false">HTM!AN54</f>
        <v>32652.6242201595</v>
      </c>
      <c r="AP19" s="5" t="n">
        <f aca="false">HTM!AO54</f>
        <v>32880.213010974</v>
      </c>
      <c r="AQ19" s="5" t="n">
        <f aca="false">HTM!AP54</f>
        <v>33109.3880956605</v>
      </c>
      <c r="AR19" s="5" t="n">
        <f aca="false">HTM!AQ54</f>
        <v>16670.0802653436</v>
      </c>
    </row>
    <row r="20" customFormat="false" ht="15" hidden="false" customHeight="false" outlineLevel="0" collapsed="false">
      <c r="C20" s="3" t="s">
        <v>20</v>
      </c>
      <c r="D20" s="7" t="s">
        <v>18</v>
      </c>
      <c r="E20" s="11" t="n">
        <f aca="false">SUM(I20:AR20)/Thousand</f>
        <v>-274.6272570632</v>
      </c>
      <c r="F20" s="6" t="n">
        <f aca="false">E20*Thousand/In_Wind_Built</f>
        <v>-2020.80395189992</v>
      </c>
      <c r="G20" s="6" t="n">
        <f aca="false">E20*Thousand/Dash_MVA</f>
        <v>-2746.272570632</v>
      </c>
      <c r="I20" s="5" t="n">
        <f aca="false">HTM!H69</f>
        <v>0</v>
      </c>
      <c r="J20" s="5" t="n">
        <f aca="false">HTM!I69</f>
        <v>0</v>
      </c>
      <c r="K20" s="5" t="n">
        <f aca="false">HTM!J69</f>
        <v>0</v>
      </c>
      <c r="L20" s="5" t="n">
        <f aca="false">HTM!K69</f>
        <v>-205.403215633226</v>
      </c>
      <c r="M20" s="5" t="n">
        <f aca="false">HTM!L69</f>
        <v>-417.643902439025</v>
      </c>
      <c r="N20" s="5" t="n">
        <f aca="false">HTM!M69</f>
        <v>-3637.55475019558</v>
      </c>
      <c r="O20" s="5" t="n">
        <f aca="false">HTM!N69</f>
        <v>-6824.2868501735</v>
      </c>
      <c r="P20" s="5" t="n">
        <f aca="false">HTM!O69</f>
        <v>-6954.39835667293</v>
      </c>
      <c r="Q20" s="5" t="n">
        <f aca="false">HTM!P69</f>
        <v>-7087.6573201692</v>
      </c>
      <c r="R20" s="5" t="n">
        <f aca="false">HTM!Q69</f>
        <v>-7224.13931257535</v>
      </c>
      <c r="S20" s="5" t="n">
        <f aca="false">HTM!R69</f>
        <v>-7363.92173998302</v>
      </c>
      <c r="T20" s="5" t="n">
        <f aca="false">HTM!S69</f>
        <v>-7507.08388734387</v>
      </c>
      <c r="U20" s="5" t="n">
        <f aca="false">HTM!T69</f>
        <v>-7653.70696424271</v>
      </c>
      <c r="V20" s="5" t="n">
        <f aca="false">HTM!U69</f>
        <v>-7803.87415178912</v>
      </c>
      <c r="W20" s="5" t="n">
        <f aca="false">HTM!V69</f>
        <v>-7957.67065065495</v>
      </c>
      <c r="X20" s="5" t="n">
        <f aca="false">HTM!W69</f>
        <v>-8115.18373028573</v>
      </c>
      <c r="Y20" s="5" t="n">
        <f aca="false">HTM!X69</f>
        <v>-8276.50277931483</v>
      </c>
      <c r="Z20" s="5" t="n">
        <f aca="false">HTM!Y69</f>
        <v>-8441.71935720969</v>
      </c>
      <c r="AA20" s="5" t="n">
        <f aca="false">HTM!Z69</f>
        <v>-8610.92724718053</v>
      </c>
      <c r="AB20" s="5" t="n">
        <f aca="false">HTM!AA69</f>
        <v>-8784.22251038222</v>
      </c>
      <c r="AC20" s="5" t="n">
        <f aca="false">HTM!AB69</f>
        <v>-8961.70354144124</v>
      </c>
      <c r="AD20" s="5" t="n">
        <f aca="false">HTM!AC69</f>
        <v>-9143.47112533995</v>
      </c>
      <c r="AE20" s="5" t="n">
        <f aca="false">HTM!AD69</f>
        <v>-9329.62849569169</v>
      </c>
      <c r="AF20" s="5" t="n">
        <f aca="false">HTM!AE69</f>
        <v>-9520.28139444057</v>
      </c>
      <c r="AG20" s="5" t="n">
        <f aca="false">HTM!AF69</f>
        <v>-9715.53813302104</v>
      </c>
      <c r="AH20" s="5" t="n">
        <f aca="false">HTM!AG69</f>
        <v>-9915.50965501284</v>
      </c>
      <c r="AI20" s="5" t="n">
        <f aca="false">HTM!AH69</f>
        <v>-10120.3096003282</v>
      </c>
      <c r="AJ20" s="5" t="n">
        <f aca="false">HTM!AI69</f>
        <v>-10330.0543709688</v>
      </c>
      <c r="AK20" s="5" t="n">
        <f aca="false">HTM!AJ69</f>
        <v>-10544.8631983904</v>
      </c>
      <c r="AL20" s="5" t="n">
        <f aca="false">HTM!AK69</f>
        <v>-10764.8582125159</v>
      </c>
      <c r="AM20" s="5" t="n">
        <f aca="false">HTM!AL69</f>
        <v>-10990.1645124357</v>
      </c>
      <c r="AN20" s="5" t="n">
        <f aca="false">HTM!AM69</f>
        <v>-11220.9102388376</v>
      </c>
      <c r="AO20" s="5" t="n">
        <f aca="false">HTM!AN69</f>
        <v>-11457.2266482085</v>
      </c>
      <c r="AP20" s="5" t="n">
        <f aca="false">HTM!AO69</f>
        <v>-11699.2481888517</v>
      </c>
      <c r="AQ20" s="5" t="n">
        <f aca="false">HTM!AP69</f>
        <v>-11947.1125787631</v>
      </c>
      <c r="AR20" s="5" t="n">
        <f aca="false">HTM!AQ69</f>
        <v>-6100.48044270666</v>
      </c>
    </row>
    <row r="21" customFormat="false" ht="15" hidden="false" customHeight="false" outlineLevel="0" collapsed="false">
      <c r="C21" s="12" t="s">
        <v>13</v>
      </c>
      <c r="D21" s="7" t="s">
        <v>18</v>
      </c>
      <c r="E21" s="13" t="n">
        <f aca="false">SUM(I21:AR21)/Thousand</f>
        <v>632.066796466656</v>
      </c>
      <c r="F21" s="14" t="n">
        <f aca="false">E21*Thousand/In_Wind_Built</f>
        <v>4650.96980475832</v>
      </c>
      <c r="G21" s="14" t="n">
        <f aca="false">E21*Thousand/Dash_MVA</f>
        <v>6320.66796466656</v>
      </c>
      <c r="I21" s="14" t="n">
        <f aca="false">HTM!H70</f>
        <v>0</v>
      </c>
      <c r="J21" s="14" t="n">
        <f aca="false">HTM!I70</f>
        <v>0</v>
      </c>
      <c r="K21" s="14" t="n">
        <f aca="false">HTM!J70</f>
        <v>0</v>
      </c>
      <c r="L21" s="14" t="n">
        <f aca="false">HTM!K70</f>
        <v>-205.403215633226</v>
      </c>
      <c r="M21" s="14" t="n">
        <f aca="false">HTM!L70</f>
        <v>-417.643902439025</v>
      </c>
      <c r="N21" s="14" t="n">
        <f aca="false">HTM!M70</f>
        <v>13714.9337026661</v>
      </c>
      <c r="O21" s="14" t="n">
        <f aca="false">HTM!N70</f>
        <v>20433.3534313765</v>
      </c>
      <c r="P21" s="14" t="n">
        <f aca="false">HTM!O70</f>
        <v>20493.2276776395</v>
      </c>
      <c r="Q21" s="14" t="n">
        <f aca="false">HTM!P70</f>
        <v>20551.2786676024</v>
      </c>
      <c r="R21" s="14" t="n">
        <f aca="false">HTM!Q70</f>
        <v>20607.440059031</v>
      </c>
      <c r="S21" s="14" t="n">
        <f aca="false">HTM!R70</f>
        <v>20661.6437398434</v>
      </c>
      <c r="T21" s="14" t="n">
        <f aca="false">HTM!S70</f>
        <v>20713.819783877</v>
      </c>
      <c r="U21" s="14" t="n">
        <f aca="false">HTM!T70</f>
        <v>20763.8964055665</v>
      </c>
      <c r="V21" s="14" t="n">
        <f aca="false">HTM!U70</f>
        <v>20811.7999135077</v>
      </c>
      <c r="W21" s="14" t="n">
        <f aca="false">HTM!V70</f>
        <v>20857.454662877</v>
      </c>
      <c r="X21" s="14" t="n">
        <f aca="false">HTM!W70</f>
        <v>20900.7830066815</v>
      </c>
      <c r="Y21" s="14" t="n">
        <f aca="false">HTM!X70</f>
        <v>20941.7052458091</v>
      </c>
      <c r="Z21" s="14" t="n">
        <f aca="false">HTM!Y70</f>
        <v>20980.1395778493</v>
      </c>
      <c r="AA21" s="14" t="n">
        <f aca="false">HTM!Z70</f>
        <v>21016.0020446558</v>
      </c>
      <c r="AB21" s="14" t="n">
        <f aca="false">HTM!AA70</f>
        <v>21049.2064786182</v>
      </c>
      <c r="AC21" s="14" t="n">
        <f aca="false">HTM!AB70</f>
        <v>21079.6644476126</v>
      </c>
      <c r="AD21" s="14" t="n">
        <f aca="false">HTM!AC70</f>
        <v>21107.2851985976</v>
      </c>
      <c r="AE21" s="14" t="n">
        <f aca="false">HTM!AD70</f>
        <v>21131.9755998237</v>
      </c>
      <c r="AF21" s="14" t="n">
        <f aca="false">HTM!AE70</f>
        <v>21153.6400816205</v>
      </c>
      <c r="AG21" s="14" t="n">
        <f aca="false">HTM!AF70</f>
        <v>21172.1805757282</v>
      </c>
      <c r="AH21" s="14" t="n">
        <f aca="false">HTM!AG70</f>
        <v>21187.4964531364</v>
      </c>
      <c r="AI21" s="14" t="n">
        <f aca="false">HTM!AH70</f>
        <v>21199.4844603948</v>
      </c>
      <c r="AJ21" s="14" t="n">
        <f aca="false">HTM!AI70</f>
        <v>21208.0386543575</v>
      </c>
      <c r="AK21" s="14" t="n">
        <f aca="false">HTM!AJ70</f>
        <v>21213.0503353224</v>
      </c>
      <c r="AL21" s="14" t="n">
        <f aca="false">HTM!AK70</f>
        <v>21214.4079785268</v>
      </c>
      <c r="AM21" s="14" t="n">
        <f aca="false">HTM!AL70</f>
        <v>21211.9971639586</v>
      </c>
      <c r="AN21" s="14" t="n">
        <f aca="false">HTM!AM70</f>
        <v>21205.7005044412</v>
      </c>
      <c r="AO21" s="14" t="n">
        <f aca="false">HTM!AN70</f>
        <v>21195.3975719509</v>
      </c>
      <c r="AP21" s="14" t="n">
        <f aca="false">HTM!AO70</f>
        <v>21180.9648221222</v>
      </c>
      <c r="AQ21" s="14" t="n">
        <f aca="false">HTM!AP70</f>
        <v>21162.2755168973</v>
      </c>
      <c r="AR21" s="14" t="n">
        <f aca="false">HTM!AQ70</f>
        <v>10569.599822637</v>
      </c>
    </row>
    <row r="22" customFormat="false" ht="15" hidden="false" customHeight="false" outlineLevel="0" collapsed="false">
      <c r="C22" s="15" t="s">
        <v>21</v>
      </c>
      <c r="D22" s="7" t="s">
        <v>18</v>
      </c>
      <c r="E22" s="16" t="n">
        <f aca="false">SUM(I22:AR22)/Thousand</f>
        <v>-170.495680423226</v>
      </c>
      <c r="F22" s="17" t="n">
        <f aca="false">E22*Thousand/In_Wind_Built</f>
        <v>-1254.56718486553</v>
      </c>
      <c r="G22" s="17" t="n">
        <f aca="false">E22*Thousand/Dash_MVA</f>
        <v>-1704.95680423226</v>
      </c>
      <c r="H22" s="18"/>
      <c r="I22" s="17" t="n">
        <f aca="false">-HTM!H92</f>
        <v>-0</v>
      </c>
      <c r="J22" s="17" t="n">
        <f aca="false">-HTM!I92</f>
        <v>-0</v>
      </c>
      <c r="K22" s="17" t="n">
        <f aca="false">-HTM!J92</f>
        <v>-0</v>
      </c>
      <c r="L22" s="17" t="n">
        <f aca="false">-HTM!K92</f>
        <v>-0</v>
      </c>
      <c r="M22" s="17" t="n">
        <f aca="false">-HTM!L92</f>
        <v>-0</v>
      </c>
      <c r="N22" s="17" t="n">
        <f aca="false">-HTM!M92</f>
        <v>-4262.39201058064</v>
      </c>
      <c r="O22" s="17" t="n">
        <f aca="false">-HTM!N92</f>
        <v>-8524.78402116128</v>
      </c>
      <c r="P22" s="17" t="n">
        <f aca="false">-HTM!O92</f>
        <v>-8524.78402116128</v>
      </c>
      <c r="Q22" s="17" t="n">
        <f aca="false">-HTM!P92</f>
        <v>-8524.78402116128</v>
      </c>
      <c r="R22" s="17" t="n">
        <f aca="false">-HTM!Q92</f>
        <v>-8524.78402116128</v>
      </c>
      <c r="S22" s="17" t="n">
        <f aca="false">-HTM!R92</f>
        <v>-8524.78402116128</v>
      </c>
      <c r="T22" s="17" t="n">
        <f aca="false">-HTM!S92</f>
        <v>-8524.78402116128</v>
      </c>
      <c r="U22" s="17" t="n">
        <f aca="false">-HTM!T92</f>
        <v>-8524.78402116128</v>
      </c>
      <c r="V22" s="17" t="n">
        <f aca="false">-HTM!U92</f>
        <v>-8524.78402116128</v>
      </c>
      <c r="W22" s="17" t="n">
        <f aca="false">-HTM!V92</f>
        <v>-8524.78402116128</v>
      </c>
      <c r="X22" s="17" t="n">
        <f aca="false">-HTM!W92</f>
        <v>-8524.78402116128</v>
      </c>
      <c r="Y22" s="17" t="n">
        <f aca="false">-HTM!X92</f>
        <v>-8524.78402116128</v>
      </c>
      <c r="Z22" s="17" t="n">
        <f aca="false">-HTM!Y92</f>
        <v>-8524.78402116128</v>
      </c>
      <c r="AA22" s="17" t="n">
        <f aca="false">-HTM!Z92</f>
        <v>-8524.78402116128</v>
      </c>
      <c r="AB22" s="17" t="n">
        <f aca="false">-HTM!AA92</f>
        <v>-8524.78402116128</v>
      </c>
      <c r="AC22" s="17" t="n">
        <f aca="false">-HTM!AB92</f>
        <v>-8524.78402116128</v>
      </c>
      <c r="AD22" s="17" t="n">
        <f aca="false">-HTM!AC92</f>
        <v>-8524.78402116128</v>
      </c>
      <c r="AE22" s="17" t="n">
        <f aca="false">-HTM!AD92</f>
        <v>-8524.78402116128</v>
      </c>
      <c r="AF22" s="17" t="n">
        <f aca="false">-HTM!AE92</f>
        <v>-8524.78402116128</v>
      </c>
      <c r="AG22" s="17" t="n">
        <f aca="false">-HTM!AF92</f>
        <v>-8524.78402116128</v>
      </c>
      <c r="AH22" s="17" t="n">
        <f aca="false">-HTM!AG92</f>
        <v>-4262.39201058064</v>
      </c>
      <c r="AI22" s="17" t="n">
        <f aca="false">-HTM!AH92</f>
        <v>-0</v>
      </c>
      <c r="AJ22" s="17" t="n">
        <f aca="false">-HTM!AI92</f>
        <v>-0</v>
      </c>
      <c r="AK22" s="17" t="n">
        <f aca="false">-HTM!AJ92</f>
        <v>-0</v>
      </c>
      <c r="AL22" s="17" t="n">
        <f aca="false">-HTM!AK92</f>
        <v>-0</v>
      </c>
      <c r="AM22" s="17" t="n">
        <f aca="false">-HTM!AL92</f>
        <v>-0</v>
      </c>
      <c r="AN22" s="17" t="n">
        <f aca="false">-HTM!AM92</f>
        <v>-0</v>
      </c>
      <c r="AO22" s="17" t="n">
        <f aca="false">-HTM!AN92</f>
        <v>-0</v>
      </c>
      <c r="AP22" s="17" t="n">
        <f aca="false">-HTM!AO92</f>
        <v>-0</v>
      </c>
      <c r="AQ22" s="17" t="n">
        <f aca="false">-HTM!AP92</f>
        <v>-0</v>
      </c>
      <c r="AR22" s="17" t="n">
        <f aca="false">-HTM!AQ92</f>
        <v>-0</v>
      </c>
    </row>
    <row r="23" customFormat="false" ht="15" hidden="false" customHeight="false" outlineLevel="0" collapsed="false">
      <c r="C23" s="15" t="s">
        <v>22</v>
      </c>
      <c r="D23" s="7" t="s">
        <v>18</v>
      </c>
      <c r="E23" s="16" t="n">
        <f aca="false">SUM(I23:AR23)/Thousand</f>
        <v>461.571116043431</v>
      </c>
      <c r="F23" s="17" t="n">
        <f aca="false">E23*Thousand/In_Wind_Built</f>
        <v>3396.40261989279</v>
      </c>
      <c r="G23" s="17" t="n">
        <f aca="false">E23*Thousand/Dash_MVA</f>
        <v>4615.71116043431</v>
      </c>
      <c r="H23" s="18"/>
      <c r="I23" s="17" t="n">
        <f aca="false">I21+I22</f>
        <v>0</v>
      </c>
      <c r="J23" s="17" t="n">
        <f aca="false">J21+J22</f>
        <v>0</v>
      </c>
      <c r="K23" s="17" t="n">
        <f aca="false">K21+K22</f>
        <v>0</v>
      </c>
      <c r="L23" s="17" t="n">
        <f aca="false">L21+L22</f>
        <v>-205.403215633226</v>
      </c>
      <c r="M23" s="17" t="n">
        <f aca="false">M21+M22</f>
        <v>-417.643902439025</v>
      </c>
      <c r="N23" s="17" t="n">
        <f aca="false">N21+N22</f>
        <v>9452.54169208543</v>
      </c>
      <c r="O23" s="17" t="n">
        <f aca="false">O21+O22</f>
        <v>11908.5694102152</v>
      </c>
      <c r="P23" s="17" t="n">
        <f aca="false">P21+P22</f>
        <v>11968.4436564782</v>
      </c>
      <c r="Q23" s="17" t="n">
        <f aca="false">Q21+Q22</f>
        <v>12026.4946464411</v>
      </c>
      <c r="R23" s="17" t="n">
        <f aca="false">R21+R22</f>
        <v>12082.6560378697</v>
      </c>
      <c r="S23" s="17" t="n">
        <f aca="false">S21+S22</f>
        <v>12136.8597186821</v>
      </c>
      <c r="T23" s="17" t="n">
        <f aca="false">T21+T22</f>
        <v>12189.0357627157</v>
      </c>
      <c r="U23" s="17" t="n">
        <f aca="false">U21+U22</f>
        <v>12239.1123844052</v>
      </c>
      <c r="V23" s="17" t="n">
        <f aca="false">V21+V22</f>
        <v>12287.0158923464</v>
      </c>
      <c r="W23" s="17" t="n">
        <f aca="false">W21+W22</f>
        <v>12332.6706417157</v>
      </c>
      <c r="X23" s="17" t="n">
        <f aca="false">X21+X22</f>
        <v>12375.9989855202</v>
      </c>
      <c r="Y23" s="17" t="n">
        <f aca="false">Y21+Y22</f>
        <v>12416.9212246478</v>
      </c>
      <c r="Z23" s="17" t="n">
        <f aca="false">Z21+Z22</f>
        <v>12455.355556688</v>
      </c>
      <c r="AA23" s="17" t="n">
        <f aca="false">AA21+AA22</f>
        <v>12491.2180234946</v>
      </c>
      <c r="AB23" s="17" t="n">
        <f aca="false">AB21+AB22</f>
        <v>12524.422457457</v>
      </c>
      <c r="AC23" s="17" t="n">
        <f aca="false">AC21+AC22</f>
        <v>12554.8804264513</v>
      </c>
      <c r="AD23" s="17" t="n">
        <f aca="false">AD21+AD22</f>
        <v>12582.5011774363</v>
      </c>
      <c r="AE23" s="17" t="n">
        <f aca="false">AE21+AE22</f>
        <v>12607.1915786624</v>
      </c>
      <c r="AF23" s="17" t="n">
        <f aca="false">AF21+AF22</f>
        <v>12628.8560604592</v>
      </c>
      <c r="AG23" s="17" t="n">
        <f aca="false">AG21+AG22</f>
        <v>12647.3965545669</v>
      </c>
      <c r="AH23" s="17" t="n">
        <f aca="false">AH21+AH22</f>
        <v>16925.1044425558</v>
      </c>
      <c r="AI23" s="17" t="n">
        <f aca="false">AI21+AI22</f>
        <v>21199.4844603948</v>
      </c>
      <c r="AJ23" s="17" t="n">
        <f aca="false">AJ21+AJ22</f>
        <v>21208.0386543575</v>
      </c>
      <c r="AK23" s="17" t="n">
        <f aca="false">AK21+AK22</f>
        <v>21213.0503353224</v>
      </c>
      <c r="AL23" s="17" t="n">
        <f aca="false">AL21+AL22</f>
        <v>21214.4079785268</v>
      </c>
      <c r="AM23" s="17" t="n">
        <f aca="false">AM21+AM22</f>
        <v>21211.9971639586</v>
      </c>
      <c r="AN23" s="17" t="n">
        <f aca="false">AN21+AN22</f>
        <v>21205.7005044412</v>
      </c>
      <c r="AO23" s="17" t="n">
        <f aca="false">AO21+AO22</f>
        <v>21195.3975719509</v>
      </c>
      <c r="AP23" s="17" t="n">
        <f aca="false">AP21+AP22</f>
        <v>21180.9648221222</v>
      </c>
      <c r="AQ23" s="17" t="n">
        <f aca="false">AQ21+AQ22</f>
        <v>21162.2755168973</v>
      </c>
      <c r="AR23" s="17" t="n">
        <f aca="false">AR21+AR22</f>
        <v>10569.599822637</v>
      </c>
    </row>
    <row r="24" customFormat="false" ht="15" hidden="false" customHeight="false" outlineLevel="0" collapsed="false">
      <c r="C24" s="3" t="s">
        <v>23</v>
      </c>
      <c r="D24" s="7" t="s">
        <v>18</v>
      </c>
      <c r="E24" s="11" t="n">
        <f aca="false">SUM(I24:AR24)/Thousand</f>
        <v>-62.5529874782598</v>
      </c>
      <c r="F24" s="6" t="n">
        <f aca="false">E24*Thousand/In_Wind_Built</f>
        <v>-460.286883578071</v>
      </c>
      <c r="G24" s="6" t="n">
        <f aca="false">E24*Thousand/Dash_MVA</f>
        <v>-625.529874782598</v>
      </c>
      <c r="I24" s="5" t="n">
        <f aca="false">HTM!H100</f>
        <v>-0</v>
      </c>
      <c r="J24" s="5" t="n">
        <f aca="false">HTM!I100</f>
        <v>-0</v>
      </c>
      <c r="K24" s="5" t="n">
        <f aca="false">HTM!J100</f>
        <v>-0</v>
      </c>
      <c r="L24" s="5" t="n">
        <f aca="false">HTM!K100</f>
        <v>-0</v>
      </c>
      <c r="M24" s="5" t="n">
        <f aca="false">HTM!L100</f>
        <v>-0</v>
      </c>
      <c r="N24" s="5" t="n">
        <f aca="false">HTM!M100</f>
        <v>-543.516631225659</v>
      </c>
      <c r="O24" s="5" t="n">
        <f aca="false">HTM!N100</f>
        <v>-1033.26209119433</v>
      </c>
      <c r="P24" s="5" t="n">
        <f aca="false">HTM!O100</f>
        <v>-1173.94057551744</v>
      </c>
      <c r="Q24" s="5" t="n">
        <f aca="false">HTM!P100</f>
        <v>-1214.35074147889</v>
      </c>
      <c r="R24" s="5" t="n">
        <f aca="false">HTM!Q100</f>
        <v>-1256.06259353356</v>
      </c>
      <c r="S24" s="5" t="n">
        <f aca="false">HTM!R100</f>
        <v>-1299.14517116281</v>
      </c>
      <c r="T24" s="5" t="n">
        <f aca="false">HTM!S100</f>
        <v>-1343.67120455061</v>
      </c>
      <c r="U24" s="5" t="n">
        <f aca="false">HTM!T100</f>
        <v>-1389.71730592594</v>
      </c>
      <c r="V24" s="5" t="n">
        <f aca="false">HTM!U100</f>
        <v>-1437.36417064511</v>
      </c>
      <c r="W24" s="5" t="n">
        <f aca="false">HTM!V100</f>
        <v>-1486.6967885049</v>
      </c>
      <c r="X24" s="5" t="n">
        <f aca="false">HTM!W100</f>
        <v>-1537.80466580269</v>
      </c>
      <c r="Y24" s="5" t="n">
        <f aca="false">HTM!X100</f>
        <v>-1590.7820586853</v>
      </c>
      <c r="Z24" s="5" t="n">
        <f aca="false">HTM!Y100</f>
        <v>-1645.72821835548</v>
      </c>
      <c r="AA24" s="5" t="n">
        <f aca="false">HTM!Z100</f>
        <v>-1702.74764873381</v>
      </c>
      <c r="AB24" s="5" t="n">
        <f aca="false">HTM!AA100</f>
        <v>-1761.95037720339</v>
      </c>
      <c r="AC24" s="5" t="n">
        <f aca="false">HTM!AB100</f>
        <v>-1823.45223909651</v>
      </c>
      <c r="AD24" s="5" t="n">
        <f aca="false">HTM!AC100</f>
        <v>-1887.37517661544</v>
      </c>
      <c r="AE24" s="5" t="n">
        <f aca="false">HTM!AD100</f>
        <v>-1891.07873679936</v>
      </c>
      <c r="AF24" s="5" t="n">
        <f aca="false">HTM!AE100</f>
        <v>-1894.32840906889</v>
      </c>
      <c r="AG24" s="5" t="n">
        <f aca="false">HTM!AF100</f>
        <v>-1897.10948318504</v>
      </c>
      <c r="AH24" s="5" t="n">
        <f aca="false">HTM!AG100</f>
        <v>-2538.76566638336</v>
      </c>
      <c r="AI24" s="5" t="n">
        <f aca="false">HTM!AH100</f>
        <v>-3179.92266905922</v>
      </c>
      <c r="AJ24" s="5" t="n">
        <f aca="false">HTM!AI100</f>
        <v>-3181.20579815362</v>
      </c>
      <c r="AK24" s="5" t="n">
        <f aca="false">HTM!AJ100</f>
        <v>-3181.95755029835</v>
      </c>
      <c r="AL24" s="5" t="n">
        <f aca="false">HTM!AK100</f>
        <v>-3182.16119677902</v>
      </c>
      <c r="AM24" s="5" t="n">
        <f aca="false">HTM!AL100</f>
        <v>-3181.79957459379</v>
      </c>
      <c r="AN24" s="5" t="n">
        <f aca="false">HTM!AM100</f>
        <v>-3180.85507566618</v>
      </c>
      <c r="AO24" s="5" t="n">
        <f aca="false">HTM!AN100</f>
        <v>-3179.30963579264</v>
      </c>
      <c r="AP24" s="5" t="n">
        <f aca="false">HTM!AO100</f>
        <v>-3177.14472331833</v>
      </c>
      <c r="AQ24" s="5" t="n">
        <f aca="false">HTM!AP100</f>
        <v>-3174.3413275346</v>
      </c>
      <c r="AR24" s="5" t="n">
        <f aca="false">HTM!AQ100</f>
        <v>-1585.43997339554</v>
      </c>
    </row>
    <row r="25" customFormat="false" ht="15" hidden="false" customHeight="false" outlineLevel="0" collapsed="false">
      <c r="C25" s="3" t="s">
        <v>24</v>
      </c>
      <c r="D25" s="7" t="s">
        <v>18</v>
      </c>
      <c r="E25" s="11" t="n">
        <f aca="false">SUM(I25:AR25)/Thousand</f>
        <v>82.3936241465754</v>
      </c>
      <c r="F25" s="6" t="n">
        <f aca="false">E25*Thousand/In_Wind_Built</f>
        <v>606.281266715051</v>
      </c>
      <c r="G25" s="6" t="n">
        <f aca="false">E25*Thousand/Dash_MVA</f>
        <v>823.936241465754</v>
      </c>
      <c r="I25" s="5" t="n">
        <f aca="false">HTM!H77</f>
        <v>0</v>
      </c>
      <c r="J25" s="5" t="n">
        <f aca="false">HTM!I77</f>
        <v>0</v>
      </c>
      <c r="K25" s="5" t="n">
        <f aca="false">HTM!J77</f>
        <v>0</v>
      </c>
      <c r="L25" s="5" t="n">
        <f aca="false">HTM!K77</f>
        <v>20767.7080040683</v>
      </c>
      <c r="M25" s="5" t="n">
        <f aca="false">HTM!L77</f>
        <v>41196.8120732877</v>
      </c>
      <c r="N25" s="5" t="n">
        <f aca="false">HTM!M77</f>
        <v>20429.1040692194</v>
      </c>
      <c r="O25" s="5" t="n">
        <f aca="false">HTM!N77</f>
        <v>0</v>
      </c>
      <c r="P25" s="5" t="n">
        <f aca="false">HTM!O77</f>
        <v>0</v>
      </c>
      <c r="Q25" s="5" t="n">
        <f aca="false">HTM!P77</f>
        <v>0</v>
      </c>
      <c r="R25" s="5" t="n">
        <f aca="false">HTM!Q77</f>
        <v>0</v>
      </c>
      <c r="S25" s="5" t="n">
        <f aca="false">HTM!R77</f>
        <v>0</v>
      </c>
      <c r="T25" s="5" t="n">
        <f aca="false">HTM!S77</f>
        <v>0</v>
      </c>
      <c r="U25" s="5" t="n">
        <f aca="false">HTM!T77</f>
        <v>0</v>
      </c>
      <c r="V25" s="5" t="n">
        <f aca="false">HTM!U77</f>
        <v>0</v>
      </c>
      <c r="W25" s="5" t="n">
        <f aca="false">HTM!V77</f>
        <v>0</v>
      </c>
      <c r="X25" s="5" t="n">
        <f aca="false">HTM!W77</f>
        <v>0</v>
      </c>
      <c r="Y25" s="5" t="n">
        <f aca="false">HTM!X77</f>
        <v>0</v>
      </c>
      <c r="Z25" s="5" t="n">
        <f aca="false">HTM!Y77</f>
        <v>0</v>
      </c>
      <c r="AA25" s="5" t="n">
        <f aca="false">HTM!Z77</f>
        <v>0</v>
      </c>
      <c r="AB25" s="5" t="n">
        <f aca="false">HTM!AA77</f>
        <v>0</v>
      </c>
      <c r="AC25" s="5" t="n">
        <f aca="false">HTM!AB77</f>
        <v>0</v>
      </c>
      <c r="AD25" s="5" t="n">
        <f aca="false">HTM!AC77</f>
        <v>0</v>
      </c>
      <c r="AE25" s="5" t="n">
        <f aca="false">HTM!AD77</f>
        <v>0</v>
      </c>
      <c r="AF25" s="5" t="n">
        <f aca="false">HTM!AE77</f>
        <v>0</v>
      </c>
      <c r="AG25" s="5" t="n">
        <f aca="false">HTM!AF77</f>
        <v>0</v>
      </c>
      <c r="AH25" s="5" t="n">
        <f aca="false">HTM!AG77</f>
        <v>0</v>
      </c>
      <c r="AI25" s="5" t="n">
        <f aca="false">HTM!AH77</f>
        <v>0</v>
      </c>
      <c r="AJ25" s="5" t="n">
        <f aca="false">HTM!AI77</f>
        <v>0</v>
      </c>
      <c r="AK25" s="5" t="n">
        <f aca="false">HTM!AJ77</f>
        <v>0</v>
      </c>
      <c r="AL25" s="5" t="n">
        <f aca="false">HTM!AK77</f>
        <v>0</v>
      </c>
      <c r="AM25" s="5" t="n">
        <f aca="false">HTM!AL77</f>
        <v>0</v>
      </c>
      <c r="AN25" s="5" t="n">
        <f aca="false">HTM!AM77</f>
        <v>0</v>
      </c>
      <c r="AO25" s="5" t="n">
        <f aca="false">HTM!AN77</f>
        <v>0</v>
      </c>
      <c r="AP25" s="5" t="n">
        <f aca="false">HTM!AO77</f>
        <v>0</v>
      </c>
      <c r="AQ25" s="5" t="n">
        <f aca="false">HTM!AP77</f>
        <v>0</v>
      </c>
      <c r="AR25" s="5" t="n">
        <f aca="false">HTM!AQ77</f>
        <v>0</v>
      </c>
    </row>
    <row r="26" customFormat="false" ht="15" hidden="false" customHeight="false" outlineLevel="0" collapsed="false">
      <c r="C26" s="3" t="s">
        <v>25</v>
      </c>
      <c r="D26" s="7" t="s">
        <v>18</v>
      </c>
      <c r="E26" s="11" t="n">
        <f aca="false">SUM(I26:AR26)/Thousand</f>
        <v>-127.709361718582</v>
      </c>
      <c r="F26" s="6" t="n">
        <f aca="false">E26*Thousand/In_Wind_Built</f>
        <v>-939.730402638575</v>
      </c>
      <c r="G26" s="6" t="n">
        <f aca="false">E26*Thousand/Dash_MVA</f>
        <v>-1277.09361718582</v>
      </c>
      <c r="I26" s="6" t="n">
        <f aca="false">HTM!H119+HTM!H89</f>
        <v>-0</v>
      </c>
      <c r="J26" s="6" t="n">
        <f aca="false">HTM!I119+HTM!I89</f>
        <v>-0</v>
      </c>
      <c r="K26" s="6" t="n">
        <f aca="false">HTM!J119+HTM!J89</f>
        <v>-0</v>
      </c>
      <c r="L26" s="6" t="n">
        <f aca="false">HTM!K119+HTM!K89</f>
        <v>-0</v>
      </c>
      <c r="M26" s="6" t="n">
        <f aca="false">HTM!L119+HTM!L89</f>
        <v>-0</v>
      </c>
      <c r="N26" s="6" t="n">
        <f aca="false">HTM!M119+HTM!M89</f>
        <v>-2171.72948910804</v>
      </c>
      <c r="O26" s="6" t="n">
        <f aca="false">HTM!N119+HTM!N89</f>
        <v>-8369.17548196495</v>
      </c>
      <c r="P26" s="6" t="n">
        <f aca="false">HTM!O119+HTM!O89</f>
        <v>-8369.17548196495</v>
      </c>
      <c r="Q26" s="6" t="n">
        <f aca="false">HTM!P119+HTM!P89</f>
        <v>-8369.17548196495</v>
      </c>
      <c r="R26" s="6" t="n">
        <f aca="false">HTM!Q119+HTM!Q89</f>
        <v>-8369.17548196495</v>
      </c>
      <c r="S26" s="6" t="n">
        <f aca="false">HTM!R119+HTM!R89</f>
        <v>-8369.17548196495</v>
      </c>
      <c r="T26" s="6" t="n">
        <f aca="false">HTM!S119+HTM!S89</f>
        <v>-8369.17548196495</v>
      </c>
      <c r="U26" s="6" t="n">
        <f aca="false">HTM!T119+HTM!T89</f>
        <v>-8369.17548196495</v>
      </c>
      <c r="V26" s="6" t="n">
        <f aca="false">HTM!U119+HTM!U89</f>
        <v>-8369.17548196495</v>
      </c>
      <c r="W26" s="6" t="n">
        <f aca="false">HTM!V119+HTM!V89</f>
        <v>-8369.17548196495</v>
      </c>
      <c r="X26" s="6" t="n">
        <f aca="false">HTM!W119+HTM!W89</f>
        <v>-8369.17548196495</v>
      </c>
      <c r="Y26" s="6" t="n">
        <f aca="false">HTM!X119+HTM!X89</f>
        <v>-8369.17548196495</v>
      </c>
      <c r="Z26" s="6" t="n">
        <f aca="false">HTM!Y119+HTM!Y89</f>
        <v>-8369.17548196495</v>
      </c>
      <c r="AA26" s="6" t="n">
        <f aca="false">HTM!Z119+HTM!Z89</f>
        <v>-8369.17548196495</v>
      </c>
      <c r="AB26" s="6" t="n">
        <f aca="false">HTM!AA119+HTM!AA89</f>
        <v>-8369.17548196495</v>
      </c>
      <c r="AC26" s="6" t="n">
        <f aca="false">HTM!AB119+HTM!AB89</f>
        <v>-8369.17548196491</v>
      </c>
      <c r="AD26" s="6" t="n">
        <f aca="false">HTM!AC119+HTM!AC89</f>
        <v>-0</v>
      </c>
      <c r="AE26" s="6" t="n">
        <f aca="false">HTM!AD119+HTM!AD89</f>
        <v>-0</v>
      </c>
      <c r="AF26" s="6" t="n">
        <f aca="false">HTM!AE119+HTM!AE89</f>
        <v>-0</v>
      </c>
      <c r="AG26" s="6" t="n">
        <f aca="false">HTM!AF119+HTM!AF89</f>
        <v>-0</v>
      </c>
      <c r="AH26" s="6" t="n">
        <f aca="false">HTM!AG119+HTM!AG89</f>
        <v>-0</v>
      </c>
      <c r="AI26" s="6" t="n">
        <f aca="false">HTM!AH119+HTM!AH89</f>
        <v>-0</v>
      </c>
      <c r="AJ26" s="6" t="n">
        <f aca="false">HTM!AI119+HTM!AI89</f>
        <v>-0</v>
      </c>
      <c r="AK26" s="6" t="n">
        <f aca="false">HTM!AJ119+HTM!AJ89</f>
        <v>-0</v>
      </c>
      <c r="AL26" s="6" t="n">
        <f aca="false">HTM!AK119+HTM!AK89</f>
        <v>-0</v>
      </c>
      <c r="AM26" s="6" t="n">
        <f aca="false">HTM!AL119+HTM!AL89</f>
        <v>-0</v>
      </c>
      <c r="AN26" s="6" t="n">
        <f aca="false">HTM!AM119+HTM!AM89</f>
        <v>-0</v>
      </c>
      <c r="AO26" s="6" t="n">
        <f aca="false">HTM!AN119+HTM!AN89</f>
        <v>-0</v>
      </c>
      <c r="AP26" s="6" t="n">
        <f aca="false">HTM!AO119+HTM!AO89</f>
        <v>-0</v>
      </c>
      <c r="AQ26" s="6" t="n">
        <f aca="false">HTM!AP119+HTM!AP89</f>
        <v>-0</v>
      </c>
      <c r="AR26" s="6" t="n">
        <f aca="false">HTM!AQ119+HTM!AQ89</f>
        <v>-0</v>
      </c>
    </row>
    <row r="27" customFormat="false" ht="15" hidden="false" customHeight="false" outlineLevel="0" collapsed="false">
      <c r="C27" s="3" t="s">
        <v>26</v>
      </c>
      <c r="D27" s="7" t="s">
        <v>18</v>
      </c>
      <c r="E27" s="11" t="n">
        <f aca="false">SUM(I27:AR27)/Thousand</f>
        <v>-4.077</v>
      </c>
      <c r="F27" s="6" t="n">
        <f aca="false">E27*Thousand/In_Wind_Built</f>
        <v>-30</v>
      </c>
      <c r="G27" s="6" t="n">
        <f aca="false">E27*Thousand/Dash_MVA</f>
        <v>-40.77</v>
      </c>
      <c r="I27" s="6" t="n">
        <f aca="false">HTM!H107+HTM!H108</f>
        <v>0</v>
      </c>
      <c r="J27" s="6" t="n">
        <f aca="false">HTM!I107+HTM!I108</f>
        <v>0</v>
      </c>
      <c r="K27" s="6" t="n">
        <f aca="false">HTM!J107+HTM!J108</f>
        <v>0</v>
      </c>
      <c r="L27" s="6" t="n">
        <f aca="false">HTM!K107+HTM!K108</f>
        <v>0</v>
      </c>
      <c r="M27" s="6" t="n">
        <f aca="false">HTM!L107+HTM!L108</f>
        <v>0</v>
      </c>
      <c r="N27" s="6" t="n">
        <f aca="false">HTM!M107+HTM!M108</f>
        <v>0</v>
      </c>
      <c r="O27" s="6" t="n">
        <f aca="false">HTM!N107+HTM!N108</f>
        <v>0</v>
      </c>
      <c r="P27" s="6" t="n">
        <f aca="false">HTM!O107+HTM!O108</f>
        <v>0</v>
      </c>
      <c r="Q27" s="6" t="n">
        <f aca="false">HTM!P107+HTM!P108</f>
        <v>0</v>
      </c>
      <c r="R27" s="6" t="n">
        <f aca="false">HTM!Q107+HTM!Q108</f>
        <v>0</v>
      </c>
      <c r="S27" s="6" t="n">
        <f aca="false">HTM!R107+HTM!R108</f>
        <v>0</v>
      </c>
      <c r="T27" s="6" t="n">
        <f aca="false">HTM!S107+HTM!S108</f>
        <v>0</v>
      </c>
      <c r="U27" s="6" t="n">
        <f aca="false">HTM!T107+HTM!T108</f>
        <v>0</v>
      </c>
      <c r="V27" s="6" t="n">
        <f aca="false">HTM!U107+HTM!U108</f>
        <v>0</v>
      </c>
      <c r="W27" s="6" t="n">
        <f aca="false">HTM!V107+HTM!V108</f>
        <v>0</v>
      </c>
      <c r="X27" s="6" t="n">
        <f aca="false">HTM!W107+HTM!W108</f>
        <v>0</v>
      </c>
      <c r="Y27" s="6" t="n">
        <f aca="false">HTM!X107+HTM!X108</f>
        <v>0</v>
      </c>
      <c r="Z27" s="6" t="n">
        <f aca="false">HTM!Y107+HTM!Y108</f>
        <v>0</v>
      </c>
      <c r="AA27" s="6" t="n">
        <f aca="false">HTM!Z107+HTM!Z108</f>
        <v>0</v>
      </c>
      <c r="AB27" s="6" t="n">
        <f aca="false">HTM!AA107+HTM!AA108</f>
        <v>0</v>
      </c>
      <c r="AC27" s="6" t="n">
        <f aca="false">HTM!AB107+HTM!AB108</f>
        <v>0</v>
      </c>
      <c r="AD27" s="6" t="n">
        <f aca="false">HTM!AC107+HTM!AC108</f>
        <v>0</v>
      </c>
      <c r="AE27" s="6" t="n">
        <f aca="false">HTM!AD107+HTM!AD108</f>
        <v>0</v>
      </c>
      <c r="AF27" s="6" t="n">
        <f aca="false">HTM!AE107+HTM!AE108</f>
        <v>0</v>
      </c>
      <c r="AG27" s="6" t="n">
        <f aca="false">HTM!AF107+HTM!AF108</f>
        <v>0</v>
      </c>
      <c r="AH27" s="6" t="n">
        <f aca="false">HTM!AG107+HTM!AG108</f>
        <v>0</v>
      </c>
      <c r="AI27" s="6" t="n">
        <f aca="false">HTM!AH107+HTM!AH108</f>
        <v>0</v>
      </c>
      <c r="AJ27" s="6" t="n">
        <f aca="false">HTM!AI107+HTM!AI108</f>
        <v>0</v>
      </c>
      <c r="AK27" s="6" t="n">
        <f aca="false">HTM!AJ107+HTM!AJ108</f>
        <v>0</v>
      </c>
      <c r="AL27" s="6" t="n">
        <f aca="false">HTM!AK107+HTM!AK108</f>
        <v>0</v>
      </c>
      <c r="AM27" s="6" t="n">
        <f aca="false">HTM!AL107+HTM!AL108</f>
        <v>0</v>
      </c>
      <c r="AN27" s="6" t="n">
        <f aca="false">HTM!AM107+HTM!AM108</f>
        <v>0</v>
      </c>
      <c r="AO27" s="6" t="n">
        <f aca="false">HTM!AN107+HTM!AN108</f>
        <v>0</v>
      </c>
      <c r="AP27" s="6" t="n">
        <f aca="false">HTM!AO107+HTM!AO108</f>
        <v>0</v>
      </c>
      <c r="AQ27" s="6" t="n">
        <f aca="false">HTM!AP107+HTM!AP108</f>
        <v>0</v>
      </c>
      <c r="AR27" s="6" t="n">
        <f aca="false">HTM!AQ107+HTM!AQ108</f>
        <v>-4077</v>
      </c>
    </row>
    <row r="28" customFormat="false" ht="15" hidden="false" customHeight="false" outlineLevel="0" collapsed="false">
      <c r="C28" s="12" t="s">
        <v>14</v>
      </c>
      <c r="D28" s="7" t="s">
        <v>18</v>
      </c>
      <c r="E28" s="13" t="n">
        <f aca="false">SUM(I28:AR28)/Thousand</f>
        <v>343.066444242852</v>
      </c>
      <c r="F28" s="14" t="n">
        <f aca="false">E28*Thousand/In_Wind_Built</f>
        <v>2524.40356322923</v>
      </c>
      <c r="G28" s="14" t="n">
        <f aca="false">E28*Thousand/Dash_MVA</f>
        <v>3430.66444242852</v>
      </c>
      <c r="I28" s="14" t="n">
        <f aca="false">HTM!H123</f>
        <v>-1570.61764901888</v>
      </c>
      <c r="J28" s="14" t="n">
        <f aca="false">HTM!I123</f>
        <v>-778.738143280267</v>
      </c>
      <c r="K28" s="14" t="n">
        <f aca="false">HTM!J123</f>
        <v>-1227.43813118225</v>
      </c>
      <c r="L28" s="14" t="n">
        <f aca="false">HTM!K123</f>
        <v>-42052.73922629</v>
      </c>
      <c r="M28" s="14" t="n">
        <f aca="false">HTM!L123</f>
        <v>-30088.0917885429</v>
      </c>
      <c r="N28" s="14" t="n">
        <f aca="false">HTM!M123</f>
        <v>-8566.73762438734</v>
      </c>
      <c r="O28" s="14" t="n">
        <f aca="false">HTM!N123</f>
        <v>11030.9158582172</v>
      </c>
      <c r="P28" s="14" t="n">
        <f aca="false">HTM!O123</f>
        <v>10950.1116201571</v>
      </c>
      <c r="Q28" s="14" t="n">
        <f aca="false">HTM!P123</f>
        <v>10967.7524441585</v>
      </c>
      <c r="R28" s="14" t="n">
        <f aca="false">HTM!Q123</f>
        <v>10982.2019835325</v>
      </c>
      <c r="S28" s="14" t="n">
        <f aca="false">HTM!R123</f>
        <v>10993.3230867156</v>
      </c>
      <c r="T28" s="14" t="n">
        <f aca="false">HTM!S123</f>
        <v>11000.9730973614</v>
      </c>
      <c r="U28" s="14" t="n">
        <f aca="false">HTM!T123</f>
        <v>11005.0036176756</v>
      </c>
      <c r="V28" s="14" t="n">
        <f aca="false">HTM!U123</f>
        <v>11005.2602608976</v>
      </c>
      <c r="W28" s="14" t="n">
        <f aca="false">HTM!V123</f>
        <v>11001.5823924071</v>
      </c>
      <c r="X28" s="14" t="n">
        <f aca="false">HTM!W123</f>
        <v>10993.8028589139</v>
      </c>
      <c r="Y28" s="14" t="n">
        <f aca="false">HTM!X123</f>
        <v>10981.7477051588</v>
      </c>
      <c r="Z28" s="14" t="n">
        <f aca="false">HTM!Y123</f>
        <v>10965.2358775289</v>
      </c>
      <c r="AA28" s="14" t="n">
        <f aca="false">HTM!Z123</f>
        <v>10944.0789139571</v>
      </c>
      <c r="AB28" s="14" t="n">
        <f aca="false">HTM!AA123</f>
        <v>10918.0806194499</v>
      </c>
      <c r="AC28" s="14" t="n">
        <f aca="false">HTM!AB123</f>
        <v>10887.0367265511</v>
      </c>
      <c r="AD28" s="14" t="n">
        <f aca="false">HTM!AC123</f>
        <v>19219.9100219821</v>
      </c>
      <c r="AE28" s="14" t="n">
        <f aca="false">HTM!AD123</f>
        <v>19240.8968630243</v>
      </c>
      <c r="AF28" s="14" t="n">
        <f aca="false">HTM!AE123</f>
        <v>19259.3116725516</v>
      </c>
      <c r="AG28" s="14" t="n">
        <f aca="false">HTM!AF123</f>
        <v>19275.0710925432</v>
      </c>
      <c r="AH28" s="14" t="n">
        <f aca="false">HTM!AG123</f>
        <v>18648.730786753</v>
      </c>
      <c r="AI28" s="14" t="n">
        <f aca="false">HTM!AH123</f>
        <v>18019.5617913356</v>
      </c>
      <c r="AJ28" s="14" t="n">
        <f aca="false">HTM!AI123</f>
        <v>18026.8328562038</v>
      </c>
      <c r="AK28" s="14" t="n">
        <f aca="false">HTM!AJ123</f>
        <v>18031.092785024</v>
      </c>
      <c r="AL28" s="14" t="n">
        <f aca="false">HTM!AK123</f>
        <v>18032.2467817478</v>
      </c>
      <c r="AM28" s="14" t="n">
        <f aca="false">HTM!AL123</f>
        <v>18030.1975893648</v>
      </c>
      <c r="AN28" s="14" t="n">
        <f aca="false">HTM!AM123</f>
        <v>18024.845428775</v>
      </c>
      <c r="AO28" s="14" t="n">
        <f aca="false">HTM!AN123</f>
        <v>18016.0879361583</v>
      </c>
      <c r="AP28" s="14" t="n">
        <f aca="false">HTM!AO123</f>
        <v>18003.8200988039</v>
      </c>
      <c r="AQ28" s="14" t="n">
        <f aca="false">HTM!AP123</f>
        <v>17987.9341893627</v>
      </c>
      <c r="AR28" s="14" t="n">
        <f aca="false">HTM!AQ123</f>
        <v>4907.15984924141</v>
      </c>
    </row>
    <row r="29" customFormat="false" ht="15" hidden="false" customHeight="false" outlineLevel="0" collapsed="false">
      <c r="C29" s="3" t="s">
        <v>27</v>
      </c>
      <c r="D29" s="7" t="s">
        <v>18</v>
      </c>
      <c r="I29" s="5" t="n">
        <f aca="false">HTM!H124</f>
        <v>-1570.61764901888</v>
      </c>
      <c r="J29" s="5" t="n">
        <f aca="false">HTM!I124</f>
        <v>-2349.35579229915</v>
      </c>
      <c r="K29" s="5" t="n">
        <f aca="false">HTM!J124</f>
        <v>-3576.7939234814</v>
      </c>
      <c r="L29" s="5" t="n">
        <f aca="false">HTM!K124</f>
        <v>-45629.5331497714</v>
      </c>
      <c r="M29" s="5" t="n">
        <f aca="false">HTM!L124</f>
        <v>-75717.6249383144</v>
      </c>
      <c r="N29" s="5" t="n">
        <f aca="false">HTM!M124</f>
        <v>-84284.3625627017</v>
      </c>
      <c r="O29" s="5" t="n">
        <f aca="false">HTM!N124</f>
        <v>-73253.4467044845</v>
      </c>
      <c r="P29" s="5" t="n">
        <f aca="false">HTM!O124</f>
        <v>-62303.3350843274</v>
      </c>
      <c r="Q29" s="5" t="n">
        <f aca="false">HTM!P124</f>
        <v>-51335.5826401689</v>
      </c>
      <c r="R29" s="5" t="n">
        <f aca="false">HTM!Q124</f>
        <v>-40353.3806566364</v>
      </c>
      <c r="S29" s="5" t="n">
        <f aca="false">HTM!R124</f>
        <v>-29360.0575699208</v>
      </c>
      <c r="T29" s="5" t="n">
        <f aca="false">HTM!S124</f>
        <v>-18359.0844725594</v>
      </c>
      <c r="U29" s="5" t="n">
        <f aca="false">HTM!T124</f>
        <v>-7354.08085488375</v>
      </c>
      <c r="V29" s="5" t="n">
        <f aca="false">HTM!U124</f>
        <v>3651.17940601387</v>
      </c>
      <c r="W29" s="5" t="n">
        <f aca="false">HTM!V124</f>
        <v>14652.761798421</v>
      </c>
      <c r="X29" s="5" t="n">
        <f aca="false">HTM!W124</f>
        <v>25646.5646573348</v>
      </c>
      <c r="Y29" s="5" t="n">
        <f aca="false">HTM!X124</f>
        <v>36628.3123624937</v>
      </c>
      <c r="Z29" s="5" t="n">
        <f aca="false">HTM!Y124</f>
        <v>47593.5482400225</v>
      </c>
      <c r="AA29" s="5" t="n">
        <f aca="false">HTM!Z124</f>
        <v>58537.6271539796</v>
      </c>
      <c r="AB29" s="5" t="n">
        <f aca="false">HTM!AA124</f>
        <v>69455.7077734295</v>
      </c>
      <c r="AC29" s="5" t="n">
        <f aca="false">HTM!AB124</f>
        <v>80342.7444999807</v>
      </c>
      <c r="AD29" s="5" t="n">
        <f aca="false">HTM!AC124</f>
        <v>99562.6545219628</v>
      </c>
      <c r="AE29" s="5" t="n">
        <f aca="false">HTM!AD124</f>
        <v>118803.551384987</v>
      </c>
      <c r="AF29" s="5" t="n">
        <f aca="false">HTM!AE124</f>
        <v>138062.863057539</v>
      </c>
      <c r="AG29" s="5" t="n">
        <f aca="false">HTM!AF124</f>
        <v>157337.934150082</v>
      </c>
      <c r="AH29" s="5" t="n">
        <f aca="false">HTM!AG124</f>
        <v>175986.664936835</v>
      </c>
      <c r="AI29" s="5" t="n">
        <f aca="false">HTM!AH124</f>
        <v>194006.22672817</v>
      </c>
      <c r="AJ29" s="5" t="n">
        <f aca="false">HTM!AI124</f>
        <v>212033.059584374</v>
      </c>
      <c r="AK29" s="5" t="n">
        <f aca="false">HTM!AJ124</f>
        <v>230064.152369398</v>
      </c>
      <c r="AL29" s="5" t="n">
        <f aca="false">HTM!AK124</f>
        <v>248096.399151146</v>
      </c>
      <c r="AM29" s="5" t="n">
        <f aca="false">HTM!AL124</f>
        <v>266126.596740511</v>
      </c>
      <c r="AN29" s="5" t="n">
        <f aca="false">HTM!AM124</f>
        <v>284151.442169286</v>
      </c>
      <c r="AO29" s="5" t="n">
        <f aca="false">HTM!AN124</f>
        <v>302167.530105444</v>
      </c>
      <c r="AP29" s="5" t="n">
        <f aca="false">HTM!AO124</f>
        <v>320171.350204248</v>
      </c>
      <c r="AQ29" s="5" t="n">
        <f aca="false">HTM!AP124</f>
        <v>338159.284393611</v>
      </c>
      <c r="AR29" s="5" t="n">
        <f aca="false">HTM!AQ124</f>
        <v>343066.444242852</v>
      </c>
    </row>
    <row r="31" customFormat="false" ht="15" hidden="false" customHeight="false" outlineLevel="0" collapsed="false">
      <c r="C31" s="3" t="s">
        <v>28</v>
      </c>
      <c r="D31" s="7" t="s">
        <v>29</v>
      </c>
      <c r="E31" s="19" t="n">
        <f aca="false">SUM(I31:AR31)</f>
        <v>0</v>
      </c>
      <c r="I31" s="20" t="n">
        <f aca="false">N(ABS(I18+I21+I24+I25+I26+I27-I28)&gt;Tolerance)</f>
        <v>0</v>
      </c>
      <c r="J31" s="20" t="n">
        <f aca="false">N(ABS(J18+J21+J24+J25+J26+J27-J28)&gt;Tolerance)</f>
        <v>0</v>
      </c>
      <c r="K31" s="20" t="n">
        <f aca="false">N(ABS(K18+K21+K24+K25+K26+K27-K28)&gt;Tolerance)</f>
        <v>0</v>
      </c>
      <c r="L31" s="20" t="n">
        <f aca="false">N(ABS(L18+L21+L24+L25+L26+L27-L28)&gt;Tolerance)</f>
        <v>0</v>
      </c>
      <c r="M31" s="20" t="n">
        <f aca="false">N(ABS(M18+M21+M24+M25+M26+M27-M28)&gt;Tolerance)</f>
        <v>0</v>
      </c>
      <c r="N31" s="20" t="n">
        <f aca="false">N(ABS(N18+N21+N24+N25+N26+N27-N28)&gt;Tolerance)</f>
        <v>0</v>
      </c>
      <c r="O31" s="20" t="n">
        <f aca="false">N(ABS(O18+O21+O24+O25+O26+O27-O28)&gt;Tolerance)</f>
        <v>0</v>
      </c>
      <c r="P31" s="20" t="n">
        <f aca="false">N(ABS(P18+P21+P24+P25+P26+P27-P28)&gt;Tolerance)</f>
        <v>0</v>
      </c>
      <c r="Q31" s="20" t="n">
        <f aca="false">N(ABS(Q18+Q21+Q24+Q25+Q26+Q27-Q28)&gt;Tolerance)</f>
        <v>0</v>
      </c>
      <c r="R31" s="20" t="n">
        <f aca="false">N(ABS(R18+R21+R24+R25+R26+R27-R28)&gt;Tolerance)</f>
        <v>0</v>
      </c>
      <c r="S31" s="20" t="n">
        <f aca="false">N(ABS(S18+S21+S24+S25+S26+S27-S28)&gt;Tolerance)</f>
        <v>0</v>
      </c>
      <c r="T31" s="20" t="n">
        <f aca="false">N(ABS(T18+T21+T24+T25+T26+T27-T28)&gt;Tolerance)</f>
        <v>0</v>
      </c>
      <c r="U31" s="20" t="n">
        <f aca="false">N(ABS(U18+U21+U24+U25+U26+U27-U28)&gt;Tolerance)</f>
        <v>0</v>
      </c>
      <c r="V31" s="20" t="n">
        <f aca="false">N(ABS(V18+V21+V24+V25+V26+V27-V28)&gt;Tolerance)</f>
        <v>0</v>
      </c>
      <c r="W31" s="20" t="n">
        <f aca="false">N(ABS(W18+W21+W24+W25+W26+W27-W28)&gt;Tolerance)</f>
        <v>0</v>
      </c>
      <c r="X31" s="20" t="n">
        <f aca="false">N(ABS(X18+X21+X24+X25+X26+X27-X28)&gt;Tolerance)</f>
        <v>0</v>
      </c>
      <c r="Y31" s="20" t="n">
        <f aca="false">N(ABS(Y18+Y21+Y24+Y25+Y26+Y27-Y28)&gt;Tolerance)</f>
        <v>0</v>
      </c>
      <c r="Z31" s="20" t="n">
        <f aca="false">N(ABS(Z18+Z21+Z24+Z25+Z26+Z27-Z28)&gt;Tolerance)</f>
        <v>0</v>
      </c>
      <c r="AA31" s="20" t="n">
        <f aca="false">N(ABS(AA18+AA21+AA24+AA25+AA26+AA27-AA28)&gt;Tolerance)</f>
        <v>0</v>
      </c>
      <c r="AB31" s="20" t="n">
        <f aca="false">N(ABS(AB18+AB21+AB24+AB25+AB26+AB27-AB28)&gt;Tolerance)</f>
        <v>0</v>
      </c>
      <c r="AC31" s="20" t="n">
        <f aca="false">N(ABS(AC18+AC21+AC24+AC25+AC26+AC27-AC28)&gt;Tolerance)</f>
        <v>0</v>
      </c>
      <c r="AD31" s="20" t="n">
        <f aca="false">N(ABS(AD18+AD21+AD24+AD25+AD26+AD27-AD28)&gt;Tolerance)</f>
        <v>0</v>
      </c>
      <c r="AE31" s="20" t="n">
        <f aca="false">N(ABS(AE18+AE21+AE24+AE25+AE26+AE27-AE28)&gt;Tolerance)</f>
        <v>0</v>
      </c>
      <c r="AF31" s="20" t="n">
        <f aca="false">N(ABS(AF18+AF21+AF24+AF25+AF26+AF27-AF28)&gt;Tolerance)</f>
        <v>0</v>
      </c>
      <c r="AG31" s="20" t="n">
        <f aca="false">N(ABS(AG18+AG21+AG24+AG25+AG26+AG27-AG28)&gt;Tolerance)</f>
        <v>0</v>
      </c>
      <c r="AH31" s="20" t="n">
        <f aca="false">N(ABS(AH18+AH21+AH24+AH25+AH26+AH27-AH28)&gt;Tolerance)</f>
        <v>0</v>
      </c>
      <c r="AI31" s="20" t="n">
        <f aca="false">N(ABS(AI18+AI21+AI24+AI25+AI26+AI27-AI28)&gt;Tolerance)</f>
        <v>0</v>
      </c>
      <c r="AJ31" s="20" t="n">
        <f aca="false">N(ABS(AJ18+AJ21+AJ24+AJ25+AJ26+AJ27-AJ28)&gt;Tolerance)</f>
        <v>0</v>
      </c>
      <c r="AK31" s="20" t="n">
        <f aca="false">N(ABS(AK18+AK21+AK24+AK25+AK26+AK27-AK28)&gt;Tolerance)</f>
        <v>0</v>
      </c>
      <c r="AL31" s="20" t="n">
        <f aca="false">N(ABS(AL18+AL21+AL24+AL25+AL26+AL27-AL28)&gt;Tolerance)</f>
        <v>0</v>
      </c>
      <c r="AM31" s="20" t="n">
        <f aca="false">N(ABS(AM18+AM21+AM24+AM25+AM26+AM27-AM28)&gt;Tolerance)</f>
        <v>0</v>
      </c>
      <c r="AN31" s="20" t="n">
        <f aca="false">N(ABS(AN18+AN21+AN24+AN25+AN26+AN27-AN28)&gt;Tolerance)</f>
        <v>0</v>
      </c>
      <c r="AO31" s="20" t="n">
        <f aca="false">N(ABS(AO18+AO21+AO24+AO25+AO26+AO27-AO28)&gt;Tolerance)</f>
        <v>0</v>
      </c>
      <c r="AP31" s="20" t="n">
        <f aca="false">N(ABS(AP18+AP21+AP24+AP25+AP26+AP27-AP28)&gt;Tolerance)</f>
        <v>0</v>
      </c>
      <c r="AQ31" s="20" t="n">
        <f aca="false">N(ABS(AQ18+AQ21+AQ24+AQ25+AQ26+AQ27-AQ28)&gt;Tolerance)</f>
        <v>0</v>
      </c>
      <c r="AR31" s="20" t="n">
        <f aca="false">N(ABS(AR18+AR21+AR24+AR25+AR26+AR27-AR28)&gt;Tolerance)</f>
        <v>0</v>
      </c>
    </row>
    <row r="33" customFormat="false" ht="15" hidden="false" customHeight="false" outlineLevel="0" collapsed="false">
      <c r="C33" s="21" t="s">
        <v>30</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563C"/>
    <pageSetUpPr fitToPage="false"/>
  </sheetPr>
  <dimension ref="A2:XFD212"/>
  <sheetViews>
    <sheetView showFormulas="false" showGridLines="false" showRowColHeaders="true" showZeros="true" rightToLeft="false" tabSelected="false" showOutlineSymbols="true" defaultGridColor="true" view="normal" topLeftCell="A100" colorId="64" zoomScale="115" zoomScaleNormal="115" zoomScalePageLayoutView="100" workbookViewId="0">
      <selection pane="topLeft" activeCell="C117" activeCellId="0" sqref="C117"/>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58"/>
    <col collapsed="false" customWidth="true" hidden="false" outlineLevel="0" max="4" min="4" style="0" width="9"/>
    <col collapsed="false" customWidth="true" hidden="false" outlineLevel="0" max="11" min="5" style="0" width="11"/>
    <col collapsed="false" customWidth="false" hidden="true" outlineLevel="1" max="16384" min="12" style="0" width="13"/>
  </cols>
  <sheetData>
    <row r="2" customFormat="false" ht="15.75" hidden="false" customHeight="true" outlineLevel="0" collapsed="false">
      <c r="A2" s="1"/>
      <c r="B2" s="1" t="str">
        <f aca="false">Inputs!$A$1&amp;" – Dashboard – "&amp;Dash_Scenario&amp;" scenario"</f>
        <v>HUN Onshore Wind – MOIC model v5 – Dashboard – Base scenario</v>
      </c>
      <c r="C2" s="1"/>
      <c r="D2" s="1"/>
      <c r="E2" s="1"/>
      <c r="F2" s="1"/>
      <c r="G2" s="1"/>
      <c r="H2" s="1"/>
      <c r="I2" s="1"/>
      <c r="J2" s="1"/>
      <c r="K2" s="1"/>
    </row>
    <row r="3" customFormat="false" ht="15" hidden="false" customHeight="false" outlineLevel="0" collapsed="false">
      <c r="C3" s="12" t="s">
        <v>31</v>
      </c>
      <c r="E3" s="22" t="str">
        <f aca="false">IF(Master_Check=0,"OK","CHECK")</f>
        <v>OK</v>
      </c>
    </row>
    <row r="5" customFormat="false" ht="15" hidden="false" customHeight="false" outlineLevel="0" collapsed="false">
      <c r="A5" s="23" t="s">
        <v>7</v>
      </c>
      <c r="B5" s="23"/>
      <c r="C5" s="23" t="s">
        <v>32</v>
      </c>
      <c r="D5" s="23"/>
      <c r="E5" s="23"/>
      <c r="F5" s="23"/>
      <c r="G5" s="23"/>
      <c r="H5" s="23"/>
      <c r="I5" s="23"/>
      <c r="J5" s="23"/>
      <c r="K5" s="23"/>
    </row>
    <row r="6" customFormat="false" ht="15" hidden="false" customHeight="false" outlineLevel="0" collapsed="false">
      <c r="C6" s="3" t="s">
        <v>33</v>
      </c>
      <c r="D6" s="7"/>
      <c r="E6" s="24" t="s">
        <v>34</v>
      </c>
    </row>
    <row r="7" customFormat="false" ht="15" hidden="false" customHeight="false" outlineLevel="0" collapsed="false">
      <c r="E7" s="2" t="s">
        <v>34</v>
      </c>
      <c r="F7" s="2" t="s">
        <v>35</v>
      </c>
      <c r="G7" s="2" t="s">
        <v>36</v>
      </c>
      <c r="H7" s="2" t="s">
        <v>37</v>
      </c>
    </row>
    <row r="8" customFormat="false" ht="15" hidden="false" customHeight="false" outlineLevel="0" collapsed="false">
      <c r="C8" s="3" t="s">
        <v>38</v>
      </c>
      <c r="D8" s="7" t="s">
        <v>11</v>
      </c>
      <c r="E8" s="25" t="n">
        <v>500</v>
      </c>
      <c r="F8" s="25" t="n">
        <v>500</v>
      </c>
      <c r="G8" s="25" t="n">
        <v>800</v>
      </c>
      <c r="H8" s="5" t="n">
        <f aca="false">INDEX(E8:G8,MATCH(Dash_Scenario,$E$7:$G$7,0))</f>
        <v>500</v>
      </c>
    </row>
    <row r="9" customFormat="false" ht="15" hidden="false" customHeight="false" outlineLevel="0" collapsed="false">
      <c r="C9" s="3" t="s">
        <v>39</v>
      </c>
      <c r="D9" s="7" t="s">
        <v>40</v>
      </c>
      <c r="E9" s="26" t="n">
        <v>90</v>
      </c>
      <c r="F9" s="26" t="n">
        <v>90</v>
      </c>
      <c r="G9" s="26" t="n">
        <v>100</v>
      </c>
      <c r="H9" s="4" t="n">
        <f aca="false">INDEX(E9:G9,MATCH(Dash_Scenario,$E$7:$G$7,0))</f>
        <v>90</v>
      </c>
    </row>
    <row r="10" customFormat="false" ht="15" hidden="false" customHeight="false" outlineLevel="0" collapsed="false">
      <c r="C10" s="3" t="s">
        <v>41</v>
      </c>
      <c r="D10" s="7" t="s">
        <v>42</v>
      </c>
      <c r="E10" s="25" t="n">
        <v>2500</v>
      </c>
      <c r="F10" s="25" t="n">
        <v>2460</v>
      </c>
      <c r="G10" s="25" t="n">
        <v>2600</v>
      </c>
      <c r="H10" s="5" t="n">
        <f aca="false">INDEX(E10:G10,MATCH(Dash_Scenario,$E$7:$G$7,0))</f>
        <v>2500</v>
      </c>
    </row>
    <row r="11" customFormat="false" ht="15" hidden="false" customHeight="false" outlineLevel="0" collapsed="false">
      <c r="C11" s="3" t="s">
        <v>43</v>
      </c>
      <c r="D11" s="7" t="s">
        <v>44</v>
      </c>
      <c r="E11" s="26" t="n">
        <v>12</v>
      </c>
      <c r="F11" s="26" t="n">
        <v>12</v>
      </c>
      <c r="G11" s="26" t="n">
        <v>10</v>
      </c>
      <c r="H11" s="4" t="n">
        <f aca="false">INDEX(E11:G11,MATCH(Dash_Scenario,$E$7:$G$7,0))</f>
        <v>12</v>
      </c>
    </row>
    <row r="12" customFormat="false" ht="15" hidden="false" customHeight="false" outlineLevel="0" collapsed="false">
      <c r="C12" s="3" t="s">
        <v>45</v>
      </c>
      <c r="D12" s="7" t="s">
        <v>2</v>
      </c>
      <c r="E12" s="25" t="n">
        <v>200</v>
      </c>
      <c r="F12" s="25" t="n">
        <v>150</v>
      </c>
      <c r="G12" s="25" t="n">
        <v>200</v>
      </c>
      <c r="H12" s="5" t="n">
        <f aca="false">INDEX(E12:G12,MATCH(Dash_Scenario,$E$7:$G$7,0))</f>
        <v>200</v>
      </c>
    </row>
    <row r="13" customFormat="false" ht="15" hidden="false" customHeight="false" outlineLevel="0" collapsed="false">
      <c r="C13" s="3" t="s">
        <v>46</v>
      </c>
      <c r="D13" s="7" t="s">
        <v>11</v>
      </c>
      <c r="E13" s="27" t="n">
        <f aca="false">Inputs!$G$163+Inputs!$G$164+Inputs!$G$165+Inputs!$G$166+Inputs!$G$169+Inputs!$G$170</f>
        <v>355</v>
      </c>
      <c r="F13" s="28" t="n">
        <f aca="false">$E$13*(1+$I$13)</f>
        <v>390.5</v>
      </c>
      <c r="G13" s="28" t="n">
        <f aca="false">$E$13*(1-$I$13)</f>
        <v>319.5</v>
      </c>
      <c r="H13" s="5" t="n">
        <f aca="false">INDEX(E13:G13,MATCH(Dash_Scenario,$E$7:$G$7,0))</f>
        <v>355</v>
      </c>
      <c r="I13" s="29" t="n">
        <v>0.1</v>
      </c>
      <c r="J13" s="30" t="s">
        <v>47</v>
      </c>
    </row>
    <row r="14" customFormat="false" ht="15" hidden="false" customHeight="false" outlineLevel="0" collapsed="false">
      <c r="C14" s="3" t="s">
        <v>48</v>
      </c>
      <c r="D14" s="7" t="s">
        <v>11</v>
      </c>
      <c r="H14" s="5" t="n">
        <f aca="false">$F$66</f>
        <v>1261.44148725136</v>
      </c>
    </row>
    <row r="15" customFormat="false" ht="15" hidden="false" customHeight="false" outlineLevel="0" collapsed="false">
      <c r="C15" s="3" t="s">
        <v>49</v>
      </c>
      <c r="D15" s="7" t="s">
        <v>2</v>
      </c>
      <c r="H15" s="5" t="n">
        <f aca="false">$G$66</f>
        <v>1714.2989811746</v>
      </c>
    </row>
    <row r="16" customFormat="false" ht="15" hidden="false" customHeight="false" outlineLevel="0" collapsed="false">
      <c r="C16" s="3" t="s">
        <v>50</v>
      </c>
      <c r="D16" s="7" t="s">
        <v>51</v>
      </c>
      <c r="H16" s="31" t="n">
        <f aca="false">HTM!$G$137</f>
        <v>0.116754376727805</v>
      </c>
    </row>
    <row r="18" customFormat="false" ht="15" hidden="false" customHeight="false" outlineLevel="0" collapsed="false">
      <c r="A18" s="23" t="s">
        <v>7</v>
      </c>
      <c r="B18" s="23"/>
      <c r="C18" s="23" t="s">
        <v>52</v>
      </c>
      <c r="D18" s="23"/>
      <c r="E18" s="23"/>
      <c r="F18" s="23"/>
      <c r="G18" s="23"/>
      <c r="H18" s="23"/>
      <c r="I18" s="23"/>
      <c r="J18" s="23"/>
      <c r="K18" s="23"/>
    </row>
    <row r="19" customFormat="false" ht="15" hidden="false" customHeight="false" outlineLevel="0" collapsed="false">
      <c r="E19" s="2" t="s">
        <v>53</v>
      </c>
      <c r="F19" s="2" t="s">
        <v>54</v>
      </c>
    </row>
    <row r="20" customFormat="false" ht="15" hidden="false" customHeight="false" outlineLevel="0" collapsed="false">
      <c r="C20" s="3" t="s">
        <v>55</v>
      </c>
      <c r="D20" s="7" t="s">
        <v>56</v>
      </c>
      <c r="E20" s="25" t="n">
        <v>100</v>
      </c>
      <c r="F20" s="32"/>
    </row>
    <row r="21" customFormat="false" ht="15" hidden="true" customHeight="false" outlineLevel="0" collapsed="false">
      <c r="C21" s="3" t="s">
        <v>57</v>
      </c>
      <c r="D21" s="7" t="s">
        <v>29</v>
      </c>
      <c r="E21" s="33" t="n">
        <f aca="false">In_Bids</f>
        <v>1</v>
      </c>
      <c r="F21" s="32"/>
    </row>
    <row r="22" customFormat="false" ht="15" hidden="false" customHeight="false" outlineLevel="0" collapsed="false">
      <c r="C22" s="3" t="s">
        <v>58</v>
      </c>
      <c r="D22" s="7" t="s">
        <v>59</v>
      </c>
      <c r="E22" s="34" t="n">
        <v>0.51</v>
      </c>
      <c r="F22" s="32" t="n">
        <f aca="false">INDEX(Osz3_Pts,1+SUMPRODUCT((Osz3_LB&lt;E22)+(Osz3_LB=E22)*Osz3_Incl))*Osz3_W</f>
        <v>10</v>
      </c>
    </row>
    <row r="23" customFormat="false" ht="15" hidden="false" customHeight="false" outlineLevel="0" collapsed="false">
      <c r="C23" s="3" t="s">
        <v>60</v>
      </c>
      <c r="D23" s="7" t="s">
        <v>59</v>
      </c>
      <c r="E23" s="34" t="n">
        <v>0.3</v>
      </c>
      <c r="F23" s="32" t="n">
        <f aca="false">INDEX(Osz3_Pts,1+SUMPRODUCT((Osz3_LB&lt;In_OSZ4_Ratio)+(Osz3_LB=In_OSZ4_Ratio)*Osz3_Incl))*Osz4_W</f>
        <v>10.5</v>
      </c>
    </row>
    <row r="24" customFormat="false" ht="15" hidden="false" customHeight="false" outlineLevel="0" collapsed="false">
      <c r="C24" s="3" t="s">
        <v>61</v>
      </c>
      <c r="D24" s="7" t="s">
        <v>62</v>
      </c>
      <c r="E24" s="35" t="n">
        <v>0</v>
      </c>
      <c r="F24" s="32"/>
    </row>
    <row r="25" customFormat="false" ht="15" hidden="false" customHeight="false" outlineLevel="0" collapsed="false">
      <c r="C25" s="3" t="s">
        <v>63</v>
      </c>
      <c r="D25" s="7" t="s">
        <v>64</v>
      </c>
      <c r="E25" s="4" t="n">
        <f aca="false">Inputs!$E$21</f>
        <v>4</v>
      </c>
      <c r="F25" s="32"/>
    </row>
    <row r="26" customFormat="false" ht="15" hidden="false" customHeight="false" outlineLevel="0" collapsed="false">
      <c r="C26" s="3" t="s">
        <v>65</v>
      </c>
      <c r="D26" s="7" t="s">
        <v>66</v>
      </c>
      <c r="E26" s="25" t="n">
        <v>100</v>
      </c>
      <c r="F26" s="32"/>
    </row>
    <row r="27" customFormat="false" ht="15" hidden="false" customHeight="false" outlineLevel="0" collapsed="false">
      <c r="C27" s="3" t="s">
        <v>67</v>
      </c>
      <c r="D27" s="7" t="s">
        <v>7</v>
      </c>
      <c r="E27" s="36" t="n">
        <v>1</v>
      </c>
      <c r="F27" s="32" t="n">
        <f aca="false">INDEX(Osz6_Pts,1+SUMPRODUCT((Osz6_LB&lt;E27)+(Osz6_LB=E27)*Osz6_Incl))*Osz6_W</f>
        <v>0</v>
      </c>
    </row>
    <row r="28" customFormat="false" ht="15" hidden="false" customHeight="false" outlineLevel="0" collapsed="false">
      <c r="C28" s="3" t="s">
        <v>68</v>
      </c>
      <c r="D28" s="7" t="s">
        <v>2</v>
      </c>
      <c r="E28" s="25" t="n">
        <v>50</v>
      </c>
      <c r="F28" s="32" t="n">
        <f aca="false">INDEX(Osz1_Pts,1+SUMPRODUCT((Osz1_LB&lt;E28)+(Osz1_LB=E28)*Osz1_Incl))*Osz1_W</f>
        <v>20</v>
      </c>
    </row>
    <row r="29" customFormat="false" ht="15" hidden="false" customHeight="false" outlineLevel="0" collapsed="false">
      <c r="C29" s="3" t="s">
        <v>69</v>
      </c>
      <c r="D29" s="7" t="s">
        <v>40</v>
      </c>
      <c r="E29" s="37" t="n">
        <v>3</v>
      </c>
      <c r="F29" s="32" t="n">
        <f aca="false">INDEX(Osz2_Pts,1+SUMPRODUCT((Osz2_LB&lt;E29)+(Osz2_LB=E29)*Osz2_Incl))*Osz2_W</f>
        <v>15</v>
      </c>
    </row>
    <row r="30" customFormat="false" ht="15" hidden="false" customHeight="false" outlineLevel="0" collapsed="false">
      <c r="C30" s="3" t="s">
        <v>70</v>
      </c>
      <c r="D30" s="7" t="s">
        <v>62</v>
      </c>
      <c r="E30" s="35" t="n">
        <v>1</v>
      </c>
      <c r="F30" s="32" t="n">
        <f aca="false">E30*Osz5_Pts*Osz5_W</f>
        <v>5</v>
      </c>
    </row>
    <row r="31" customFormat="false" ht="15" hidden="false" customHeight="false" outlineLevel="0" collapsed="false">
      <c r="C31" s="3" t="s">
        <v>71</v>
      </c>
      <c r="D31" s="7" t="s">
        <v>62</v>
      </c>
      <c r="E31" s="35" t="n">
        <v>0</v>
      </c>
      <c r="F31" s="32" t="n">
        <f aca="false">E31*Osz7_Pts*Osz7_W</f>
        <v>0</v>
      </c>
    </row>
    <row r="32" customFormat="false" ht="15" hidden="false" customHeight="false" outlineLevel="0" collapsed="false">
      <c r="C32" s="3" t="s">
        <v>72</v>
      </c>
      <c r="D32" s="7" t="s">
        <v>62</v>
      </c>
      <c r="E32" s="35" t="n">
        <v>1</v>
      </c>
      <c r="F32" s="32" t="n">
        <f aca="false">E32*Osz8_Pts*Osz8_W</f>
        <v>5</v>
      </c>
    </row>
    <row r="33" customFormat="false" ht="15" hidden="false" customHeight="false" outlineLevel="0" collapsed="false">
      <c r="C33" s="3" t="s">
        <v>73</v>
      </c>
      <c r="D33" s="7" t="s">
        <v>62</v>
      </c>
      <c r="E33" s="38" t="n">
        <f aca="false">N(Scenario_Name&lt;&gt;"CN turbine")</f>
        <v>0</v>
      </c>
      <c r="F33" s="32" t="n">
        <f aca="false">E33*Osz9a_Pts*Osz9_W</f>
        <v>0</v>
      </c>
    </row>
    <row r="34" customFormat="false" ht="15" hidden="false" customHeight="false" outlineLevel="0" collapsed="false">
      <c r="C34" s="3" t="s">
        <v>74</v>
      </c>
      <c r="D34" s="7" t="s">
        <v>62</v>
      </c>
      <c r="E34" s="38" t="n">
        <f aca="false">N(Scenario_Name&lt;&gt;"CN turbine")</f>
        <v>0</v>
      </c>
      <c r="F34" s="32" t="n">
        <f aca="false">E34*Osz9b_Pts*Osz9_W</f>
        <v>0</v>
      </c>
    </row>
    <row r="35" customFormat="false" ht="15" hidden="false" customHeight="false" outlineLevel="0" collapsed="false">
      <c r="C35" s="3" t="s">
        <v>75</v>
      </c>
      <c r="D35" s="7" t="s">
        <v>51</v>
      </c>
      <c r="E35" s="34" t="n">
        <v>0.1</v>
      </c>
    </row>
    <row r="36" customFormat="false" ht="15" hidden="false" customHeight="false" outlineLevel="0" collapsed="false">
      <c r="C36" s="3" t="s">
        <v>76</v>
      </c>
      <c r="D36" s="7" t="s">
        <v>77</v>
      </c>
      <c r="E36" s="39" t="s">
        <v>78</v>
      </c>
      <c r="F36" s="39"/>
      <c r="G36" s="39"/>
    </row>
    <row r="37" customFormat="false" ht="15" hidden="false" customHeight="false" outlineLevel="0" collapsed="false">
      <c r="C37" s="12" t="s">
        <v>79</v>
      </c>
      <c r="D37" s="7" t="s">
        <v>80</v>
      </c>
      <c r="F37" s="40" t="n">
        <f aca="false">ROUND(SUM(F22:F34),Points_Decimals)</f>
        <v>65.5</v>
      </c>
    </row>
    <row r="38" customFormat="false" ht="15" hidden="false" customHeight="false" outlineLevel="0" collapsed="false">
      <c r="C38" s="3" t="s">
        <v>81</v>
      </c>
      <c r="D38" s="7" t="s">
        <v>80</v>
      </c>
      <c r="F38" s="32" t="n">
        <f aca="false">ROUND(F37-F23+In_OSZ4_Pts_Wind,Points_Decimals)</f>
        <v>61</v>
      </c>
    </row>
    <row r="40" customFormat="false" ht="15" hidden="false" customHeight="false" outlineLevel="0" collapsed="false">
      <c r="A40" s="23" t="s">
        <v>7</v>
      </c>
      <c r="B40" s="23"/>
      <c r="C40" s="23" t="s">
        <v>82</v>
      </c>
      <c r="D40" s="23"/>
      <c r="E40" s="23"/>
      <c r="F40" s="23"/>
      <c r="G40" s="23"/>
      <c r="H40" s="23"/>
      <c r="I40" s="23"/>
      <c r="J40" s="23"/>
      <c r="K40" s="23"/>
    </row>
    <row r="41" customFormat="false" ht="15" hidden="false" customHeight="false" outlineLevel="0" collapsed="false">
      <c r="C41" s="3" t="s">
        <v>83</v>
      </c>
      <c r="D41" s="7" t="s">
        <v>84</v>
      </c>
      <c r="E41" s="5" t="n">
        <f aca="false">Inputs!$E$18</f>
        <v>151</v>
      </c>
    </row>
    <row r="42" customFormat="false" ht="15" hidden="false" customHeight="false" outlineLevel="0" collapsed="false">
      <c r="C42" s="3" t="s">
        <v>85</v>
      </c>
      <c r="D42" s="7" t="s">
        <v>84</v>
      </c>
      <c r="E42" s="5" t="n">
        <f aca="false">In_Wind_Built</f>
        <v>135.9</v>
      </c>
    </row>
    <row r="43" customFormat="false" ht="15" hidden="false" customHeight="false" outlineLevel="0" collapsed="false">
      <c r="C43" s="3" t="s">
        <v>86</v>
      </c>
      <c r="D43" s="7" t="s">
        <v>84</v>
      </c>
      <c r="E43" s="5" t="n">
        <f aca="false">Inputs!$E$20</f>
        <v>30</v>
      </c>
    </row>
    <row r="44" customFormat="false" ht="15" hidden="false" customHeight="false" outlineLevel="0" collapsed="false">
      <c r="C44" s="3" t="s">
        <v>87</v>
      </c>
      <c r="D44" s="7" t="s">
        <v>88</v>
      </c>
      <c r="E44" s="5" t="n">
        <f aca="false">Inputs!$E$22</f>
        <v>120</v>
      </c>
    </row>
    <row r="45" customFormat="false" ht="15" hidden="false" customHeight="false" outlineLevel="0" collapsed="false">
      <c r="C45" s="3" t="s">
        <v>89</v>
      </c>
      <c r="D45" s="7" t="s">
        <v>84</v>
      </c>
      <c r="E45" s="6" t="n">
        <f aca="false">$E$42-$E$20</f>
        <v>35.9</v>
      </c>
    </row>
    <row r="46" customFormat="false" ht="15" hidden="false" customHeight="false" outlineLevel="0" collapsed="false">
      <c r="C46" s="3" t="s">
        <v>90</v>
      </c>
      <c r="D46" s="7" t="s">
        <v>51</v>
      </c>
      <c r="E46" s="41" t="n">
        <f aca="false">1-In_Bottleneck_Factor</f>
        <v>0.0993857142857142</v>
      </c>
    </row>
    <row r="47" customFormat="false" ht="15" hidden="false" customHeight="false" outlineLevel="0" collapsed="false">
      <c r="C47" s="7" t="s">
        <v>91</v>
      </c>
    </row>
    <row r="49" customFormat="false" ht="15" hidden="false" customHeight="false" outlineLevel="0" collapsed="false">
      <c r="A49" s="23" t="s">
        <v>7</v>
      </c>
      <c r="B49" s="23"/>
      <c r="C49" s="23" t="s">
        <v>92</v>
      </c>
      <c r="D49" s="23"/>
      <c r="E49" s="23"/>
      <c r="F49" s="23"/>
      <c r="G49" s="23"/>
      <c r="H49" s="23"/>
      <c r="I49" s="23"/>
      <c r="J49" s="23"/>
      <c r="K49" s="23"/>
    </row>
    <row r="50" customFormat="false" ht="15" hidden="false" customHeight="false" outlineLevel="0" collapsed="false">
      <c r="E50" s="2" t="s">
        <v>0</v>
      </c>
      <c r="F50" s="2" t="s">
        <v>1</v>
      </c>
      <c r="G50" s="2" t="s">
        <v>2</v>
      </c>
    </row>
    <row r="51" customFormat="false" ht="15" hidden="false" customHeight="false" outlineLevel="0" collapsed="false">
      <c r="C51" s="3" t="s">
        <v>93</v>
      </c>
      <c r="D51" s="7" t="s">
        <v>0</v>
      </c>
      <c r="E51" s="11" t="n">
        <f aca="false">Inputs!$E$162*$E$42/Thousand</f>
        <v>67.95</v>
      </c>
      <c r="F51" s="6" t="n">
        <f aca="false">E51*Thousand/$E$42</f>
        <v>500</v>
      </c>
      <c r="G51" s="6" t="n">
        <f aca="false">E51*Thousand/$E$20</f>
        <v>679.5</v>
      </c>
    </row>
    <row r="52" customFormat="false" ht="15" hidden="false" customHeight="false" outlineLevel="0" collapsed="false">
      <c r="C52" s="3" t="s">
        <v>94</v>
      </c>
      <c r="D52" s="7" t="s">
        <v>0</v>
      </c>
      <c r="E52" s="11" t="n">
        <f aca="false">Inputs!$E$163*$E$42/Thousand</f>
        <v>10.872</v>
      </c>
      <c r="F52" s="6" t="n">
        <f aca="false">E52*Thousand/$E$42</f>
        <v>80</v>
      </c>
      <c r="G52" s="6" t="n">
        <f aca="false">E52*Thousand/$E$20</f>
        <v>108.72</v>
      </c>
    </row>
    <row r="53" customFormat="false" ht="15" hidden="false" customHeight="false" outlineLevel="0" collapsed="false">
      <c r="C53" s="3" t="s">
        <v>95</v>
      </c>
      <c r="D53" s="7" t="s">
        <v>0</v>
      </c>
      <c r="E53" s="11" t="n">
        <f aca="false">Inputs!$E$164*$E$42/Thousand</f>
        <v>12.231</v>
      </c>
      <c r="F53" s="6" t="n">
        <f aca="false">E53*Thousand/$E$42</f>
        <v>90</v>
      </c>
      <c r="G53" s="6" t="n">
        <f aca="false">E53*Thousand/$E$20</f>
        <v>122.31</v>
      </c>
    </row>
    <row r="54" customFormat="false" ht="15" hidden="false" customHeight="false" outlineLevel="0" collapsed="false">
      <c r="C54" s="3" t="s">
        <v>96</v>
      </c>
      <c r="D54" s="7" t="s">
        <v>0</v>
      </c>
      <c r="E54" s="11" t="n">
        <f aca="false">Inputs!$E$165*$E$42/Thousand</f>
        <v>9.513</v>
      </c>
      <c r="F54" s="6" t="n">
        <f aca="false">E54*Thousand/$E$42</f>
        <v>70</v>
      </c>
      <c r="G54" s="6" t="n">
        <f aca="false">E54*Thousand/$E$20</f>
        <v>95.13</v>
      </c>
    </row>
    <row r="55" customFormat="false" ht="15" hidden="false" customHeight="false" outlineLevel="0" collapsed="false">
      <c r="C55" s="3" t="s">
        <v>97</v>
      </c>
      <c r="D55" s="7" t="s">
        <v>0</v>
      </c>
      <c r="E55" s="11" t="n">
        <f aca="false">Inputs!$E$166*$E$42/Thousand</f>
        <v>8.154</v>
      </c>
      <c r="F55" s="6" t="n">
        <f aca="false">E55*Thousand/$E$42</f>
        <v>60</v>
      </c>
      <c r="G55" s="6" t="n">
        <f aca="false">E55*Thousand/$E$20</f>
        <v>81.54</v>
      </c>
    </row>
    <row r="56" customFormat="false" ht="15" hidden="false" customHeight="false" outlineLevel="0" collapsed="false">
      <c r="C56" s="3" t="s">
        <v>98</v>
      </c>
      <c r="D56" s="7" t="s">
        <v>0</v>
      </c>
      <c r="E56" s="11" t="n">
        <f aca="false">Inputs!$E$167/Thousand</f>
        <v>6</v>
      </c>
      <c r="F56" s="6" t="n">
        <f aca="false">E56*Thousand/$E$42</f>
        <v>44.1501103752759</v>
      </c>
      <c r="G56" s="6" t="n">
        <f aca="false">E56*Thousand/$E$20</f>
        <v>60</v>
      </c>
      <c r="I56" s="42"/>
    </row>
    <row r="57" customFormat="false" ht="15" hidden="false" customHeight="false" outlineLevel="0" collapsed="false">
      <c r="C57" s="3" t="s">
        <v>99</v>
      </c>
      <c r="D57" s="7" t="s">
        <v>0</v>
      </c>
      <c r="E57" s="11" t="n">
        <f aca="false">Inputs!$E$169*$E$42/Thousand</f>
        <v>5.436</v>
      </c>
      <c r="F57" s="6" t="n">
        <f aca="false">E57*Thousand/$E$42</f>
        <v>40</v>
      </c>
      <c r="G57" s="6" t="n">
        <f aca="false">E57*Thousand/$E$20</f>
        <v>54.36</v>
      </c>
    </row>
    <row r="58" customFormat="false" ht="15" hidden="false" customHeight="false" outlineLevel="0" collapsed="false">
      <c r="C58" s="3" t="s">
        <v>100</v>
      </c>
      <c r="D58" s="7" t="s">
        <v>0</v>
      </c>
      <c r="E58" s="11" t="n">
        <f aca="false">Inputs!$E$170*$E$42/Thousand</f>
        <v>2.0385</v>
      </c>
      <c r="F58" s="6" t="n">
        <f aca="false">E58*Thousand/$E$42</f>
        <v>15</v>
      </c>
      <c r="G58" s="6" t="n">
        <f aca="false">E58*Thousand/$E$20</f>
        <v>20.385</v>
      </c>
    </row>
    <row r="59" customFormat="false" ht="15" hidden="false" customHeight="false" outlineLevel="0" collapsed="false">
      <c r="C59" s="3" t="s">
        <v>101</v>
      </c>
      <c r="D59" s="7" t="s">
        <v>0</v>
      </c>
      <c r="E59" s="11" t="n">
        <f aca="false">SUM(E51:E58)*Inputs!$E$173</f>
        <v>6.109725</v>
      </c>
      <c r="F59" s="6" t="n">
        <f aca="false">E59*Thousand/$E$42</f>
        <v>44.9575055187638</v>
      </c>
      <c r="G59" s="6" t="n">
        <f aca="false">E59*Thousand/$E$20</f>
        <v>61.09725</v>
      </c>
    </row>
    <row r="60" customFormat="false" ht="15" hidden="false" customHeight="false" outlineLevel="0" collapsed="false">
      <c r="C60" s="3" t="s">
        <v>102</v>
      </c>
      <c r="D60" s="7" t="s">
        <v>0</v>
      </c>
      <c r="E60" s="11" t="n">
        <f aca="false">Inputs!$E$168*$E$43/Thousand</f>
        <v>12</v>
      </c>
      <c r="F60" s="6" t="n">
        <f aca="false">E60*Thousand/$E$42</f>
        <v>88.3002207505519</v>
      </c>
      <c r="G60" s="6" t="n">
        <f aca="false">E60*Thousand/$E$20</f>
        <v>120</v>
      </c>
    </row>
    <row r="61" customFormat="false" ht="15" hidden="false" customHeight="false" outlineLevel="0" collapsed="false">
      <c r="C61" s="3" t="s">
        <v>103</v>
      </c>
      <c r="D61" s="7" t="s">
        <v>0</v>
      </c>
      <c r="E61" s="11" t="n">
        <f aca="false">Deposits!$M$18/Thousand</f>
        <v>18.7866591780822</v>
      </c>
      <c r="F61" s="6" t="n">
        <f aca="false">E61*Thousand/$E$42</f>
        <v>138.23884604917</v>
      </c>
      <c r="G61" s="6" t="n">
        <f aca="false">E61*Thousand/$E$20</f>
        <v>187.866591780822</v>
      </c>
    </row>
    <row r="62" customFormat="false" ht="15" hidden="false" customHeight="false" outlineLevel="0" collapsed="false">
      <c r="C62" s="3" t="s">
        <v>104</v>
      </c>
      <c r="D62" s="7" t="s">
        <v>0</v>
      </c>
      <c r="E62" s="11" t="n">
        <f aca="false">Deposits!$M$12/Thousand</f>
        <v>0.696364115068493</v>
      </c>
      <c r="F62" s="6" t="n">
        <f aca="false">E62*Thousand/$E$42</f>
        <v>5.12409209027589</v>
      </c>
      <c r="G62" s="6" t="n">
        <f aca="false">E62*Thousand/$E$20</f>
        <v>6.96364115068493</v>
      </c>
    </row>
    <row r="63" customFormat="false" ht="15" hidden="false" customHeight="false" outlineLevel="0" collapsed="false">
      <c r="C63" s="3" t="s">
        <v>105</v>
      </c>
      <c r="D63" s="7" t="s">
        <v>0</v>
      </c>
      <c r="E63" s="11" t="n">
        <f aca="false">-HTM!$G$29/Thousand</f>
        <v>5</v>
      </c>
      <c r="F63" s="6" t="n">
        <f aca="false">E63*Thousand/$E$42</f>
        <v>36.7917586460633</v>
      </c>
      <c r="G63" s="6" t="n">
        <f aca="false">E63*Thousand/$E$20</f>
        <v>50</v>
      </c>
    </row>
    <row r="64" customFormat="false" ht="15" hidden="false" customHeight="false" outlineLevel="0" collapsed="false">
      <c r="C64" s="3" t="s">
        <v>106</v>
      </c>
      <c r="D64" s="7" t="s">
        <v>0</v>
      </c>
      <c r="E64" s="11" t="n">
        <f aca="false">HTM!$G$79/Thousand</f>
        <v>4.47555541774606</v>
      </c>
      <c r="F64" s="6" t="n">
        <f aca="false">E64*Thousand/$E$42</f>
        <v>32.9327109473588</v>
      </c>
      <c r="G64" s="6" t="n">
        <f aca="false">E64*Thousand/$E$20</f>
        <v>44.7555541774605</v>
      </c>
    </row>
    <row r="65" customFormat="false" ht="15" hidden="false" customHeight="false" outlineLevel="0" collapsed="false">
      <c r="C65" s="3" t="s">
        <v>107</v>
      </c>
      <c r="D65" s="7" t="s">
        <v>0</v>
      </c>
      <c r="E65" s="11" t="n">
        <f aca="false">-HTM!$G$85/Thousand</f>
        <v>2.16709440656277</v>
      </c>
      <c r="F65" s="6" t="n">
        <f aca="false">E65*Thousand/$E$42</f>
        <v>15.9462428738982</v>
      </c>
      <c r="G65" s="6" t="n">
        <f aca="false">E65*Thousand/$E$20</f>
        <v>21.6709440656277</v>
      </c>
    </row>
    <row r="66" customFormat="false" ht="15" hidden="false" customHeight="false" outlineLevel="0" collapsed="false">
      <c r="C66" s="12" t="s">
        <v>3</v>
      </c>
      <c r="D66" s="7" t="s">
        <v>0</v>
      </c>
      <c r="E66" s="13" t="n">
        <f aca="false">SUM(E51:E65)</f>
        <v>171.42989811746</v>
      </c>
      <c r="F66" s="14" t="n">
        <f aca="false">E66*Thousand/$E$42</f>
        <v>1261.44148725136</v>
      </c>
      <c r="G66" s="14" t="n">
        <f aca="false">E66*Thousand/$E$20</f>
        <v>1714.2989811746</v>
      </c>
    </row>
    <row r="67" customFormat="false" ht="15" hidden="false" customHeight="false" outlineLevel="0" collapsed="false">
      <c r="C67" s="12"/>
      <c r="D67" s="7"/>
      <c r="E67" s="13"/>
      <c r="F67" s="14"/>
      <c r="G67" s="14"/>
    </row>
    <row r="68" customFormat="false" ht="15" hidden="false" customHeight="false" outlineLevel="0" collapsed="false">
      <c r="C68" s="12" t="s">
        <v>108</v>
      </c>
      <c r="D68" s="7"/>
      <c r="E68" s="13"/>
      <c r="F68" s="43" t="n">
        <f aca="false">F79/F66</f>
        <v>0.119193639241249</v>
      </c>
      <c r="G68" s="14"/>
    </row>
    <row r="69" customFormat="false" ht="15" hidden="false" customHeight="false" outlineLevel="0" collapsed="false">
      <c r="C69" s="12" t="s">
        <v>109</v>
      </c>
      <c r="F69" s="44" t="n">
        <f aca="false">F68-(1.5/100)</f>
        <v>0.104193639241249</v>
      </c>
    </row>
    <row r="70" customFormat="false" ht="15" hidden="false" customHeight="false" outlineLevel="0" collapsed="false">
      <c r="A70" s="23" t="s">
        <v>7</v>
      </c>
      <c r="B70" s="23"/>
      <c r="C70" s="23" t="s">
        <v>110</v>
      </c>
      <c r="D70" s="23"/>
      <c r="E70" s="23"/>
      <c r="F70" s="23"/>
      <c r="G70" s="23"/>
      <c r="H70" s="23"/>
      <c r="I70" s="23"/>
      <c r="J70" s="23"/>
      <c r="K70" s="23"/>
    </row>
    <row r="71" customFormat="false" ht="15" hidden="false" customHeight="false" outlineLevel="0" collapsed="false">
      <c r="E71" s="2" t="s">
        <v>111</v>
      </c>
      <c r="F71" s="2" t="s">
        <v>112</v>
      </c>
      <c r="G71" s="2" t="s">
        <v>113</v>
      </c>
    </row>
    <row r="72" customFormat="false" ht="15" hidden="false" customHeight="false" outlineLevel="0" collapsed="false">
      <c r="C72" s="3" t="s">
        <v>114</v>
      </c>
      <c r="D72" s="7" t="s">
        <v>6</v>
      </c>
      <c r="E72" s="33" t="n">
        <f aca="false">Inputs!$E$156</f>
        <v>2032</v>
      </c>
    </row>
    <row r="73" customFormat="false" ht="15" hidden="false" customHeight="false" outlineLevel="0" collapsed="false">
      <c r="C73" s="3" t="s">
        <v>115</v>
      </c>
      <c r="D73" s="7" t="s">
        <v>116</v>
      </c>
      <c r="E73" s="6" t="n">
        <f aca="false">SUMIF(HTM!$H$5:$AQ$5,$E$72,HTM!$H$38:$AQ$38)</f>
        <v>299.8640295</v>
      </c>
    </row>
    <row r="74" customFormat="false" ht="15" hidden="false" customHeight="false" outlineLevel="0" collapsed="false">
      <c r="C74" s="3" t="s">
        <v>117</v>
      </c>
      <c r="D74" s="7" t="s">
        <v>42</v>
      </c>
      <c r="F74" s="6" t="n">
        <f aca="false">$E$73*Thousand/$E$42</f>
        <v>2206.505</v>
      </c>
      <c r="G74" s="6" t="n">
        <f aca="false">$E$73*Thousand/$E$20</f>
        <v>2998.640295</v>
      </c>
    </row>
    <row r="75" customFormat="false" ht="15" hidden="false" customHeight="false" outlineLevel="0" collapsed="false">
      <c r="C75" s="3" t="s">
        <v>118</v>
      </c>
      <c r="D75" s="7" t="s">
        <v>51</v>
      </c>
      <c r="F75" s="45" t="n">
        <f aca="false">F74/Hours_In_Year</f>
        <v>0.251884132420091</v>
      </c>
    </row>
    <row r="76" customFormat="false" ht="15" hidden="false" customHeight="false" outlineLevel="0" collapsed="false">
      <c r="C76" s="3" t="s">
        <v>119</v>
      </c>
      <c r="D76" s="7" t="s">
        <v>116</v>
      </c>
      <c r="E76" s="11" t="n">
        <f aca="false">$E$73*(1-In_Bottleneck_Factor)/In_Bottleneck_Factor</f>
        <v>33.0909705</v>
      </c>
    </row>
    <row r="77" customFormat="false" ht="15" hidden="false" customHeight="false" outlineLevel="0" collapsed="false">
      <c r="C77" s="3" t="s">
        <v>120</v>
      </c>
      <c r="D77" s="7" t="s">
        <v>40</v>
      </c>
      <c r="E77" s="11" t="n">
        <f aca="false">SUMIF(HTM!$H$5:$AQ$5,$E$72,HTM!$H$49:$AQ$49)</f>
        <v>90.9</v>
      </c>
    </row>
    <row r="78" customFormat="false" ht="15" hidden="false" customHeight="false" outlineLevel="0" collapsed="false">
      <c r="C78" s="3" t="s">
        <v>4</v>
      </c>
      <c r="D78" s="7" t="s">
        <v>0</v>
      </c>
      <c r="E78" s="11" t="n">
        <f aca="false">SUMIF(HTM!$H$5:$AQ$5,$E$72,HTM!$H$54:$AQ$54)/Thousand</f>
        <v>27.25764028155</v>
      </c>
      <c r="F78" s="11" t="n">
        <f aca="false">E78/$E$42*1000</f>
        <v>200.5713045</v>
      </c>
    </row>
    <row r="79" customFormat="false" ht="15" hidden="false" customHeight="false" outlineLevel="0" collapsed="false">
      <c r="C79" s="3" t="s">
        <v>121</v>
      </c>
      <c r="D79" s="7" t="s">
        <v>0</v>
      </c>
      <c r="E79" s="11" t="n">
        <f aca="false">SUMIF(HTM!$H$5:$AQ$5,$E$72,HTM!$H$70:$AQ$70)/Thousand</f>
        <v>20.4333534313765</v>
      </c>
      <c r="F79" s="46" t="n">
        <f aca="false">E79/$E$42*1000</f>
        <v>150.355801555383</v>
      </c>
    </row>
    <row r="80" customFormat="false" ht="15" hidden="false" customHeight="false" outlineLevel="0" collapsed="false">
      <c r="C80" s="3" t="s">
        <v>122</v>
      </c>
      <c r="D80" s="7" t="s">
        <v>51</v>
      </c>
      <c r="E80" s="45" t="n">
        <f aca="false">SUMIF(HTM!$H$5:$AQ$5,$E$72,HTM!$H$71:$AQ$71)</f>
        <v>0.749637650960099</v>
      </c>
    </row>
    <row r="81" customFormat="false" ht="15" hidden="false" customHeight="false" outlineLevel="0" collapsed="false">
      <c r="C81" s="3" t="s">
        <v>123</v>
      </c>
      <c r="D81" s="7" t="s">
        <v>0</v>
      </c>
      <c r="E81" s="11" t="n">
        <f aca="false">-SUMIF(HTM!$H$5:$AQ$5,$E$72,HTM!$H$69:$AQ$69)/Thousand</f>
        <v>6.8242868501735</v>
      </c>
    </row>
    <row r="82" customFormat="false" ht="15" hidden="false" customHeight="false" outlineLevel="0" collapsed="false">
      <c r="C82" s="3" t="s">
        <v>124</v>
      </c>
      <c r="D82" s="7" t="s">
        <v>125</v>
      </c>
      <c r="F82" s="11" t="n">
        <f aca="false">E81*Thousand/$E$42</f>
        <v>50.2155029446174</v>
      </c>
      <c r="G82" s="11" t="n">
        <f aca="false">E81*Thousand/$E$20</f>
        <v>68.242868501735</v>
      </c>
    </row>
    <row r="83" customFormat="false" ht="15" hidden="false" customHeight="false" outlineLevel="0" collapsed="false">
      <c r="C83" s="3" t="s">
        <v>126</v>
      </c>
      <c r="D83" s="7" t="s">
        <v>0</v>
      </c>
      <c r="E83" s="11" t="n">
        <f aca="false">HTM!$G$70/Thousand</f>
        <v>632.066796466656</v>
      </c>
    </row>
    <row r="84" customFormat="false" ht="15" hidden="false" customHeight="false" outlineLevel="0" collapsed="false">
      <c r="C84" s="3" t="s">
        <v>127</v>
      </c>
      <c r="D84" s="7" t="s">
        <v>116</v>
      </c>
      <c r="E84" s="5" t="n">
        <f aca="false">HTM!$G$38</f>
        <v>8627.84763827615</v>
      </c>
    </row>
    <row r="85" customFormat="false" ht="15" hidden="false" customHeight="false" outlineLevel="0" collapsed="false">
      <c r="C85" s="3" t="s">
        <v>128</v>
      </c>
      <c r="D85" s="7" t="s">
        <v>40</v>
      </c>
      <c r="E85" s="4" t="n">
        <f aca="false">HTM!$G$156</f>
        <v>84.5202672608383</v>
      </c>
    </row>
    <row r="87" customFormat="false" ht="15" hidden="false" customHeight="false" outlineLevel="0" collapsed="false">
      <c r="A87" s="23" t="s">
        <v>7</v>
      </c>
      <c r="B87" s="23"/>
      <c r="C87" s="23" t="s">
        <v>129</v>
      </c>
      <c r="D87" s="23"/>
      <c r="E87" s="23"/>
      <c r="F87" s="23"/>
      <c r="G87" s="23"/>
      <c r="H87" s="23"/>
      <c r="I87" s="23"/>
      <c r="J87" s="23"/>
      <c r="K87" s="23"/>
    </row>
    <row r="88" customFormat="false" ht="65.25" hidden="false" customHeight="true" outlineLevel="0" collapsed="false">
      <c r="E88" s="2" t="s">
        <v>37</v>
      </c>
      <c r="F88" s="47" t="str">
        <f aca="false">Inputs!G$7</f>
        <v>EU turbine, normal debt (60 % at 5 %)</v>
      </c>
      <c r="G88" s="47" t="str">
        <f aca="false">Inputs!H$7</f>
        <v>CN turbine</v>
      </c>
      <c r="H88" s="47" t="str">
        <f aca="false">Inputs!I$7</f>
        <v>EU turbine, refinanced at COD + 1 year</v>
      </c>
      <c r="XFD88" s="2" t="s">
        <v>130</v>
      </c>
    </row>
    <row r="89" customFormat="false" ht="15" hidden="false" customHeight="false" outlineLevel="0" collapsed="false">
      <c r="C89" s="3" t="s">
        <v>131</v>
      </c>
      <c r="D89" s="7" t="s">
        <v>80</v>
      </c>
      <c r="E89" s="32" t="n">
        <f aca="false">$F$37</f>
        <v>65.5</v>
      </c>
      <c r="F89" s="48" t="n">
        <v>80.5</v>
      </c>
      <c r="G89" s="48" t="n">
        <v>65.5</v>
      </c>
      <c r="H89" s="48" t="n">
        <v>80.5</v>
      </c>
      <c r="XFD89" s="49" t="n">
        <f aca="false">IFERROR(INDEX(F89:H89,Inputs!$E$6)-E89,0)</f>
        <v>0</v>
      </c>
    </row>
    <row r="90" customFormat="false" ht="15" hidden="false" customHeight="false" outlineLevel="0" collapsed="false">
      <c r="A90" s="9" t="s">
        <v>7</v>
      </c>
      <c r="B90" s="9"/>
      <c r="C90" s="9" t="s">
        <v>132</v>
      </c>
      <c r="D90" s="9"/>
      <c r="E90" s="9"/>
      <c r="F90" s="9"/>
      <c r="G90" s="9"/>
      <c r="H90" s="9"/>
      <c r="I90" s="9"/>
      <c r="J90" s="9"/>
      <c r="K90" s="9"/>
      <c r="XFD90" s="9"/>
    </row>
    <row r="91" customFormat="false" ht="15" hidden="false" customHeight="false" outlineLevel="0" collapsed="false">
      <c r="C91" s="3" t="s">
        <v>133</v>
      </c>
      <c r="D91" s="7" t="s">
        <v>51</v>
      </c>
      <c r="E91" s="31" t="n">
        <f aca="false">HTM!$G$134</f>
        <v>0.106627827399793</v>
      </c>
      <c r="F91" s="50" t="n">
        <v>0.106627827399793</v>
      </c>
      <c r="G91" s="50" t="n">
        <v>0.106627827399793</v>
      </c>
      <c r="H91" s="50" t="n">
        <v>0.106627827399793</v>
      </c>
      <c r="XFD91" s="49" t="n">
        <f aca="false">IFERROR(INDEX(F91:H91,Inputs!$E$6)-E91,0)</f>
        <v>0</v>
      </c>
    </row>
    <row r="92" customFormat="false" ht="15" hidden="false" customHeight="false" outlineLevel="0" collapsed="false">
      <c r="C92" s="3" t="s">
        <v>134</v>
      </c>
      <c r="D92" s="7" t="s">
        <v>51</v>
      </c>
      <c r="E92" s="31" t="n">
        <f aca="false">HTM!$G$135</f>
        <v>0.0952883771355928</v>
      </c>
      <c r="F92" s="50" t="n">
        <v>0.095323114632074</v>
      </c>
      <c r="G92" s="50" t="n">
        <v>0.0952883771355928</v>
      </c>
      <c r="H92" s="50" t="n">
        <v>0.095323114632074</v>
      </c>
      <c r="XFD92" s="49" t="n">
        <f aca="false">IFERROR(INDEX(F92:H92,Inputs!$E$6)-E92,0)</f>
        <v>0</v>
      </c>
    </row>
    <row r="93" customFormat="false" ht="15" hidden="false" customHeight="false" outlineLevel="0" collapsed="false">
      <c r="C93" s="3" t="s">
        <v>135</v>
      </c>
      <c r="D93" s="7" t="s">
        <v>0</v>
      </c>
      <c r="E93" s="11" t="n">
        <f aca="false">HTM!$G$136/Thousand</f>
        <v>20.4745490716543</v>
      </c>
      <c r="F93" s="51" t="n">
        <v>20.5212023651454</v>
      </c>
      <c r="G93" s="51" t="n">
        <v>20.4745490716543</v>
      </c>
      <c r="H93" s="51" t="n">
        <v>20.5212023651454</v>
      </c>
      <c r="XFD93" s="49" t="n">
        <f aca="false">IFERROR(INDEX(F93:H93,Inputs!$E$6)-E93,0)</f>
        <v>0</v>
      </c>
    </row>
    <row r="94" customFormat="false" ht="15" hidden="false" customHeight="false" outlineLevel="0" collapsed="false">
      <c r="C94" s="3" t="s">
        <v>136</v>
      </c>
      <c r="D94" s="7" t="s">
        <v>51</v>
      </c>
      <c r="E94" s="31" t="n">
        <f aca="false">HTM!$G$137</f>
        <v>0.116754376727805</v>
      </c>
      <c r="F94" s="50" t="n">
        <v>0.124357687630866</v>
      </c>
      <c r="G94" s="50" t="n">
        <v>0.116754376727805</v>
      </c>
      <c r="H94" s="50" t="n">
        <v>0.128949662794845</v>
      </c>
      <c r="XFD94" s="49" t="n">
        <f aca="false">IFERROR(INDEX(F94:H94,Inputs!$E$6)-E94,0)</f>
        <v>0</v>
      </c>
    </row>
    <row r="95" customFormat="false" ht="15" hidden="false" customHeight="false" outlineLevel="0" collapsed="false">
      <c r="C95" s="3" t="s">
        <v>137</v>
      </c>
      <c r="D95" s="7" t="s">
        <v>0</v>
      </c>
      <c r="E95" s="11" t="n">
        <f aca="false">HTM!$G$140/Thousand</f>
        <v>32.4689790114389</v>
      </c>
      <c r="F95" s="51" t="n">
        <v>34.8663188747254</v>
      </c>
      <c r="G95" s="51" t="n">
        <v>32.4689790114389</v>
      </c>
      <c r="H95" s="51" t="n">
        <v>36.8826013435322</v>
      </c>
      <c r="XFD95" s="49" t="n">
        <f aca="false">IFERROR(INDEX(F95:H95,Inputs!$E$6)-E95,0)</f>
        <v>0</v>
      </c>
    </row>
    <row r="96" customFormat="false" ht="15" hidden="false" customHeight="false" outlineLevel="0" collapsed="false">
      <c r="C96" s="3" t="s">
        <v>138</v>
      </c>
      <c r="D96" s="7" t="s">
        <v>0</v>
      </c>
      <c r="E96" s="11" t="n">
        <f aca="false">HTM!$G$146/Thousand</f>
        <v>84.2843625627017</v>
      </c>
      <c r="F96" s="51" t="n">
        <v>68.638639380103</v>
      </c>
      <c r="G96" s="51" t="n">
        <v>84.2843625627017</v>
      </c>
      <c r="H96" s="51" t="n">
        <v>68.638639380103</v>
      </c>
      <c r="XFD96" s="49" t="n">
        <f aca="false">IFERROR(INDEX(F96:H96,Inputs!$E$6)-E96,0)</f>
        <v>0</v>
      </c>
    </row>
    <row r="97" customFormat="false" ht="15" hidden="false" customHeight="false" outlineLevel="0" collapsed="false">
      <c r="C97" s="3" t="s">
        <v>139</v>
      </c>
      <c r="D97" s="7" t="s">
        <v>7</v>
      </c>
      <c r="E97" s="52" t="n">
        <f aca="false">HTM!$G$126</f>
        <v>2.30084937877239</v>
      </c>
      <c r="F97" s="53" t="n">
        <v>1.91923341673594</v>
      </c>
      <c r="G97" s="53" t="n">
        <v>2.30084937877239</v>
      </c>
      <c r="H97" s="53" t="n">
        <v>1.96433610405585</v>
      </c>
      <c r="XFD97" s="49" t="n">
        <f aca="false">IFERROR(INDEX(F97:H97,Inputs!$E$6)-E97,0)</f>
        <v>0</v>
      </c>
    </row>
    <row r="98" customFormat="false" ht="15" hidden="false" customHeight="false" outlineLevel="0" collapsed="false">
      <c r="C98" s="3" t="s">
        <v>140</v>
      </c>
      <c r="D98" s="7" t="s">
        <v>51</v>
      </c>
      <c r="E98" s="45" t="str">
        <f aca="false">IF(HTM!$E$256=COLUMNS(Dash_Gearing_Steps),"≥ top step",HTM!$G$256)</f>
        <v>≥ top step</v>
      </c>
      <c r="F98" s="50" t="s">
        <v>141</v>
      </c>
      <c r="G98" s="50" t="s">
        <v>141</v>
      </c>
      <c r="H98" s="50" t="s">
        <v>141</v>
      </c>
      <c r="XFD98" s="49" t="n">
        <f aca="false">IFERROR(INDEX(F98:H98,Inputs!$E$6)-E98,0)</f>
        <v>0</v>
      </c>
    </row>
    <row r="99" customFormat="false" ht="15" hidden="false" customHeight="false" outlineLevel="0" collapsed="false">
      <c r="C99" s="3" t="s">
        <v>142</v>
      </c>
      <c r="D99" s="7" t="s">
        <v>51</v>
      </c>
      <c r="E99" s="31" t="n">
        <f aca="false">Inputs!$E$219</f>
        <v>0.5</v>
      </c>
      <c r="F99" s="50" t="n">
        <v>0.6</v>
      </c>
      <c r="G99" s="50" t="n">
        <v>0.5</v>
      </c>
      <c r="H99" s="50" t="n">
        <v>0.6</v>
      </c>
      <c r="XFD99" s="49" t="n">
        <f aca="false">IFERROR(INDEX(F99:H99,Inputs!$E$6)-E99,0)</f>
        <v>0</v>
      </c>
    </row>
    <row r="100" customFormat="false" ht="15" hidden="false" customHeight="false" outlineLevel="0" collapsed="false">
      <c r="C100" s="3" t="s">
        <v>143</v>
      </c>
      <c r="D100" s="7" t="s">
        <v>0</v>
      </c>
      <c r="E100" s="11" t="n">
        <f aca="false">HTM!$G$157/Thousand</f>
        <v>86.8691795643214</v>
      </c>
      <c r="F100" s="51" t="n">
        <v>104.243015477186</v>
      </c>
      <c r="G100" s="51" t="n">
        <v>86.8691795643214</v>
      </c>
      <c r="H100" s="51" t="n">
        <v>104.243015477186</v>
      </c>
      <c r="XFD100" s="49" t="n">
        <f aca="false">IFERROR(INDEX(F100:H100,Inputs!$E$6)-E100,0)</f>
        <v>0</v>
      </c>
    </row>
    <row r="101" customFormat="false" ht="15" hidden="false" customHeight="false" outlineLevel="0" collapsed="false">
      <c r="C101" s="3" t="s">
        <v>144</v>
      </c>
      <c r="D101" s="7" t="s">
        <v>62</v>
      </c>
      <c r="E101" s="20" t="n">
        <f aca="false">In_Refi_On</f>
        <v>0</v>
      </c>
      <c r="F101" s="54" t="n">
        <v>0</v>
      </c>
      <c r="G101" s="54" t="n">
        <v>0</v>
      </c>
      <c r="H101" s="54" t="n">
        <v>1</v>
      </c>
      <c r="XFD101" s="49" t="n">
        <f aca="false">IFERROR(INDEX(F101:H101,Inputs!$E$6)-E101,0)</f>
        <v>0</v>
      </c>
    </row>
    <row r="102" customFormat="false" ht="15" hidden="false" customHeight="false" outlineLevel="0" collapsed="false">
      <c r="C102" s="3" t="s">
        <v>145</v>
      </c>
      <c r="D102" s="7" t="s">
        <v>0</v>
      </c>
      <c r="E102" s="11" t="n">
        <f aca="false">HTM!$G$372/Thousand</f>
        <v>0</v>
      </c>
      <c r="F102" s="51" t="n">
        <v>0</v>
      </c>
      <c r="G102" s="51" t="n">
        <v>0</v>
      </c>
      <c r="H102" s="51" t="n">
        <v>105.463838907616</v>
      </c>
      <c r="XFD102" s="49" t="n">
        <f aca="false">IFERROR(INDEX(F102:H102,Inputs!$E$6)-E102,0)</f>
        <v>0</v>
      </c>
    </row>
    <row r="103" customFormat="false" ht="15" hidden="false" customHeight="false" outlineLevel="0" collapsed="false">
      <c r="C103" s="3" t="s">
        <v>146</v>
      </c>
      <c r="D103" s="7" t="s">
        <v>51</v>
      </c>
      <c r="E103" s="31" t="n">
        <f aca="false">HTM!$G$373</f>
        <v>0</v>
      </c>
      <c r="F103" s="50" t="n">
        <v>0</v>
      </c>
      <c r="G103" s="50" t="n">
        <v>0</v>
      </c>
      <c r="H103" s="50" t="n">
        <v>0.64</v>
      </c>
      <c r="XFD103" s="49" t="n">
        <f aca="false">IFERROR(INDEX(F103:H103,Inputs!$E$6)-E103,0)</f>
        <v>0</v>
      </c>
    </row>
    <row r="104" customFormat="false" ht="15" hidden="false" customHeight="false" outlineLevel="0" collapsed="false">
      <c r="C104" s="3" t="s">
        <v>147</v>
      </c>
      <c r="D104" s="7" t="s">
        <v>7</v>
      </c>
      <c r="E104" s="52" t="str">
        <f aca="false">HTM!$G$374</f>
        <v>n/a</v>
      </c>
      <c r="F104" s="53" t="s">
        <v>148</v>
      </c>
      <c r="G104" s="53" t="s">
        <v>148</v>
      </c>
      <c r="H104" s="53" t="n">
        <v>1.96433610405585</v>
      </c>
      <c r="XFD104" s="49" t="n">
        <f aca="false">IFERROR(INDEX(F104:H104,Inputs!$E$6)-E104,0)</f>
        <v>0</v>
      </c>
    </row>
    <row r="105" customFormat="false" ht="15" hidden="false" customHeight="false" outlineLevel="0" collapsed="false">
      <c r="C105" s="3" t="s">
        <v>149</v>
      </c>
      <c r="D105" s="7" t="s">
        <v>6</v>
      </c>
      <c r="E105" s="33" t="n">
        <f aca="false">HTM!$G$148</f>
        <v>2039</v>
      </c>
      <c r="F105" s="54" t="n">
        <v>2039</v>
      </c>
      <c r="G105" s="54" t="n">
        <v>2039</v>
      </c>
      <c r="H105" s="54" t="n">
        <v>2038</v>
      </c>
      <c r="XFD105" s="49" t="n">
        <f aca="false">IFERROR(INDEX(F105:H105,Inputs!$E$6)-E105,0)</f>
        <v>0</v>
      </c>
    </row>
    <row r="106" customFormat="false" ht="15" hidden="false" customHeight="false" outlineLevel="0" collapsed="false">
      <c r="A106" s="9" t="s">
        <v>7</v>
      </c>
      <c r="B106" s="9"/>
      <c r="C106" s="9" t="s">
        <v>150</v>
      </c>
      <c r="D106" s="9"/>
      <c r="E106" s="9"/>
      <c r="F106" s="9"/>
      <c r="G106" s="9"/>
      <c r="H106" s="9"/>
      <c r="I106" s="9"/>
      <c r="J106" s="9"/>
      <c r="K106" s="9"/>
      <c r="XFD106" s="9"/>
    </row>
    <row r="107" customFormat="false" ht="15" hidden="false" customHeight="false" outlineLevel="0" collapsed="false">
      <c r="C107" s="3" t="s">
        <v>151</v>
      </c>
      <c r="D107" s="7" t="s">
        <v>0</v>
      </c>
      <c r="E107" s="11" t="n">
        <f aca="false">HTM!$G$336/Thousand</f>
        <v>210.466653527443</v>
      </c>
      <c r="F107" s="51" t="n">
        <v>210.531845854881</v>
      </c>
      <c r="G107" s="51" t="n">
        <v>210.466653527443</v>
      </c>
      <c r="H107" s="51" t="n">
        <v>210.531845854881</v>
      </c>
      <c r="XFD107" s="49" t="n">
        <f aca="false">IFERROR(INDEX(F107:H107,Inputs!$E$6)-E107,0)</f>
        <v>0</v>
      </c>
    </row>
    <row r="108" customFormat="false" ht="15" hidden="false" customHeight="false" outlineLevel="0" collapsed="false">
      <c r="C108" s="3" t="s">
        <v>152</v>
      </c>
      <c r="D108" s="7" t="s">
        <v>11</v>
      </c>
      <c r="E108" s="5" t="n">
        <f aca="false">HTM!$G$337</f>
        <v>1548.68766392526</v>
      </c>
      <c r="F108" s="55" t="n">
        <v>1549.1673720006</v>
      </c>
      <c r="G108" s="55" t="n">
        <v>1548.68766392526</v>
      </c>
      <c r="H108" s="55" t="n">
        <v>1549.1673720006</v>
      </c>
      <c r="XFD108" s="49" t="n">
        <f aca="false">IFERROR(INDEX(F108:H108,Inputs!$E$6)-E108,0)</f>
        <v>0</v>
      </c>
    </row>
    <row r="109" customFormat="false" ht="15" hidden="false" customHeight="false" outlineLevel="0" collapsed="false">
      <c r="C109" s="3" t="s">
        <v>153</v>
      </c>
      <c r="D109" s="7" t="s">
        <v>2</v>
      </c>
      <c r="E109" s="5" t="n">
        <f aca="false">HTM!$G$338</f>
        <v>2104.66653527443</v>
      </c>
      <c r="F109" s="55" t="n">
        <v>2105.31845854881</v>
      </c>
      <c r="G109" s="55" t="n">
        <v>2104.66653527443</v>
      </c>
      <c r="H109" s="55" t="n">
        <v>2105.31845854881</v>
      </c>
      <c r="XFD109" s="49" t="n">
        <f aca="false">IFERROR(INDEX(F109:H109,Inputs!$E$6)-E109,0)</f>
        <v>0</v>
      </c>
    </row>
    <row r="110" customFormat="false" ht="15" hidden="false" customHeight="false" outlineLevel="0" collapsed="false">
      <c r="C110" s="3" t="s">
        <v>154</v>
      </c>
      <c r="D110" s="7" t="s">
        <v>0</v>
      </c>
      <c r="E110" s="11" t="n">
        <f aca="false">HTM!$G$342/Thousand</f>
        <v>39.3131114004194</v>
      </c>
      <c r="F110" s="51" t="n">
        <v>37.6501909975923</v>
      </c>
      <c r="G110" s="51" t="n">
        <v>39.3131114004194</v>
      </c>
      <c r="H110" s="51" t="n">
        <v>37.6501909975923</v>
      </c>
      <c r="XFD110" s="49" t="n">
        <f aca="false">IFERROR(INDEX(F110:H110,Inputs!$E$6)-E110,0)</f>
        <v>0</v>
      </c>
    </row>
    <row r="111" customFormat="false" ht="15" hidden="false" customHeight="false" outlineLevel="0" collapsed="false">
      <c r="C111" s="3" t="s">
        <v>155</v>
      </c>
      <c r="D111" s="7" t="s">
        <v>51</v>
      </c>
      <c r="E111" s="31" t="n">
        <f aca="false">HTM!$G$341</f>
        <v>0.265645103490059</v>
      </c>
      <c r="F111" s="50" t="n">
        <v>0.283946859717025</v>
      </c>
      <c r="G111" s="50" t="n">
        <v>0.265645103490059</v>
      </c>
      <c r="H111" s="50" t="n">
        <v>0.283946859717025</v>
      </c>
      <c r="XFD111" s="49" t="n">
        <f aca="false">IFERROR(INDEX(F111:H111,Inputs!$E$6)-E111,0)</f>
        <v>0</v>
      </c>
    </row>
    <row r="112" customFormat="false" ht="15" hidden="false" customHeight="false" outlineLevel="0" collapsed="false">
      <c r="C112" s="3" t="s">
        <v>137</v>
      </c>
      <c r="D112" s="7" t="s">
        <v>0</v>
      </c>
      <c r="E112" s="11" t="n">
        <f aca="false">HTM!$G$344/Thousand</f>
        <v>19.4455185504899</v>
      </c>
      <c r="F112" s="51" t="n">
        <v>19.1887248786443</v>
      </c>
      <c r="G112" s="51" t="n">
        <v>19.4455185504899</v>
      </c>
      <c r="H112" s="51" t="n">
        <v>19.1887248786443</v>
      </c>
      <c r="XFD112" s="49" t="n">
        <f aca="false">IFERROR(INDEX(F112:H112,Inputs!$E$6)-E112,0)</f>
        <v>0</v>
      </c>
    </row>
    <row r="113" customFormat="false" ht="15" hidden="false" customHeight="false" outlineLevel="0" collapsed="false">
      <c r="C113" s="3" t="s">
        <v>156</v>
      </c>
      <c r="D113" s="7" t="s">
        <v>7</v>
      </c>
      <c r="E113" s="52" t="n">
        <f aca="false">HTM!$G$343</f>
        <v>1.51920687465365</v>
      </c>
      <c r="F113" s="53" t="n">
        <v>1.59057867820906</v>
      </c>
      <c r="G113" s="53" t="n">
        <v>1.51920687465365</v>
      </c>
      <c r="H113" s="53" t="n">
        <v>1.59057867820906</v>
      </c>
      <c r="XFD113" s="49" t="n">
        <f aca="false">IFERROR(INDEX(F113:H113,Inputs!$E$6)-E113,0)</f>
        <v>0</v>
      </c>
    </row>
    <row r="114" customFormat="false" ht="15" hidden="false" customHeight="false" outlineLevel="0" collapsed="false">
      <c r="A114" s="9" t="s">
        <v>7</v>
      </c>
      <c r="B114" s="9"/>
      <c r="C114" s="9" t="s">
        <v>157</v>
      </c>
      <c r="D114" s="9"/>
      <c r="E114" s="9"/>
      <c r="F114" s="9"/>
      <c r="G114" s="9"/>
      <c r="H114" s="9"/>
      <c r="I114" s="9"/>
      <c r="J114" s="9"/>
      <c r="K114" s="9"/>
      <c r="XFD114" s="9"/>
    </row>
    <row r="115" customFormat="false" ht="15" hidden="false" customHeight="false" outlineLevel="0" collapsed="false">
      <c r="C115" s="3" t="s">
        <v>158</v>
      </c>
      <c r="D115" s="7" t="s">
        <v>51</v>
      </c>
      <c r="E115" s="31" t="n">
        <f aca="false">HTM!$G$215</f>
        <v>0.0884750482607149</v>
      </c>
      <c r="F115" s="50" t="n">
        <v>0.0885081278766896</v>
      </c>
      <c r="G115" s="50" t="n">
        <v>0.0884750482607149</v>
      </c>
      <c r="H115" s="50" t="n">
        <v>0.0885081278766896</v>
      </c>
      <c r="XFD115" s="49" t="n">
        <f aca="false">IFERROR(INDEX(F115:H115,Inputs!$E$6)-E115,0)</f>
        <v>0</v>
      </c>
    </row>
    <row r="116" customFormat="false" ht="15" hidden="false" customHeight="false" outlineLevel="0" collapsed="false">
      <c r="C116" s="3" t="s">
        <v>159</v>
      </c>
      <c r="D116" s="7" t="s">
        <v>2</v>
      </c>
      <c r="E116" s="5" t="n">
        <f aca="false">HTM!$G$221</f>
        <v>350.316690269903</v>
      </c>
      <c r="F116" s="55" t="n">
        <v>350.904387406406</v>
      </c>
      <c r="G116" s="55" t="n">
        <v>350.316690269903</v>
      </c>
      <c r="H116" s="55" t="n">
        <v>350.904387406406</v>
      </c>
      <c r="XFD116" s="49" t="n">
        <f aca="false">IFERROR(INDEX(F116:H116,Inputs!$E$6)-E116,0)</f>
        <v>0</v>
      </c>
    </row>
    <row r="118" customFormat="false" ht="15" hidden="false" customHeight="false" outlineLevel="0" collapsed="false">
      <c r="A118" s="23" t="s">
        <v>7</v>
      </c>
      <c r="B118" s="23"/>
      <c r="C118" s="23" t="s">
        <v>160</v>
      </c>
      <c r="D118" s="23"/>
      <c r="E118" s="23"/>
      <c r="F118" s="23"/>
      <c r="G118" s="23" t="s">
        <v>161</v>
      </c>
      <c r="H118" s="23"/>
      <c r="I118" s="23"/>
      <c r="J118" s="23"/>
      <c r="K118" s="23"/>
    </row>
    <row r="119" customFormat="false" ht="15" hidden="false" customHeight="false" outlineLevel="0" collapsed="false">
      <c r="C119" s="3" t="s">
        <v>162</v>
      </c>
      <c r="D119" s="7" t="s">
        <v>2</v>
      </c>
      <c r="E119" s="5" t="n">
        <f aca="false">Inputs!$E$141</f>
        <v>200</v>
      </c>
      <c r="G119" s="5" t="n">
        <v>150</v>
      </c>
    </row>
    <row r="120" customFormat="false" ht="15" hidden="false" customHeight="false" outlineLevel="0" collapsed="false">
      <c r="C120" s="3" t="s">
        <v>163</v>
      </c>
      <c r="D120" s="7" t="s">
        <v>0</v>
      </c>
      <c r="E120" s="56" t="n">
        <f aca="false">MOIC!$G$182/Thousand</f>
        <v>11.4891497888473</v>
      </c>
      <c r="G120" s="56" t="n">
        <v>8.01592067526229</v>
      </c>
    </row>
    <row r="121" customFormat="false" ht="15" hidden="false" customHeight="false" outlineLevel="0" collapsed="false">
      <c r="C121" s="3" t="s">
        <v>164</v>
      </c>
      <c r="D121" s="7" t="s">
        <v>51</v>
      </c>
      <c r="E121" s="31" t="n">
        <f aca="false">MOIC!$G$187</f>
        <v>0.496874854514724</v>
      </c>
      <c r="G121" s="31" t="n">
        <v>0.356472367048264</v>
      </c>
    </row>
    <row r="122" customFormat="false" ht="15" hidden="false" customHeight="false" outlineLevel="0" collapsed="false">
      <c r="C122" s="3" t="s">
        <v>137</v>
      </c>
      <c r="D122" s="7" t="s">
        <v>0</v>
      </c>
      <c r="E122" s="56" t="n">
        <f aca="false">MOIC!$G$192/Thousand</f>
        <v>7.67046794302567</v>
      </c>
      <c r="G122" s="56" t="n">
        <v>4.94534834654157</v>
      </c>
    </row>
    <row r="123" customFormat="false" ht="15" hidden="false" customHeight="false" outlineLevel="0" collapsed="false">
      <c r="C123" s="3" t="s">
        <v>156</v>
      </c>
      <c r="D123" s="7" t="s">
        <v>7</v>
      </c>
      <c r="E123" s="52" t="n">
        <f aca="false">MOIC!$G$186</f>
        <v>1.48946199880166</v>
      </c>
      <c r="G123" s="52" t="n">
        <v>1.34089048960157</v>
      </c>
    </row>
    <row r="124" customFormat="false" ht="15" hidden="false" customHeight="false" outlineLevel="0" collapsed="false">
      <c r="C124" s="3" t="s">
        <v>138</v>
      </c>
      <c r="D124" s="7" t="s">
        <v>0</v>
      </c>
      <c r="E124" s="56" t="n">
        <f aca="false">MOIC!$G$188/Thousand</f>
        <v>23.4438025553955</v>
      </c>
      <c r="G124" s="56" t="n">
        <v>23.4842257060805</v>
      </c>
    </row>
    <row r="125" customFormat="false" ht="15" hidden="false" customHeight="false" outlineLevel="0" collapsed="false">
      <c r="C125" s="3" t="s">
        <v>165</v>
      </c>
      <c r="D125" s="7" t="s">
        <v>0</v>
      </c>
      <c r="E125" s="56" t="n">
        <f aca="false">MOIC!$G$220/Thousand</f>
        <v>5.33172371121922</v>
      </c>
      <c r="G125" s="56" t="n">
        <v>3.7758419220269</v>
      </c>
    </row>
    <row r="126" customFormat="false" ht="15" hidden="false" customHeight="false" outlineLevel="0" collapsed="false">
      <c r="C126" s="3" t="s">
        <v>166</v>
      </c>
      <c r="D126" s="7" t="s">
        <v>0</v>
      </c>
      <c r="E126" s="56" t="n">
        <f aca="false">-HTM!$G$22/Thousand</f>
        <v>5.49750912788589</v>
      </c>
      <c r="G126" s="56" t="n">
        <v>3.92955025536023</v>
      </c>
    </row>
    <row r="128" customFormat="false" ht="15" hidden="false" customHeight="false" outlineLevel="0" collapsed="false">
      <c r="A128" s="23" t="s">
        <v>7</v>
      </c>
      <c r="B128" s="23"/>
      <c r="C128" s="23" t="s">
        <v>167</v>
      </c>
      <c r="D128" s="23"/>
      <c r="E128" s="23"/>
      <c r="F128" s="23"/>
      <c r="G128" s="23"/>
      <c r="H128" s="23"/>
      <c r="I128" s="23"/>
      <c r="J128" s="23"/>
      <c r="K128" s="23"/>
    </row>
    <row r="129" customFormat="false" ht="15" hidden="false" customHeight="false" outlineLevel="0" collapsed="false">
      <c r="C129" s="3" t="s">
        <v>168</v>
      </c>
      <c r="D129" s="7" t="s">
        <v>169</v>
      </c>
      <c r="E129" s="5" t="n">
        <f aca="false">Deposits!$H$7</f>
        <v>3</v>
      </c>
    </row>
    <row r="130" customFormat="false" ht="15" hidden="false" customHeight="false" outlineLevel="0" collapsed="false">
      <c r="C130" s="3" t="s">
        <v>170</v>
      </c>
      <c r="D130" s="7" t="s">
        <v>169</v>
      </c>
      <c r="E130" s="5" t="n">
        <f aca="false">Deposits!$H$8</f>
        <v>426.53</v>
      </c>
    </row>
    <row r="131" customFormat="false" ht="15" hidden="false" customHeight="false" outlineLevel="0" collapsed="false">
      <c r="C131" s="3" t="s">
        <v>171</v>
      </c>
      <c r="D131" s="7" t="s">
        <v>169</v>
      </c>
      <c r="E131" s="5" t="n">
        <f aca="false">Deposits!$H$10</f>
        <v>2132.65</v>
      </c>
    </row>
    <row r="132" customFormat="false" ht="15" hidden="false" customHeight="false" outlineLevel="0" collapsed="false">
      <c r="C132" s="3" t="s">
        <v>172</v>
      </c>
      <c r="D132" s="7" t="s">
        <v>169</v>
      </c>
      <c r="E132" s="5" t="n">
        <f aca="false">Deposits!$H$11</f>
        <v>450</v>
      </c>
    </row>
    <row r="133" customFormat="false" ht="15" hidden="false" customHeight="false" outlineLevel="0" collapsed="false">
      <c r="C133" s="3" t="s">
        <v>173</v>
      </c>
      <c r="D133" s="7" t="s">
        <v>169</v>
      </c>
      <c r="E133" s="5" t="n">
        <f aca="false">Deposits!$H$18</f>
        <v>7307.1306</v>
      </c>
    </row>
    <row r="134" customFormat="false" ht="15" hidden="false" customHeight="false" outlineLevel="0" collapsed="false">
      <c r="C134" s="3" t="s">
        <v>104</v>
      </c>
      <c r="D134" s="7" t="s">
        <v>169</v>
      </c>
      <c r="E134" s="5" t="n">
        <f aca="false">Deposits!$H$12</f>
        <v>254.172902</v>
      </c>
    </row>
    <row r="135" customFormat="false" ht="15" hidden="false" customHeight="false" outlineLevel="0" collapsed="false">
      <c r="C135" s="12" t="s">
        <v>174</v>
      </c>
      <c r="D135" s="7" t="s">
        <v>169</v>
      </c>
      <c r="E135" s="14" t="n">
        <f aca="false">Deposits!$H$19</f>
        <v>10573.483502</v>
      </c>
    </row>
    <row r="136" customFormat="false" ht="15" hidden="false" customHeight="false" outlineLevel="0" collapsed="false">
      <c r="C136" s="3" t="s">
        <v>175</v>
      </c>
      <c r="D136" s="7" t="s">
        <v>169</v>
      </c>
      <c r="E136" s="5" t="n">
        <f aca="false">Deposits!$J$19</f>
        <v>9696.953502</v>
      </c>
    </row>
    <row r="137" customFormat="false" ht="15" hidden="false" customHeight="false" outlineLevel="0" collapsed="false">
      <c r="C137" s="3" t="s">
        <v>176</v>
      </c>
      <c r="D137" s="7" t="s">
        <v>0</v>
      </c>
      <c r="E137" s="11" t="n">
        <f aca="false">Deposits!$E$26/Thousand</f>
        <v>20.7241191835616</v>
      </c>
    </row>
    <row r="138" customFormat="false" ht="15" hidden="false" customHeight="false" outlineLevel="0" collapsed="false">
      <c r="C138" s="3" t="s">
        <v>177</v>
      </c>
      <c r="D138" s="7" t="s">
        <v>0</v>
      </c>
      <c r="E138" s="11" t="n">
        <f aca="false">Deposits!$E$27/Thousand</f>
        <v>5.84287671232877</v>
      </c>
    </row>
    <row r="140" customFormat="false" ht="15" hidden="false" customHeight="false" outlineLevel="0" collapsed="false">
      <c r="A140" s="23" t="s">
        <v>7</v>
      </c>
      <c r="B140" s="23"/>
      <c r="C140" s="23" t="s">
        <v>178</v>
      </c>
      <c r="D140" s="23"/>
      <c r="E140" s="23"/>
      <c r="F140" s="23"/>
      <c r="G140" s="23"/>
      <c r="H140" s="23"/>
      <c r="I140" s="23"/>
      <c r="J140" s="23"/>
      <c r="K140" s="23"/>
    </row>
    <row r="141" customFormat="false" ht="15" hidden="false" customHeight="false" outlineLevel="0" collapsed="false">
      <c r="C141" s="3" t="s">
        <v>179</v>
      </c>
      <c r="D141" s="7" t="s">
        <v>51</v>
      </c>
      <c r="E141" s="57" t="n">
        <v>0.7</v>
      </c>
      <c r="F141" s="57" t="n">
        <v>0.8</v>
      </c>
      <c r="G141" s="57" t="n">
        <v>0.9</v>
      </c>
      <c r="H141" s="57" t="n">
        <v>1</v>
      </c>
      <c r="I141" s="57" t="n">
        <v>1.1</v>
      </c>
      <c r="J141" s="57" t="n">
        <v>1.2</v>
      </c>
      <c r="K141" s="57" t="n">
        <v>1.3</v>
      </c>
    </row>
    <row r="142" customFormat="false" ht="15" hidden="false" customHeight="false" outlineLevel="0" collapsed="false">
      <c r="C142" s="3" t="s">
        <v>180</v>
      </c>
      <c r="D142" s="7" t="s">
        <v>51</v>
      </c>
      <c r="E142" s="31" t="n">
        <f aca="false">HTM!$F$178</f>
        <v>0.0537793742810062</v>
      </c>
      <c r="F142" s="31" t="n">
        <f aca="false">HTM!$F$179</f>
        <v>0.0730312987063415</v>
      </c>
      <c r="G142" s="31" t="n">
        <f aca="false">HTM!$F$180</f>
        <v>0.0904482352173344</v>
      </c>
      <c r="H142" s="31" t="n">
        <f aca="false">HTM!$F$181</f>
        <v>0.106627827399793</v>
      </c>
      <c r="I142" s="31" t="n">
        <f aca="false">HTM!$F$182</f>
        <v>0.121917598278486</v>
      </c>
      <c r="J142" s="31" t="n">
        <f aca="false">HTM!$F$183</f>
        <v>0.136535950027186</v>
      </c>
      <c r="K142" s="31" t="n">
        <f aca="false">HTM!$F$184</f>
        <v>0.150627748091854</v>
      </c>
    </row>
    <row r="143" customFormat="false" ht="15" hidden="false" customHeight="false" outlineLevel="0" collapsed="false">
      <c r="C143" s="3" t="s">
        <v>181</v>
      </c>
      <c r="D143" s="7" t="s">
        <v>0</v>
      </c>
      <c r="E143" s="11" t="n">
        <f aca="false">HTM!$G$178/Thousand</f>
        <v>-31.7879791576153</v>
      </c>
      <c r="F143" s="11" t="n">
        <f aca="false">HTM!$G$179/Thousand</f>
        <v>-8.91753149452477</v>
      </c>
      <c r="G143" s="11" t="n">
        <f aca="false">HTM!$G$180/Thousand</f>
        <v>13.9529161685657</v>
      </c>
      <c r="H143" s="11" t="n">
        <f aca="false">HTM!$G$181/Thousand</f>
        <v>36.8233638316562</v>
      </c>
      <c r="I143" s="11" t="n">
        <f aca="false">HTM!$G$182/Thousand</f>
        <v>59.6938114947468</v>
      </c>
      <c r="J143" s="11" t="n">
        <f aca="false">HTM!$G$183/Thousand</f>
        <v>82.5642591578372</v>
      </c>
      <c r="K143" s="11" t="n">
        <f aca="false">HTM!$G$184/Thousand</f>
        <v>105.434706820928</v>
      </c>
    </row>
    <row r="144" customFormat="false" ht="15" hidden="false" customHeight="false" outlineLevel="0" collapsed="false">
      <c r="C144" s="3"/>
      <c r="D144" s="7"/>
      <c r="E144" s="7" t="str">
        <f aca="false">IF(E141=1,"◄ live","")</f>
        <v/>
      </c>
      <c r="F144" s="7" t="str">
        <f aca="false">IF(F141=1,"◄ live","")</f>
        <v/>
      </c>
      <c r="G144" s="7" t="str">
        <f aca="false">IF(G141=1,"◄ live","")</f>
        <v/>
      </c>
      <c r="H144" s="7" t="str">
        <f aca="false">IF(H141=1,"◄ live","")</f>
        <v>◄ live</v>
      </c>
      <c r="I144" s="7" t="str">
        <f aca="false">IF(I141=1,"◄ live","")</f>
        <v/>
      </c>
      <c r="J144" s="7" t="str">
        <f aca="false">IF(J141=1,"◄ live","")</f>
        <v/>
      </c>
      <c r="K144" s="7" t="str">
        <f aca="false">IF(K141=1,"◄ live","")</f>
        <v/>
      </c>
    </row>
    <row r="145" customFormat="false" ht="15" hidden="false" customHeight="false" outlineLevel="0" collapsed="false">
      <c r="C145" s="3" t="s">
        <v>182</v>
      </c>
      <c r="D145" s="7" t="s">
        <v>51</v>
      </c>
      <c r="E145" s="57" t="n">
        <v>0.8</v>
      </c>
      <c r="F145" s="57" t="n">
        <v>0.9</v>
      </c>
      <c r="G145" s="57" t="n">
        <v>1</v>
      </c>
      <c r="H145" s="57" t="n">
        <v>1.1</v>
      </c>
      <c r="I145" s="57" t="n">
        <v>1.2</v>
      </c>
    </row>
    <row r="146" customFormat="false" ht="15" hidden="false" customHeight="false" outlineLevel="0" collapsed="false">
      <c r="C146" s="3" t="s">
        <v>180</v>
      </c>
      <c r="D146" s="7" t="s">
        <v>51</v>
      </c>
      <c r="E146" s="31" t="n">
        <f aca="false">HTM!$F$188</f>
        <v>0.132161131102901</v>
      </c>
      <c r="F146" s="31" t="n">
        <f aca="false">HTM!$F$189</f>
        <v>0.11831925409006</v>
      </c>
      <c r="G146" s="31" t="n">
        <f aca="false">HTM!$F$190</f>
        <v>0.106627827399793</v>
      </c>
      <c r="H146" s="31" t="n">
        <f aca="false">HTM!$F$191</f>
        <v>0.0965821161791055</v>
      </c>
      <c r="I146" s="31" t="n">
        <f aca="false">HTM!$F$192</f>
        <v>0.0878258188656294</v>
      </c>
    </row>
    <row r="147" customFormat="false" ht="15" hidden="false" customHeight="false" outlineLevel="0" collapsed="false">
      <c r="C147" s="3" t="s">
        <v>181</v>
      </c>
      <c r="D147" s="7" t="s">
        <v>0</v>
      </c>
      <c r="E147" s="11" t="n">
        <f aca="false">HTM!$G$188/Thousand</f>
        <v>61.2598424475431</v>
      </c>
      <c r="F147" s="11" t="n">
        <f aca="false">HTM!$G$189/Thousand</f>
        <v>49.0416031395997</v>
      </c>
      <c r="G147" s="11" t="n">
        <f aca="false">HTM!$G$190/Thousand</f>
        <v>36.8233638316562</v>
      </c>
      <c r="H147" s="11" t="n">
        <f aca="false">HTM!$G$191/Thousand</f>
        <v>24.6051245237128</v>
      </c>
      <c r="I147" s="11" t="n">
        <f aca="false">HTM!$G$192/Thousand</f>
        <v>12.3868852157694</v>
      </c>
    </row>
    <row r="148" customFormat="false" ht="15" hidden="false" customHeight="false" outlineLevel="0" collapsed="false">
      <c r="C148" s="3"/>
      <c r="D148" s="7"/>
      <c r="E148" s="7" t="str">
        <f aca="false">IF(E145=1,"◄ live","")</f>
        <v/>
      </c>
      <c r="F148" s="7" t="str">
        <f aca="false">IF(F145=1,"◄ live","")</f>
        <v/>
      </c>
      <c r="G148" s="7" t="str">
        <f aca="false">IF(G145=1,"◄ live","")</f>
        <v>◄ live</v>
      </c>
      <c r="H148" s="7" t="str">
        <f aca="false">IF(H145=1,"◄ live","")</f>
        <v/>
      </c>
      <c r="I148" s="7" t="str">
        <f aca="false">IF(I145=1,"◄ live","")</f>
        <v/>
      </c>
    </row>
    <row r="149" customFormat="false" ht="15" hidden="false" customHeight="false" outlineLevel="0" collapsed="false">
      <c r="C149" s="3" t="s">
        <v>183</v>
      </c>
      <c r="D149" s="7" t="s">
        <v>51</v>
      </c>
      <c r="E149" s="57" t="n">
        <v>0</v>
      </c>
      <c r="F149" s="57" t="n">
        <v>0.3</v>
      </c>
      <c r="G149" s="57" t="n">
        <v>0.4</v>
      </c>
      <c r="H149" s="57" t="n">
        <v>0.5</v>
      </c>
      <c r="I149" s="57" t="n">
        <v>0.55</v>
      </c>
      <c r="J149" s="57" t="n">
        <v>0.6</v>
      </c>
      <c r="K149" s="57" t="n">
        <v>0.65</v>
      </c>
    </row>
    <row r="150" customFormat="false" ht="15" hidden="false" customHeight="false" outlineLevel="0" collapsed="false">
      <c r="C150" s="3" t="s">
        <v>184</v>
      </c>
      <c r="D150" s="7" t="s">
        <v>51</v>
      </c>
      <c r="E150" s="31" t="n">
        <f aca="false">HTM!$F$248</f>
        <v>0.0952972453423904</v>
      </c>
      <c r="F150" s="31" t="n">
        <f aca="false">HTM!$F$249</f>
        <v>0.105855025178232</v>
      </c>
      <c r="G150" s="31" t="n">
        <f aca="false">HTM!$F$250</f>
        <v>0.110752357063429</v>
      </c>
      <c r="H150" s="31" t="n">
        <f aca="false">HTM!$F$251</f>
        <v>0.116754376727805</v>
      </c>
      <c r="I150" s="31" t="n">
        <f aca="false">HTM!$F$252</f>
        <v>0.120314112593015</v>
      </c>
      <c r="J150" s="31" t="n">
        <f aca="false">HTM!$F$253</f>
        <v>0.124357687630866</v>
      </c>
      <c r="K150" s="31" t="n">
        <f aca="false">HTM!$F$254</f>
        <v>0.129004867964907</v>
      </c>
    </row>
    <row r="151" customFormat="false" ht="15" hidden="false" customHeight="false" outlineLevel="0" collapsed="false">
      <c r="C151" s="3" t="s">
        <v>185</v>
      </c>
      <c r="D151" s="7" t="s">
        <v>7</v>
      </c>
      <c r="E151" s="52" t="n">
        <f aca="false">HTM!$G$248</f>
        <v>0.166964895518314</v>
      </c>
      <c r="F151" s="52" t="n">
        <f aca="false">HTM!$G$249</f>
        <v>0.315197379996428</v>
      </c>
      <c r="G151" s="52" t="n">
        <f aca="false">HTM!$G$250</f>
        <v>0.394661527884704</v>
      </c>
      <c r="H151" s="52" t="n">
        <f aca="false">HTM!$G$251</f>
        <v>0.50204964383823</v>
      </c>
      <c r="I151" s="52" t="n">
        <f aca="false">HTM!$G$252</f>
        <v>0.571497725165799</v>
      </c>
      <c r="J151" s="52" t="n">
        <f aca="false">HTM!$G$253</f>
        <v>0.656002582356003</v>
      </c>
      <c r="K151" s="52" t="n">
        <f aca="false">HTM!$G$254</f>
        <v>0.761056163614887</v>
      </c>
    </row>
    <row r="152" customFormat="false" ht="15" hidden="false" customHeight="false" outlineLevel="0" collapsed="false">
      <c r="C152" s="3" t="s">
        <v>186</v>
      </c>
      <c r="D152" s="7" t="s">
        <v>7</v>
      </c>
      <c r="E152" s="52" t="str">
        <f aca="false">HTM!$H$248</f>
        <v>n/a</v>
      </c>
      <c r="F152" s="52" t="n">
        <f aca="false">HTM!$H$249</f>
        <v>3.78861547803746</v>
      </c>
      <c r="G152" s="52" t="n">
        <f aca="false">HTM!$H$250</f>
        <v>2.8623363239293</v>
      </c>
      <c r="H152" s="52" t="n">
        <f aca="false">HTM!$H$251</f>
        <v>2.30084937877239</v>
      </c>
      <c r="I152" s="52" t="n">
        <f aca="false">HTM!$H$252</f>
        <v>2.09269521766159</v>
      </c>
      <c r="J152" s="52" t="n">
        <f aca="false">HTM!$H$253</f>
        <v>1.91923341673593</v>
      </c>
      <c r="K152" s="52" t="n">
        <f aca="false">HTM!$H$254</f>
        <v>1.77245804672191</v>
      </c>
    </row>
    <row r="153" customFormat="false" ht="15" hidden="false" customHeight="false" outlineLevel="0" collapsed="false">
      <c r="C153" s="3" t="s">
        <v>187</v>
      </c>
      <c r="D153" s="7"/>
      <c r="E153" s="58" t="str">
        <f aca="false">HTM!$J$248</f>
        <v>n/a</v>
      </c>
      <c r="F153" s="58" t="str">
        <f aca="false">HTM!$J$249</f>
        <v>OK</v>
      </c>
      <c r="G153" s="58" t="str">
        <f aca="false">HTM!$J$250</f>
        <v>OK</v>
      </c>
      <c r="H153" s="58" t="str">
        <f aca="false">HTM!$J$251</f>
        <v>OK</v>
      </c>
      <c r="I153" s="58" t="str">
        <f aca="false">HTM!$J$252</f>
        <v>OK</v>
      </c>
      <c r="J153" s="58" t="str">
        <f aca="false">HTM!$J$253</f>
        <v>OK</v>
      </c>
      <c r="K153" s="58" t="str">
        <f aca="false">HTM!$J$254</f>
        <v>OK</v>
      </c>
    </row>
    <row r="154" customFormat="false" ht="15" hidden="false" customHeight="false" outlineLevel="0" collapsed="false">
      <c r="C154" s="3"/>
      <c r="D154" s="7"/>
      <c r="E154" s="7" t="str">
        <f aca="false">IF(E149=Inputs!$E$219,"◄ live","")</f>
        <v/>
      </c>
      <c r="F154" s="7" t="str">
        <f aca="false">IF(F149=Inputs!$E$219,"◄ live","")</f>
        <v/>
      </c>
      <c r="G154" s="7" t="str">
        <f aca="false">IF(G149=Inputs!$E$219,"◄ live","")</f>
        <v/>
      </c>
      <c r="H154" s="7" t="str">
        <f aca="false">IF(H149=Inputs!$E$219,"◄ live","")</f>
        <v>◄ live</v>
      </c>
      <c r="I154" s="7" t="str">
        <f aca="false">IF(I149=Inputs!$E$219,"◄ live","")</f>
        <v/>
      </c>
      <c r="J154" s="7" t="str">
        <f aca="false">IF(J149=Inputs!$E$219,"◄ live","")</f>
        <v/>
      </c>
      <c r="K154" s="7" t="str">
        <f aca="false">IF(K149=Inputs!$E$219,"◄ live","")</f>
        <v/>
      </c>
    </row>
    <row r="155" customFormat="false" ht="15" hidden="false" customHeight="false" outlineLevel="0" collapsed="false">
      <c r="C155" s="3" t="s">
        <v>45</v>
      </c>
      <c r="D155" s="7" t="s">
        <v>2</v>
      </c>
      <c r="E155" s="25" t="n">
        <v>50</v>
      </c>
      <c r="F155" s="25" t="n">
        <v>75</v>
      </c>
      <c r="G155" s="25" t="n">
        <v>100</v>
      </c>
      <c r="H155" s="25" t="n">
        <v>125</v>
      </c>
      <c r="I155" s="25" t="n">
        <v>150</v>
      </c>
      <c r="J155" s="25" t="n">
        <v>175</v>
      </c>
      <c r="K155" s="25" t="n">
        <v>200</v>
      </c>
    </row>
    <row r="156" customFormat="false" ht="15" hidden="false" customHeight="false" outlineLevel="0" collapsed="false">
      <c r="C156" s="3" t="s">
        <v>163</v>
      </c>
      <c r="D156" s="7" t="s">
        <v>0</v>
      </c>
      <c r="E156" s="56" t="n">
        <f aca="false">MOIC!$H$238/Thousand</f>
        <v>1.24051274970613</v>
      </c>
      <c r="F156" s="56" t="n">
        <f aca="false">MOIC!$I$238/Thousand</f>
        <v>2.73914978884726</v>
      </c>
      <c r="G156" s="56" t="n">
        <f aca="false">MOIC!$J$238/Thousand</f>
        <v>4.48914978884726</v>
      </c>
      <c r="H156" s="56" t="n">
        <f aca="false">MOIC!$K$238/Thousand</f>
        <v>6.23914978884726</v>
      </c>
      <c r="I156" s="56" t="n">
        <f aca="false">MOIC!$L$238/Thousand</f>
        <v>7.98914978884726</v>
      </c>
      <c r="J156" s="56" t="n">
        <f aca="false">MOIC!$M$238/Thousand</f>
        <v>9.73914978884726</v>
      </c>
      <c r="K156" s="56" t="n">
        <f aca="false">MOIC!$N$238/Thousand</f>
        <v>11.4891497888473</v>
      </c>
    </row>
    <row r="157" customFormat="false" ht="15" hidden="false" customHeight="false" outlineLevel="0" collapsed="false">
      <c r="C157" s="3" t="s">
        <v>164</v>
      </c>
      <c r="D157" s="7" t="s">
        <v>51</v>
      </c>
      <c r="E157" s="31" t="n">
        <f aca="false">MOIC!$H$241</f>
        <v>0.0586133162734566</v>
      </c>
      <c r="F157" s="31" t="n">
        <f aca="false">MOIC!$I$241</f>
        <v>0.127847563122363</v>
      </c>
      <c r="G157" s="31" t="n">
        <f aca="false">MOIC!$J$241</f>
        <v>0.206449260129699</v>
      </c>
      <c r="H157" s="31" t="n">
        <f aca="false">MOIC!$K$241</f>
        <v>0.282612203978351</v>
      </c>
      <c r="I157" s="31" t="n">
        <f aca="false">MOIC!$L$241</f>
        <v>0.356361728389748</v>
      </c>
      <c r="J157" s="31" t="n">
        <f aca="false">MOIC!$M$241</f>
        <v>0.427756113166203</v>
      </c>
      <c r="K157" s="31" t="n">
        <f aca="false">MOIC!$N$241</f>
        <v>0.496874854514724</v>
      </c>
    </row>
    <row r="158" customFormat="false" ht="15" hidden="false" customHeight="false" outlineLevel="0" collapsed="false">
      <c r="C158" s="3" t="s">
        <v>156</v>
      </c>
      <c r="D158" s="7" t="s">
        <v>7</v>
      </c>
      <c r="E158" s="52" t="n">
        <f aca="false">MOIC!$H$240</f>
        <v>1.05284845799465</v>
      </c>
      <c r="F158" s="52" t="n">
        <f aca="false">MOIC!$I$240</f>
        <v>1.11669355481533</v>
      </c>
      <c r="G158" s="52" t="n">
        <f aca="false">MOIC!$J$240</f>
        <v>1.19124724361259</v>
      </c>
      <c r="H158" s="52" t="n">
        <f aca="false">MOIC!$K$240</f>
        <v>1.26580093240986</v>
      </c>
      <c r="I158" s="52" t="n">
        <f aca="false">MOIC!$L$240</f>
        <v>1.34035462120713</v>
      </c>
      <c r="J158" s="52" t="n">
        <f aca="false">MOIC!$M$240</f>
        <v>1.4149083100044</v>
      </c>
      <c r="K158" s="52" t="n">
        <f aca="false">MOIC!$N$240</f>
        <v>1.48946199880166</v>
      </c>
    </row>
    <row r="159" customFormat="false" ht="15" hidden="false" customHeight="false" outlineLevel="0" collapsed="false">
      <c r="C159" s="3" t="s">
        <v>188</v>
      </c>
      <c r="D159" s="7" t="s">
        <v>51</v>
      </c>
      <c r="E159" s="31" t="n">
        <f aca="false">HTM!$F$227</f>
        <v>0.0983152007864325</v>
      </c>
      <c r="F159" s="31" t="n">
        <f aca="false">HTM!$F$228</f>
        <v>0.0965619469814401</v>
      </c>
      <c r="G159" s="31" t="n">
        <f aca="false">HTM!$F$229</f>
        <v>0.0948569344927693</v>
      </c>
      <c r="H159" s="31" t="n">
        <f aca="false">HTM!$F$230</f>
        <v>0.0931978366239253</v>
      </c>
      <c r="I159" s="31" t="n">
        <f aca="false">HTM!$F$231</f>
        <v>0.0915824843412319</v>
      </c>
      <c r="J159" s="31" t="n">
        <f aca="false">HTM!$F$232</f>
        <v>0.0900088526267387</v>
      </c>
      <c r="K159" s="31" t="n">
        <f aca="false">HTM!$F$233</f>
        <v>0.0884750482607149</v>
      </c>
    </row>
    <row r="160" customFormat="false" ht="15" hidden="false" customHeight="false" outlineLevel="0" collapsed="false">
      <c r="C160" s="3"/>
      <c r="D160" s="7"/>
      <c r="E160" s="7" t="str">
        <f aca="false">IF(E155=Inputs!$E$141,"◄ live","")</f>
        <v/>
      </c>
      <c r="F160" s="7" t="str">
        <f aca="false">IF(F155=Inputs!$E$141,"◄ live","")</f>
        <v/>
      </c>
      <c r="G160" s="7" t="str">
        <f aca="false">IF(G155=Inputs!$E$141,"◄ live","")</f>
        <v/>
      </c>
      <c r="H160" s="7" t="str">
        <f aca="false">IF(H155=Inputs!$E$141,"◄ live","")</f>
        <v/>
      </c>
      <c r="I160" s="7" t="str">
        <f aca="false">IF(I155=Inputs!$E$141,"◄ live","")</f>
        <v/>
      </c>
      <c r="J160" s="7" t="str">
        <f aca="false">IF(J155=Inputs!$E$141,"◄ live","")</f>
        <v/>
      </c>
      <c r="K160" s="7" t="str">
        <f aca="false">IF(K155=Inputs!$E$141,"◄ live","")</f>
        <v>◄ live</v>
      </c>
    </row>
    <row r="161" customFormat="false" ht="15" hidden="false" customHeight="false" outlineLevel="0" collapsed="false">
      <c r="C161" s="3" t="s">
        <v>189</v>
      </c>
      <c r="D161" s="7" t="s">
        <v>51</v>
      </c>
      <c r="E161" s="59" t="n">
        <v>0.07</v>
      </c>
      <c r="F161" s="59" t="n">
        <v>0.08</v>
      </c>
      <c r="G161" s="59" t="n">
        <v>0.09</v>
      </c>
    </row>
    <row r="162" customFormat="false" ht="15" hidden="false" customHeight="false" outlineLevel="0" collapsed="false">
      <c r="C162" s="3" t="s">
        <v>151</v>
      </c>
      <c r="D162" s="7" t="s">
        <v>0</v>
      </c>
      <c r="E162" s="11" t="n">
        <f aca="false">HTM!$G$346/Thousand</f>
        <v>231.585981438781</v>
      </c>
      <c r="F162" s="11" t="n">
        <f aca="false">HTM!$G$347/Thousand</f>
        <v>210.466653527443</v>
      </c>
      <c r="G162" s="11" t="n">
        <f aca="false">HTM!$G$348/Thousand</f>
        <v>192.346104608006</v>
      </c>
    </row>
    <row r="163" customFormat="false" ht="15" hidden="false" customHeight="false" outlineLevel="0" collapsed="false">
      <c r="C163" s="3" t="s">
        <v>190</v>
      </c>
      <c r="D163" s="7" t="s">
        <v>0</v>
      </c>
      <c r="E163" s="11" t="n">
        <f aca="false">HTM!$G$349/Thousand</f>
        <v>60.4324393117579</v>
      </c>
      <c r="F163" s="11" t="n">
        <f aca="false">HTM!$G$350/Thousand</f>
        <v>39.3131114004194</v>
      </c>
      <c r="G163" s="11" t="n">
        <f aca="false">HTM!$G$351/Thousand</f>
        <v>21.1925624809826</v>
      </c>
    </row>
    <row r="164" customFormat="false" ht="15" hidden="false" customHeight="false" outlineLevel="0" collapsed="false">
      <c r="C164" s="3" t="s">
        <v>191</v>
      </c>
      <c r="D164" s="7" t="s">
        <v>2</v>
      </c>
      <c r="E164" s="5" t="n">
        <f aca="false">HTM!$G$352</f>
        <v>558.133275052422</v>
      </c>
      <c r="F164" s="5" t="n">
        <f aca="false">HTM!$G$353</f>
        <v>350.316690269903</v>
      </c>
      <c r="G164" s="5" t="n">
        <f aca="false">HTM!$G$354</f>
        <v>175.142481004756</v>
      </c>
    </row>
    <row r="165" customFormat="false" ht="15" hidden="false" customHeight="false" outlineLevel="0" collapsed="false">
      <c r="C165" s="3"/>
      <c r="D165" s="7"/>
      <c r="E165" s="7" t="str">
        <f aca="false">IF(E161=Inputs!$E$226,"◄ live","")</f>
        <v/>
      </c>
      <c r="F165" s="7" t="str">
        <f aca="false">IF(F161=Inputs!$E$226,"◄ live","")</f>
        <v>◄ live</v>
      </c>
      <c r="G165" s="7" t="str">
        <f aca="false">IF(G161=Inputs!$E$226,"◄ live","")</f>
        <v/>
      </c>
    </row>
    <row r="167" customFormat="false" ht="15" hidden="false" customHeight="false" outlineLevel="0" collapsed="false">
      <c r="A167" s="23" t="s">
        <v>7</v>
      </c>
      <c r="B167" s="23"/>
      <c r="C167" s="23" t="s">
        <v>192</v>
      </c>
      <c r="D167" s="23"/>
      <c r="E167" s="23"/>
      <c r="F167" s="23"/>
      <c r="G167" s="23"/>
      <c r="H167" s="23"/>
      <c r="I167" s="23"/>
      <c r="J167" s="23"/>
      <c r="K167" s="23"/>
    </row>
    <row r="168" customFormat="false" ht="15" hidden="false" customHeight="false" outlineLevel="0" collapsed="false">
      <c r="E168" s="2" t="s">
        <v>193</v>
      </c>
      <c r="F168" s="2" t="s">
        <v>194</v>
      </c>
    </row>
    <row r="169" customFormat="false" ht="15" hidden="false" customHeight="false" outlineLevel="0" collapsed="false">
      <c r="C169" s="3" t="s">
        <v>195</v>
      </c>
      <c r="D169" s="7" t="s">
        <v>29</v>
      </c>
      <c r="E169" s="20" t="n">
        <f aca="false">N(MOIC!$G$270&lt;&gt;"ALL OK")</f>
        <v>0</v>
      </c>
      <c r="F169" s="60" t="str">
        <f aca="false">IF(E169=0,"OK","CHECK")</f>
        <v>OK</v>
      </c>
    </row>
    <row r="170" customFormat="false" ht="15" hidden="false" customHeight="false" outlineLevel="0" collapsed="false">
      <c r="C170" s="3" t="s">
        <v>196</v>
      </c>
      <c r="D170" s="7" t="s">
        <v>29</v>
      </c>
      <c r="E170" s="20" t="n">
        <f aca="false">N(HTM!$G$172&lt;&gt;"ALL OK")</f>
        <v>0</v>
      </c>
      <c r="F170" s="60" t="str">
        <f aca="false">IF(E170=0,"OK","CHECK")</f>
        <v>OK</v>
      </c>
    </row>
    <row r="171" customFormat="false" ht="15" hidden="false" customHeight="false" outlineLevel="0" collapsed="false">
      <c r="C171" s="3" t="s">
        <v>197</v>
      </c>
      <c r="D171" s="7" t="s">
        <v>29</v>
      </c>
      <c r="E171" s="20" t="n">
        <f aca="false">N(Deposits!$E$34&lt;&gt;"OK")</f>
        <v>0</v>
      </c>
      <c r="F171" s="60" t="str">
        <f aca="false">IF(E171=0,"OK","CHECK")</f>
        <v>OK</v>
      </c>
    </row>
    <row r="172" customFormat="false" ht="15" hidden="false" customHeight="false" outlineLevel="0" collapsed="false">
      <c r="C172" s="3" t="s">
        <v>198</v>
      </c>
      <c r="D172" s="7" t="s">
        <v>29</v>
      </c>
      <c r="E172" s="20" t="n">
        <f aca="false">N(ABS($E$66-(HTM!$G$79-HTM!$G$30-HTM!$G$85)/Thousand)&gt;Tolerance)</f>
        <v>0</v>
      </c>
      <c r="F172" s="60" t="str">
        <f aca="false">IF(E172=0,"OK","CHECK")</f>
        <v>OK</v>
      </c>
    </row>
    <row r="173" customFormat="false" ht="15" hidden="false" customHeight="false" outlineLevel="0" collapsed="false">
      <c r="C173" s="3" t="s">
        <v>199</v>
      </c>
      <c r="D173" s="7" t="s">
        <v>29</v>
      </c>
      <c r="E173" s="20" t="n">
        <f aca="false">--(SUMPRODUCT(ABS(Stored_Delta))&gt;Tolerance)</f>
        <v>0</v>
      </c>
      <c r="F173" s="60" t="str">
        <f aca="false">IF(E173=0,"OK","CHECK")</f>
        <v>OK</v>
      </c>
    </row>
    <row r="174" customFormat="false" ht="15" hidden="false" customHeight="false" outlineLevel="0" collapsed="false">
      <c r="C174" s="3" t="s">
        <v>200</v>
      </c>
      <c r="D174" s="7" t="s">
        <v>29</v>
      </c>
      <c r="E174" s="20" t="n">
        <f aca="false">N((E28&lt;&gt;0)*(E28&lt;Osz1_Min)+(E28&gt;Osz1_Max)&gt;0)</f>
        <v>0</v>
      </c>
      <c r="F174" s="60" t="str">
        <f aca="false">IF(E174=0,"OK","CHECK")</f>
        <v>OK</v>
      </c>
    </row>
    <row r="175" customFormat="false" ht="15" hidden="false" customHeight="false" outlineLevel="0" collapsed="false">
      <c r="C175" s="3" t="s">
        <v>201</v>
      </c>
      <c r="D175" s="7" t="s">
        <v>29</v>
      </c>
      <c r="E175" s="20" t="n">
        <f aca="false">N((E29&lt;&gt;0)*(E29&lt;Osz2_Min)+(E29&gt;Osz2_Max)&gt;0)</f>
        <v>0</v>
      </c>
      <c r="F175" s="60" t="str">
        <f aca="false">IF(E175=0,"OK","CHECK")</f>
        <v>OK</v>
      </c>
    </row>
    <row r="176" customFormat="false" ht="15" hidden="false" customHeight="false" outlineLevel="0" collapsed="false">
      <c r="C176" s="3" t="s">
        <v>202</v>
      </c>
      <c r="D176" s="7" t="s">
        <v>29</v>
      </c>
      <c r="E176" s="20" t="n">
        <f aca="false">N((In_OSZ4_Ratio&gt;0)*(In_OSZ4_Ratio&lt;Osz4_Min)&gt;0)</f>
        <v>0</v>
      </c>
      <c r="F176" s="60" t="str">
        <f aca="false">IF(E176=0,"OK","CHECK")</f>
        <v>OK</v>
      </c>
    </row>
    <row r="177" customFormat="false" ht="15" hidden="false" customHeight="false" outlineLevel="0" collapsed="false">
      <c r="C177" s="3" t="s">
        <v>203</v>
      </c>
      <c r="D177" s="7" t="s">
        <v>29</v>
      </c>
      <c r="E177" s="20" t="n">
        <f aca="false">N(Cash_Flow!$E$31&gt;0)</f>
        <v>0</v>
      </c>
      <c r="F177" s="60" t="str">
        <f aca="false">IF(E177=0,"OK","CHECK")</f>
        <v>OK</v>
      </c>
    </row>
    <row r="178" customFormat="false" ht="15" hidden="false" customHeight="false" outlineLevel="0" collapsed="false">
      <c r="C178" s="3" t="s">
        <v>204</v>
      </c>
      <c r="D178" s="7" t="s">
        <v>29</v>
      </c>
      <c r="E178" s="20" t="n">
        <f aca="false">N(HTM!$G$257="FAIL")</f>
        <v>0</v>
      </c>
      <c r="F178" s="60" t="str">
        <f aca="false">IF(HTM!$G$257="OK","OK",IF(E178=0,"n/a","CHECK"))</f>
        <v>OK</v>
      </c>
    </row>
    <row r="179" customFormat="false" ht="15" hidden="false" customHeight="false" outlineLevel="0" collapsed="false">
      <c r="C179" s="3" t="s">
        <v>205</v>
      </c>
      <c r="D179" s="7" t="s">
        <v>29</v>
      </c>
      <c r="E179" s="20" t="n">
        <f aca="false">N(ABS(Bid_Points!$E$34-$F$37)&gt;Tolerance)</f>
        <v>0</v>
      </c>
      <c r="F179" s="60" t="str">
        <f aca="false">IF(E179=0,"OK","CHECK")</f>
        <v>OK</v>
      </c>
    </row>
    <row r="180" customFormat="false" ht="15" hidden="false" customHeight="false" outlineLevel="0" collapsed="false">
      <c r="C180" s="3" t="s">
        <v>206</v>
      </c>
      <c r="D180" s="7" t="s">
        <v>29</v>
      </c>
      <c r="E180" s="20" t="n">
        <f aca="false">N(($E$43&gt;$E$41)+($E$25&lt;In_Min_Hours)&gt;0)</f>
        <v>0</v>
      </c>
      <c r="F180" s="60" t="str">
        <f aca="false">IF(E180=0,"OK","CHECK")</f>
        <v>OK</v>
      </c>
    </row>
    <row r="181" customFormat="false" ht="15" hidden="false" customHeight="false" outlineLevel="0" collapsed="false">
      <c r="C181" s="12" t="s">
        <v>207</v>
      </c>
      <c r="D181" s="7" t="s">
        <v>29</v>
      </c>
      <c r="E181" s="19" t="n">
        <f aca="false">SUM(E169:E180)</f>
        <v>0</v>
      </c>
      <c r="F181" s="22" t="str">
        <f aca="false">IF(E181=0,"OK","CHECK")</f>
        <v>OK</v>
      </c>
    </row>
    <row r="183" customFormat="false" ht="15" hidden="false" customHeight="false" outlineLevel="0" collapsed="false">
      <c r="A183" s="23" t="s">
        <v>7</v>
      </c>
      <c r="B183" s="23"/>
      <c r="C183" s="23" t="s">
        <v>208</v>
      </c>
      <c r="D183" s="23"/>
      <c r="E183" s="23"/>
      <c r="F183" s="23"/>
      <c r="G183" s="23"/>
      <c r="H183" s="23"/>
      <c r="I183" s="23"/>
      <c r="J183" s="23"/>
      <c r="K183" s="23"/>
    </row>
    <row r="184" customFormat="false" ht="15" hidden="false" customHeight="false" outlineLevel="0" collapsed="false">
      <c r="C184" s="3" t="s">
        <v>209</v>
      </c>
      <c r="D184" s="7" t="s">
        <v>51</v>
      </c>
      <c r="E184" s="31" t="n">
        <f aca="false">Inputs!$E$194</f>
        <v>0.01</v>
      </c>
    </row>
    <row r="185" customFormat="false" ht="15" hidden="false" customHeight="false" outlineLevel="0" collapsed="false">
      <c r="C185" s="3" t="s">
        <v>210</v>
      </c>
      <c r="D185" s="7" t="s">
        <v>211</v>
      </c>
      <c r="E185" s="33" t="n">
        <f aca="false">Inputs!$E$195</f>
        <v>30</v>
      </c>
    </row>
    <row r="186" customFormat="false" ht="15" hidden="false" customHeight="false" outlineLevel="0" collapsed="false">
      <c r="C186" s="3" t="s">
        <v>212</v>
      </c>
      <c r="D186" s="7" t="s">
        <v>51</v>
      </c>
      <c r="E186" s="31" t="n">
        <f aca="false">Inputs!$E$220</f>
        <v>0.05</v>
      </c>
    </row>
    <row r="187" customFormat="false" ht="15" hidden="false" customHeight="false" outlineLevel="0" collapsed="false">
      <c r="C187" s="3" t="s">
        <v>213</v>
      </c>
      <c r="D187" s="7" t="s">
        <v>211</v>
      </c>
      <c r="E187" s="33" t="n">
        <f aca="false">Inputs!$E$222</f>
        <v>15</v>
      </c>
    </row>
    <row r="188" customFormat="false" ht="15" hidden="false" customHeight="false" outlineLevel="0" collapsed="false">
      <c r="C188" s="3" t="s">
        <v>214</v>
      </c>
      <c r="D188" s="7" t="s">
        <v>7</v>
      </c>
      <c r="E188" s="52" t="n">
        <f aca="false">Inputs!$E$253</f>
        <v>1.5</v>
      </c>
    </row>
    <row r="189" customFormat="false" ht="15" hidden="false" customHeight="false" outlineLevel="0" collapsed="false">
      <c r="C189" s="3" t="s">
        <v>215</v>
      </c>
      <c r="D189" s="7" t="s">
        <v>51</v>
      </c>
      <c r="E189" s="31" t="n">
        <f aca="false">Inputs!$E$255</f>
        <v>0.08</v>
      </c>
    </row>
    <row r="190" customFormat="false" ht="15" hidden="false" customHeight="false" outlineLevel="0" collapsed="false">
      <c r="C190" s="3" t="s">
        <v>216</v>
      </c>
      <c r="D190" s="7" t="s">
        <v>211</v>
      </c>
      <c r="E190" s="33" t="n">
        <f aca="false">Inputs!$E$215</f>
        <v>20</v>
      </c>
    </row>
    <row r="191" customFormat="false" ht="15" hidden="false" customHeight="false" outlineLevel="0" collapsed="false">
      <c r="C191" s="3" t="s">
        <v>217</v>
      </c>
      <c r="D191" s="7" t="s">
        <v>218</v>
      </c>
      <c r="E191" s="5" t="n">
        <f aca="false">Inputs!$E$11</f>
        <v>365</v>
      </c>
    </row>
    <row r="192" customFormat="false" ht="15" hidden="false" customHeight="false" outlineLevel="0" collapsed="false">
      <c r="C192" s="3" t="s">
        <v>219</v>
      </c>
      <c r="D192" s="7" t="s">
        <v>220</v>
      </c>
      <c r="E192" s="61" t="n">
        <f aca="false">Inputs!$E$56</f>
        <v>47208</v>
      </c>
    </row>
    <row r="193" customFormat="false" ht="15" hidden="false" customHeight="false" outlineLevel="0" collapsed="false">
      <c r="C193" s="3" t="s">
        <v>221</v>
      </c>
      <c r="D193" s="7" t="s">
        <v>220</v>
      </c>
      <c r="E193" s="61" t="n">
        <f aca="false">Inputs!$E$58</f>
        <v>47391</v>
      </c>
    </row>
    <row r="194" customFormat="false" ht="15" hidden="false" customHeight="false" outlineLevel="0" collapsed="false">
      <c r="C194" s="3" t="s">
        <v>222</v>
      </c>
      <c r="D194" s="7" t="s">
        <v>220</v>
      </c>
      <c r="E194" s="61" t="n">
        <f aca="false">Inputs!$E$155</f>
        <v>48029</v>
      </c>
    </row>
    <row r="195" customFormat="false" ht="15" hidden="false" customHeight="false" outlineLevel="0" collapsed="false">
      <c r="C195" s="3" t="s">
        <v>223</v>
      </c>
      <c r="D195" s="7" t="s">
        <v>211</v>
      </c>
      <c r="E195" s="33" t="n">
        <f aca="false">Inputs!$E$157</f>
        <v>30</v>
      </c>
    </row>
    <row r="196" customFormat="false" ht="15" hidden="false" customHeight="false" outlineLevel="0" collapsed="false">
      <c r="C196" s="3" t="s">
        <v>224</v>
      </c>
      <c r="D196" s="7" t="s">
        <v>62</v>
      </c>
      <c r="E196" s="62" t="n">
        <f aca="false">Inputs!$E$230</f>
        <v>1</v>
      </c>
    </row>
    <row r="197" customFormat="false" ht="15" hidden="false" customHeight="false" outlineLevel="0" collapsed="false">
      <c r="C197" s="3" t="s">
        <v>225</v>
      </c>
      <c r="D197" s="7" t="s">
        <v>51</v>
      </c>
      <c r="E197" s="31" t="n">
        <f aca="false">Inputs!$E$183</f>
        <v>0.02</v>
      </c>
    </row>
    <row r="198" customFormat="false" ht="15" hidden="false" customHeight="false" outlineLevel="0" collapsed="false">
      <c r="C198" s="3" t="s">
        <v>226</v>
      </c>
      <c r="D198" s="7" t="s">
        <v>51</v>
      </c>
      <c r="E198" s="63" t="n">
        <f aca="false">Inputs!$E$184</f>
        <v>0.003</v>
      </c>
    </row>
    <row r="199" customFormat="false" ht="15" hidden="false" customHeight="false" outlineLevel="0" collapsed="false">
      <c r="C199" s="3" t="s">
        <v>227</v>
      </c>
      <c r="D199" s="7" t="s">
        <v>6</v>
      </c>
      <c r="E199" s="33" t="n">
        <f aca="false">HTM!$G$358</f>
        <v>2032</v>
      </c>
    </row>
    <row r="200" customFormat="false" ht="15" hidden="false" customHeight="false" outlineLevel="0" collapsed="false">
      <c r="C200" s="3" t="s">
        <v>228</v>
      </c>
      <c r="D200" s="7" t="s">
        <v>51</v>
      </c>
      <c r="E200" s="64" t="n">
        <f aca="false">In_Refi_Rate</f>
        <v>0.045</v>
      </c>
    </row>
    <row r="201" customFormat="false" ht="15" hidden="false" customHeight="false" outlineLevel="0" collapsed="false">
      <c r="C201" s="3" t="s">
        <v>229</v>
      </c>
      <c r="D201" s="7" t="s">
        <v>211</v>
      </c>
      <c r="E201" s="33" t="n">
        <f aca="false">In_Refi_Tenor</f>
        <v>15</v>
      </c>
    </row>
    <row r="202" customFormat="false" ht="15" hidden="false" customHeight="false" outlineLevel="0" collapsed="false">
      <c r="C202" s="3" t="s">
        <v>230</v>
      </c>
      <c r="D202" s="7" t="s">
        <v>51</v>
      </c>
      <c r="E202" s="63" t="n">
        <f aca="false">In_Refi_Gearing_Add</f>
        <v>0.04</v>
      </c>
    </row>
    <row r="203" customFormat="false" ht="15" hidden="false" customHeight="false" outlineLevel="0" collapsed="false">
      <c r="C203" s="7" t="s">
        <v>231</v>
      </c>
    </row>
    <row r="204" customFormat="false" ht="15" hidden="false" customHeight="false" outlineLevel="0" collapsed="false">
      <c r="C204" s="7" t="s">
        <v>232</v>
      </c>
    </row>
    <row r="205" customFormat="false" ht="15" hidden="false" customHeight="false" outlineLevel="0" collapsed="false">
      <c r="C205" s="7" t="s">
        <v>233</v>
      </c>
    </row>
    <row r="207" customFormat="false" ht="15" hidden="false" customHeight="false" outlineLevel="0" collapsed="false">
      <c r="C207" s="21" t="s">
        <v>30</v>
      </c>
    </row>
    <row r="210" customFormat="false" ht="15" hidden="false" customHeight="false" outlineLevel="0" collapsed="false">
      <c r="C210" s="0" t="s">
        <v>234</v>
      </c>
      <c r="D210" s="65" t="n">
        <v>0.06</v>
      </c>
      <c r="E210" s="65" t="n">
        <v>0.08</v>
      </c>
      <c r="F210" s="65" t="n">
        <v>0.1</v>
      </c>
    </row>
    <row r="211" customFormat="false" ht="15" hidden="false" customHeight="false" outlineLevel="0" collapsed="false">
      <c r="D211" s="0" t="n">
        <v>30</v>
      </c>
    </row>
    <row r="212" customFormat="false" ht="15" hidden="false" customHeight="false" outlineLevel="0" collapsed="false">
      <c r="D212" s="66" t="n">
        <f aca="false">PMT(D210,D211,100)</f>
        <v>-7.26489114900472</v>
      </c>
    </row>
  </sheetData>
  <mergeCells count="1">
    <mergeCell ref="E36:G36"/>
  </mergeCells>
  <conditionalFormatting sqref="E3">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conditionalFormatting sqref="F169:F181">
    <cfRule type="cellIs" priority="4" operator="equal" aboveAverage="0" equalAverage="0" bottom="0" percent="0" rank="0" text="" dxfId="0">
      <formula>"OK"</formula>
    </cfRule>
    <cfRule type="cellIs" priority="5" operator="equal" aboveAverage="0" equalAverage="0" bottom="0" percent="0" rank="0" text="" dxfId="1">
      <formula>"CHECK"</formula>
    </cfRule>
  </conditionalFormatting>
  <dataValidations count="2">
    <dataValidation allowBlank="false" error="Pick Base, Low or High." errorStyle="stop" errorTitle="Scenario" operator="between" showDropDown="false" showErrorMessage="true" showInputMessage="false" sqref="E6" type="list">
      <formula1>$E$7:$G$7</formula1>
      <formula2>0</formula2>
    </dataValidation>
    <dataValidation allowBlank="false" error="Pick a case from the list (Inputs G7:H7)." errorStyle="stop" errorTitle="Case" operator="between" showDropDown="false" showErrorMessage="true" showInputMessage="false" sqref="E36" type="list">
      <formula1>Scenario_Names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T236"/>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pane xSplit="4" ySplit="24" topLeftCell="E25" activePane="bottomRight" state="frozen"/>
      <selection pane="topLeft" activeCell="A1" activeCellId="0" sqref="A1"/>
      <selection pane="topRight" activeCell="E1" activeCellId="0" sqref="E1"/>
      <selection pane="bottomLeft" activeCell="A25" activeCellId="0" sqref="A25"/>
      <selection pane="bottomRight" activeCell="A1" activeCellId="0" sqref="A1"/>
    </sheetView>
  </sheetViews>
  <sheetFormatPr defaultColWidth="8.6796875" defaultRowHeight="15" zeroHeight="false" outlineLevelRow="0" outlineLevelCol="0"/>
  <cols>
    <col collapsed="false" customWidth="true" hidden="false" outlineLevel="0" max="1" min="1" style="0" width="3"/>
    <col collapsed="false" customWidth="true" hidden="false" outlineLevel="0" max="2" min="2" style="0" width="2"/>
    <col collapsed="false" customWidth="true" hidden="false" outlineLevel="0" max="3" min="3" style="0" width="58"/>
    <col collapsed="false" customWidth="true" hidden="false" outlineLevel="0" max="4" min="4" style="0" width="10"/>
    <col collapsed="false" customWidth="true" hidden="false" outlineLevel="0" max="5" min="5" style="0" width="15"/>
    <col collapsed="false" customWidth="true" hidden="false" outlineLevel="0" max="10" min="10" style="0" width="16"/>
    <col collapsed="false" customWidth="true" hidden="false" outlineLevel="0" max="11" min="11" style="0" width="2"/>
    <col collapsed="false" customWidth="true" hidden="false" outlineLevel="0" max="12" min="12" style="0" width="12"/>
    <col collapsed="false" customWidth="true" hidden="false" outlineLevel="0" max="14" min="14" style="0" width="10"/>
    <col collapsed="false" customWidth="true" hidden="false" outlineLevel="0" max="16" min="16" style="0" width="8"/>
    <col collapsed="false" customWidth="true" hidden="true" outlineLevel="0" max="17" min="17" style="0" width="13"/>
  </cols>
  <sheetData>
    <row r="2" customFormat="false" ht="15.75" hidden="false" customHeight="true" outlineLevel="0" collapsed="false">
      <c r="A2" s="67"/>
      <c r="B2" s="67" t="str">
        <f aca="false">C3&amp;" – Bid, deposits and devex to COD"</f>
        <v>Bora, Iváncsa, Dunaújváros – Bid, deposits and devex to COD</v>
      </c>
      <c r="C2" s="67"/>
      <c r="D2" s="67"/>
      <c r="E2" s="67"/>
      <c r="F2" s="67"/>
      <c r="G2" s="67"/>
      <c r="H2" s="67"/>
      <c r="I2" s="67"/>
      <c r="J2" s="67"/>
      <c r="K2" s="67"/>
      <c r="L2" s="67"/>
      <c r="M2" s="67"/>
      <c r="N2" s="67"/>
      <c r="O2" s="67"/>
    </row>
    <row r="3" customFormat="false" ht="19.5" hidden="false" customHeight="true" outlineLevel="0" collapsed="false">
      <c r="C3" s="68" t="s">
        <v>235</v>
      </c>
      <c r="R3" s="69" t="s">
        <v>236</v>
      </c>
      <c r="S3" s="69" t="s">
        <v>237</v>
      </c>
      <c r="T3" s="69" t="s">
        <v>238</v>
      </c>
    </row>
    <row r="4" customFormat="false" ht="15" hidden="false" customHeight="false" outlineLevel="0" collapsed="false">
      <c r="C4" s="0" t="str">
        <f aca="false">"Bid strategy – "&amp;TEXT($E$9,"0 %")&amp;" overbuild"</f>
        <v>Bid strategy – 51 % overbuild</v>
      </c>
      <c r="R4" s="70" t="n">
        <v>1000000</v>
      </c>
      <c r="S4" s="70" t="n">
        <v>365</v>
      </c>
      <c r="T4" s="70" t="n">
        <v>3</v>
      </c>
    </row>
    <row r="5" customFormat="false" ht="15" hidden="false" customHeight="false" outlineLevel="0" collapsed="false">
      <c r="R5" s="18" t="s">
        <v>29</v>
      </c>
      <c r="S5" s="18" t="s">
        <v>239</v>
      </c>
      <c r="T5" s="18" t="s">
        <v>240</v>
      </c>
    </row>
    <row r="6" customFormat="false" ht="15" hidden="false" customHeight="false" outlineLevel="0" collapsed="false">
      <c r="R6" s="18" t="s">
        <v>241</v>
      </c>
      <c r="S6" s="18" t="s">
        <v>242</v>
      </c>
      <c r="T6" s="18" t="s">
        <v>243</v>
      </c>
    </row>
    <row r="7" customFormat="false" ht="15" hidden="false" customHeight="false" outlineLevel="0" collapsed="false">
      <c r="A7" s="71" t="s">
        <v>7</v>
      </c>
      <c r="B7" s="71"/>
      <c r="C7" s="71" t="s">
        <v>244</v>
      </c>
      <c r="D7" s="71"/>
      <c r="E7" s="72" t="s">
        <v>245</v>
      </c>
      <c r="F7" s="72" t="s">
        <v>246</v>
      </c>
      <c r="G7" s="72"/>
      <c r="H7" s="72" t="s">
        <v>247</v>
      </c>
      <c r="I7" s="72" t="s">
        <v>248</v>
      </c>
      <c r="J7" s="71"/>
      <c r="K7" s="71"/>
      <c r="L7" s="71"/>
      <c r="M7" s="71"/>
      <c r="N7" s="71"/>
      <c r="O7" s="71"/>
    </row>
    <row r="8" customFormat="false" ht="15" hidden="false" customHeight="false" outlineLevel="0" collapsed="false">
      <c r="C8" s="69" t="s">
        <v>249</v>
      </c>
      <c r="D8" s="18" t="s">
        <v>56</v>
      </c>
      <c r="E8" s="73" t="n">
        <f aca="false">Dash_MVA</f>
        <v>100</v>
      </c>
      <c r="F8" s="73" t="n">
        <f aca="false">Dash_MVA</f>
        <v>100</v>
      </c>
      <c r="G8" s="74"/>
      <c r="H8" s="74" t="n">
        <v>50</v>
      </c>
      <c r="I8" s="74" t="n">
        <v>50</v>
      </c>
    </row>
    <row r="9" customFormat="false" ht="15" hidden="false" customHeight="false" outlineLevel="0" collapsed="false">
      <c r="C9" s="69" t="s">
        <v>58</v>
      </c>
      <c r="D9" s="18" t="s">
        <v>51</v>
      </c>
      <c r="E9" s="75" t="n">
        <f aca="false">Dash_Overbuild</f>
        <v>0.51</v>
      </c>
      <c r="F9" s="75" t="n">
        <f aca="false">Dash_Overbuild</f>
        <v>0.51</v>
      </c>
      <c r="G9" s="76"/>
      <c r="H9" s="76" t="n">
        <v>0.4</v>
      </c>
      <c r="I9" s="76" t="n">
        <v>0.4</v>
      </c>
    </row>
    <row r="10" customFormat="false" ht="15" hidden="false" customHeight="false" outlineLevel="0" collapsed="false">
      <c r="C10" s="69" t="s">
        <v>250</v>
      </c>
      <c r="D10" s="18" t="s">
        <v>51</v>
      </c>
      <c r="E10" s="75" t="n">
        <f aca="false">Dash_BESS_Share</f>
        <v>0.3</v>
      </c>
      <c r="F10" s="75" t="n">
        <f aca="false">Dash_BESS_Share</f>
        <v>0.3</v>
      </c>
      <c r="G10" s="76"/>
      <c r="H10" s="76" t="n">
        <v>0.41</v>
      </c>
      <c r="I10" s="76" t="n">
        <v>0.41</v>
      </c>
    </row>
    <row r="11" customFormat="false" ht="15" hidden="false" customHeight="false" outlineLevel="0" collapsed="false">
      <c r="C11" s="69" t="s">
        <v>63</v>
      </c>
      <c r="D11" s="18" t="s">
        <v>64</v>
      </c>
      <c r="E11" s="73" t="n">
        <f aca="false">Inputs!$E$21</f>
        <v>4</v>
      </c>
      <c r="F11" s="73" t="n">
        <f aca="false">Inputs!$E$21</f>
        <v>4</v>
      </c>
      <c r="G11" s="74"/>
      <c r="H11" s="74" t="n">
        <v>4</v>
      </c>
      <c r="I11" s="74" t="n">
        <v>4</v>
      </c>
    </row>
    <row r="12" customFormat="false" ht="15" hidden="false" customHeight="false" outlineLevel="0" collapsed="false">
      <c r="C12" s="69" t="s">
        <v>251</v>
      </c>
      <c r="D12" s="18" t="s">
        <v>252</v>
      </c>
      <c r="E12" s="73" t="n">
        <f aca="false">Dash_Municipal</f>
        <v>50</v>
      </c>
      <c r="F12" s="73" t="n">
        <f aca="false">Dash_Municipal</f>
        <v>50</v>
      </c>
      <c r="G12" s="74"/>
      <c r="H12" s="74" t="n">
        <v>50</v>
      </c>
      <c r="I12" s="74" t="n">
        <v>50</v>
      </c>
    </row>
    <row r="13" customFormat="false" ht="15" hidden="false" customHeight="false" outlineLevel="0" collapsed="false">
      <c r="C13" s="69" t="s">
        <v>69</v>
      </c>
      <c r="D13" s="18" t="s">
        <v>253</v>
      </c>
      <c r="E13" s="73" t="n">
        <f aca="false">Dash_Community</f>
        <v>3</v>
      </c>
      <c r="F13" s="73" t="n">
        <f aca="false">Dash_Community</f>
        <v>3</v>
      </c>
      <c r="G13" s="74"/>
      <c r="H13" s="74" t="n">
        <v>3</v>
      </c>
      <c r="I13" s="74" t="n">
        <v>3</v>
      </c>
    </row>
    <row r="14" customFormat="false" ht="15" hidden="false" customHeight="false" outlineLevel="0" collapsed="false">
      <c r="C14" s="69" t="s">
        <v>70</v>
      </c>
      <c r="D14" s="18" t="s">
        <v>62</v>
      </c>
      <c r="E14" s="77" t="n">
        <f aca="false">Dash_Partial</f>
        <v>1</v>
      </c>
      <c r="F14" s="77" t="n">
        <f aca="false">Dash_Partial</f>
        <v>1</v>
      </c>
      <c r="G14" s="78"/>
      <c r="H14" s="78" t="n">
        <v>0</v>
      </c>
      <c r="I14" s="78" t="n">
        <v>0</v>
      </c>
    </row>
    <row r="15" customFormat="false" ht="14.25" hidden="false" customHeight="true" outlineLevel="0" collapsed="false">
      <c r="C15" s="79" t="s">
        <v>67</v>
      </c>
      <c r="D15" s="80" t="s">
        <v>7</v>
      </c>
      <c r="E15" s="81" t="n">
        <f aca="false">Dash_PB_Mult</f>
        <v>1</v>
      </c>
      <c r="F15" s="81" t="n">
        <f aca="false">Dash_PB_Mult</f>
        <v>1</v>
      </c>
      <c r="G15" s="82"/>
      <c r="H15" s="82" t="n">
        <v>1</v>
      </c>
      <c r="I15" s="82" t="n">
        <v>1</v>
      </c>
    </row>
    <row r="16" customFormat="false" ht="15" hidden="false" customHeight="false" outlineLevel="0" collapsed="false">
      <c r="C16" s="69" t="s">
        <v>71</v>
      </c>
      <c r="D16" s="18" t="s">
        <v>62</v>
      </c>
      <c r="E16" s="83" t="n">
        <f aca="false">Dash_Brownfield</f>
        <v>0</v>
      </c>
      <c r="F16" s="83" t="n">
        <f aca="false">Dash_Brownfield</f>
        <v>0</v>
      </c>
      <c r="G16" s="84"/>
      <c r="H16" s="84" t="n">
        <v>0</v>
      </c>
      <c r="I16" s="84" t="n">
        <v>0</v>
      </c>
    </row>
    <row r="17" customFormat="false" ht="15" hidden="false" customHeight="false" outlineLevel="0" collapsed="false">
      <c r="C17" s="69" t="s">
        <v>72</v>
      </c>
      <c r="D17" s="18" t="s">
        <v>62</v>
      </c>
      <c r="E17" s="77" t="n">
        <f aca="false">Dash_Shared</f>
        <v>1</v>
      </c>
      <c r="F17" s="77" t="n">
        <f aca="false">Dash_Shared</f>
        <v>1</v>
      </c>
      <c r="G17" s="78"/>
      <c r="H17" s="78" t="n">
        <v>0</v>
      </c>
      <c r="I17" s="78" t="n">
        <v>0</v>
      </c>
    </row>
    <row r="18" customFormat="false" ht="15" hidden="false" customHeight="false" outlineLevel="0" collapsed="false">
      <c r="C18" s="69" t="s">
        <v>254</v>
      </c>
      <c r="D18" s="18" t="s">
        <v>62</v>
      </c>
      <c r="E18" s="77" t="n">
        <f aca="false">Dash_EU_Turbine</f>
        <v>0</v>
      </c>
      <c r="F18" s="77" t="n">
        <f aca="false">Dash_EU_Turbine</f>
        <v>0</v>
      </c>
      <c r="G18" s="78"/>
      <c r="H18" s="78" t="n">
        <v>1</v>
      </c>
      <c r="I18" s="78" t="n">
        <v>1</v>
      </c>
    </row>
    <row r="19" customFormat="false" ht="15" hidden="false" customHeight="false" outlineLevel="0" collapsed="false">
      <c r="C19" s="69" t="s">
        <v>255</v>
      </c>
      <c r="D19" s="18" t="s">
        <v>62</v>
      </c>
      <c r="E19" s="77" t="n">
        <f aca="false">Dash_EU_Transformer</f>
        <v>0</v>
      </c>
      <c r="F19" s="77" t="n">
        <f aca="false">Dash_EU_Transformer</f>
        <v>0</v>
      </c>
      <c r="G19" s="78"/>
      <c r="H19" s="78" t="n">
        <v>0</v>
      </c>
      <c r="I19" s="78" t="n">
        <v>0</v>
      </c>
    </row>
    <row r="20" customFormat="false" ht="15" hidden="false" customHeight="false" outlineLevel="0" collapsed="false">
      <c r="C20" s="69" t="s">
        <v>256</v>
      </c>
      <c r="D20" s="18" t="s">
        <v>84</v>
      </c>
      <c r="E20" s="85" t="n">
        <f aca="false">E8*(1+E9)</f>
        <v>151</v>
      </c>
      <c r="F20" s="85" t="n">
        <f aca="false">F8*(1+F9)</f>
        <v>151</v>
      </c>
      <c r="G20" s="85"/>
      <c r="H20" s="85" t="n">
        <f aca="false">H8*(1+H9)</f>
        <v>70</v>
      </c>
      <c r="I20" s="85" t="n">
        <f aca="false">I8*(1+I9)</f>
        <v>70</v>
      </c>
    </row>
    <row r="21" customFormat="false" ht="15" hidden="false" customHeight="false" outlineLevel="0" collapsed="false">
      <c r="C21" s="69" t="s">
        <v>86</v>
      </c>
      <c r="D21" s="18" t="s">
        <v>84</v>
      </c>
      <c r="E21" s="86" t="n">
        <f aca="false">E8*E10</f>
        <v>30</v>
      </c>
      <c r="F21" s="86" t="n">
        <f aca="false">F8*F10</f>
        <v>30</v>
      </c>
      <c r="G21" s="86"/>
      <c r="H21" s="86" t="n">
        <f aca="false">H8*H10</f>
        <v>20.5</v>
      </c>
      <c r="I21" s="86" t="n">
        <f aca="false">I8*I10</f>
        <v>20.5</v>
      </c>
    </row>
    <row r="22" customFormat="false" ht="15" hidden="false" customHeight="false" outlineLevel="0" collapsed="false">
      <c r="C22" s="69" t="s">
        <v>87</v>
      </c>
      <c r="D22" s="18" t="s">
        <v>88</v>
      </c>
      <c r="E22" s="85" t="n">
        <f aca="false">E21*E11</f>
        <v>120</v>
      </c>
      <c r="F22" s="85" t="n">
        <f aca="false">F21*F11</f>
        <v>120</v>
      </c>
      <c r="G22" s="85"/>
      <c r="H22" s="85" t="n">
        <f aca="false">H21*H11</f>
        <v>82</v>
      </c>
      <c r="I22" s="85" t="n">
        <f aca="false">I21*I11</f>
        <v>82</v>
      </c>
    </row>
    <row r="24" customFormat="false" ht="15" hidden="false" customHeight="false" outlineLevel="0" collapsed="false">
      <c r="C24" s="69" t="s">
        <v>257</v>
      </c>
      <c r="D24" s="18" t="s">
        <v>80</v>
      </c>
      <c r="E24" s="87" t="n">
        <f aca="false" t="array" ref="E24:E24">INDEX($H$161:$H$170,1+SUMPRODUCT(($E$162:$E$170&lt;E12)+($E$162:$E$170=E12)*$F$162:$F$170))*$E$160</f>
        <v>20</v>
      </c>
      <c r="F24" s="87" t="n">
        <f aca="false" t="array" ref="F24:F24">INDEX($H$161:$H$170,1+SUMPRODUCT(($E$162:$E$170&lt;F12)+($E$162:$E$170=F12)*$F$162:$F$170))*$E$160</f>
        <v>20</v>
      </c>
      <c r="G24" s="87"/>
      <c r="H24" s="87" t="n">
        <f aca="false" t="array" ref="H24:H24">INDEX($H$161:$H$170,1+SUMPRODUCT(($E$162:$E$170&lt;H12)+($E$162:$E$170=H12)*$F$162:$F$170))*$E$160</f>
        <v>20</v>
      </c>
      <c r="I24" s="87" t="n">
        <f aca="false" t="array" ref="I24:I24">INDEX($H$161:$H$170,1+SUMPRODUCT(($E$162:$E$170&lt;I12)+($E$162:$E$170=I12)*$F$162:$F$170))*$E$160</f>
        <v>20</v>
      </c>
    </row>
    <row r="25" customFormat="false" ht="15" hidden="false" customHeight="false" outlineLevel="0" collapsed="false">
      <c r="C25" s="69" t="s">
        <v>258</v>
      </c>
      <c r="D25" s="18" t="s">
        <v>80</v>
      </c>
      <c r="E25" s="87" t="n">
        <f aca="false" t="array" ref="E25:E25">INDEX($H$173:$H$184,1+SUMPRODUCT(($E$174:$E$184&lt;E13)+($E$174:$E$184=E13)*$F$174:$F$184))*$E$172</f>
        <v>15</v>
      </c>
      <c r="F25" s="87" t="n">
        <f aca="false" t="array" ref="F25:F25">INDEX($H$173:$H$184,1+SUMPRODUCT(($E$174:$E$184&lt;F13)+($E$174:$E$184=F13)*$F$174:$F$184))*$E$172</f>
        <v>15</v>
      </c>
      <c r="G25" s="87"/>
      <c r="H25" s="87" t="n">
        <f aca="false" t="array" ref="H25:H25">INDEX($H$173:$H$184,1+SUMPRODUCT(($E$174:$E$184&lt;H13)+($E$174:$E$184=H13)*$F$174:$F$184))*$E$172</f>
        <v>15</v>
      </c>
      <c r="I25" s="87" t="n">
        <f aca="false" t="array" ref="I25:I25">INDEX($H$173:$H$184,1+SUMPRODUCT(($E$174:$E$184&lt;I13)+($E$174:$E$184=I13)*$F$174:$F$184))*$E$172</f>
        <v>15</v>
      </c>
    </row>
    <row r="26" customFormat="false" ht="15" hidden="false" customHeight="false" outlineLevel="0" collapsed="false">
      <c r="C26" s="69" t="s">
        <v>259</v>
      </c>
      <c r="D26" s="18" t="s">
        <v>80</v>
      </c>
      <c r="E26" s="88" t="n">
        <f aca="false" t="array" ref="E26:E26">INDEX($H$187:$H$197,1+SUMPRODUCT(($E$188:$E$197&lt;E9)+($E$188:$E$197=E9)*$F$188:$F$197))*$E$186</f>
        <v>10</v>
      </c>
      <c r="F26" s="88" t="n">
        <f aca="false" t="array" ref="F26:F26">INDEX($H$187:$H$197,1+SUMPRODUCT(($E$188:$E$197&lt;F9)+($E$188:$E$197=F9)*$F$188:$F$197))*$E$186</f>
        <v>10</v>
      </c>
      <c r="G26" s="88"/>
      <c r="H26" s="88" t="n">
        <f aca="false" t="array" ref="H26:H26">INDEX($H$187:$H$197,1+SUMPRODUCT(($E$188:$E$197&lt;H9)+($E$188:$E$197=H9)*$F$188:$F$197))*$E$186</f>
        <v>9</v>
      </c>
      <c r="I26" s="88" t="n">
        <f aca="false" t="array" ref="I26:I26">INDEX($H$187:$H$197,1+SUMPRODUCT(($E$188:$E$197&lt;I9)+($E$188:$E$197=I9)*$F$188:$F$197))*$E$186</f>
        <v>9</v>
      </c>
    </row>
    <row r="27" customFormat="false" ht="15" hidden="false" customHeight="false" outlineLevel="0" collapsed="false">
      <c r="C27" s="69" t="s">
        <v>260</v>
      </c>
      <c r="D27" s="18" t="s">
        <v>80</v>
      </c>
      <c r="E27" s="87" t="n">
        <f aca="false" t="array" ref="E27:E27">INDEX($H$200:$H$210,1+SUMPRODUCT(($E$201:$E$210&lt;E10)+($E$201:$E$210=E10)*$F$201:$F$210))*$E$199</f>
        <v>10.5</v>
      </c>
      <c r="F27" s="87" t="n">
        <f aca="false" t="array" ref="F27:F27">INDEX($H$200:$H$210,1+SUMPRODUCT(($E$201:$E$210&lt;F10)+($E$201:$E$210=F10)*$F$201:$F$210))*$E$199</f>
        <v>10.5</v>
      </c>
      <c r="G27" s="87"/>
      <c r="H27" s="87" t="n">
        <f aca="false" t="array" ref="H27:H27">INDEX($H$200:$H$210,1+SUMPRODUCT(($E$201:$E$210&lt;H10)+($E$201:$E$210=H10)*$F$201:$F$210))*$E$199</f>
        <v>13.5</v>
      </c>
      <c r="I27" s="87" t="n">
        <f aca="false" t="array" ref="I27:I27">INDEX($H$200:$H$210,1+SUMPRODUCT(($E$201:$E$210&lt;I10)+($E$201:$E$210=I10)*$F$201:$F$210))*$E$199</f>
        <v>13.5</v>
      </c>
    </row>
    <row r="28" customFormat="false" ht="15" hidden="false" customHeight="false" outlineLevel="0" collapsed="false">
      <c r="C28" s="69" t="s">
        <v>261</v>
      </c>
      <c r="D28" s="18" t="s">
        <v>80</v>
      </c>
      <c r="E28" s="87" t="n">
        <f aca="false">E14*$H$226*$E$226</f>
        <v>5</v>
      </c>
      <c r="F28" s="87" t="n">
        <f aca="false">F14*$H$226*$E$226</f>
        <v>5</v>
      </c>
      <c r="G28" s="87"/>
      <c r="H28" s="87" t="n">
        <f aca="false">H14*$H$226*$E$226</f>
        <v>0</v>
      </c>
      <c r="I28" s="87" t="n">
        <f aca="false">I14*$H$226*$E$226</f>
        <v>0</v>
      </c>
    </row>
    <row r="29" customFormat="false" ht="15" hidden="false" customHeight="false" outlineLevel="0" collapsed="false">
      <c r="C29" s="69" t="s">
        <v>262</v>
      </c>
      <c r="D29" s="18" t="s">
        <v>80</v>
      </c>
      <c r="E29" s="87" t="n">
        <f aca="false" t="array" ref="E29:E29">INDEX($H$213:$H$223,1+SUMPRODUCT(($E$214:$E$223&lt;E15)+($E$214:$E$223=E15)*$F$214:$F$223))*$E$212</f>
        <v>0</v>
      </c>
      <c r="F29" s="87" t="n">
        <f aca="false" t="array" ref="F29:F29">INDEX($H$213:$H$223,1+SUMPRODUCT(($E$214:$E$223&lt;F15)+($E$214:$E$223=F15)*$F$214:$F$223))*$E$212</f>
        <v>0</v>
      </c>
      <c r="G29" s="87"/>
      <c r="H29" s="87" t="n">
        <f aca="false" t="array" ref="H29:H29">INDEX($H$213:$H$223,1+SUMPRODUCT(($E$214:$E$223&lt;H15)+($E$214:$E$223=H15)*$F$214:$F$223))*$E$212</f>
        <v>0</v>
      </c>
      <c r="I29" s="87" t="n">
        <f aca="false" t="array" ref="I29:I29">INDEX($H$213:$H$223,1+SUMPRODUCT(($E$214:$E$223&lt;I15)+($E$214:$E$223=I15)*$F$214:$F$223))*$E$212</f>
        <v>0</v>
      </c>
    </row>
    <row r="30" customFormat="false" ht="15" hidden="false" customHeight="false" outlineLevel="0" collapsed="false">
      <c r="C30" s="69" t="s">
        <v>263</v>
      </c>
      <c r="D30" s="18" t="s">
        <v>80</v>
      </c>
      <c r="E30" s="87" t="n">
        <f aca="false">E16*$H$227*$E$227</f>
        <v>0</v>
      </c>
      <c r="F30" s="87" t="n">
        <f aca="false">F16*$H$227*$E$227</f>
        <v>0</v>
      </c>
      <c r="G30" s="87"/>
      <c r="H30" s="87" t="n">
        <f aca="false">H16*$H$227*$E$227</f>
        <v>0</v>
      </c>
      <c r="I30" s="87" t="n">
        <f aca="false">I16*$H$227*$E$227</f>
        <v>0</v>
      </c>
    </row>
    <row r="31" customFormat="false" ht="15" hidden="false" customHeight="false" outlineLevel="0" collapsed="false">
      <c r="C31" s="69" t="s">
        <v>264</v>
      </c>
      <c r="D31" s="18" t="s">
        <v>80</v>
      </c>
      <c r="E31" s="87" t="n">
        <f aca="false">E17*$H$228*$E$228</f>
        <v>5</v>
      </c>
      <c r="F31" s="87" t="n">
        <f aca="false">F17*$H$228*$E$228</f>
        <v>5</v>
      </c>
      <c r="G31" s="87"/>
      <c r="H31" s="87" t="n">
        <f aca="false">H17*$H$228*$E$228</f>
        <v>0</v>
      </c>
      <c r="I31" s="87" t="n">
        <f aca="false">I17*$H$228*$E$228</f>
        <v>0</v>
      </c>
    </row>
    <row r="32" customFormat="false" ht="15" hidden="false" customHeight="false" outlineLevel="0" collapsed="false">
      <c r="C32" s="69" t="s">
        <v>265</v>
      </c>
      <c r="D32" s="18" t="s">
        <v>80</v>
      </c>
      <c r="E32" s="87" t="n">
        <f aca="false">E18*$H$231*$E$230</f>
        <v>0</v>
      </c>
      <c r="F32" s="87" t="n">
        <f aca="false">F18*$H$231*$E$230</f>
        <v>0</v>
      </c>
      <c r="G32" s="87"/>
      <c r="H32" s="87" t="n">
        <f aca="false">H18*$H$231*$E$230</f>
        <v>12</v>
      </c>
      <c r="I32" s="87" t="n">
        <f aca="false">I18*$H$231*$E$230</f>
        <v>12</v>
      </c>
    </row>
    <row r="33" customFormat="false" ht="15" hidden="false" customHeight="false" outlineLevel="0" collapsed="false">
      <c r="C33" s="69" t="s">
        <v>266</v>
      </c>
      <c r="D33" s="18" t="s">
        <v>80</v>
      </c>
      <c r="E33" s="87" t="n">
        <f aca="false">E19*$H$232*$E$230</f>
        <v>0</v>
      </c>
      <c r="F33" s="87" t="n">
        <f aca="false">F19*$H$232*$E$230</f>
        <v>0</v>
      </c>
      <c r="G33" s="87"/>
      <c r="H33" s="87" t="n">
        <f aca="false">H19*$H$232*$E$230</f>
        <v>0</v>
      </c>
      <c r="I33" s="87" t="n">
        <f aca="false">I19*$H$232*$E$230</f>
        <v>0</v>
      </c>
    </row>
    <row r="34" customFormat="false" ht="15" hidden="false" customHeight="false" outlineLevel="0" collapsed="false">
      <c r="C34" s="89" t="s">
        <v>267</v>
      </c>
      <c r="D34" s="18" t="s">
        <v>80</v>
      </c>
      <c r="E34" s="90" t="n">
        <f aca="false">SUM(E24:E33)</f>
        <v>65.5</v>
      </c>
      <c r="F34" s="90" t="n">
        <f aca="false">SUM(F24:F33)</f>
        <v>65.5</v>
      </c>
      <c r="G34" s="90"/>
      <c r="H34" s="90" t="n">
        <f aca="false">SUM(H24:H33)</f>
        <v>69.5</v>
      </c>
      <c r="I34" s="90" t="n">
        <f aca="false">SUM(I24:I33)</f>
        <v>69.5</v>
      </c>
    </row>
    <row r="36" customFormat="false" ht="15" hidden="false" customHeight="false" outlineLevel="0" collapsed="false">
      <c r="A36" s="71" t="s">
        <v>7</v>
      </c>
      <c r="B36" s="71"/>
      <c r="C36" s="71" t="s">
        <v>268</v>
      </c>
      <c r="D36" s="71"/>
      <c r="E36" s="72" t="s">
        <v>269</v>
      </c>
      <c r="F36" s="71"/>
      <c r="G36" s="71"/>
      <c r="H36" s="71"/>
      <c r="I36" s="71"/>
      <c r="J36" s="71"/>
      <c r="K36" s="71"/>
      <c r="L36" s="71"/>
      <c r="M36" s="71"/>
      <c r="N36" s="71"/>
      <c r="O36" s="71"/>
    </row>
    <row r="37" customFormat="false" ht="15" hidden="false" customHeight="false" outlineLevel="0" collapsed="false">
      <c r="C37" s="69" t="s">
        <v>270</v>
      </c>
      <c r="D37" s="18" t="s">
        <v>220</v>
      </c>
      <c r="E37" s="91" t="n">
        <f aca="false">Inputs!$E$27</f>
        <v>46234</v>
      </c>
    </row>
    <row r="38" customFormat="false" ht="15" hidden="false" customHeight="false" outlineLevel="0" collapsed="false">
      <c r="C38" s="69" t="s">
        <v>271</v>
      </c>
      <c r="D38" s="18" t="s">
        <v>220</v>
      </c>
      <c r="E38" s="91" t="n">
        <f aca="false">Inputs!$E$95</f>
        <v>46325</v>
      </c>
    </row>
    <row r="39" customFormat="false" ht="15" hidden="false" customHeight="false" outlineLevel="0" collapsed="false">
      <c r="C39" s="69" t="s">
        <v>272</v>
      </c>
      <c r="D39" s="18" t="s">
        <v>220</v>
      </c>
      <c r="E39" s="91" t="n">
        <f aca="false">Deposits!$K$10</f>
        <v>46386</v>
      </c>
    </row>
    <row r="40" customFormat="false" ht="15" hidden="false" customHeight="false" outlineLevel="0" collapsed="false">
      <c r="C40" s="69" t="s">
        <v>273</v>
      </c>
      <c r="D40" s="18" t="s">
        <v>220</v>
      </c>
      <c r="E40" s="91" t="n">
        <f aca="false">Inputs!$E$97</f>
        <v>46386</v>
      </c>
    </row>
    <row r="41" customFormat="false" ht="15" hidden="false" customHeight="false" outlineLevel="0" collapsed="false">
      <c r="C41" s="69" t="s">
        <v>274</v>
      </c>
      <c r="D41" s="18" t="s">
        <v>220</v>
      </c>
      <c r="E41" s="91" t="n">
        <f aca="false">Devex_FEP!$F$38</f>
        <v>47118</v>
      </c>
    </row>
    <row r="42" customFormat="false" ht="15" hidden="false" customHeight="false" outlineLevel="0" collapsed="false">
      <c r="C42" s="69" t="s">
        <v>275</v>
      </c>
      <c r="D42" s="18" t="s">
        <v>220</v>
      </c>
      <c r="E42" s="91" t="n">
        <f aca="false">Inputs!$E$99</f>
        <v>47126</v>
      </c>
    </row>
    <row r="43" customFormat="false" ht="15" hidden="false" customHeight="false" outlineLevel="0" collapsed="false">
      <c r="C43" s="69" t="s">
        <v>276</v>
      </c>
      <c r="D43" s="18" t="s">
        <v>220</v>
      </c>
      <c r="E43" s="91" t="n">
        <f aca="false">Inputs!$E$154</f>
        <v>47299</v>
      </c>
    </row>
    <row r="44" customFormat="false" ht="15" hidden="false" customHeight="false" outlineLevel="0" collapsed="false">
      <c r="C44" s="69" t="s">
        <v>222</v>
      </c>
      <c r="D44" s="18" t="s">
        <v>220</v>
      </c>
      <c r="E44" s="91" t="n">
        <f aca="false">Inputs!$E$155</f>
        <v>48029</v>
      </c>
    </row>
    <row r="45" customFormat="false" ht="15" hidden="false" customHeight="false" outlineLevel="0" collapsed="false">
      <c r="C45" s="69" t="s">
        <v>277</v>
      </c>
      <c r="D45" s="18" t="s">
        <v>220</v>
      </c>
      <c r="E45" s="92" t="n">
        <v>48669</v>
      </c>
      <c r="F45" s="18" t="s">
        <v>278</v>
      </c>
    </row>
    <row r="47" customFormat="false" ht="15" hidden="false" customHeight="false" outlineLevel="0" collapsed="false">
      <c r="A47" s="71" t="s">
        <v>7</v>
      </c>
      <c r="B47" s="71"/>
      <c r="C47" s="71" t="s">
        <v>279</v>
      </c>
      <c r="D47" s="71"/>
      <c r="E47" s="72" t="s">
        <v>245</v>
      </c>
      <c r="F47" s="72" t="s">
        <v>246</v>
      </c>
      <c r="G47" s="72"/>
      <c r="H47" s="72" t="s">
        <v>247</v>
      </c>
      <c r="I47" s="72" t="s">
        <v>248</v>
      </c>
      <c r="J47" s="71"/>
      <c r="K47" s="71"/>
      <c r="L47" s="71"/>
      <c r="M47" s="71"/>
      <c r="N47" s="71"/>
      <c r="O47" s="71"/>
    </row>
    <row r="48" customFormat="false" ht="15" hidden="false" customHeight="false" outlineLevel="0" collapsed="false">
      <c r="C48" s="69" t="s">
        <v>280</v>
      </c>
      <c r="D48" s="18" t="s">
        <v>218</v>
      </c>
      <c r="E48" s="73" t="n">
        <f aca="false">Inputs!$E$11</f>
        <v>365</v>
      </c>
      <c r="F48" s="73" t="n">
        <f aca="false">Inputs!$E$11</f>
        <v>365</v>
      </c>
      <c r="G48" s="74"/>
      <c r="H48" s="74" t="n">
        <v>365</v>
      </c>
      <c r="I48" s="74" t="n">
        <v>365</v>
      </c>
    </row>
    <row r="49" customFormat="false" ht="15" hidden="false" customHeight="false" outlineLevel="0" collapsed="false">
      <c r="C49" s="69" t="s">
        <v>281</v>
      </c>
      <c r="D49" s="18" t="s">
        <v>282</v>
      </c>
      <c r="E49" s="73" t="n">
        <f aca="false">Inputs!$E$75*Million</f>
        <v>406000000</v>
      </c>
      <c r="F49" s="73" t="n">
        <f aca="false">Inputs!$E$75*Million</f>
        <v>406000000</v>
      </c>
      <c r="G49" s="74"/>
      <c r="H49" s="74" t="n">
        <v>406000000</v>
      </c>
      <c r="I49" s="74" t="n">
        <v>406000000</v>
      </c>
    </row>
    <row r="50" customFormat="false" ht="15" hidden="false" customHeight="false" outlineLevel="0" collapsed="false">
      <c r="C50" s="69" t="s">
        <v>283</v>
      </c>
      <c r="D50" s="18" t="s">
        <v>284</v>
      </c>
      <c r="E50" s="73" t="n">
        <f aca="false">Inputs!$E$89*Million</f>
        <v>200000000</v>
      </c>
      <c r="F50" s="73" t="n">
        <f aca="false">Inputs!$E$89*Million</f>
        <v>200000000</v>
      </c>
      <c r="G50" s="74"/>
      <c r="H50" s="74" t="n">
        <v>200000000</v>
      </c>
      <c r="I50" s="74" t="n">
        <v>200000000</v>
      </c>
    </row>
    <row r="51" customFormat="false" ht="15" hidden="false" customHeight="false" outlineLevel="0" collapsed="false">
      <c r="C51" s="69" t="s">
        <v>285</v>
      </c>
      <c r="D51" s="18" t="s">
        <v>286</v>
      </c>
      <c r="E51" s="73" t="n">
        <f aca="false">Inputs!$E$81*Million</f>
        <v>3000000</v>
      </c>
      <c r="F51" s="73" t="n">
        <f aca="false">Inputs!$E$81*Million</f>
        <v>3000000</v>
      </c>
      <c r="G51" s="74"/>
      <c r="H51" s="74" t="n">
        <v>3000000</v>
      </c>
      <c r="I51" s="74" t="n">
        <v>3000000</v>
      </c>
    </row>
    <row r="52" customFormat="false" ht="15" hidden="false" customHeight="false" outlineLevel="0" collapsed="false">
      <c r="C52" s="69" t="s">
        <v>287</v>
      </c>
      <c r="D52" s="18" t="s">
        <v>51</v>
      </c>
      <c r="E52" s="75" t="n">
        <f aca="false">Inputs!$E$76</f>
        <v>0.005</v>
      </c>
      <c r="F52" s="75" t="n">
        <f aca="false">Inputs!$E$76</f>
        <v>0.005</v>
      </c>
      <c r="G52" s="76"/>
      <c r="H52" s="76" t="n">
        <v>0.005</v>
      </c>
      <c r="I52" s="76" t="n">
        <v>0.005</v>
      </c>
    </row>
    <row r="53" customFormat="false" ht="15" hidden="false" customHeight="false" outlineLevel="0" collapsed="false">
      <c r="C53" s="69" t="s">
        <v>288</v>
      </c>
      <c r="D53" s="18" t="s">
        <v>51</v>
      </c>
      <c r="E53" s="75" t="n">
        <f aca="false">Inputs!$E$77</f>
        <v>0.025</v>
      </c>
      <c r="F53" s="75" t="n">
        <f aca="false">Inputs!$E$77</f>
        <v>0.025</v>
      </c>
      <c r="G53" s="76"/>
      <c r="H53" s="76" t="n">
        <v>0.025</v>
      </c>
      <c r="I53" s="76" t="n">
        <v>0.025</v>
      </c>
    </row>
    <row r="54" customFormat="false" ht="15" hidden="false" customHeight="false" outlineLevel="0" collapsed="false">
      <c r="C54" s="69" t="s">
        <v>289</v>
      </c>
      <c r="D54" s="18" t="s">
        <v>290</v>
      </c>
      <c r="E54" s="73" t="n">
        <f aca="false">Inputs!$E$83*Million</f>
        <v>4500000</v>
      </c>
      <c r="F54" s="73" t="n">
        <f aca="false">Inputs!$E$83*Million</f>
        <v>4500000</v>
      </c>
      <c r="G54" s="74"/>
      <c r="H54" s="74" t="n">
        <v>4500000</v>
      </c>
      <c r="I54" s="74" t="n">
        <v>4500000</v>
      </c>
    </row>
    <row r="55" customFormat="false" ht="15" hidden="false" customHeight="false" outlineLevel="0" collapsed="false">
      <c r="C55" s="69" t="s">
        <v>291</v>
      </c>
      <c r="D55" s="18" t="s">
        <v>290</v>
      </c>
      <c r="E55" s="73" t="n">
        <f aca="false">Inputs!$E$85*Million</f>
        <v>73071306</v>
      </c>
      <c r="F55" s="73" t="n">
        <f aca="false">Inputs!$E$85*Million</f>
        <v>73071306</v>
      </c>
      <c r="G55" s="74"/>
      <c r="H55" s="74" t="n">
        <v>19826680</v>
      </c>
      <c r="I55" s="74" t="n">
        <v>19826680</v>
      </c>
    </row>
    <row r="56" customFormat="false" ht="15" hidden="false" customHeight="false" outlineLevel="0" collapsed="false">
      <c r="C56" s="69" t="s">
        <v>292</v>
      </c>
      <c r="D56" s="18" t="s">
        <v>286</v>
      </c>
      <c r="E56" s="73" t="n">
        <f aca="false">Inputs!$E$84*Million*E$8</f>
        <v>254172902</v>
      </c>
      <c r="F56" s="73" t="n">
        <f aca="false">Inputs!$E$84*Million*F$8</f>
        <v>254172902</v>
      </c>
      <c r="G56" s="74"/>
      <c r="H56" s="74" t="n">
        <v>460000000</v>
      </c>
      <c r="I56" s="74" t="n">
        <v>460000000</v>
      </c>
    </row>
    <row r="57" customFormat="false" ht="15" hidden="false" customHeight="false" outlineLevel="0" collapsed="false">
      <c r="C57" s="69" t="s">
        <v>293</v>
      </c>
      <c r="D57" s="18" t="s">
        <v>51</v>
      </c>
      <c r="E57" s="75" t="n">
        <f aca="false">Inputs!$E$113</f>
        <v>0.06</v>
      </c>
      <c r="F57" s="75" t="n">
        <f aca="false">Inputs!$E$113</f>
        <v>0.06</v>
      </c>
      <c r="G57" s="76"/>
      <c r="H57" s="76" t="n">
        <v>0.06</v>
      </c>
      <c r="I57" s="76" t="n">
        <v>0.06</v>
      </c>
    </row>
    <row r="58" customFormat="false" ht="15" hidden="false" customHeight="false" outlineLevel="0" collapsed="false">
      <c r="C58" s="69" t="s">
        <v>294</v>
      </c>
      <c r="D58" s="18" t="s">
        <v>18</v>
      </c>
      <c r="E58" s="73" t="n">
        <f aca="false">Inputs!$E$24+Inputs!$E$25</f>
        <v>200</v>
      </c>
      <c r="F58" s="73" t="n">
        <f aca="false">Inputs!$E$24+Inputs!$E$25</f>
        <v>200</v>
      </c>
      <c r="G58" s="74"/>
      <c r="H58" s="74" t="n">
        <v>150</v>
      </c>
      <c r="I58" s="74" t="n">
        <v>150</v>
      </c>
    </row>
    <row r="59" customFormat="false" ht="15" hidden="false" customHeight="false" outlineLevel="0" collapsed="false">
      <c r="C59" s="69" t="s">
        <v>295</v>
      </c>
      <c r="D59" s="18" t="s">
        <v>18</v>
      </c>
      <c r="H59" s="74" t="n">
        <v>500</v>
      </c>
      <c r="I59" s="74" t="n">
        <v>500</v>
      </c>
    </row>
    <row r="60" customFormat="false" ht="15" hidden="false" customHeight="false" outlineLevel="0" collapsed="false">
      <c r="C60" s="69" t="s">
        <v>296</v>
      </c>
      <c r="D60" s="18" t="s">
        <v>51</v>
      </c>
      <c r="E60" s="75" t="n">
        <f aca="false">Inputs!$E$68</f>
        <v>0.1</v>
      </c>
      <c r="F60" s="75" t="n">
        <f aca="false">Inputs!$E$68</f>
        <v>0.1</v>
      </c>
      <c r="G60" s="76"/>
    </row>
    <row r="62" customFormat="false" ht="15" hidden="false" customHeight="false" outlineLevel="0" collapsed="false">
      <c r="A62" s="71" t="s">
        <v>7</v>
      </c>
      <c r="B62" s="71"/>
      <c r="C62" s="71" t="s">
        <v>297</v>
      </c>
      <c r="D62" s="71"/>
      <c r="E62" s="72" t="s">
        <v>245</v>
      </c>
      <c r="F62" s="72" t="s">
        <v>246</v>
      </c>
      <c r="G62" s="93" t="s">
        <v>298</v>
      </c>
      <c r="H62" s="93" t="s">
        <v>247</v>
      </c>
      <c r="I62" s="93" t="s">
        <v>248</v>
      </c>
      <c r="J62" s="93" t="s">
        <v>299</v>
      </c>
      <c r="K62" s="71"/>
      <c r="L62" s="72" t="s">
        <v>269</v>
      </c>
      <c r="M62" s="71"/>
      <c r="N62" s="71"/>
      <c r="O62" s="71"/>
    </row>
    <row r="63" customFormat="false" ht="15" hidden="false" customHeight="false" outlineLevel="0" collapsed="false">
      <c r="C63" s="69" t="s">
        <v>168</v>
      </c>
      <c r="D63" s="18" t="s">
        <v>286</v>
      </c>
      <c r="E63" s="85" t="n">
        <f aca="false">$E$51*In_Bids</f>
        <v>3000000</v>
      </c>
      <c r="F63" s="85" t="n">
        <f aca="false">$F$51*In_Bids</f>
        <v>3000000</v>
      </c>
      <c r="G63" s="85" t="n">
        <f aca="false">+E63+F63</f>
        <v>6000000</v>
      </c>
      <c r="H63" s="85" t="n">
        <f aca="false">$H$51</f>
        <v>3000000</v>
      </c>
      <c r="I63" s="85" t="n">
        <f aca="false">$I$51</f>
        <v>3000000</v>
      </c>
      <c r="J63" s="85" t="n">
        <f aca="false">SUM(E63:I63)-G63</f>
        <v>12000000</v>
      </c>
      <c r="L63" s="94" t="n">
        <f aca="false">Inputs!$E$95</f>
        <v>46325</v>
      </c>
    </row>
    <row r="64" customFormat="false" ht="15" hidden="false" customHeight="false" outlineLevel="0" collapsed="false">
      <c r="C64" s="95" t="s">
        <v>300</v>
      </c>
      <c r="D64" s="96" t="s">
        <v>286</v>
      </c>
      <c r="E64" s="97" t="n">
        <f aca="false">$E$52*($E$20*$E$49+$E$22*$E$50)</f>
        <v>426530000</v>
      </c>
      <c r="F64" s="97" t="n">
        <f aca="false">$F$52*($F$20*$F$49+$F$22*$F$50)</f>
        <v>426530000</v>
      </c>
      <c r="G64" s="97" t="n">
        <f aca="false">+E64+F64</f>
        <v>853060000</v>
      </c>
      <c r="H64" s="97" t="n">
        <f aca="false">$H$52*($H$20*$H$49+$H$22*$H$50)</f>
        <v>224100000</v>
      </c>
      <c r="I64" s="97" t="n">
        <f aca="false">$I$52*($I$20*$I$49+$I$22*$I$50)</f>
        <v>224100000</v>
      </c>
      <c r="J64" s="97" t="n">
        <f aca="false">SUM(E64:I64)-G64</f>
        <v>1301260000</v>
      </c>
      <c r="K64" s="98"/>
      <c r="L64" s="99" t="n">
        <f aca="false">Inputs!$E$95</f>
        <v>46325</v>
      </c>
    </row>
    <row r="65" customFormat="false" ht="15" hidden="false" customHeight="false" outlineLevel="0" collapsed="false">
      <c r="C65" s="100" t="s">
        <v>301</v>
      </c>
      <c r="D65" s="101" t="s">
        <v>286</v>
      </c>
      <c r="E65" s="102" t="n">
        <f aca="false">$E$53*$E$15*($E$20*$E$49+$E$22*$E$50)</f>
        <v>2132650000</v>
      </c>
      <c r="F65" s="102" t="n">
        <f aca="false">$F$53*$F$15*($F$20*$F$49+$F$22*$F$50)</f>
        <v>2132650000</v>
      </c>
      <c r="G65" s="102" t="n">
        <f aca="false">+E65+F65</f>
        <v>4265300000</v>
      </c>
      <c r="H65" s="102" t="n">
        <f aca="false">$H$53*$H$15*($H$20*$H$49+$H$22*$H$50)</f>
        <v>1120500000</v>
      </c>
      <c r="I65" s="102" t="n">
        <f aca="false">$I$53*$I$15*($I$20*$I$49+$I$22*$I$50)</f>
        <v>1120500000</v>
      </c>
      <c r="J65" s="102" t="n">
        <f aca="false">SUM(E65:I65)-G65</f>
        <v>6506300000</v>
      </c>
      <c r="K65" s="103"/>
      <c r="L65" s="104" t="n">
        <f aca="false">Deposits!$K$10</f>
        <v>46386</v>
      </c>
    </row>
    <row r="66" customFormat="false" ht="15" hidden="false" customHeight="false" outlineLevel="0" collapsed="false">
      <c r="C66" s="69" t="s">
        <v>302</v>
      </c>
      <c r="D66" s="18" t="s">
        <v>286</v>
      </c>
      <c r="E66" s="85" t="n">
        <f aca="false">$E$54*$E$8</f>
        <v>450000000</v>
      </c>
      <c r="F66" s="85" t="n">
        <f aca="false">$F$54*$F$8</f>
        <v>450000000</v>
      </c>
      <c r="G66" s="85" t="n">
        <f aca="false">+E66+F66</f>
        <v>900000000</v>
      </c>
      <c r="H66" s="85" t="n">
        <f aca="false">$H$54*$H$8</f>
        <v>225000000</v>
      </c>
      <c r="I66" s="85" t="n">
        <f aca="false">$I$54*$I$8</f>
        <v>225000000</v>
      </c>
      <c r="J66" s="85" t="n">
        <f aca="false">SUM(E66:I66)-G66</f>
        <v>1350000000</v>
      </c>
      <c r="L66" s="94" t="n">
        <f aca="false">Inputs!$E$97</f>
        <v>46386</v>
      </c>
    </row>
    <row r="67" customFormat="false" ht="15" hidden="false" customHeight="false" outlineLevel="0" collapsed="false">
      <c r="C67" s="69" t="s">
        <v>303</v>
      </c>
      <c r="D67" s="18" t="s">
        <v>286</v>
      </c>
      <c r="E67" s="85" t="n">
        <f aca="false">$E$56</f>
        <v>254172902</v>
      </c>
      <c r="F67" s="85" t="n">
        <f aca="false">$F$56</f>
        <v>254172902</v>
      </c>
      <c r="G67" s="85" t="n">
        <f aca="false">+E67+F67</f>
        <v>508345804</v>
      </c>
      <c r="H67" s="85" t="n">
        <f aca="false">$H$56</f>
        <v>460000000</v>
      </c>
      <c r="I67" s="85" t="n">
        <f aca="false">$I$56</f>
        <v>460000000</v>
      </c>
      <c r="J67" s="85" t="n">
        <f aca="false">SUM(E67:I67)-G67</f>
        <v>1428345804</v>
      </c>
      <c r="L67" s="94" t="n">
        <f aca="false">Inputs!$E$99</f>
        <v>47126</v>
      </c>
    </row>
    <row r="68" customFormat="false" ht="15" hidden="false" customHeight="false" outlineLevel="0" collapsed="false">
      <c r="C68" s="69" t="s">
        <v>304</v>
      </c>
      <c r="D68" s="18" t="s">
        <v>286</v>
      </c>
      <c r="E68" s="85" t="n">
        <f aca="false">$E$55*$E$8</f>
        <v>7307130600</v>
      </c>
      <c r="F68" s="85" t="n">
        <f aca="false">$F$55*$F$8</f>
        <v>7307130600</v>
      </c>
      <c r="G68" s="85" t="n">
        <f aca="false">+E68+F68</f>
        <v>14614261200</v>
      </c>
      <c r="H68" s="85" t="n">
        <f aca="false">$H$55*$H$8</f>
        <v>991334000</v>
      </c>
      <c r="I68" s="85" t="n">
        <f aca="false">$I$55*$I$8</f>
        <v>991334000</v>
      </c>
      <c r="J68" s="85" t="n">
        <f aca="false">SUM(E68:I68)-G68</f>
        <v>16596929200</v>
      </c>
      <c r="L68" s="94" t="n">
        <f aca="false">Inputs!$E$99</f>
        <v>47126</v>
      </c>
    </row>
    <row r="69" customFormat="false" ht="15" hidden="false" customHeight="false" outlineLevel="0" collapsed="false">
      <c r="C69" s="69" t="s">
        <v>305</v>
      </c>
      <c r="D69" s="18" t="s">
        <v>286</v>
      </c>
      <c r="E69" s="85" t="n">
        <f aca="false">-E66</f>
        <v>-450000000</v>
      </c>
      <c r="F69" s="85" t="n">
        <f aca="false">-F66</f>
        <v>-450000000</v>
      </c>
      <c r="G69" s="85" t="n">
        <f aca="false">+E69+F69</f>
        <v>-900000000</v>
      </c>
      <c r="H69" s="85" t="n">
        <f aca="false">-H66</f>
        <v>-225000000</v>
      </c>
      <c r="I69" s="85" t="n">
        <f aca="false">-I66</f>
        <v>-225000000</v>
      </c>
      <c r="J69" s="85" t="n">
        <f aca="false">SUM(E69:I69)-G69</f>
        <v>-1350000000</v>
      </c>
    </row>
    <row r="70" customFormat="false" ht="15" hidden="false" customHeight="false" outlineLevel="0" collapsed="false">
      <c r="C70" s="69" t="s">
        <v>306</v>
      </c>
      <c r="D70" s="18" t="s">
        <v>286</v>
      </c>
      <c r="E70" s="85" t="n">
        <f aca="false">E68+E69</f>
        <v>6857130600</v>
      </c>
      <c r="F70" s="85" t="n">
        <f aca="false">F68+F69</f>
        <v>6857130600</v>
      </c>
      <c r="G70" s="105" t="n">
        <f aca="false">+E70+F70</f>
        <v>13714261200</v>
      </c>
      <c r="H70" s="85" t="n">
        <f aca="false">H68+H69</f>
        <v>766334000</v>
      </c>
      <c r="I70" s="85" t="n">
        <f aca="false">I68+I69</f>
        <v>766334000</v>
      </c>
      <c r="J70" s="85" t="n">
        <f aca="false">SUM(E70:I70)-G70</f>
        <v>15246929200</v>
      </c>
      <c r="L70" s="94" t="n">
        <f aca="false">Inputs!$E$99</f>
        <v>47126</v>
      </c>
    </row>
    <row r="71" customFormat="false" ht="15" hidden="false" customHeight="false" outlineLevel="0" collapsed="false">
      <c r="C71" s="89" t="s">
        <v>307</v>
      </c>
      <c r="D71" s="18" t="s">
        <v>286</v>
      </c>
      <c r="E71" s="106" t="n">
        <f aca="false">MAX(E64,E65)</f>
        <v>2132650000</v>
      </c>
      <c r="F71" s="106" t="n">
        <f aca="false">MAX(F64,F65)</f>
        <v>2132650000</v>
      </c>
      <c r="G71" s="107" t="n">
        <f aca="false">+E71+F71</f>
        <v>4265300000</v>
      </c>
      <c r="H71" s="106" t="n">
        <f aca="false">MAX(H64,H65)</f>
        <v>1120500000</v>
      </c>
      <c r="I71" s="106" t="n">
        <f aca="false">MAX(I64,I65)</f>
        <v>1120500000</v>
      </c>
      <c r="J71" s="106" t="n">
        <f aca="false">SUM(E71:I71)-G71</f>
        <v>6506300000</v>
      </c>
    </row>
    <row r="72" customFormat="false" ht="15" hidden="false" customHeight="false" outlineLevel="0" collapsed="false">
      <c r="C72" s="89" t="s">
        <v>308</v>
      </c>
      <c r="D72" s="18" t="s">
        <v>286</v>
      </c>
      <c r="E72" s="106" t="n">
        <f aca="false">E63+E66+E67+E70</f>
        <v>7564303502</v>
      </c>
      <c r="F72" s="106" t="n">
        <f aca="false">F63+F66+F67+F70</f>
        <v>7564303502</v>
      </c>
      <c r="G72" s="108" t="n">
        <f aca="false">+E72+F72</f>
        <v>15128607004</v>
      </c>
      <c r="H72" s="106" t="n">
        <f aca="false">H63+H66+H67+H70</f>
        <v>1454334000</v>
      </c>
      <c r="I72" s="106" t="n">
        <f aca="false">I63+I66+I67+I70</f>
        <v>1454334000</v>
      </c>
      <c r="J72" s="106" t="n">
        <f aca="false">SUM(E72:I72)-G72</f>
        <v>18037275004</v>
      </c>
    </row>
    <row r="74" customFormat="false" ht="15" hidden="false" customHeight="false" outlineLevel="0" collapsed="false">
      <c r="A74" s="71" t="s">
        <v>7</v>
      </c>
      <c r="B74" s="71"/>
      <c r="C74" s="71" t="s">
        <v>309</v>
      </c>
      <c r="D74" s="71"/>
      <c r="E74" s="72" t="s">
        <v>245</v>
      </c>
      <c r="F74" s="72" t="s">
        <v>246</v>
      </c>
      <c r="G74" s="72"/>
      <c r="H74" s="72" t="s">
        <v>247</v>
      </c>
      <c r="I74" s="72" t="s">
        <v>248</v>
      </c>
      <c r="J74" s="72" t="s">
        <v>299</v>
      </c>
      <c r="K74" s="71"/>
      <c r="L74" s="72" t="s">
        <v>269</v>
      </c>
      <c r="M74" s="72" t="s">
        <v>310</v>
      </c>
      <c r="N74" s="71"/>
      <c r="O74" s="71"/>
    </row>
    <row r="75" customFormat="false" ht="15" hidden="false" customHeight="false" outlineLevel="0" collapsed="false">
      <c r="C75" s="69" t="s">
        <v>294</v>
      </c>
      <c r="D75" s="18" t="s">
        <v>18</v>
      </c>
      <c r="E75" s="85" t="n">
        <f aca="false">E$58</f>
        <v>200</v>
      </c>
      <c r="F75" s="85" t="n">
        <f aca="false">F$58</f>
        <v>200</v>
      </c>
      <c r="G75" s="85"/>
      <c r="H75" s="85" t="n">
        <f aca="false">H$58</f>
        <v>150</v>
      </c>
      <c r="I75" s="85" t="n">
        <f aca="false">I$58</f>
        <v>150</v>
      </c>
      <c r="J75" s="85" t="n">
        <f aca="false">SUM(E75:I75)</f>
        <v>700</v>
      </c>
      <c r="L75" s="94" t="n">
        <f aca="false">Inputs!$E$27</f>
        <v>46234</v>
      </c>
      <c r="M75" s="109" t="n">
        <v>1</v>
      </c>
    </row>
    <row r="76" customFormat="false" ht="15" hidden="false" customHeight="false" outlineLevel="0" collapsed="false">
      <c r="C76" s="69" t="s">
        <v>168</v>
      </c>
      <c r="D76" s="18" t="s">
        <v>18</v>
      </c>
      <c r="E76" s="86" t="n">
        <f aca="false">E63/Thousand/E$48</f>
        <v>8.21917808219178</v>
      </c>
      <c r="F76" s="86" t="n">
        <f aca="false">F63/Thousand/F$48</f>
        <v>8.21917808219178</v>
      </c>
      <c r="G76" s="86"/>
      <c r="H76" s="86" t="n">
        <f aca="false">H63/Thousand/H$48</f>
        <v>8.21917808219178</v>
      </c>
      <c r="I76" s="86" t="n">
        <f aca="false">I63/Thousand/I$48</f>
        <v>8.21917808219178</v>
      </c>
      <c r="J76" s="86" t="n">
        <f aca="false">SUM(E76:I76)</f>
        <v>32.8767123287671</v>
      </c>
      <c r="L76" s="94" t="n">
        <f aca="false">Inputs!$E$95</f>
        <v>46325</v>
      </c>
      <c r="M76" s="109" t="n">
        <v>1</v>
      </c>
    </row>
    <row r="77" customFormat="false" ht="15" hidden="false" customHeight="false" outlineLevel="0" collapsed="false">
      <c r="C77" s="69" t="s">
        <v>300</v>
      </c>
      <c r="D77" s="18" t="s">
        <v>18</v>
      </c>
      <c r="E77" s="85" t="n">
        <f aca="false">E64/Thousand/E$48</f>
        <v>1168.57534246575</v>
      </c>
      <c r="F77" s="85" t="n">
        <f aca="false">F64/Thousand/F$48</f>
        <v>1168.57534246575</v>
      </c>
      <c r="G77" s="85"/>
      <c r="H77" s="85" t="n">
        <f aca="false">H64/Thousand/H$48</f>
        <v>613.972602739726</v>
      </c>
      <c r="I77" s="85" t="n">
        <f aca="false">I64/Thousand/I$48</f>
        <v>613.972602739726</v>
      </c>
      <c r="J77" s="85" t="n">
        <f aca="false">SUM(E77:I77)</f>
        <v>3565.09589041096</v>
      </c>
      <c r="L77" s="94" t="n">
        <f aca="false">Inputs!$E$95</f>
        <v>46325</v>
      </c>
      <c r="M77" s="109" t="n">
        <v>0</v>
      </c>
    </row>
    <row r="78" customFormat="false" ht="15" hidden="false" customHeight="false" outlineLevel="0" collapsed="false">
      <c r="C78" s="69" t="s">
        <v>301</v>
      </c>
      <c r="D78" s="18" t="s">
        <v>18</v>
      </c>
      <c r="E78" s="85" t="n">
        <f aca="false">E65/Thousand/E$48</f>
        <v>5842.87671232877</v>
      </c>
      <c r="F78" s="85" t="n">
        <f aca="false">F65/Thousand/F$48</f>
        <v>5842.87671232877</v>
      </c>
      <c r="G78" s="85"/>
      <c r="H78" s="85" t="n">
        <f aca="false">H65/Thousand/H$48</f>
        <v>3069.86301369863</v>
      </c>
      <c r="I78" s="85" t="n">
        <f aca="false">I65/Thousand/I$48</f>
        <v>3069.86301369863</v>
      </c>
      <c r="J78" s="85" t="n">
        <f aca="false">SUM(E78:I78)</f>
        <v>17825.4794520548</v>
      </c>
      <c r="L78" s="94" t="n">
        <f aca="false">Deposits!$K$10</f>
        <v>46386</v>
      </c>
      <c r="M78" s="109" t="n">
        <v>0</v>
      </c>
    </row>
    <row r="79" customFormat="false" ht="15" hidden="false" customHeight="false" outlineLevel="0" collapsed="false">
      <c r="C79" s="69" t="s">
        <v>172</v>
      </c>
      <c r="D79" s="18" t="s">
        <v>18</v>
      </c>
      <c r="E79" s="85" t="n">
        <f aca="false">E66/Thousand/E$48</f>
        <v>1232.87671232877</v>
      </c>
      <c r="F79" s="85" t="n">
        <f aca="false">F66/Thousand/F$48</f>
        <v>1232.87671232877</v>
      </c>
      <c r="G79" s="85"/>
      <c r="H79" s="85" t="n">
        <f aca="false">H66/Thousand/H$48</f>
        <v>616.438356164384</v>
      </c>
      <c r="I79" s="85" t="n">
        <f aca="false">I66/Thousand/I$48</f>
        <v>616.438356164384</v>
      </c>
      <c r="J79" s="85" t="n">
        <f aca="false">SUM(E79:I79)</f>
        <v>3698.6301369863</v>
      </c>
      <c r="L79" s="94" t="n">
        <f aca="false">Inputs!$E$97</f>
        <v>46386</v>
      </c>
      <c r="M79" s="109" t="n">
        <v>1</v>
      </c>
    </row>
    <row r="80" customFormat="false" ht="15" hidden="false" customHeight="false" outlineLevel="0" collapsed="false">
      <c r="C80" s="69" t="s">
        <v>303</v>
      </c>
      <c r="D80" s="18" t="s">
        <v>18</v>
      </c>
      <c r="E80" s="85" t="n">
        <f aca="false">E67/Thousand/E$48</f>
        <v>696.364115068493</v>
      </c>
      <c r="F80" s="85" t="n">
        <f aca="false">F67/Thousand/F$48</f>
        <v>696.364115068493</v>
      </c>
      <c r="G80" s="85"/>
      <c r="H80" s="85" t="n">
        <f aca="false">H67/Thousand/H$48</f>
        <v>1260.27397260274</v>
      </c>
      <c r="I80" s="85" t="n">
        <f aca="false">I67/Thousand/I$48</f>
        <v>1260.27397260274</v>
      </c>
      <c r="J80" s="85" t="n">
        <f aca="false">SUM(E80:I80)</f>
        <v>3913.27617534247</v>
      </c>
      <c r="L80" s="94" t="n">
        <f aca="false">Inputs!$E$99</f>
        <v>47126</v>
      </c>
      <c r="M80" s="109" t="n">
        <v>1</v>
      </c>
    </row>
    <row r="81" customFormat="false" ht="15" hidden="false" customHeight="false" outlineLevel="0" collapsed="false">
      <c r="C81" s="69" t="s">
        <v>311</v>
      </c>
      <c r="D81" s="18" t="s">
        <v>18</v>
      </c>
      <c r="E81" s="85" t="n">
        <f aca="false">E70/Thousand/E$48</f>
        <v>18786.6591780822</v>
      </c>
      <c r="F81" s="85" t="n">
        <f aca="false">F70/Thousand/F$48</f>
        <v>18786.6591780822</v>
      </c>
      <c r="G81" s="85"/>
      <c r="H81" s="85" t="n">
        <f aca="false">H70/Thousand/H$48</f>
        <v>2099.54520547945</v>
      </c>
      <c r="I81" s="85" t="n">
        <f aca="false">I70/Thousand/I$48</f>
        <v>2099.54520547945</v>
      </c>
      <c r="J81" s="85" t="n">
        <f aca="false">SUM(E81:I81)</f>
        <v>41772.4087671233</v>
      </c>
      <c r="L81" s="94" t="n">
        <f aca="false">Inputs!$E$99</f>
        <v>47126</v>
      </c>
      <c r="M81" s="109" t="n">
        <v>1</v>
      </c>
    </row>
    <row r="82" customFormat="false" ht="15" hidden="false" customHeight="false" outlineLevel="0" collapsed="false">
      <c r="C82" s="69" t="s">
        <v>312</v>
      </c>
      <c r="D82" s="18" t="s">
        <v>18</v>
      </c>
      <c r="E82" s="85" t="n">
        <f aca="false">$E$57*(($E$39-$E$38)*E77+MAX(0,MIN($E$44,$E$45)-$E$39+1)*E78)/Days_In_Year</f>
        <v>1590.73519084256</v>
      </c>
      <c r="F82" s="85" t="n">
        <f aca="false">$F$57*(($E$39-$E$38)*F77+MAX(0,MIN($E$44,$E$45)-$E$39+1)*F78)/Days_In_Year</f>
        <v>1590.73519084256</v>
      </c>
      <c r="G82" s="85"/>
      <c r="H82" s="85" t="n">
        <f aca="false">$H$57*(($E$39-$E$38)*H77+MAX(0,MIN($E$44,$E$45)-$E$39+1)*H78)/Days_In_Year</f>
        <v>835.776513417152</v>
      </c>
      <c r="I82" s="85" t="n">
        <f aca="false">$I$57*(($E$39-$E$38)*I77+MAX(0,MIN($E$44,$E$45)-$E$39+1)*I78)/Days_In_Year</f>
        <v>835.776513417152</v>
      </c>
      <c r="J82" s="85" t="n">
        <f aca="false">SUM(E82:I82)</f>
        <v>4853.02340851942</v>
      </c>
      <c r="M82" s="109" t="n">
        <v>0</v>
      </c>
    </row>
    <row r="83" customFormat="false" ht="15" hidden="false" customHeight="false" outlineLevel="0" collapsed="false">
      <c r="C83" s="89" t="s">
        <v>313</v>
      </c>
      <c r="D83" s="18" t="s">
        <v>18</v>
      </c>
      <c r="E83" s="106" t="n">
        <f aca="false">E76+E79+E80+E81</f>
        <v>20724.1191835616</v>
      </c>
      <c r="F83" s="106" t="n">
        <f aca="false">F76+F79+F80+F81</f>
        <v>20724.1191835616</v>
      </c>
      <c r="G83" s="106"/>
      <c r="H83" s="106" t="n">
        <f aca="false">H76+H79+H80+H81</f>
        <v>3984.47671232877</v>
      </c>
      <c r="I83" s="106" t="n">
        <f aca="false">I76+I79+I80+I81</f>
        <v>3984.47671232877</v>
      </c>
      <c r="J83" s="106" t="n">
        <f aca="false">SUM(E83:I83)</f>
        <v>49417.1917917808</v>
      </c>
      <c r="M83" s="109" t="n">
        <v>0</v>
      </c>
    </row>
    <row r="84" customFormat="false" ht="15" hidden="false" customHeight="false" outlineLevel="0" collapsed="false">
      <c r="C84" s="69" t="s">
        <v>299</v>
      </c>
      <c r="D84" s="18" t="s">
        <v>18</v>
      </c>
      <c r="E84" s="110" t="n">
        <f aca="false">SUM(E75:E82)-E77-E79</f>
        <v>27124.8543744042</v>
      </c>
      <c r="F84" s="110" t="n">
        <f aca="false">SUM(F75:F82)-F77-F79</f>
        <v>27124.8543744042</v>
      </c>
      <c r="M84" s="109" t="n">
        <v>0</v>
      </c>
    </row>
    <row r="85" customFormat="false" ht="15" hidden="false" customHeight="false" outlineLevel="0" collapsed="false">
      <c r="A85" s="71" t="s">
        <v>7</v>
      </c>
      <c r="B85" s="71"/>
      <c r="C85" s="71" t="s">
        <v>314</v>
      </c>
      <c r="D85" s="71"/>
      <c r="E85" s="72" t="s">
        <v>245</v>
      </c>
      <c r="F85" s="72" t="s">
        <v>246</v>
      </c>
      <c r="G85" s="72"/>
      <c r="H85" s="72" t="s">
        <v>247</v>
      </c>
      <c r="I85" s="72" t="s">
        <v>248</v>
      </c>
      <c r="J85" s="72" t="s">
        <v>299</v>
      </c>
      <c r="K85" s="71"/>
      <c r="L85" s="72" t="s">
        <v>269</v>
      </c>
      <c r="M85" s="71"/>
      <c r="N85" s="71"/>
      <c r="O85" s="71"/>
    </row>
    <row r="86" customFormat="false" ht="15" hidden="false" customHeight="false" outlineLevel="0" collapsed="false">
      <c r="C86" s="69" t="s">
        <v>315</v>
      </c>
      <c r="D86" s="18" t="s">
        <v>18</v>
      </c>
      <c r="E86" s="111" t="n">
        <f aca="false">Devex_FEP!$E$5</f>
        <v>27.825</v>
      </c>
      <c r="F86" s="111" t="n">
        <f aca="false">Devex_FEP!$E$5</f>
        <v>27.825</v>
      </c>
      <c r="G86" s="86"/>
      <c r="H86" s="86" t="n">
        <f aca="false">$E86/(SUM($E$86:$E$118)+$E$119)*H$59</f>
        <v>8.86754821424836</v>
      </c>
      <c r="I86" s="86" t="n">
        <f aca="false">$E86/(SUM($E$86:$E$118)+$E$119)*I$59</f>
        <v>8.86754821424836</v>
      </c>
      <c r="J86" s="86" t="n">
        <f aca="false">SUM(E86:I86)</f>
        <v>73.3850964284967</v>
      </c>
      <c r="L86" s="91" t="n">
        <f aca="false">BORA_Devex!D14</f>
        <v>46431</v>
      </c>
      <c r="M86" s="109" t="n">
        <v>1</v>
      </c>
    </row>
    <row r="87" customFormat="false" ht="15" hidden="false" customHeight="false" outlineLevel="0" collapsed="false">
      <c r="C87" s="69" t="s">
        <v>316</v>
      </c>
      <c r="D87" s="18" t="s">
        <v>18</v>
      </c>
      <c r="E87" s="111" t="n">
        <f aca="false">Devex_FEP!$E$6</f>
        <v>61.6216216216216</v>
      </c>
      <c r="F87" s="111" t="n">
        <f aca="false">Devex_FEP!$E$6</f>
        <v>61.6216216216216</v>
      </c>
      <c r="G87" s="86"/>
      <c r="H87" s="86" t="n">
        <f aca="false">$E87/(SUM($E$86:$E$118)+$E$119)*H$59</f>
        <v>19.638192300805</v>
      </c>
      <c r="I87" s="86" t="n">
        <f aca="false">$E87/(SUM($E$86:$E$118)+$E$119)*I$59</f>
        <v>19.638192300805</v>
      </c>
      <c r="J87" s="86" t="n">
        <f aca="false">SUM(E87:I87)</f>
        <v>162.519627844853</v>
      </c>
      <c r="L87" s="91" t="n">
        <f aca="false">BORA_Devex!D14</f>
        <v>46431</v>
      </c>
      <c r="M87" s="109" t="n">
        <v>1</v>
      </c>
    </row>
    <row r="88" customFormat="false" ht="15" hidden="false" customHeight="false" outlineLevel="0" collapsed="false">
      <c r="C88" s="69" t="s">
        <v>317</v>
      </c>
      <c r="D88" s="18" t="s">
        <v>18</v>
      </c>
      <c r="E88" s="111" t="n">
        <f aca="false">Devex_FEP!$E$7</f>
        <v>79.9227799227799</v>
      </c>
      <c r="F88" s="111" t="n">
        <f aca="false">Devex_FEP!$E$7</f>
        <v>79.9227799227799</v>
      </c>
      <c r="G88" s="86"/>
      <c r="H88" s="86" t="n">
        <f aca="false">$E88/(SUM($E$86:$E$118)+$E$119)*H$59</f>
        <v>25.4705877585629</v>
      </c>
      <c r="I88" s="86" t="n">
        <f aca="false">$E88/(SUM($E$86:$E$118)+$E$119)*I$59</f>
        <v>25.4705877585629</v>
      </c>
      <c r="J88" s="86" t="n">
        <f aca="false">SUM(E88:I88)</f>
        <v>210.786735362686</v>
      </c>
      <c r="L88" s="91" t="n">
        <f aca="false">BORA_Devex!D16</f>
        <v>46976</v>
      </c>
      <c r="M88" s="109" t="n">
        <v>1</v>
      </c>
    </row>
    <row r="89" customFormat="false" ht="15" hidden="false" customHeight="false" outlineLevel="0" collapsed="false">
      <c r="C89" s="69" t="s">
        <v>318</v>
      </c>
      <c r="D89" s="18" t="s">
        <v>18</v>
      </c>
      <c r="E89" s="111" t="n">
        <f aca="false">Devex_FEP!$E$8</f>
        <v>1.01424864864865</v>
      </c>
      <c r="F89" s="111" t="n">
        <f aca="false">Devex_FEP!$E$8</f>
        <v>1.01424864864865</v>
      </c>
      <c r="G89" s="86"/>
      <c r="H89" s="86" t="n">
        <f aca="false">$E89/(SUM($E$86:$E$118)+$E$119)*H$59</f>
        <v>0.323230864083671</v>
      </c>
      <c r="I89" s="86" t="n">
        <f aca="false">$E89/(SUM($E$86:$E$118)+$E$119)*I$59</f>
        <v>0.323230864083671</v>
      </c>
      <c r="J89" s="86" t="n">
        <f aca="false">SUM(E89:I89)</f>
        <v>2.67495902546464</v>
      </c>
      <c r="L89" s="91" t="n">
        <f aca="false">BORA_Devex!D16</f>
        <v>46976</v>
      </c>
      <c r="M89" s="109" t="n">
        <v>1</v>
      </c>
    </row>
    <row r="90" customFormat="false" ht="15" hidden="false" customHeight="false" outlineLevel="0" collapsed="false">
      <c r="C90" s="69" t="s">
        <v>319</v>
      </c>
      <c r="D90" s="18" t="s">
        <v>18</v>
      </c>
      <c r="E90" s="111" t="n">
        <f aca="false">Devex_FEP!$E$9</f>
        <v>88.6216216216216</v>
      </c>
      <c r="F90" s="111" t="n">
        <f aca="false">Devex_FEP!$E$9</f>
        <v>88.6216216216216</v>
      </c>
      <c r="G90" s="86"/>
      <c r="H90" s="86" t="n">
        <f aca="false">$E90/(SUM($E$86:$E$118)+$E$119)*H$59</f>
        <v>28.242821295763</v>
      </c>
      <c r="I90" s="86" t="n">
        <f aca="false">$E90/(SUM($E$86:$E$118)+$E$119)*I$59</f>
        <v>28.242821295763</v>
      </c>
      <c r="J90" s="86" t="n">
        <f aca="false">SUM(E90:I90)</f>
        <v>233.728885834769</v>
      </c>
      <c r="L90" s="91" t="n">
        <f aca="false">BORA_Devex!$E$20</f>
        <v>46296</v>
      </c>
      <c r="M90" s="109" t="n">
        <v>1</v>
      </c>
    </row>
    <row r="91" customFormat="false" ht="15" hidden="false" customHeight="false" outlineLevel="0" collapsed="false">
      <c r="C91" s="69" t="s">
        <v>320</v>
      </c>
      <c r="D91" s="18" t="s">
        <v>18</v>
      </c>
      <c r="E91" s="111" t="n">
        <f aca="false">Devex_FEP!$E$10</f>
        <v>199</v>
      </c>
      <c r="F91" s="111" t="n">
        <f aca="false">Devex_FEP!$E$10</f>
        <v>199</v>
      </c>
      <c r="G91" s="86"/>
      <c r="H91" s="86" t="n">
        <f aca="false">$E91/(SUM($E$86:$E$118)+$E$119)*H$59</f>
        <v>63.4193025924681</v>
      </c>
      <c r="I91" s="86" t="n">
        <f aca="false">$E91/(SUM($E$86:$E$118)+$E$119)*I$59</f>
        <v>63.4193025924681</v>
      </c>
      <c r="J91" s="86" t="n">
        <f aca="false">SUM(E91:I91)</f>
        <v>524.838605184936</v>
      </c>
      <c r="L91" s="91" t="n">
        <f aca="false">BORA_Devex!C21</f>
        <v>46447</v>
      </c>
      <c r="M91" s="109" t="n">
        <v>1</v>
      </c>
    </row>
    <row r="92" customFormat="false" ht="15" hidden="false" customHeight="false" outlineLevel="0" collapsed="false">
      <c r="C92" s="69" t="s">
        <v>321</v>
      </c>
      <c r="D92" s="18" t="s">
        <v>18</v>
      </c>
      <c r="E92" s="111" t="n">
        <f aca="false">Devex_FEP!$E$11</f>
        <v>4.86486486486487</v>
      </c>
      <c r="F92" s="111" t="n">
        <f aca="false">Devex_FEP!$E$11</f>
        <v>4.86486486486487</v>
      </c>
      <c r="G92" s="86"/>
      <c r="H92" s="86" t="n">
        <f aca="false">$E92/(SUM($E$86:$E$118)+$E$119)*H$59</f>
        <v>1.55038360269513</v>
      </c>
      <c r="I92" s="86" t="n">
        <f aca="false">$E92/(SUM($E$86:$E$118)+$E$119)*I$59</f>
        <v>1.55038360269513</v>
      </c>
      <c r="J92" s="86" t="n">
        <f aca="false">SUM(E92:I92)</f>
        <v>12.83049693512</v>
      </c>
      <c r="L92" s="91" t="n">
        <f aca="false">BORA_Devex!C22</f>
        <v>46388</v>
      </c>
      <c r="M92" s="109" t="n">
        <v>1</v>
      </c>
    </row>
    <row r="93" customFormat="false" ht="15" hidden="false" customHeight="false" outlineLevel="0" collapsed="false">
      <c r="C93" s="69" t="s">
        <v>322</v>
      </c>
      <c r="D93" s="18" t="s">
        <v>18</v>
      </c>
      <c r="E93" s="111" t="n">
        <f aca="false">Devex_FEP!$E$12</f>
        <v>2.25</v>
      </c>
      <c r="F93" s="111" t="n">
        <f aca="false">Devex_FEP!$E$12</f>
        <v>2.25</v>
      </c>
      <c r="G93" s="86"/>
      <c r="H93" s="86" t="n">
        <f aca="false">$E93/(SUM($E$86:$E$118)+$E$119)*H$59</f>
        <v>0.717052416246498</v>
      </c>
      <c r="I93" s="86" t="n">
        <f aca="false">$E93/(SUM($E$86:$E$118)+$E$119)*I$59</f>
        <v>0.717052416246498</v>
      </c>
      <c r="J93" s="86" t="n">
        <f aca="false">SUM(E93:I93)</f>
        <v>5.934104832493</v>
      </c>
      <c r="L93" s="91" t="n">
        <f aca="false">BORA_Devex!D23</f>
        <v>46932</v>
      </c>
      <c r="M93" s="109" t="n">
        <v>1</v>
      </c>
    </row>
    <row r="94" customFormat="false" ht="15" hidden="false" customHeight="false" outlineLevel="0" collapsed="false">
      <c r="C94" s="69" t="s">
        <v>323</v>
      </c>
      <c r="D94" s="18" t="s">
        <v>18</v>
      </c>
      <c r="E94" s="111" t="n">
        <f aca="false">Devex_FEP!$E$13</f>
        <v>1.2972972972973</v>
      </c>
      <c r="F94" s="111" t="n">
        <f aca="false">Devex_FEP!$E$13</f>
        <v>1.2972972972973</v>
      </c>
      <c r="G94" s="86"/>
      <c r="H94" s="86" t="n">
        <f aca="false">$E94/(SUM($E$86:$E$118)+$E$119)*H$59</f>
        <v>0.413435627385368</v>
      </c>
      <c r="I94" s="86" t="n">
        <f aca="false">$E94/(SUM($E$86:$E$118)+$E$119)*I$59</f>
        <v>0.413435627385368</v>
      </c>
      <c r="J94" s="86" t="n">
        <f aca="false">SUM(E94:I94)</f>
        <v>3.42146584936533</v>
      </c>
      <c r="L94" s="91" t="n">
        <f aca="false">BORA_Devex!D24</f>
        <v>46746</v>
      </c>
      <c r="M94" s="109" t="n">
        <v>1</v>
      </c>
    </row>
    <row r="95" customFormat="false" ht="15" hidden="false" customHeight="false" outlineLevel="0" collapsed="false">
      <c r="C95" s="69" t="s">
        <v>324</v>
      </c>
      <c r="D95" s="18" t="s">
        <v>18</v>
      </c>
      <c r="E95" s="111" t="n">
        <f aca="false">Devex_FEP!$E$14</f>
        <v>10.8108108108108</v>
      </c>
      <c r="F95" s="111" t="n">
        <f aca="false">Devex_FEP!$E$14</f>
        <v>10.8108108108108</v>
      </c>
      <c r="G95" s="86"/>
      <c r="H95" s="86" t="n">
        <f aca="false">$E95/(SUM($E$86:$E$118)+$E$119)*H$59</f>
        <v>3.44529689487807</v>
      </c>
      <c r="I95" s="86" t="n">
        <f aca="false">$E95/(SUM($E$86:$E$118)+$E$119)*I$59</f>
        <v>3.44529689487807</v>
      </c>
      <c r="J95" s="86" t="n">
        <f aca="false">SUM(E95:I95)</f>
        <v>28.5122154113778</v>
      </c>
      <c r="L95" s="91" t="n">
        <f aca="false">BORA_Devex!$E$25</f>
        <v>46596</v>
      </c>
      <c r="M95" s="109" t="n">
        <v>1</v>
      </c>
    </row>
    <row r="96" customFormat="false" ht="15" hidden="false" customHeight="false" outlineLevel="0" collapsed="false">
      <c r="C96" s="69" t="s">
        <v>325</v>
      </c>
      <c r="D96" s="18" t="s">
        <v>18</v>
      </c>
      <c r="E96" s="111" t="n">
        <f aca="false">Devex_FEP!$E$15</f>
        <v>67.5675675675676</v>
      </c>
      <c r="F96" s="111" t="n">
        <f aca="false">Devex_FEP!$E$15</f>
        <v>67.5675675675676</v>
      </c>
      <c r="G96" s="86"/>
      <c r="H96" s="86" t="n">
        <f aca="false">$E96/(SUM($E$86:$E$118)+$E$119)*H$59</f>
        <v>21.5331055929879</v>
      </c>
      <c r="I96" s="86" t="n">
        <f aca="false">$E96/(SUM($E$86:$E$118)+$E$119)*I$59</f>
        <v>21.5331055929879</v>
      </c>
      <c r="J96" s="86" t="n">
        <f aca="false">SUM(E96:I96)</f>
        <v>178.201346321111</v>
      </c>
      <c r="L96" s="91" t="n">
        <f aca="false">BORA_Devex!$E$26</f>
        <v>46806</v>
      </c>
      <c r="M96" s="109" t="n">
        <v>1</v>
      </c>
    </row>
    <row r="97" customFormat="false" ht="15" hidden="false" customHeight="false" outlineLevel="0" collapsed="false">
      <c r="C97" s="69" t="s">
        <v>326</v>
      </c>
      <c r="D97" s="18" t="s">
        <v>18</v>
      </c>
      <c r="E97" s="111" t="n">
        <f aca="false">Devex_FEP!$E$16</f>
        <v>47.2972972972973</v>
      </c>
      <c r="F97" s="111" t="n">
        <f aca="false">Devex_FEP!$E$16</f>
        <v>47.2972972972973</v>
      </c>
      <c r="G97" s="86"/>
      <c r="H97" s="86" t="n">
        <f aca="false">$E97/(SUM($E$86:$E$118)+$E$119)*H$59</f>
        <v>15.0731739150916</v>
      </c>
      <c r="I97" s="86" t="n">
        <f aca="false">$E97/(SUM($E$86:$E$118)+$E$119)*I$59</f>
        <v>15.0731739150916</v>
      </c>
      <c r="J97" s="86" t="n">
        <f aca="false">SUM(E97:I97)</f>
        <v>124.740942424778</v>
      </c>
      <c r="L97" s="91" t="n">
        <f aca="false">BORA_Devex!E26</f>
        <v>46806</v>
      </c>
      <c r="M97" s="109" t="n">
        <v>1</v>
      </c>
    </row>
    <row r="98" customFormat="false" ht="15" hidden="false" customHeight="false" outlineLevel="0" collapsed="false">
      <c r="C98" s="69" t="s">
        <v>327</v>
      </c>
      <c r="D98" s="18" t="s">
        <v>18</v>
      </c>
      <c r="E98" s="111" t="n">
        <f aca="false">Devex_FEP!$E$17</f>
        <v>20.0432432432432</v>
      </c>
      <c r="F98" s="111" t="n">
        <f aca="false">Devex_FEP!$E$17</f>
        <v>20.0432432432432</v>
      </c>
      <c r="G98" s="86"/>
      <c r="H98" s="86" t="n">
        <f aca="false">$E98/(SUM($E$86:$E$118)+$E$119)*H$59</f>
        <v>6.38758044310394</v>
      </c>
      <c r="I98" s="86" t="n">
        <f aca="false">$E98/(SUM($E$86:$E$118)+$E$119)*I$59</f>
        <v>6.38758044310394</v>
      </c>
      <c r="J98" s="86" t="n">
        <f aca="false">SUM(E98:I98)</f>
        <v>52.8616473726944</v>
      </c>
      <c r="L98" s="91" t="n">
        <f aca="false">BORA_Devex!D28</f>
        <v>46751</v>
      </c>
      <c r="M98" s="109" t="n">
        <v>1</v>
      </c>
    </row>
    <row r="99" customFormat="false" ht="15" hidden="false" customHeight="false" outlineLevel="0" collapsed="false">
      <c r="C99" s="69" t="s">
        <v>318</v>
      </c>
      <c r="D99" s="18" t="s">
        <v>18</v>
      </c>
      <c r="E99" s="111" t="n">
        <f aca="false">Devex_FEP!$E$18</f>
        <v>0.0540540540540541</v>
      </c>
      <c r="F99" s="111" t="n">
        <f aca="false">Devex_FEP!$E$18</f>
        <v>0.0540540540540541</v>
      </c>
      <c r="G99" s="86"/>
      <c r="H99" s="86" t="n">
        <f aca="false">$E99/(SUM($E$86:$E$118)+$E$119)*H$59</f>
        <v>0.0172264844743904</v>
      </c>
      <c r="I99" s="86" t="n">
        <f aca="false">$E99/(SUM($E$86:$E$118)+$E$119)*I$59</f>
        <v>0.0172264844743904</v>
      </c>
      <c r="J99" s="86" t="n">
        <f aca="false">SUM(E99:I99)</f>
        <v>0.142561077056889</v>
      </c>
      <c r="L99" s="91" t="n">
        <f aca="false">BORA_Devex!D29</f>
        <v>46871</v>
      </c>
      <c r="M99" s="109" t="n">
        <v>1</v>
      </c>
    </row>
    <row r="100" customFormat="false" ht="15" hidden="false" customHeight="false" outlineLevel="0" collapsed="false">
      <c r="C100" s="69" t="s">
        <v>328</v>
      </c>
      <c r="D100" s="18" t="s">
        <v>18</v>
      </c>
      <c r="E100" s="111" t="n">
        <f aca="false">Devex_FEP!$E$19</f>
        <v>44.0675675675676</v>
      </c>
      <c r="F100" s="111" t="n">
        <f aca="false">Devex_FEP!$E$19</f>
        <v>44.0675675675676</v>
      </c>
      <c r="G100" s="86"/>
      <c r="H100" s="86" t="n">
        <f aca="false">$E100/(SUM($E$86:$E$118)+$E$119)*H$59</f>
        <v>14.0438914677467</v>
      </c>
      <c r="I100" s="86" t="n">
        <f aca="false">$E100/(SUM($E$86:$E$118)+$E$119)*I$59</f>
        <v>14.0438914677467</v>
      </c>
      <c r="J100" s="86" t="n">
        <f aca="false">SUM(E100:I100)</f>
        <v>116.222918070629</v>
      </c>
      <c r="L100" s="91" t="n">
        <f aca="false">BORA_Devex!D30</f>
        <v>46841</v>
      </c>
      <c r="M100" s="109" t="n">
        <v>1</v>
      </c>
    </row>
    <row r="101" customFormat="false" ht="15" hidden="false" customHeight="false" outlineLevel="0" collapsed="false">
      <c r="C101" s="69" t="s">
        <v>329</v>
      </c>
      <c r="D101" s="18" t="s">
        <v>18</v>
      </c>
      <c r="E101" s="111" t="n">
        <f aca="false">Devex_FEP!$E$20</f>
        <v>10.8108108108108</v>
      </c>
      <c r="F101" s="111" t="n">
        <f aca="false">Devex_FEP!$E$20</f>
        <v>10.8108108108108</v>
      </c>
      <c r="G101" s="86"/>
      <c r="H101" s="86" t="n">
        <f aca="false">$E101/(SUM($E$86:$E$118)+$E$119)*H$59</f>
        <v>3.44529689487807</v>
      </c>
      <c r="I101" s="86" t="n">
        <f aca="false">$E101/(SUM($E$86:$E$118)+$E$119)*I$59</f>
        <v>3.44529689487807</v>
      </c>
      <c r="J101" s="86" t="n">
        <f aca="false">SUM(E101:I101)</f>
        <v>28.5122154113778</v>
      </c>
      <c r="L101" s="91" t="n">
        <f aca="false">BORA_Devex!D31</f>
        <v>46596</v>
      </c>
      <c r="M101" s="109" t="n">
        <v>1</v>
      </c>
    </row>
    <row r="102" customFormat="false" ht="15" hidden="false" customHeight="false" outlineLevel="0" collapsed="false">
      <c r="C102" s="69" t="s">
        <v>330</v>
      </c>
      <c r="D102" s="18" t="s">
        <v>18</v>
      </c>
      <c r="E102" s="111" t="n">
        <f aca="false">Devex_FEP!$E$21</f>
        <v>10.8108108108108</v>
      </c>
      <c r="F102" s="111" t="n">
        <f aca="false">Devex_FEP!$E$21</f>
        <v>10.8108108108108</v>
      </c>
      <c r="G102" s="86"/>
      <c r="H102" s="86" t="n">
        <f aca="false">$E102/(SUM($E$86:$E$118)+$E$119)*H$59</f>
        <v>3.44529689487807</v>
      </c>
      <c r="I102" s="86" t="n">
        <f aca="false">$E102/(SUM($E$86:$E$118)+$E$119)*I$59</f>
        <v>3.44529689487807</v>
      </c>
      <c r="J102" s="86" t="n">
        <f aca="false">SUM(E102:I102)</f>
        <v>28.5122154113778</v>
      </c>
      <c r="L102" s="91" t="n">
        <f aca="false">BORA_Devex!$E$32</f>
        <v>46566</v>
      </c>
      <c r="M102" s="109" t="n">
        <v>1</v>
      </c>
    </row>
    <row r="103" customFormat="false" ht="15" hidden="false" customHeight="false" outlineLevel="0" collapsed="false">
      <c r="C103" s="69" t="s">
        <v>331</v>
      </c>
      <c r="D103" s="18" t="s">
        <v>18</v>
      </c>
      <c r="E103" s="111" t="n">
        <f aca="false">Devex_FEP!$E$22</f>
        <v>10.8108108108108</v>
      </c>
      <c r="F103" s="111" t="n">
        <f aca="false">Devex_FEP!$E$22</f>
        <v>10.8108108108108</v>
      </c>
      <c r="G103" s="86"/>
      <c r="H103" s="86" t="n">
        <f aca="false">$E103/(SUM($E$86:$E$118)+$E$119)*H$59</f>
        <v>3.44529689487807</v>
      </c>
      <c r="I103" s="86" t="n">
        <f aca="false">$E103/(SUM($E$86:$E$118)+$E$119)*I$59</f>
        <v>3.44529689487807</v>
      </c>
      <c r="J103" s="86" t="n">
        <f aca="false">SUM(E103:I103)</f>
        <v>28.5122154113778</v>
      </c>
      <c r="L103" s="91" t="n">
        <f aca="false">BORA_Devex!$E$33</f>
        <v>46566</v>
      </c>
      <c r="M103" s="109" t="n">
        <v>1</v>
      </c>
    </row>
    <row r="104" customFormat="false" ht="15" hidden="false" customHeight="false" outlineLevel="0" collapsed="false">
      <c r="C104" s="69" t="s">
        <v>332</v>
      </c>
      <c r="D104" s="18" t="s">
        <v>18</v>
      </c>
      <c r="E104" s="111" t="n">
        <f aca="false">Devex_FEP!$E$23</f>
        <v>6.2027027027027</v>
      </c>
      <c r="F104" s="111" t="n">
        <f aca="false">Devex_FEP!$E$23</f>
        <v>6.2027027027027</v>
      </c>
      <c r="G104" s="86"/>
      <c r="H104" s="86" t="n">
        <f aca="false">$E104/(SUM($E$86:$E$118)+$E$119)*H$59</f>
        <v>1.97673909343629</v>
      </c>
      <c r="I104" s="86" t="n">
        <f aca="false">$E104/(SUM($E$86:$E$118)+$E$119)*I$59</f>
        <v>1.97673909343629</v>
      </c>
      <c r="J104" s="86" t="n">
        <f aca="false">SUM(E104:I104)</f>
        <v>16.358883592278</v>
      </c>
      <c r="L104" s="91" t="n">
        <f aca="false">BORA_Devex!D35</f>
        <v>46780</v>
      </c>
      <c r="M104" s="109" t="n">
        <v>1</v>
      </c>
    </row>
    <row r="105" customFormat="false" ht="15" hidden="false" customHeight="false" outlineLevel="0" collapsed="false">
      <c r="C105" s="69" t="s">
        <v>321</v>
      </c>
      <c r="D105" s="18" t="s">
        <v>18</v>
      </c>
      <c r="E105" s="111" t="n">
        <f aca="false">Devex_FEP!$E$24</f>
        <v>186.486486486486</v>
      </c>
      <c r="F105" s="111" t="n">
        <f aca="false">Devex_FEP!$E$24</f>
        <v>186.486486486486</v>
      </c>
      <c r="G105" s="86"/>
      <c r="H105" s="86" t="n">
        <f aca="false">$E105/(SUM($E$86:$E$118)+$E$119)*H$59</f>
        <v>59.4313714366467</v>
      </c>
      <c r="I105" s="86" t="n">
        <f aca="false">$E105/(SUM($E$86:$E$118)+$E$119)*I$59</f>
        <v>59.4313714366467</v>
      </c>
      <c r="J105" s="86" t="n">
        <f aca="false">SUM(E105:I105)</f>
        <v>491.835715846266</v>
      </c>
      <c r="L105" s="91" t="n">
        <f aca="false">BORA_Devex!D35</f>
        <v>46780</v>
      </c>
      <c r="M105" s="109" t="n">
        <v>1</v>
      </c>
    </row>
    <row r="106" customFormat="false" ht="15" hidden="false" customHeight="false" outlineLevel="0" collapsed="false">
      <c r="C106" s="69" t="s">
        <v>333</v>
      </c>
      <c r="D106" s="18" t="s">
        <v>18</v>
      </c>
      <c r="E106" s="111" t="n">
        <f aca="false">Devex_FEP!$E$25</f>
        <v>60.8108108108108</v>
      </c>
      <c r="F106" s="111" t="n">
        <f aca="false">Devex_FEP!$E$25</f>
        <v>60.8108108108108</v>
      </c>
      <c r="G106" s="86"/>
      <c r="H106" s="86" t="n">
        <f aca="false">$E106/(SUM($E$86:$E$118)+$E$119)*H$59</f>
        <v>19.3797950336891</v>
      </c>
      <c r="I106" s="86" t="n">
        <f aca="false">$E106/(SUM($E$86:$E$118)+$E$119)*I$59</f>
        <v>19.3797950336891</v>
      </c>
      <c r="J106" s="86" t="n">
        <f aca="false">SUM(E106:I106)</f>
        <v>160.381211689</v>
      </c>
      <c r="L106" s="91" t="n">
        <f aca="false">BORA_Devex!D37</f>
        <v>46780</v>
      </c>
      <c r="M106" s="109" t="n">
        <v>1</v>
      </c>
    </row>
    <row r="107" customFormat="false" ht="15" hidden="false" customHeight="false" outlineLevel="0" collapsed="false">
      <c r="C107" s="69" t="s">
        <v>321</v>
      </c>
      <c r="D107" s="18" t="s">
        <v>18</v>
      </c>
      <c r="E107" s="111" t="n">
        <f aca="false">Devex_FEP!$E$26</f>
        <v>101.211734693878</v>
      </c>
      <c r="F107" s="111" t="n">
        <f aca="false">Devex_FEP!$E$26</f>
        <v>101.211734693878</v>
      </c>
      <c r="G107" s="86"/>
      <c r="H107" s="86" t="n">
        <f aca="false">$E107/(SUM($E$86:$E$118)+$E$119)*H$59</f>
        <v>32.2551639621086</v>
      </c>
      <c r="I107" s="86" t="n">
        <f aca="false">$E107/(SUM($E$86:$E$118)+$E$119)*I$59</f>
        <v>32.2551639621086</v>
      </c>
      <c r="J107" s="86" t="n">
        <f aca="false">SUM(E107:I107)</f>
        <v>266.933797311972</v>
      </c>
      <c r="L107" s="91" t="n">
        <f aca="false">BORA_Devex!D37</f>
        <v>46780</v>
      </c>
      <c r="M107" s="109" t="n">
        <v>1</v>
      </c>
    </row>
    <row r="108" customFormat="false" ht="15" hidden="false" customHeight="false" outlineLevel="0" collapsed="false">
      <c r="C108" s="69" t="s">
        <v>334</v>
      </c>
      <c r="D108" s="18" t="s">
        <v>18</v>
      </c>
      <c r="E108" s="111" t="n">
        <f aca="false">Devex_FEP!$E$27</f>
        <v>20.2702702702703</v>
      </c>
      <c r="F108" s="111" t="n">
        <f aca="false">Devex_FEP!$E$27</f>
        <v>20.2702702702703</v>
      </c>
      <c r="G108" s="86"/>
      <c r="H108" s="86" t="n">
        <f aca="false">$E108/(SUM($E$86:$E$118)+$E$119)*H$59</f>
        <v>6.45993167789638</v>
      </c>
      <c r="I108" s="86" t="n">
        <f aca="false">$E108/(SUM($E$86:$E$118)+$E$119)*I$59</f>
        <v>6.45993167789638</v>
      </c>
      <c r="J108" s="86" t="n">
        <f aca="false">SUM(E108:I108)</f>
        <v>53.4604038963333</v>
      </c>
      <c r="L108" s="91" t="n">
        <f aca="false">BORA_Devex!$E$38</f>
        <v>46720</v>
      </c>
      <c r="M108" s="109" t="n">
        <v>1</v>
      </c>
    </row>
    <row r="109" customFormat="false" ht="15" hidden="false" customHeight="false" outlineLevel="0" collapsed="false">
      <c r="C109" s="69" t="s">
        <v>335</v>
      </c>
      <c r="D109" s="18" t="s">
        <v>18</v>
      </c>
      <c r="E109" s="111" t="n">
        <f aca="false">Devex_FEP!$E$28</f>
        <v>8.10810810810811</v>
      </c>
      <c r="F109" s="111" t="n">
        <f aca="false">Devex_FEP!$E$28</f>
        <v>8.10810810810811</v>
      </c>
      <c r="G109" s="86"/>
      <c r="H109" s="86" t="n">
        <f aca="false">$E109/(SUM($E$86:$E$118)+$E$119)*H$59</f>
        <v>2.58397267115855</v>
      </c>
      <c r="I109" s="86" t="n">
        <f aca="false">$E109/(SUM($E$86:$E$118)+$E$119)*I$59</f>
        <v>2.58397267115855</v>
      </c>
      <c r="J109" s="86" t="n">
        <f aca="false">SUM(E109:I109)</f>
        <v>21.3841615585333</v>
      </c>
      <c r="L109" s="91" t="n">
        <f aca="false">BORA_Devex!D40</f>
        <v>46780</v>
      </c>
      <c r="M109" s="109" t="n">
        <v>1</v>
      </c>
    </row>
    <row r="110" customFormat="false" ht="15" hidden="false" customHeight="false" outlineLevel="0" collapsed="false">
      <c r="C110" s="69" t="s">
        <v>321</v>
      </c>
      <c r="D110" s="18" t="s">
        <v>18</v>
      </c>
      <c r="E110" s="111" t="n">
        <f aca="false">Devex_FEP!$E$29</f>
        <v>61.0521235521236</v>
      </c>
      <c r="F110" s="111" t="n">
        <f aca="false">Devex_FEP!$E$29</f>
        <v>61.0521235521236</v>
      </c>
      <c r="G110" s="86"/>
      <c r="H110" s="86" t="n">
        <f aca="false">$E110/(SUM($E$86:$E$118)+$E$119)*H$59</f>
        <v>19.4566989822355</v>
      </c>
      <c r="I110" s="86" t="n">
        <f aca="false">$E110/(SUM($E$86:$E$118)+$E$119)*I$59</f>
        <v>19.4566989822355</v>
      </c>
      <c r="J110" s="86" t="n">
        <f aca="false">SUM(E110:I110)</f>
        <v>161.017645068718</v>
      </c>
      <c r="L110" s="91" t="n">
        <f aca="false">BORA_Devex!D40</f>
        <v>46780</v>
      </c>
      <c r="M110" s="109" t="n">
        <v>1</v>
      </c>
    </row>
    <row r="111" customFormat="false" ht="15" hidden="false" customHeight="false" outlineLevel="0" collapsed="false">
      <c r="C111" s="69" t="s">
        <v>336</v>
      </c>
      <c r="D111" s="18" t="s">
        <v>18</v>
      </c>
      <c r="E111" s="111" t="n">
        <f aca="false">Devex_FEP!$E$30</f>
        <v>6.2027027027027</v>
      </c>
      <c r="F111" s="111" t="n">
        <f aca="false">Devex_FEP!$E$30</f>
        <v>6.2027027027027</v>
      </c>
      <c r="G111" s="86"/>
      <c r="H111" s="86" t="n">
        <f aca="false">$E111/(SUM($E$86:$E$118)+$E$119)*H$59</f>
        <v>1.97673909343629</v>
      </c>
      <c r="I111" s="86" t="n">
        <f aca="false">$E111/(SUM($E$86:$E$118)+$E$119)*I$59</f>
        <v>1.97673909343629</v>
      </c>
      <c r="J111" s="86" t="n">
        <f aca="false">SUM(E111:I111)</f>
        <v>16.358883592278</v>
      </c>
      <c r="L111" s="91" t="n">
        <f aca="false">BORA_Devex!D42</f>
        <v>46780</v>
      </c>
      <c r="M111" s="109" t="n">
        <v>1</v>
      </c>
    </row>
    <row r="112" customFormat="false" ht="15" hidden="false" customHeight="false" outlineLevel="0" collapsed="false">
      <c r="C112" s="69" t="s">
        <v>321</v>
      </c>
      <c r="D112" s="18" t="s">
        <v>18</v>
      </c>
      <c r="E112" s="111" t="n">
        <f aca="false">Devex_FEP!$E$31</f>
        <v>47.2972972972973</v>
      </c>
      <c r="F112" s="111" t="n">
        <f aca="false">Devex_FEP!$E$31</f>
        <v>47.2972972972973</v>
      </c>
      <c r="G112" s="86"/>
      <c r="H112" s="86" t="n">
        <f aca="false">$E112/(SUM($E$86:$E$118)+$E$119)*H$59</f>
        <v>15.0731739150916</v>
      </c>
      <c r="I112" s="86" t="n">
        <f aca="false">$E112/(SUM($E$86:$E$118)+$E$119)*I$59</f>
        <v>15.0731739150916</v>
      </c>
      <c r="J112" s="86" t="n">
        <f aca="false">SUM(E112:I112)</f>
        <v>124.740942424778</v>
      </c>
      <c r="L112" s="91" t="n">
        <f aca="false">BORA_Devex!D42</f>
        <v>46780</v>
      </c>
      <c r="M112" s="109" t="n">
        <v>1</v>
      </c>
    </row>
    <row r="113" customFormat="false" ht="15" hidden="false" customHeight="false" outlineLevel="0" collapsed="false">
      <c r="C113" s="69" t="s">
        <v>337</v>
      </c>
      <c r="D113" s="18" t="s">
        <v>18</v>
      </c>
      <c r="E113" s="111" t="n">
        <f aca="false">Devex_FEP!$E$32</f>
        <v>27.027027027027</v>
      </c>
      <c r="F113" s="111" t="n">
        <f aca="false">Devex_FEP!$E$32</f>
        <v>27.027027027027</v>
      </c>
      <c r="G113" s="86"/>
      <c r="H113" s="86" t="n">
        <f aca="false">$E113/(SUM($E$86:$E$118)+$E$119)*H$59</f>
        <v>8.61324223719518</v>
      </c>
      <c r="I113" s="86" t="n">
        <f aca="false">$E113/(SUM($E$86:$E$118)+$E$119)*I$59</f>
        <v>8.61324223719518</v>
      </c>
      <c r="J113" s="86" t="n">
        <f aca="false">SUM(E113:I113)</f>
        <v>71.2805385284444</v>
      </c>
      <c r="L113" s="91" t="n">
        <f aca="false">BORA_Devex!C18</f>
        <v>47126</v>
      </c>
      <c r="M113" s="109" t="n">
        <v>1</v>
      </c>
    </row>
    <row r="114" customFormat="false" ht="15" hidden="false" customHeight="false" outlineLevel="0" collapsed="false">
      <c r="C114" s="69" t="s">
        <v>324</v>
      </c>
      <c r="D114" s="18" t="s">
        <v>18</v>
      </c>
      <c r="E114" s="111" t="n">
        <f aca="false">Devex_FEP!$E$33</f>
        <v>16.2162162162162</v>
      </c>
      <c r="F114" s="111" t="n">
        <f aca="false">Devex_FEP!$E$33</f>
        <v>16.2162162162162</v>
      </c>
      <c r="G114" s="86"/>
      <c r="H114" s="86" t="n">
        <f aca="false">$E114/(SUM($E$86:$E$118)+$E$119)*H$59</f>
        <v>5.16794534231711</v>
      </c>
      <c r="I114" s="86" t="n">
        <f aca="false">$E114/(SUM($E$86:$E$118)+$E$119)*I$59</f>
        <v>5.16794534231711</v>
      </c>
      <c r="J114" s="86" t="n">
        <f aca="false">SUM(E114:I114)</f>
        <v>42.7683231170666</v>
      </c>
      <c r="L114" s="91" t="n">
        <f aca="false">BORA_Devex!C44</f>
        <v>47066</v>
      </c>
      <c r="M114" s="109" t="n">
        <v>1</v>
      </c>
    </row>
    <row r="115" customFormat="false" ht="15" hidden="false" customHeight="false" outlineLevel="0" collapsed="false">
      <c r="C115" s="69" t="s">
        <v>338</v>
      </c>
      <c r="D115" s="18" t="s">
        <v>18</v>
      </c>
      <c r="E115" s="111" t="n">
        <f aca="false">Devex_FEP!$E$34</f>
        <v>10</v>
      </c>
      <c r="F115" s="111" t="n">
        <f aca="false">Devex_FEP!$E$34</f>
        <v>10</v>
      </c>
      <c r="G115" s="86"/>
      <c r="H115" s="86" t="n">
        <f aca="false">$E115/(SUM($E$86:$E$118)+$E$119)*H$59</f>
        <v>3.18689962776221</v>
      </c>
      <c r="I115" s="86" t="n">
        <f aca="false">$E115/(SUM($E$86:$E$118)+$E$119)*I$59</f>
        <v>3.18689962776221</v>
      </c>
      <c r="J115" s="86" t="n">
        <f aca="false">SUM(E115:I115)</f>
        <v>26.3737992555244</v>
      </c>
      <c r="L115" s="91" t="n">
        <f aca="false">Devex_FEP!$F$34</f>
        <v>46752</v>
      </c>
      <c r="M115" s="109" t="n">
        <v>1</v>
      </c>
    </row>
    <row r="116" customFormat="false" ht="15" hidden="false" customHeight="false" outlineLevel="0" collapsed="false">
      <c r="C116" s="69" t="s">
        <v>339</v>
      </c>
      <c r="D116" s="18" t="s">
        <v>18</v>
      </c>
      <c r="E116" s="111" t="n">
        <f aca="false">Devex_FEP!$E$35</f>
        <v>40</v>
      </c>
      <c r="F116" s="111" t="n">
        <f aca="false">Devex_FEP!$E$35</f>
        <v>40</v>
      </c>
      <c r="G116" s="86"/>
      <c r="H116" s="86" t="n">
        <f aca="false">$E116/(SUM($E$86:$E$118)+$E$119)*H$59</f>
        <v>12.7475985110489</v>
      </c>
      <c r="I116" s="86" t="n">
        <f aca="false">$E116/(SUM($E$86:$E$118)+$E$119)*I$59</f>
        <v>12.7475985110489</v>
      </c>
      <c r="J116" s="86" t="n">
        <f aca="false">SUM(E116:I116)</f>
        <v>105.495197022098</v>
      </c>
      <c r="L116" s="91" t="n">
        <f aca="false">Devex_FEP!$F$35</f>
        <v>46752</v>
      </c>
      <c r="M116" s="109" t="n">
        <v>1</v>
      </c>
    </row>
    <row r="117" customFormat="false" ht="15" hidden="false" customHeight="false" outlineLevel="0" collapsed="false">
      <c r="C117" s="69" t="s">
        <v>340</v>
      </c>
      <c r="D117" s="18" t="s">
        <v>18</v>
      </c>
      <c r="E117" s="111" t="n">
        <f aca="false">Devex_FEP!$E$36</f>
        <v>25</v>
      </c>
      <c r="F117" s="111" t="n">
        <f aca="false">Devex_FEP!$E$36</f>
        <v>25</v>
      </c>
      <c r="G117" s="86"/>
      <c r="H117" s="86" t="n">
        <f aca="false">$E117/(SUM($E$86:$E$118)+$E$119)*H$59</f>
        <v>7.96724906940554</v>
      </c>
      <c r="I117" s="86" t="n">
        <f aca="false">$E117/(SUM($E$86:$E$118)+$E$119)*I$59</f>
        <v>7.96724906940554</v>
      </c>
      <c r="J117" s="86" t="n">
        <f aca="false">SUM(E117:I117)</f>
        <v>65.9344981388111</v>
      </c>
      <c r="L117" s="91" t="n">
        <f aca="false">Devex_FEP!$F$36</f>
        <v>46752</v>
      </c>
      <c r="M117" s="109" t="n">
        <v>1</v>
      </c>
    </row>
    <row r="118" customFormat="false" ht="15" hidden="false" customHeight="false" outlineLevel="0" collapsed="false">
      <c r="C118" s="69" t="s">
        <v>341</v>
      </c>
      <c r="D118" s="18" t="s">
        <v>18</v>
      </c>
      <c r="E118" s="111" t="n">
        <f aca="false">Devex_FEP!$E$37</f>
        <v>123.243243243243</v>
      </c>
      <c r="F118" s="111" t="n">
        <f aca="false">Devex_FEP!$E$37</f>
        <v>123.243243243243</v>
      </c>
      <c r="G118" s="86"/>
      <c r="H118" s="86" t="n">
        <f aca="false">$E118/(SUM($E$86:$E$118)+$E$119)*H$59</f>
        <v>39.27638460161</v>
      </c>
      <c r="I118" s="86" t="n">
        <f aca="false">$E118/(SUM($E$86:$E$118)+$E$119)*I$59</f>
        <v>39.27638460161</v>
      </c>
      <c r="J118" s="86" t="n">
        <f aca="false">SUM(E118:I118)</f>
        <v>325.039255689706</v>
      </c>
      <c r="L118" s="91" t="n">
        <f aca="false">BORA_Devex!D43</f>
        <v>47201</v>
      </c>
      <c r="M118" s="109" t="n">
        <v>1</v>
      </c>
    </row>
    <row r="119" customFormat="false" ht="15" hidden="false" customHeight="false" outlineLevel="0" collapsed="false">
      <c r="C119" s="69" t="s">
        <v>342</v>
      </c>
      <c r="D119" s="18" t="s">
        <v>18</v>
      </c>
      <c r="E119" s="111" t="n">
        <f aca="false">Devex_FEP!$E$38</f>
        <v>141.103830814286</v>
      </c>
      <c r="F119" s="111" t="n">
        <f aca="false">Devex_FEP!$E$38</f>
        <v>141.103830814286</v>
      </c>
      <c r="G119" s="86"/>
      <c r="H119" s="86" t="n">
        <f aca="false">$E119/(SUM($E$86:$E$118)+$E$119)*H$59</f>
        <v>44.9683745897872</v>
      </c>
      <c r="I119" s="86" t="n">
        <f aca="false">$E119/(SUM($E$86:$E$118)+$E$119)*I$59</f>
        <v>44.9683745897872</v>
      </c>
      <c r="J119" s="86" t="n">
        <f aca="false">SUM(E119:I119)</f>
        <v>372.144410808147</v>
      </c>
      <c r="L119" s="94" t="n">
        <f aca="false">Devex_FEP!$F$38</f>
        <v>47118</v>
      </c>
      <c r="M119" s="109" t="n">
        <v>1</v>
      </c>
    </row>
    <row r="120" customFormat="false" ht="15" hidden="false" customHeight="false" outlineLevel="0" collapsed="false">
      <c r="C120" s="89" t="s">
        <v>343</v>
      </c>
      <c r="D120" s="18" t="s">
        <v>18</v>
      </c>
      <c r="E120" s="106" t="n">
        <f aca="false">SUM(E86:E118)+E119</f>
        <v>1568.92296087496</v>
      </c>
      <c r="F120" s="106" t="n">
        <f aca="false">SUM(F86:F118)+F119</f>
        <v>1568.92296087496</v>
      </c>
      <c r="G120" s="106"/>
      <c r="H120" s="106" t="n">
        <f aca="false">SUM(H86:H118)+H119</f>
        <v>500</v>
      </c>
      <c r="I120" s="106" t="n">
        <f aca="false">SUM(I86:I118)+I119</f>
        <v>500</v>
      </c>
      <c r="J120" s="106" t="n">
        <f aca="false">SUM(E120:I120)</f>
        <v>4137.84592174992</v>
      </c>
    </row>
    <row r="122" customFormat="false" ht="15" hidden="false" customHeight="false" outlineLevel="0" collapsed="false">
      <c r="A122" s="71" t="s">
        <v>7</v>
      </c>
      <c r="B122" s="71"/>
      <c r="C122" s="71" t="s">
        <v>344</v>
      </c>
      <c r="D122" s="71"/>
      <c r="E122" s="72" t="s">
        <v>245</v>
      </c>
      <c r="F122" s="72" t="s">
        <v>246</v>
      </c>
      <c r="G122" s="72"/>
      <c r="H122" s="72" t="s">
        <v>247</v>
      </c>
      <c r="I122" s="72" t="s">
        <v>248</v>
      </c>
      <c r="J122" s="72" t="s">
        <v>299</v>
      </c>
      <c r="K122" s="71"/>
      <c r="L122" s="71"/>
      <c r="M122" s="71"/>
      <c r="N122" s="71"/>
      <c r="O122" s="71"/>
    </row>
    <row r="123" customFormat="false" ht="15" hidden="false" customHeight="false" outlineLevel="0" collapsed="false">
      <c r="C123" s="69" t="s">
        <v>267</v>
      </c>
      <c r="D123" s="18" t="s">
        <v>80</v>
      </c>
      <c r="E123" s="112" t="n">
        <f aca="false">E34</f>
        <v>65.5</v>
      </c>
      <c r="F123" s="112" t="n">
        <f aca="false">F34</f>
        <v>65.5</v>
      </c>
      <c r="G123" s="112"/>
      <c r="H123" s="112" t="n">
        <f aca="false">H34</f>
        <v>69.5</v>
      </c>
      <c r="I123" s="112" t="n">
        <f aca="false">I34</f>
        <v>69.5</v>
      </c>
    </row>
    <row r="124" customFormat="false" ht="15" hidden="false" customHeight="false" outlineLevel="0" collapsed="false">
      <c r="C124" s="69" t="s">
        <v>294</v>
      </c>
      <c r="D124" s="18" t="s">
        <v>18</v>
      </c>
      <c r="E124" s="85" t="n">
        <f aca="false">E$58</f>
        <v>200</v>
      </c>
      <c r="F124" s="85" t="n">
        <f aca="false">F$58</f>
        <v>200</v>
      </c>
      <c r="G124" s="85"/>
      <c r="H124" s="85" t="n">
        <f aca="false">H$58</f>
        <v>150</v>
      </c>
      <c r="I124" s="85" t="n">
        <f aca="false">I$58</f>
        <v>150</v>
      </c>
      <c r="J124" s="85" t="n">
        <f aca="false">SUM(E124:I124)</f>
        <v>700</v>
      </c>
    </row>
    <row r="125" customFormat="false" ht="15" hidden="false" customHeight="false" outlineLevel="0" collapsed="false">
      <c r="C125" s="69" t="s">
        <v>313</v>
      </c>
      <c r="D125" s="18" t="s">
        <v>18</v>
      </c>
      <c r="E125" s="85" t="n">
        <f aca="false">E83</f>
        <v>20724.1191835616</v>
      </c>
      <c r="F125" s="85" t="n">
        <f aca="false">F83</f>
        <v>20724.1191835616</v>
      </c>
      <c r="G125" s="85"/>
      <c r="H125" s="85" t="n">
        <f aca="false">H83</f>
        <v>3984.47671232877</v>
      </c>
      <c r="I125" s="85" t="n">
        <f aca="false">I83</f>
        <v>3984.47671232877</v>
      </c>
      <c r="J125" s="85" t="n">
        <f aca="false">SUM(E125:I125)</f>
        <v>49417.1917917808</v>
      </c>
    </row>
    <row r="126" customFormat="false" ht="15" hidden="false" customHeight="false" outlineLevel="0" collapsed="false">
      <c r="C126" s="69" t="s">
        <v>343</v>
      </c>
      <c r="D126" s="18" t="s">
        <v>18</v>
      </c>
      <c r="E126" s="85" t="n">
        <f aca="false">E120</f>
        <v>1568.92296087496</v>
      </c>
      <c r="F126" s="85" t="n">
        <f aca="false">F120</f>
        <v>1568.92296087496</v>
      </c>
      <c r="G126" s="85"/>
      <c r="H126" s="85" t="n">
        <f aca="false">H120</f>
        <v>500</v>
      </c>
      <c r="I126" s="85" t="n">
        <f aca="false">I120</f>
        <v>500</v>
      </c>
      <c r="J126" s="85" t="n">
        <f aca="false">SUM(E126:I126)</f>
        <v>4137.84592174992</v>
      </c>
    </row>
    <row r="127" customFormat="false" ht="15" hidden="false" customHeight="false" outlineLevel="0" collapsed="false">
      <c r="C127" s="89" t="s">
        <v>345</v>
      </c>
      <c r="D127" s="18" t="s">
        <v>18</v>
      </c>
      <c r="E127" s="106" t="n">
        <f aca="false">E124+E125+E126</f>
        <v>22493.0421444366</v>
      </c>
      <c r="F127" s="106" t="n">
        <f aca="false">F124+F125+F126</f>
        <v>22493.0421444366</v>
      </c>
      <c r="G127" s="106"/>
      <c r="H127" s="106" t="n">
        <f aca="false">H124+H125+H126</f>
        <v>4634.47671232877</v>
      </c>
      <c r="I127" s="106" t="n">
        <f aca="false">I124+I125+I126</f>
        <v>4634.47671232877</v>
      </c>
      <c r="J127" s="106" t="n">
        <f aca="false">SUM(E127:I127)</f>
        <v>54255.0377135307</v>
      </c>
    </row>
    <row r="128" customFormat="false" ht="15" hidden="false" customHeight="false" outlineLevel="0" collapsed="false">
      <c r="C128" s="69" t="s">
        <v>312</v>
      </c>
      <c r="D128" s="18" t="s">
        <v>18</v>
      </c>
      <c r="E128" s="85" t="n">
        <f aca="false">E82</f>
        <v>1590.73519084256</v>
      </c>
      <c r="F128" s="85" t="n">
        <f aca="false">F82</f>
        <v>1590.73519084256</v>
      </c>
      <c r="G128" s="85"/>
      <c r="H128" s="85" t="n">
        <f aca="false">H82</f>
        <v>835.776513417152</v>
      </c>
      <c r="I128" s="85" t="n">
        <f aca="false">I82</f>
        <v>835.776513417152</v>
      </c>
      <c r="J128" s="85" t="n">
        <f aca="false">SUM(E128:I128)</f>
        <v>4853.02340851942</v>
      </c>
    </row>
    <row r="129" customFormat="false" ht="15" hidden="false" customHeight="false" outlineLevel="0" collapsed="false">
      <c r="C129" s="69" t="s">
        <v>346</v>
      </c>
      <c r="D129" s="18" t="s">
        <v>18</v>
      </c>
      <c r="E129" s="85" t="n">
        <f aca="false">E78</f>
        <v>5842.87671232877</v>
      </c>
      <c r="F129" s="85" t="n">
        <f aca="false">F78</f>
        <v>5842.87671232877</v>
      </c>
      <c r="G129" s="85"/>
      <c r="H129" s="85" t="n">
        <f aca="false">H78</f>
        <v>3069.86301369863</v>
      </c>
      <c r="I129" s="85" t="n">
        <f aca="false">I78</f>
        <v>3069.86301369863</v>
      </c>
      <c r="J129" s="85" t="n">
        <f aca="false">SUM(E129:I129)</f>
        <v>17825.4794520548</v>
      </c>
    </row>
    <row r="130" customFormat="false" ht="15" hidden="false" customHeight="false" outlineLevel="0" collapsed="false">
      <c r="C130" s="69" t="s">
        <v>346</v>
      </c>
      <c r="D130" s="18" t="s">
        <v>286</v>
      </c>
      <c r="E130" s="85" t="n">
        <f aca="false">E71</f>
        <v>2132650000</v>
      </c>
      <c r="F130" s="85" t="n">
        <f aca="false">F71</f>
        <v>2132650000</v>
      </c>
      <c r="G130" s="85"/>
      <c r="H130" s="85" t="n">
        <f aca="false">H71</f>
        <v>1120500000</v>
      </c>
      <c r="I130" s="85" t="n">
        <f aca="false">I71</f>
        <v>1120500000</v>
      </c>
      <c r="J130" s="85" t="n">
        <f aca="false">SUM(E130:I130)</f>
        <v>6506300000</v>
      </c>
    </row>
    <row r="131" customFormat="false" ht="15" hidden="false" customHeight="false" outlineLevel="0" collapsed="false">
      <c r="C131" s="69" t="s">
        <v>347</v>
      </c>
      <c r="D131" s="18" t="s">
        <v>286</v>
      </c>
      <c r="E131" s="85" t="n">
        <f aca="false">E72</f>
        <v>7564303502</v>
      </c>
      <c r="F131" s="85" t="n">
        <f aca="false">F72</f>
        <v>7564303502</v>
      </c>
      <c r="G131" s="85"/>
      <c r="H131" s="85" t="n">
        <f aca="false">H72</f>
        <v>1454334000</v>
      </c>
      <c r="I131" s="85" t="n">
        <f aca="false">I72</f>
        <v>1454334000</v>
      </c>
      <c r="J131" s="85" t="n">
        <f aca="false">SUM(E131:I131)</f>
        <v>18037275004</v>
      </c>
    </row>
    <row r="132" customFormat="false" ht="15" hidden="false" customHeight="false" outlineLevel="0" collapsed="false">
      <c r="C132" s="69" t="s">
        <v>222</v>
      </c>
      <c r="D132" s="18" t="s">
        <v>220</v>
      </c>
      <c r="E132" s="94" t="n">
        <f aca="false">Inputs!$E$155</f>
        <v>48029</v>
      </c>
      <c r="F132" s="94" t="n">
        <f aca="false">Inputs!$E$155</f>
        <v>48029</v>
      </c>
      <c r="G132" s="94"/>
      <c r="H132" s="94" t="n">
        <f aca="false">Inputs!$E$155</f>
        <v>48029</v>
      </c>
      <c r="I132" s="94" t="n">
        <f aca="false">Inputs!$E$155</f>
        <v>48029</v>
      </c>
    </row>
    <row r="134" customFormat="false" ht="15" hidden="false" customHeight="false" outlineLevel="0" collapsed="false">
      <c r="A134" s="71" t="s">
        <v>7</v>
      </c>
      <c r="B134" s="71"/>
      <c r="C134" s="71" t="s">
        <v>348</v>
      </c>
      <c r="D134" s="71"/>
      <c r="E134" s="72" t="s">
        <v>245</v>
      </c>
      <c r="F134" s="72" t="s">
        <v>246</v>
      </c>
      <c r="G134" s="72"/>
      <c r="H134" s="72" t="s">
        <v>247</v>
      </c>
      <c r="I134" s="72" t="s">
        <v>248</v>
      </c>
      <c r="J134" s="72" t="s">
        <v>299</v>
      </c>
      <c r="K134" s="71"/>
      <c r="L134" s="72" t="s">
        <v>349</v>
      </c>
      <c r="M134" s="72" t="s">
        <v>350</v>
      </c>
      <c r="N134" s="71"/>
      <c r="O134" s="71"/>
    </row>
    <row r="135" customFormat="false" ht="15" hidden="false" customHeight="false" outlineLevel="0" collapsed="false">
      <c r="C135" s="113" t="n">
        <v>46295</v>
      </c>
      <c r="D135" s="18" t="s">
        <v>18</v>
      </c>
      <c r="E135" s="85" t="n">
        <f aca="false">SUMPRODUCT((Bid_Dates&gt;EOMONTH($C135,-Qtr_Months))*(Bid_Dates&lt;=$C135)*Bid_Cash,E$75:E$119)</f>
        <v>200</v>
      </c>
      <c r="F135" s="85" t="n">
        <f aca="false">SUMPRODUCT((Bid_Dates&gt;EOMONTH($C135,-Qtr_Months))*(Bid_Dates&lt;=$C135)*Bid_Cash,F$75:F$119)</f>
        <v>200</v>
      </c>
      <c r="G135" s="85"/>
      <c r="H135" s="85" t="n">
        <f aca="false">SUMPRODUCT((Bid_Dates&gt;EOMONTH($C135,-Qtr_Months))*(Bid_Dates&lt;=$C135)*Bid_Cash,H$75:H$119)</f>
        <v>150</v>
      </c>
      <c r="I135" s="85" t="n">
        <f aca="false">SUMPRODUCT((Bid_Dates&gt;EOMONTH($C135,-Qtr_Months))*(Bid_Dates&lt;=$C135)*Bid_Cash,I$75:I$119)</f>
        <v>150</v>
      </c>
      <c r="J135" s="85" t="n">
        <f aca="false">SUM(E135:I135)</f>
        <v>700</v>
      </c>
      <c r="L135" s="85" t="n">
        <f aca="false">J135</f>
        <v>700</v>
      </c>
      <c r="M135" s="85" t="n">
        <f aca="false">($C135&lt;=$E$44)*(($E$38&lt;=$C135)*($E$39&gt;$C135)*$J$77+($E$39&lt;=$C135)*($E$45&gt;$C135)*$J$78)</f>
        <v>0</v>
      </c>
    </row>
    <row r="136" customFormat="false" ht="15" hidden="false" customHeight="false" outlineLevel="0" collapsed="false">
      <c r="C136" s="114" t="n">
        <f aca="false">EOMONTH(C135,Qtr_Months)</f>
        <v>46387</v>
      </c>
      <c r="D136" s="18" t="s">
        <v>18</v>
      </c>
      <c r="E136" s="85" t="n">
        <f aca="false">SUMPRODUCT((Bid_Dates&gt;EOMONTH($C136,-Qtr_Months))*(Bid_Dates&lt;=$C136)*Bid_Cash,E$75:E$119)</f>
        <v>1329.71751203258</v>
      </c>
      <c r="F136" s="85" t="n">
        <f aca="false">SUMPRODUCT((Bid_Dates&gt;EOMONTH($C136,-Qtr_Months))*(Bid_Dates&lt;=$C136)*Bid_Cash,F$75:F$119)</f>
        <v>1329.71751203258</v>
      </c>
      <c r="G136" s="85"/>
      <c r="H136" s="85" t="n">
        <f aca="false">SUMPRODUCT((Bid_Dates&gt;EOMONTH($C136,-Qtr_Months))*(Bid_Dates&lt;=$C136)*Bid_Cash,H$75:H$119)</f>
        <v>652.900355542338</v>
      </c>
      <c r="I136" s="85" t="n">
        <f aca="false">SUMPRODUCT((Bid_Dates&gt;EOMONTH($C136,-Qtr_Months))*(Bid_Dates&lt;=$C136)*Bid_Cash,I$75:I$119)</f>
        <v>652.900355542338</v>
      </c>
      <c r="J136" s="85" t="n">
        <f aca="false">SUM(E136:I136)</f>
        <v>3965.23573514984</v>
      </c>
      <c r="L136" s="85" t="n">
        <f aca="false">J136+L135</f>
        <v>4665.23573514984</v>
      </c>
      <c r="M136" s="85" t="n">
        <f aca="false">($C136&lt;=$E$44)*(($E$38&lt;=$C136)*($E$39&gt;$C136)*$J$77+($E$39&lt;=$C136)*($E$45&gt;$C136)*$J$78)</f>
        <v>17825.4794520548</v>
      </c>
    </row>
    <row r="137" customFormat="false" ht="15" hidden="false" customHeight="false" outlineLevel="0" collapsed="false">
      <c r="C137" s="114" t="n">
        <f aca="false">EOMONTH(C136,Qtr_Months)</f>
        <v>46477</v>
      </c>
      <c r="D137" s="18" t="s">
        <v>18</v>
      </c>
      <c r="E137" s="85" t="n">
        <f aca="false">SUMPRODUCT((Bid_Dates&gt;EOMONTH($C137,-Qtr_Months))*(Bid_Dates&lt;=$C137)*Bid_Cash,E$75:E$119)</f>
        <v>293.311486486487</v>
      </c>
      <c r="F137" s="85" t="n">
        <f aca="false">SUMPRODUCT((Bid_Dates&gt;EOMONTH($C137,-Qtr_Months))*(Bid_Dates&lt;=$C137)*Bid_Cash,F$75:F$119)</f>
        <v>293.311486486487</v>
      </c>
      <c r="G137" s="85"/>
      <c r="H137" s="85" t="n">
        <f aca="false">SUMPRODUCT((Bid_Dates&gt;EOMONTH($C137,-Qtr_Months))*(Bid_Dates&lt;=$C137)*Bid_Cash,H$75:H$119)</f>
        <v>93.4754267102166</v>
      </c>
      <c r="I137" s="85" t="n">
        <f aca="false">SUMPRODUCT((Bid_Dates&gt;EOMONTH($C137,-Qtr_Months))*(Bid_Dates&lt;=$C137)*Bid_Cash,I$75:I$119)</f>
        <v>93.4754267102166</v>
      </c>
      <c r="J137" s="85" t="n">
        <f aca="false">SUM(E137:I137)</f>
        <v>773.573826393406</v>
      </c>
      <c r="L137" s="85" t="n">
        <f aca="false">J137+L136</f>
        <v>5438.80956154324</v>
      </c>
      <c r="M137" s="85" t="n">
        <f aca="false">($C137&lt;=$E$44)*(($E$38&lt;=$C137)*($E$39&gt;$C137)*$J$77+($E$39&lt;=$C137)*($E$45&gt;$C137)*$J$78)</f>
        <v>17825.4794520548</v>
      </c>
    </row>
    <row r="138" customFormat="false" ht="15" hidden="false" customHeight="false" outlineLevel="0" collapsed="false">
      <c r="C138" s="114" t="n">
        <f aca="false">EOMONTH(C137,Qtr_Months)</f>
        <v>46568</v>
      </c>
      <c r="D138" s="18" t="s">
        <v>18</v>
      </c>
      <c r="E138" s="85" t="n">
        <f aca="false">SUMPRODUCT((Bid_Dates&gt;EOMONTH($C138,-Qtr_Months))*(Bid_Dates&lt;=$C138)*Bid_Cash,E$75:E$119)</f>
        <v>21.6216216216216</v>
      </c>
      <c r="F138" s="85" t="n">
        <f aca="false">SUMPRODUCT((Bid_Dates&gt;EOMONTH($C138,-Qtr_Months))*(Bid_Dates&lt;=$C138)*Bid_Cash,F$75:F$119)</f>
        <v>21.6216216216216</v>
      </c>
      <c r="G138" s="85"/>
      <c r="H138" s="85" t="n">
        <f aca="false">SUMPRODUCT((Bid_Dates&gt;EOMONTH($C138,-Qtr_Months))*(Bid_Dates&lt;=$C138)*Bid_Cash,H$75:H$119)</f>
        <v>6.89059378975614</v>
      </c>
      <c r="I138" s="85" t="n">
        <f aca="false">SUMPRODUCT((Bid_Dates&gt;EOMONTH($C138,-Qtr_Months))*(Bid_Dates&lt;=$C138)*Bid_Cash,I$75:I$119)</f>
        <v>6.89059378975614</v>
      </c>
      <c r="J138" s="85" t="n">
        <f aca="false">SUM(E138:I138)</f>
        <v>57.0244308227555</v>
      </c>
      <c r="L138" s="85" t="n">
        <f aca="false">J138+L137</f>
        <v>5495.833992366</v>
      </c>
      <c r="M138" s="85" t="n">
        <f aca="false">($C138&lt;=$E$44)*(($E$38&lt;=$C138)*($E$39&gt;$C138)*$J$77+($E$39&lt;=$C138)*($E$45&gt;$C138)*$J$78)</f>
        <v>17825.4794520548</v>
      </c>
    </row>
    <row r="139" customFormat="false" ht="15" hidden="false" customHeight="false" outlineLevel="0" collapsed="false">
      <c r="C139" s="114" t="n">
        <f aca="false">EOMONTH(C138,Qtr_Months)</f>
        <v>46660</v>
      </c>
      <c r="D139" s="18" t="s">
        <v>18</v>
      </c>
      <c r="E139" s="85" t="n">
        <f aca="false">SUMPRODUCT((Bid_Dates&gt;EOMONTH($C139,-Qtr_Months))*(Bid_Dates&lt;=$C139)*Bid_Cash,E$75:E$119)</f>
        <v>21.6216216216216</v>
      </c>
      <c r="F139" s="85" t="n">
        <f aca="false">SUMPRODUCT((Bid_Dates&gt;EOMONTH($C139,-Qtr_Months))*(Bid_Dates&lt;=$C139)*Bid_Cash,F$75:F$119)</f>
        <v>21.6216216216216</v>
      </c>
      <c r="G139" s="85"/>
      <c r="H139" s="85" t="n">
        <f aca="false">SUMPRODUCT((Bid_Dates&gt;EOMONTH($C139,-Qtr_Months))*(Bid_Dates&lt;=$C139)*Bid_Cash,H$75:H$119)</f>
        <v>6.89059378975614</v>
      </c>
      <c r="I139" s="85" t="n">
        <f aca="false">SUMPRODUCT((Bid_Dates&gt;EOMONTH($C139,-Qtr_Months))*(Bid_Dates&lt;=$C139)*Bid_Cash,I$75:I$119)</f>
        <v>6.89059378975614</v>
      </c>
      <c r="J139" s="85" t="n">
        <f aca="false">SUM(E139:I139)</f>
        <v>57.0244308227555</v>
      </c>
      <c r="L139" s="85" t="n">
        <f aca="false">J139+L138</f>
        <v>5552.85842318876</v>
      </c>
      <c r="M139" s="85" t="n">
        <f aca="false">($C139&lt;=$E$44)*(($E$38&lt;=$C139)*($E$39&gt;$C139)*$J$77+($E$39&lt;=$C139)*($E$45&gt;$C139)*$J$78)</f>
        <v>17825.4794520548</v>
      </c>
    </row>
    <row r="140" customFormat="false" ht="15" hidden="false" customHeight="false" outlineLevel="0" collapsed="false">
      <c r="C140" s="114" t="n">
        <f aca="false">EOMONTH(C139,Qtr_Months)</f>
        <v>46752</v>
      </c>
      <c r="D140" s="18" t="s">
        <v>18</v>
      </c>
      <c r="E140" s="85" t="n">
        <f aca="false">SUMPRODUCT((Bid_Dates&gt;EOMONTH($C140,-Qtr_Months))*(Bid_Dates&lt;=$C140)*Bid_Cash,E$75:E$119)</f>
        <v>116.610810810811</v>
      </c>
      <c r="F140" s="85" t="n">
        <f aca="false">SUMPRODUCT((Bid_Dates&gt;EOMONTH($C140,-Qtr_Months))*(Bid_Dates&lt;=$C140)*Bid_Cash,F$75:F$119)</f>
        <v>116.610810810811</v>
      </c>
      <c r="G140" s="85"/>
      <c r="H140" s="85" t="n">
        <f aca="false">SUMPRODUCT((Bid_Dates&gt;EOMONTH($C140,-Qtr_Months))*(Bid_Dates&lt;=$C140)*Bid_Cash,H$75:H$119)</f>
        <v>37.1626949566023</v>
      </c>
      <c r="I140" s="85" t="n">
        <f aca="false">SUMPRODUCT((Bid_Dates&gt;EOMONTH($C140,-Qtr_Months))*(Bid_Dates&lt;=$C140)*Bid_Cash,I$75:I$119)</f>
        <v>37.1626949566023</v>
      </c>
      <c r="J140" s="85" t="n">
        <f aca="false">SUM(E140:I140)</f>
        <v>307.547011534826</v>
      </c>
      <c r="L140" s="85" t="n">
        <f aca="false">J140+L139</f>
        <v>5860.40543472358</v>
      </c>
      <c r="M140" s="85" t="n">
        <f aca="false">($C140&lt;=$E$44)*(($E$38&lt;=$C140)*($E$39&gt;$C140)*$J$77+($E$39&lt;=$C140)*($E$45&gt;$C140)*$J$78)</f>
        <v>17825.4794520548</v>
      </c>
    </row>
    <row r="141" customFormat="false" ht="15" hidden="false" customHeight="false" outlineLevel="0" collapsed="false">
      <c r="C141" s="114" t="n">
        <f aca="false">EOMONTH(C140,Qtr_Months)</f>
        <v>46843</v>
      </c>
      <c r="D141" s="18" t="s">
        <v>18</v>
      </c>
      <c r="E141" s="85" t="n">
        <f aca="false">SUMPRODUCT((Bid_Dates&gt;EOMONTH($C141,-Qtr_Months))*(Bid_Dates&lt;=$C141)*Bid_Cash,E$75:E$119)</f>
        <v>636.304398786542</v>
      </c>
      <c r="F141" s="85" t="n">
        <f aca="false">SUMPRODUCT((Bid_Dates&gt;EOMONTH($C141,-Qtr_Months))*(Bid_Dates&lt;=$C141)*Bid_Cash,F$75:F$119)</f>
        <v>636.304398786542</v>
      </c>
      <c r="G141" s="85"/>
      <c r="H141" s="85" t="n">
        <f aca="false">SUMPRODUCT((Bid_Dates&gt;EOMONTH($C141,-Qtr_Months))*(Bid_Dates&lt;=$C141)*Bid_Cash,H$75:H$119)</f>
        <v>202.783825163629</v>
      </c>
      <c r="I141" s="85" t="n">
        <f aca="false">SUMPRODUCT((Bid_Dates&gt;EOMONTH($C141,-Qtr_Months))*(Bid_Dates&lt;=$C141)*Bid_Cash,I$75:I$119)</f>
        <v>202.783825163629</v>
      </c>
      <c r="J141" s="85" t="n">
        <f aca="false">SUM(E141:I141)</f>
        <v>1678.17644790034</v>
      </c>
      <c r="L141" s="85" t="n">
        <f aca="false">J141+L140</f>
        <v>7538.58188262392</v>
      </c>
      <c r="M141" s="85" t="n">
        <f aca="false">($C141&lt;=$E$44)*(($E$38&lt;=$C141)*($E$39&gt;$C141)*$J$77+($E$39&lt;=$C141)*($E$45&gt;$C141)*$J$78)</f>
        <v>17825.4794520548</v>
      </c>
    </row>
    <row r="142" customFormat="false" ht="15" hidden="false" customHeight="false" outlineLevel="0" collapsed="false">
      <c r="C142" s="114" t="n">
        <f aca="false">EOMONTH(C141,Qtr_Months)</f>
        <v>46934</v>
      </c>
      <c r="D142" s="18" t="s">
        <v>18</v>
      </c>
      <c r="E142" s="85" t="n">
        <f aca="false">SUMPRODUCT((Bid_Dates&gt;EOMONTH($C142,-Qtr_Months))*(Bid_Dates&lt;=$C142)*Bid_Cash,E$75:E$119)</f>
        <v>2.30405405405405</v>
      </c>
      <c r="F142" s="85" t="n">
        <f aca="false">SUMPRODUCT((Bid_Dates&gt;EOMONTH($C142,-Qtr_Months))*(Bid_Dates&lt;=$C142)*Bid_Cash,F$75:F$119)</f>
        <v>2.30405405405405</v>
      </c>
      <c r="G142" s="85"/>
      <c r="H142" s="85" t="n">
        <f aca="false">SUMPRODUCT((Bid_Dates&gt;EOMONTH($C142,-Qtr_Months))*(Bid_Dates&lt;=$C142)*Bid_Cash,H$75:H$119)</f>
        <v>0.734278900720889</v>
      </c>
      <c r="I142" s="85" t="n">
        <f aca="false">SUMPRODUCT((Bid_Dates&gt;EOMONTH($C142,-Qtr_Months))*(Bid_Dates&lt;=$C142)*Bid_Cash,I$75:I$119)</f>
        <v>0.734278900720889</v>
      </c>
      <c r="J142" s="85" t="n">
        <f aca="false">SUM(E142:I142)</f>
        <v>6.07666590954989</v>
      </c>
      <c r="L142" s="85" t="n">
        <f aca="false">J142+L141</f>
        <v>7544.65854853347</v>
      </c>
      <c r="M142" s="85" t="n">
        <f aca="false">($C142&lt;=$E$44)*(($E$38&lt;=$C142)*($E$39&gt;$C142)*$J$77+($E$39&lt;=$C142)*($E$45&gt;$C142)*$J$78)</f>
        <v>17825.4794520548</v>
      </c>
    </row>
    <row r="143" customFormat="false" ht="15" hidden="false" customHeight="false" outlineLevel="0" collapsed="false">
      <c r="C143" s="114" t="n">
        <f aca="false">EOMONTH(C142,Qtr_Months)</f>
        <v>47026</v>
      </c>
      <c r="D143" s="18" t="s">
        <v>18</v>
      </c>
      <c r="E143" s="85" t="n">
        <f aca="false">SUMPRODUCT((Bid_Dates&gt;EOMONTH($C143,-Qtr_Months))*(Bid_Dates&lt;=$C143)*Bid_Cash,E$75:E$119)</f>
        <v>80.9370285714286</v>
      </c>
      <c r="F143" s="85" t="n">
        <f aca="false">SUMPRODUCT((Bid_Dates&gt;EOMONTH($C143,-Qtr_Months))*(Bid_Dates&lt;=$C143)*Bid_Cash,F$75:F$119)</f>
        <v>80.9370285714286</v>
      </c>
      <c r="G143" s="85"/>
      <c r="H143" s="85" t="n">
        <f aca="false">SUMPRODUCT((Bid_Dates&gt;EOMONTH($C143,-Qtr_Months))*(Bid_Dates&lt;=$C143)*Bid_Cash,H$75:H$119)</f>
        <v>25.7938186226465</v>
      </c>
      <c r="I143" s="85" t="n">
        <f aca="false">SUMPRODUCT((Bid_Dates&gt;EOMONTH($C143,-Qtr_Months))*(Bid_Dates&lt;=$C143)*Bid_Cash,I$75:I$119)</f>
        <v>25.7938186226465</v>
      </c>
      <c r="J143" s="85" t="n">
        <f aca="false">SUM(E143:I143)</f>
        <v>213.46169438815</v>
      </c>
      <c r="L143" s="85" t="n">
        <f aca="false">J143+L142</f>
        <v>7758.12024292162</v>
      </c>
      <c r="M143" s="85" t="n">
        <f aca="false">($C143&lt;=$E$44)*(($E$38&lt;=$C143)*($E$39&gt;$C143)*$J$77+($E$39&lt;=$C143)*($E$45&gt;$C143)*$J$78)</f>
        <v>17825.4794520548</v>
      </c>
    </row>
    <row r="144" customFormat="false" ht="15" hidden="false" customHeight="false" outlineLevel="0" collapsed="false">
      <c r="C144" s="114" t="n">
        <f aca="false">EOMONTH(C143,Qtr_Months)</f>
        <v>47118</v>
      </c>
      <c r="D144" s="18" t="s">
        <v>18</v>
      </c>
      <c r="E144" s="85" t="n">
        <f aca="false">SUMPRODUCT((Bid_Dates&gt;EOMONTH($C144,-Qtr_Months))*(Bid_Dates&lt;=$C144)*Bid_Cash,E$75:E$119)</f>
        <v>157.320047030503</v>
      </c>
      <c r="F144" s="85" t="n">
        <f aca="false">SUMPRODUCT((Bid_Dates&gt;EOMONTH($C144,-Qtr_Months))*(Bid_Dates&lt;=$C144)*Bid_Cash,F$75:F$119)</f>
        <v>157.320047030503</v>
      </c>
      <c r="G144" s="85"/>
      <c r="H144" s="85" t="n">
        <f aca="false">SUMPRODUCT((Bid_Dates&gt;EOMONTH($C144,-Qtr_Months))*(Bid_Dates&lt;=$C144)*Bid_Cash,H$75:H$119)</f>
        <v>50.1363199321043</v>
      </c>
      <c r="I144" s="85" t="n">
        <f aca="false">SUMPRODUCT((Bid_Dates&gt;EOMONTH($C144,-Qtr_Months))*(Bid_Dates&lt;=$C144)*Bid_Cash,I$75:I$119)</f>
        <v>50.1363199321043</v>
      </c>
      <c r="J144" s="85" t="n">
        <f aca="false">SUM(E144:I144)</f>
        <v>414.912733925214</v>
      </c>
      <c r="L144" s="85" t="n">
        <f aca="false">J144+L143</f>
        <v>8173.03297684684</v>
      </c>
      <c r="M144" s="85" t="n">
        <f aca="false">($C144&lt;=$E$44)*(($E$38&lt;=$C144)*($E$39&gt;$C144)*$J$77+($E$39&lt;=$C144)*($E$45&gt;$C144)*$J$78)</f>
        <v>17825.4794520548</v>
      </c>
    </row>
    <row r="145" customFormat="false" ht="15" hidden="false" customHeight="false" outlineLevel="0" collapsed="false">
      <c r="C145" s="114" t="n">
        <f aca="false">EOMONTH(C144,Qtr_Months)</f>
        <v>47208</v>
      </c>
      <c r="D145" s="18" t="s">
        <v>18</v>
      </c>
      <c r="E145" s="85" t="n">
        <f aca="false">SUMPRODUCT((Bid_Dates&gt;EOMONTH($C145,-Qtr_Months))*(Bid_Dates&lt;=$C145)*Bid_Cash,E$75:E$119)</f>
        <v>19633.293563421</v>
      </c>
      <c r="F145" s="85" t="n">
        <f aca="false">SUMPRODUCT((Bid_Dates&gt;EOMONTH($C145,-Qtr_Months))*(Bid_Dates&lt;=$C145)*Bid_Cash,F$75:F$119)</f>
        <v>19633.293563421</v>
      </c>
      <c r="G145" s="85"/>
      <c r="H145" s="85" t="n">
        <f aca="false">SUMPRODUCT((Bid_Dates&gt;EOMONTH($C145,-Qtr_Months))*(Bid_Dates&lt;=$C145)*Bid_Cash,H$75:H$119)</f>
        <v>3407.708804921</v>
      </c>
      <c r="I145" s="85" t="n">
        <f aca="false">SUMPRODUCT((Bid_Dates&gt;EOMONTH($C145,-Qtr_Months))*(Bid_Dates&lt;=$C145)*Bid_Cash,I$75:I$119)</f>
        <v>3407.708804921</v>
      </c>
      <c r="J145" s="85" t="n">
        <f aca="false">SUM(E145:I145)</f>
        <v>46082.0047366839</v>
      </c>
      <c r="L145" s="85" t="n">
        <f aca="false">J145+L144</f>
        <v>54255.0377135307</v>
      </c>
      <c r="M145" s="85" t="n">
        <f aca="false">($C145&lt;=$E$44)*(($E$38&lt;=$C145)*($E$39&gt;$C145)*$J$77+($E$39&lt;=$C145)*($E$45&gt;$C145)*$J$78)</f>
        <v>17825.4794520548</v>
      </c>
    </row>
    <row r="146" customFormat="false" ht="15" hidden="false" customHeight="false" outlineLevel="0" collapsed="false">
      <c r="C146" s="114" t="n">
        <f aca="false">EOMONTH(C145,Qtr_Months)</f>
        <v>47299</v>
      </c>
      <c r="D146" s="18" t="s">
        <v>18</v>
      </c>
      <c r="E146" s="85" t="n">
        <f aca="false">SUMPRODUCT((Bid_Dates&gt;EOMONTH($C146,-Qtr_Months))*(Bid_Dates&lt;=$C146)*Bid_Cash,E$75:E$119)</f>
        <v>0</v>
      </c>
      <c r="F146" s="85" t="n">
        <f aca="false">SUMPRODUCT((Bid_Dates&gt;EOMONTH($C146,-Qtr_Months))*(Bid_Dates&lt;=$C146)*Bid_Cash,F$75:F$119)</f>
        <v>0</v>
      </c>
      <c r="G146" s="85"/>
      <c r="H146" s="85" t="n">
        <f aca="false">SUMPRODUCT((Bid_Dates&gt;EOMONTH($C146,-Qtr_Months))*(Bid_Dates&lt;=$C146)*Bid_Cash,H$75:H$119)</f>
        <v>0</v>
      </c>
      <c r="I146" s="85" t="n">
        <f aca="false">SUMPRODUCT((Bid_Dates&gt;EOMONTH($C146,-Qtr_Months))*(Bid_Dates&lt;=$C146)*Bid_Cash,I$75:I$119)</f>
        <v>0</v>
      </c>
      <c r="J146" s="85" t="n">
        <f aca="false">SUM(E146:I146)</f>
        <v>0</v>
      </c>
      <c r="L146" s="85" t="n">
        <f aca="false">J146+L145</f>
        <v>54255.0377135307</v>
      </c>
      <c r="M146" s="85" t="n">
        <f aca="false">($C146&lt;=$E$44)*(($E$38&lt;=$C146)*($E$39&gt;$C146)*$J$77+($E$39&lt;=$C146)*($E$45&gt;$C146)*$J$78)</f>
        <v>17825.4794520548</v>
      </c>
    </row>
    <row r="147" customFormat="false" ht="15" hidden="false" customHeight="false" outlineLevel="0" collapsed="false">
      <c r="C147" s="114" t="n">
        <f aca="false">EOMONTH(C146,Qtr_Months)</f>
        <v>47391</v>
      </c>
      <c r="D147" s="18" t="s">
        <v>18</v>
      </c>
      <c r="E147" s="85" t="n">
        <f aca="false">SUMPRODUCT((Bid_Dates&gt;EOMONTH($C147,-Qtr_Months))*(Bid_Dates&lt;=$C147)*Bid_Cash,E$75:E$119)</f>
        <v>0</v>
      </c>
      <c r="F147" s="85" t="n">
        <f aca="false">SUMPRODUCT((Bid_Dates&gt;EOMONTH($C147,-Qtr_Months))*(Bid_Dates&lt;=$C147)*Bid_Cash,F$75:F$119)</f>
        <v>0</v>
      </c>
      <c r="G147" s="85"/>
      <c r="H147" s="85" t="n">
        <f aca="false">SUMPRODUCT((Bid_Dates&gt;EOMONTH($C147,-Qtr_Months))*(Bid_Dates&lt;=$C147)*Bid_Cash,H$75:H$119)</f>
        <v>0</v>
      </c>
      <c r="I147" s="85" t="n">
        <f aca="false">SUMPRODUCT((Bid_Dates&gt;EOMONTH($C147,-Qtr_Months))*(Bid_Dates&lt;=$C147)*Bid_Cash,I$75:I$119)</f>
        <v>0</v>
      </c>
      <c r="J147" s="85" t="n">
        <f aca="false">SUM(E147:I147)</f>
        <v>0</v>
      </c>
      <c r="L147" s="85" t="n">
        <f aca="false">J147+L146</f>
        <v>54255.0377135307</v>
      </c>
      <c r="M147" s="85" t="n">
        <f aca="false">($C147&lt;=$E$44)*(($E$38&lt;=$C147)*($E$39&gt;$C147)*$J$77+($E$39&lt;=$C147)*($E$45&gt;$C147)*$J$78)</f>
        <v>17825.4794520548</v>
      </c>
    </row>
    <row r="148" customFormat="false" ht="15" hidden="false" customHeight="false" outlineLevel="0" collapsed="false">
      <c r="C148" s="114" t="n">
        <f aca="false">EOMONTH(C147,Qtr_Months)</f>
        <v>47483</v>
      </c>
      <c r="D148" s="18" t="s">
        <v>18</v>
      </c>
      <c r="E148" s="85" t="n">
        <f aca="false">SUMPRODUCT((Bid_Dates&gt;EOMONTH($C148,-Qtr_Months))*(Bid_Dates&lt;=$C148)*Bid_Cash,E$75:E$119)</f>
        <v>0</v>
      </c>
      <c r="F148" s="85" t="n">
        <f aca="false">SUMPRODUCT((Bid_Dates&gt;EOMONTH($C148,-Qtr_Months))*(Bid_Dates&lt;=$C148)*Bid_Cash,F$75:F$119)</f>
        <v>0</v>
      </c>
      <c r="G148" s="85"/>
      <c r="H148" s="85" t="n">
        <f aca="false">SUMPRODUCT((Bid_Dates&gt;EOMONTH($C148,-Qtr_Months))*(Bid_Dates&lt;=$C148)*Bid_Cash,H$75:H$119)</f>
        <v>0</v>
      </c>
      <c r="I148" s="85" t="n">
        <f aca="false">SUMPRODUCT((Bid_Dates&gt;EOMONTH($C148,-Qtr_Months))*(Bid_Dates&lt;=$C148)*Bid_Cash,I$75:I$119)</f>
        <v>0</v>
      </c>
      <c r="J148" s="85" t="n">
        <f aca="false">SUM(E148:I148)</f>
        <v>0</v>
      </c>
      <c r="L148" s="85" t="n">
        <f aca="false">J148+L147</f>
        <v>54255.0377135307</v>
      </c>
      <c r="M148" s="85" t="n">
        <f aca="false">($C148&lt;=$E$44)*(($E$38&lt;=$C148)*($E$39&gt;$C148)*$J$77+($E$39&lt;=$C148)*($E$45&gt;$C148)*$J$78)</f>
        <v>17825.4794520548</v>
      </c>
    </row>
    <row r="149" customFormat="false" ht="15" hidden="false" customHeight="false" outlineLevel="0" collapsed="false">
      <c r="C149" s="114" t="n">
        <f aca="false">EOMONTH(C148,Qtr_Months)</f>
        <v>47573</v>
      </c>
      <c r="D149" s="18" t="s">
        <v>18</v>
      </c>
      <c r="E149" s="85" t="n">
        <f aca="false">SUMPRODUCT((Bid_Dates&gt;EOMONTH($C149,-Qtr_Months))*(Bid_Dates&lt;=$C149)*Bid_Cash,E$75:E$119)</f>
        <v>0</v>
      </c>
      <c r="F149" s="85" t="n">
        <f aca="false">SUMPRODUCT((Bid_Dates&gt;EOMONTH($C149,-Qtr_Months))*(Bid_Dates&lt;=$C149)*Bid_Cash,F$75:F$119)</f>
        <v>0</v>
      </c>
      <c r="G149" s="85"/>
      <c r="H149" s="85" t="n">
        <f aca="false">SUMPRODUCT((Bid_Dates&gt;EOMONTH($C149,-Qtr_Months))*(Bid_Dates&lt;=$C149)*Bid_Cash,H$75:H$119)</f>
        <v>0</v>
      </c>
      <c r="I149" s="85" t="n">
        <f aca="false">SUMPRODUCT((Bid_Dates&gt;EOMONTH($C149,-Qtr_Months))*(Bid_Dates&lt;=$C149)*Bid_Cash,I$75:I$119)</f>
        <v>0</v>
      </c>
      <c r="J149" s="85" t="n">
        <f aca="false">SUM(E149:I149)</f>
        <v>0</v>
      </c>
      <c r="L149" s="85" t="n">
        <f aca="false">J149+L148</f>
        <v>54255.0377135307</v>
      </c>
      <c r="M149" s="85" t="n">
        <f aca="false">($C149&lt;=$E$44)*(($E$38&lt;=$C149)*($E$39&gt;$C149)*$J$77+($E$39&lt;=$C149)*($E$45&gt;$C149)*$J$78)</f>
        <v>17825.4794520548</v>
      </c>
    </row>
    <row r="150" customFormat="false" ht="15" hidden="false" customHeight="false" outlineLevel="0" collapsed="false">
      <c r="C150" s="114" t="n">
        <f aca="false">EOMONTH(C149,Qtr_Months)</f>
        <v>47664</v>
      </c>
      <c r="D150" s="18" t="s">
        <v>18</v>
      </c>
      <c r="E150" s="85" t="n">
        <f aca="false">SUMPRODUCT((Bid_Dates&gt;EOMONTH($C150,-Qtr_Months))*(Bid_Dates&lt;=$C150)*Bid_Cash,E$75:E$119)</f>
        <v>0</v>
      </c>
      <c r="F150" s="85" t="n">
        <f aca="false">SUMPRODUCT((Bid_Dates&gt;EOMONTH($C150,-Qtr_Months))*(Bid_Dates&lt;=$C150)*Bid_Cash,F$75:F$119)</f>
        <v>0</v>
      </c>
      <c r="G150" s="85"/>
      <c r="H150" s="85" t="n">
        <f aca="false">SUMPRODUCT((Bid_Dates&gt;EOMONTH($C150,-Qtr_Months))*(Bid_Dates&lt;=$C150)*Bid_Cash,H$75:H$119)</f>
        <v>0</v>
      </c>
      <c r="I150" s="85" t="n">
        <f aca="false">SUMPRODUCT((Bid_Dates&gt;EOMONTH($C150,-Qtr_Months))*(Bid_Dates&lt;=$C150)*Bid_Cash,I$75:I$119)</f>
        <v>0</v>
      </c>
      <c r="J150" s="85" t="n">
        <f aca="false">SUM(E150:I150)</f>
        <v>0</v>
      </c>
      <c r="L150" s="85" t="n">
        <f aca="false">J150+L149</f>
        <v>54255.0377135307</v>
      </c>
      <c r="M150" s="85" t="n">
        <f aca="false">($C150&lt;=$E$44)*(($E$38&lt;=$C150)*($E$39&gt;$C150)*$J$77+($E$39&lt;=$C150)*($E$45&gt;$C150)*$J$78)</f>
        <v>17825.4794520548</v>
      </c>
    </row>
    <row r="151" customFormat="false" ht="15" hidden="false" customHeight="false" outlineLevel="0" collapsed="false">
      <c r="C151" s="114" t="n">
        <f aca="false">EOMONTH(C150,Qtr_Months)</f>
        <v>47756</v>
      </c>
      <c r="D151" s="18" t="s">
        <v>18</v>
      </c>
      <c r="E151" s="85" t="n">
        <f aca="false">SUMPRODUCT((Bid_Dates&gt;EOMONTH($C151,-Qtr_Months))*(Bid_Dates&lt;=$C151)*Bid_Cash,E$75:E$119)</f>
        <v>0</v>
      </c>
      <c r="F151" s="85" t="n">
        <f aca="false">SUMPRODUCT((Bid_Dates&gt;EOMONTH($C151,-Qtr_Months))*(Bid_Dates&lt;=$C151)*Bid_Cash,F$75:F$119)</f>
        <v>0</v>
      </c>
      <c r="G151" s="85"/>
      <c r="H151" s="85" t="n">
        <f aca="false">SUMPRODUCT((Bid_Dates&gt;EOMONTH($C151,-Qtr_Months))*(Bid_Dates&lt;=$C151)*Bid_Cash,H$75:H$119)</f>
        <v>0</v>
      </c>
      <c r="I151" s="85" t="n">
        <f aca="false">SUMPRODUCT((Bid_Dates&gt;EOMONTH($C151,-Qtr_Months))*(Bid_Dates&lt;=$C151)*Bid_Cash,I$75:I$119)</f>
        <v>0</v>
      </c>
      <c r="J151" s="85" t="n">
        <f aca="false">SUM(E151:I151)</f>
        <v>0</v>
      </c>
      <c r="L151" s="85" t="n">
        <f aca="false">J151+L150</f>
        <v>54255.0377135307</v>
      </c>
      <c r="M151" s="85" t="n">
        <f aca="false">($C151&lt;=$E$44)*(($E$38&lt;=$C151)*($E$39&gt;$C151)*$J$77+($E$39&lt;=$C151)*($E$45&gt;$C151)*$J$78)</f>
        <v>17825.4794520548</v>
      </c>
    </row>
    <row r="152" customFormat="false" ht="15" hidden="false" customHeight="false" outlineLevel="0" collapsed="false">
      <c r="C152" s="114" t="n">
        <f aca="false">EOMONTH(C151,Qtr_Months)</f>
        <v>47848</v>
      </c>
      <c r="D152" s="18" t="s">
        <v>18</v>
      </c>
      <c r="E152" s="85" t="n">
        <f aca="false">SUMPRODUCT((Bid_Dates&gt;EOMONTH($C152,-Qtr_Months))*(Bid_Dates&lt;=$C152)*Bid_Cash,E$75:E$119)</f>
        <v>0</v>
      </c>
      <c r="F152" s="85" t="n">
        <f aca="false">SUMPRODUCT((Bid_Dates&gt;EOMONTH($C152,-Qtr_Months))*(Bid_Dates&lt;=$C152)*Bid_Cash,F$75:F$119)</f>
        <v>0</v>
      </c>
      <c r="G152" s="85"/>
      <c r="H152" s="85" t="n">
        <f aca="false">SUMPRODUCT((Bid_Dates&gt;EOMONTH($C152,-Qtr_Months))*(Bid_Dates&lt;=$C152)*Bid_Cash,H$75:H$119)</f>
        <v>0</v>
      </c>
      <c r="I152" s="85" t="n">
        <f aca="false">SUMPRODUCT((Bid_Dates&gt;EOMONTH($C152,-Qtr_Months))*(Bid_Dates&lt;=$C152)*Bid_Cash,I$75:I$119)</f>
        <v>0</v>
      </c>
      <c r="J152" s="85" t="n">
        <f aca="false">SUM(E152:I152)</f>
        <v>0</v>
      </c>
      <c r="L152" s="85" t="n">
        <f aca="false">J152+L151</f>
        <v>54255.0377135307</v>
      </c>
      <c r="M152" s="85" t="n">
        <f aca="false">($C152&lt;=$E$44)*(($E$38&lt;=$C152)*($E$39&gt;$C152)*$J$77+($E$39&lt;=$C152)*($E$45&gt;$C152)*$J$78)</f>
        <v>17825.4794520548</v>
      </c>
    </row>
    <row r="153" customFormat="false" ht="15" hidden="false" customHeight="false" outlineLevel="0" collapsed="false">
      <c r="C153" s="114" t="n">
        <f aca="false">EOMONTH(C152,Qtr_Months)</f>
        <v>47938</v>
      </c>
      <c r="D153" s="18" t="s">
        <v>18</v>
      </c>
      <c r="E153" s="85" t="n">
        <f aca="false">SUMPRODUCT((Bid_Dates&gt;EOMONTH($C153,-Qtr_Months))*(Bid_Dates&lt;=$C153)*Bid_Cash,E$75:E$119)</f>
        <v>0</v>
      </c>
      <c r="F153" s="85" t="n">
        <f aca="false">SUMPRODUCT((Bid_Dates&gt;EOMONTH($C153,-Qtr_Months))*(Bid_Dates&lt;=$C153)*Bid_Cash,F$75:F$119)</f>
        <v>0</v>
      </c>
      <c r="G153" s="85"/>
      <c r="H153" s="85" t="n">
        <f aca="false">SUMPRODUCT((Bid_Dates&gt;EOMONTH($C153,-Qtr_Months))*(Bid_Dates&lt;=$C153)*Bid_Cash,H$75:H$119)</f>
        <v>0</v>
      </c>
      <c r="I153" s="85" t="n">
        <f aca="false">SUMPRODUCT((Bid_Dates&gt;EOMONTH($C153,-Qtr_Months))*(Bid_Dates&lt;=$C153)*Bid_Cash,I$75:I$119)</f>
        <v>0</v>
      </c>
      <c r="J153" s="85" t="n">
        <f aca="false">SUM(E153:I153)</f>
        <v>0</v>
      </c>
      <c r="L153" s="85" t="n">
        <f aca="false">J153+L152</f>
        <v>54255.0377135307</v>
      </c>
      <c r="M153" s="85" t="n">
        <f aca="false">($C153&lt;=$E$44)*(($E$38&lt;=$C153)*($E$39&gt;$C153)*$J$77+($E$39&lt;=$C153)*($E$45&gt;$C153)*$J$78)</f>
        <v>17825.4794520548</v>
      </c>
    </row>
    <row r="154" customFormat="false" ht="15" hidden="false" customHeight="false" outlineLevel="0" collapsed="false">
      <c r="C154" s="114" t="n">
        <f aca="false">EOMONTH(C153,Qtr_Months)</f>
        <v>48029</v>
      </c>
      <c r="D154" s="18" t="s">
        <v>18</v>
      </c>
      <c r="E154" s="85" t="n">
        <f aca="false">SUMPRODUCT((Bid_Dates&gt;EOMONTH($C154,-Qtr_Months))*(Bid_Dates&lt;=$C154)*Bid_Cash,E$75:E$119)</f>
        <v>0</v>
      </c>
      <c r="F154" s="85" t="n">
        <f aca="false">SUMPRODUCT((Bid_Dates&gt;EOMONTH($C154,-Qtr_Months))*(Bid_Dates&lt;=$C154)*Bid_Cash,F$75:F$119)</f>
        <v>0</v>
      </c>
      <c r="G154" s="85"/>
      <c r="H154" s="85" t="n">
        <f aca="false">SUMPRODUCT((Bid_Dates&gt;EOMONTH($C154,-Qtr_Months))*(Bid_Dates&lt;=$C154)*Bid_Cash,H$75:H$119)</f>
        <v>0</v>
      </c>
      <c r="I154" s="85" t="n">
        <f aca="false">SUMPRODUCT((Bid_Dates&gt;EOMONTH($C154,-Qtr_Months))*(Bid_Dates&lt;=$C154)*Bid_Cash,I$75:I$119)</f>
        <v>0</v>
      </c>
      <c r="J154" s="85" t="n">
        <f aca="false">SUM(E154:I154)</f>
        <v>0</v>
      </c>
      <c r="L154" s="85" t="n">
        <f aca="false">J154+L153</f>
        <v>54255.0377135307</v>
      </c>
      <c r="M154" s="85" t="n">
        <f aca="false">($C154&lt;=$E$44)*(($E$38&lt;=$C154)*($E$39&gt;$C154)*$J$77+($E$39&lt;=$C154)*($E$45&gt;$C154)*$J$78)</f>
        <v>17825.4794520548</v>
      </c>
    </row>
    <row r="155" customFormat="false" ht="15" hidden="false" customHeight="false" outlineLevel="0" collapsed="false">
      <c r="C155" s="114" t="n">
        <f aca="false">EOMONTH(C154,Qtr_Months)</f>
        <v>48121</v>
      </c>
      <c r="D155" s="18" t="s">
        <v>18</v>
      </c>
      <c r="E155" s="85" t="n">
        <f aca="false">SUMPRODUCT((Bid_Dates&gt;EOMONTH($C155,-Qtr_Months))*(Bid_Dates&lt;=$C155)*Bid_Cash,E$75:E$119)</f>
        <v>0</v>
      </c>
      <c r="F155" s="85" t="n">
        <f aca="false">SUMPRODUCT((Bid_Dates&gt;EOMONTH($C155,-Qtr_Months))*(Bid_Dates&lt;=$C155)*Bid_Cash,F$75:F$119)</f>
        <v>0</v>
      </c>
      <c r="G155" s="85"/>
      <c r="H155" s="85" t="n">
        <f aca="false">SUMPRODUCT((Bid_Dates&gt;EOMONTH($C155,-Qtr_Months))*(Bid_Dates&lt;=$C155)*Bid_Cash,H$75:H$119)</f>
        <v>0</v>
      </c>
      <c r="I155" s="85" t="n">
        <f aca="false">SUMPRODUCT((Bid_Dates&gt;EOMONTH($C155,-Qtr_Months))*(Bid_Dates&lt;=$C155)*Bid_Cash,I$75:I$119)</f>
        <v>0</v>
      </c>
      <c r="J155" s="85" t="n">
        <f aca="false">SUM(E155:I155)</f>
        <v>0</v>
      </c>
      <c r="L155" s="85" t="n">
        <f aca="false">J155+L154</f>
        <v>54255.0377135307</v>
      </c>
      <c r="M155" s="85" t="n">
        <f aca="false">($C155&lt;=$E$44)*(($E$38&lt;=$C155)*($E$39&gt;$C155)*$J$77+($E$39&lt;=$C155)*($E$45&gt;$C155)*$J$78)</f>
        <v>0</v>
      </c>
    </row>
    <row r="156" customFormat="false" ht="15" hidden="false" customHeight="false" outlineLevel="0" collapsed="false">
      <c r="C156" s="89" t="s">
        <v>299</v>
      </c>
      <c r="D156" s="18" t="s">
        <v>18</v>
      </c>
      <c r="E156" s="106" t="n">
        <f aca="false">SUM(E135:E155)</f>
        <v>22493.0421444366</v>
      </c>
      <c r="F156" s="106" t="n">
        <f aca="false">SUM(F135:F155)</f>
        <v>22493.0421444366</v>
      </c>
      <c r="G156" s="106"/>
      <c r="H156" s="106" t="n">
        <f aca="false">SUM(H135:H155)</f>
        <v>4634.47671232877</v>
      </c>
      <c r="I156" s="106" t="n">
        <f aca="false">SUM(I135:I155)</f>
        <v>4634.47671232877</v>
      </c>
      <c r="J156" s="106" t="n">
        <f aca="false">SUM(E156:I156)</f>
        <v>54255.0377135307</v>
      </c>
    </row>
    <row r="157" customFormat="false" ht="15" hidden="false" customHeight="false" outlineLevel="0" collapsed="false">
      <c r="C157" s="69" t="s">
        <v>351</v>
      </c>
      <c r="D157" s="18" t="s">
        <v>62</v>
      </c>
      <c r="E157" s="115" t="str">
        <f aca="false">IF(ABS(E156-E127)&lt;Tolerance,"OK","CHECK")</f>
        <v>OK</v>
      </c>
      <c r="F157" s="115" t="str">
        <f aca="false">IF(ABS(F156-F127)&lt;Tolerance,"OK","CHECK")</f>
        <v>OK</v>
      </c>
      <c r="G157" s="115"/>
      <c r="H157" s="115" t="str">
        <f aca="false">IF(ABS(H156-H127)&lt;Tolerance,"OK","CHECK")</f>
        <v>OK</v>
      </c>
      <c r="I157" s="115" t="str">
        <f aca="false">IF(ABS(I156-I127)&lt;Tolerance,"OK","CHECK")</f>
        <v>OK</v>
      </c>
    </row>
    <row r="159" customFormat="false" ht="15" hidden="false" customHeight="false" outlineLevel="0" collapsed="false">
      <c r="A159" s="71" t="s">
        <v>7</v>
      </c>
      <c r="B159" s="71"/>
      <c r="C159" s="71" t="s">
        <v>352</v>
      </c>
      <c r="D159" s="71"/>
      <c r="E159" s="72" t="s">
        <v>353</v>
      </c>
      <c r="F159" s="72" t="s">
        <v>354</v>
      </c>
      <c r="G159" s="72"/>
      <c r="H159" s="72" t="s">
        <v>355</v>
      </c>
      <c r="I159" s="72" t="s">
        <v>356</v>
      </c>
    </row>
    <row r="160" customFormat="false" ht="15" hidden="false" customHeight="false" outlineLevel="0" collapsed="false">
      <c r="A160" s="69"/>
      <c r="B160" s="69"/>
      <c r="C160" s="116" t="s">
        <v>357</v>
      </c>
      <c r="D160" s="117" t="s">
        <v>358</v>
      </c>
      <c r="E160" s="118" t="n">
        <v>0.2</v>
      </c>
      <c r="F160" s="119"/>
      <c r="G160" s="119"/>
      <c r="H160" s="119"/>
      <c r="I160" s="119"/>
    </row>
    <row r="161" customFormat="false" ht="15" hidden="false" customHeight="false" outlineLevel="0" collapsed="false">
      <c r="A161" s="69"/>
      <c r="B161" s="69"/>
      <c r="C161" s="69" t="s">
        <v>359</v>
      </c>
      <c r="D161" s="18" t="s">
        <v>80</v>
      </c>
      <c r="E161" s="115"/>
      <c r="F161" s="120"/>
      <c r="G161" s="120"/>
      <c r="H161" s="121" t="n">
        <v>0</v>
      </c>
      <c r="I161" s="112" t="n">
        <f aca="false">H161*$E$160</f>
        <v>0</v>
      </c>
    </row>
    <row r="162" customFormat="false" ht="15" hidden="false" customHeight="false" outlineLevel="0" collapsed="false">
      <c r="A162" s="69"/>
      <c r="B162" s="69"/>
      <c r="C162" s="69" t="s">
        <v>360</v>
      </c>
      <c r="D162" s="18" t="s">
        <v>80</v>
      </c>
      <c r="E162" s="122" t="n">
        <v>10</v>
      </c>
      <c r="F162" s="123" t="n">
        <v>0</v>
      </c>
      <c r="G162" s="123"/>
      <c r="H162" s="121" t="n">
        <v>10</v>
      </c>
      <c r="I162" s="112" t="n">
        <f aca="false">H162*$E$160</f>
        <v>2</v>
      </c>
    </row>
    <row r="163" customFormat="false" ht="15" hidden="false" customHeight="false" outlineLevel="0" collapsed="false">
      <c r="A163" s="69"/>
      <c r="B163" s="69"/>
      <c r="C163" s="69" t="s">
        <v>361</v>
      </c>
      <c r="D163" s="18" t="s">
        <v>80</v>
      </c>
      <c r="E163" s="122" t="n">
        <v>15</v>
      </c>
      <c r="F163" s="123" t="n">
        <v>0</v>
      </c>
      <c r="G163" s="123"/>
      <c r="H163" s="121" t="n">
        <v>20</v>
      </c>
      <c r="I163" s="112" t="n">
        <f aca="false">H163*$E$160</f>
        <v>4</v>
      </c>
    </row>
    <row r="164" customFormat="false" ht="15" hidden="false" customHeight="false" outlineLevel="0" collapsed="false">
      <c r="A164" s="69"/>
      <c r="B164" s="69"/>
      <c r="C164" s="69" t="s">
        <v>362</v>
      </c>
      <c r="D164" s="18" t="s">
        <v>80</v>
      </c>
      <c r="E164" s="122" t="n">
        <v>20</v>
      </c>
      <c r="F164" s="123" t="n">
        <v>0</v>
      </c>
      <c r="G164" s="123"/>
      <c r="H164" s="121" t="n">
        <v>30</v>
      </c>
      <c r="I164" s="112" t="n">
        <f aca="false">H164*$E$160</f>
        <v>6</v>
      </c>
    </row>
    <row r="165" customFormat="false" ht="15" hidden="false" customHeight="false" outlineLevel="0" collapsed="false">
      <c r="A165" s="69"/>
      <c r="B165" s="69"/>
      <c r="C165" s="69" t="s">
        <v>363</v>
      </c>
      <c r="D165" s="18" t="s">
        <v>80</v>
      </c>
      <c r="E165" s="122" t="n">
        <v>25</v>
      </c>
      <c r="F165" s="123" t="n">
        <v>0</v>
      </c>
      <c r="G165" s="123"/>
      <c r="H165" s="121" t="n">
        <v>40</v>
      </c>
      <c r="I165" s="112" t="n">
        <f aca="false">H165*$E$160</f>
        <v>8</v>
      </c>
    </row>
    <row r="166" customFormat="false" ht="15" hidden="false" customHeight="false" outlineLevel="0" collapsed="false">
      <c r="A166" s="69"/>
      <c r="B166" s="69"/>
      <c r="C166" s="69" t="s">
        <v>364</v>
      </c>
      <c r="D166" s="18" t="s">
        <v>80</v>
      </c>
      <c r="E166" s="122" t="n">
        <v>30</v>
      </c>
      <c r="F166" s="123" t="n">
        <v>0</v>
      </c>
      <c r="G166" s="123"/>
      <c r="H166" s="121" t="n">
        <v>55</v>
      </c>
      <c r="I166" s="112" t="n">
        <f aca="false">H166*$E$160</f>
        <v>11</v>
      </c>
    </row>
    <row r="167" customFormat="false" ht="15" hidden="false" customHeight="false" outlineLevel="0" collapsed="false">
      <c r="A167" s="69"/>
      <c r="B167" s="69"/>
      <c r="C167" s="69" t="s">
        <v>365</v>
      </c>
      <c r="D167" s="18" t="s">
        <v>80</v>
      </c>
      <c r="E167" s="122" t="n">
        <v>35</v>
      </c>
      <c r="F167" s="123" t="n">
        <v>0</v>
      </c>
      <c r="G167" s="123"/>
      <c r="H167" s="121" t="n">
        <v>70</v>
      </c>
      <c r="I167" s="112" t="n">
        <f aca="false">H167*$E$160</f>
        <v>14</v>
      </c>
    </row>
    <row r="168" customFormat="false" ht="15" hidden="false" customHeight="false" outlineLevel="0" collapsed="false">
      <c r="A168" s="69"/>
      <c r="B168" s="69"/>
      <c r="C168" s="69" t="s">
        <v>366</v>
      </c>
      <c r="D168" s="18" t="s">
        <v>80</v>
      </c>
      <c r="E168" s="122" t="n">
        <v>40</v>
      </c>
      <c r="F168" s="123" t="n">
        <v>0</v>
      </c>
      <c r="G168" s="123"/>
      <c r="H168" s="121" t="n">
        <v>80</v>
      </c>
      <c r="I168" s="112" t="n">
        <f aca="false">H168*$E$160</f>
        <v>16</v>
      </c>
    </row>
    <row r="169" customFormat="false" ht="15" hidden="false" customHeight="false" outlineLevel="0" collapsed="false">
      <c r="A169" s="69"/>
      <c r="B169" s="69"/>
      <c r="C169" s="69" t="s">
        <v>367</v>
      </c>
      <c r="D169" s="18" t="s">
        <v>80</v>
      </c>
      <c r="E169" s="122" t="n">
        <v>45</v>
      </c>
      <c r="F169" s="123" t="n">
        <v>0</v>
      </c>
      <c r="G169" s="123"/>
      <c r="H169" s="121" t="n">
        <v>90</v>
      </c>
      <c r="I169" s="112" t="n">
        <f aca="false">H169*$E$160</f>
        <v>18</v>
      </c>
    </row>
    <row r="170" customFormat="false" ht="15" hidden="false" customHeight="false" outlineLevel="0" collapsed="false">
      <c r="A170" s="69"/>
      <c r="B170" s="69"/>
      <c r="C170" s="69" t="s">
        <v>368</v>
      </c>
      <c r="D170" s="18" t="s">
        <v>80</v>
      </c>
      <c r="E170" s="122" t="n">
        <v>50</v>
      </c>
      <c r="F170" s="123" t="n">
        <v>1</v>
      </c>
      <c r="G170" s="123"/>
      <c r="H170" s="121" t="n">
        <v>100</v>
      </c>
      <c r="I170" s="112" t="n">
        <f aca="false">H170*$E$160</f>
        <v>20</v>
      </c>
    </row>
    <row r="172" customFormat="false" ht="15" hidden="false" customHeight="false" outlineLevel="0" collapsed="false">
      <c r="A172" s="69"/>
      <c r="B172" s="69"/>
      <c r="C172" s="116" t="s">
        <v>369</v>
      </c>
      <c r="D172" s="117" t="s">
        <v>358</v>
      </c>
      <c r="E172" s="118" t="n">
        <v>0.15</v>
      </c>
      <c r="F172" s="119"/>
      <c r="G172" s="119"/>
      <c r="H172" s="119"/>
      <c r="I172" s="119"/>
    </row>
    <row r="173" customFormat="false" ht="15" hidden="false" customHeight="false" outlineLevel="0" collapsed="false">
      <c r="A173" s="69"/>
      <c r="B173" s="69"/>
      <c r="C173" s="69" t="s">
        <v>359</v>
      </c>
      <c r="D173" s="18" t="s">
        <v>80</v>
      </c>
      <c r="E173" s="115"/>
      <c r="F173" s="120"/>
      <c r="G173" s="120"/>
      <c r="H173" s="121" t="n">
        <v>0</v>
      </c>
      <c r="I173" s="112" t="n">
        <f aca="false">H173*$E$172</f>
        <v>0</v>
      </c>
    </row>
    <row r="174" customFormat="false" ht="15" hidden="false" customHeight="false" outlineLevel="0" collapsed="false">
      <c r="A174" s="69"/>
      <c r="B174" s="69"/>
      <c r="C174" s="69" t="s">
        <v>360</v>
      </c>
      <c r="D174" s="18" t="s">
        <v>80</v>
      </c>
      <c r="E174" s="124" t="n">
        <v>2</v>
      </c>
      <c r="F174" s="123" t="n">
        <v>0</v>
      </c>
      <c r="G174" s="123"/>
      <c r="H174" s="121" t="n">
        <v>5</v>
      </c>
      <c r="I174" s="112" t="n">
        <f aca="false">H174*$E$172</f>
        <v>0.75</v>
      </c>
    </row>
    <row r="175" customFormat="false" ht="15" hidden="false" customHeight="false" outlineLevel="0" collapsed="false">
      <c r="A175" s="69"/>
      <c r="B175" s="69"/>
      <c r="C175" s="69" t="s">
        <v>361</v>
      </c>
      <c r="D175" s="18" t="s">
        <v>80</v>
      </c>
      <c r="E175" s="124" t="n">
        <v>2.1</v>
      </c>
      <c r="F175" s="123" t="n">
        <v>0</v>
      </c>
      <c r="G175" s="123"/>
      <c r="H175" s="121" t="n">
        <v>10</v>
      </c>
      <c r="I175" s="112" t="n">
        <f aca="false">H175*$E$172</f>
        <v>1.5</v>
      </c>
    </row>
    <row r="176" customFormat="false" ht="15" hidden="false" customHeight="false" outlineLevel="0" collapsed="false">
      <c r="A176" s="69"/>
      <c r="B176" s="69"/>
      <c r="C176" s="69" t="s">
        <v>362</v>
      </c>
      <c r="D176" s="18" t="s">
        <v>80</v>
      </c>
      <c r="E176" s="124" t="n">
        <v>2.2</v>
      </c>
      <c r="F176" s="123" t="n">
        <v>0</v>
      </c>
      <c r="G176" s="123"/>
      <c r="H176" s="121" t="n">
        <v>20</v>
      </c>
      <c r="I176" s="112" t="n">
        <f aca="false">H176*$E$172</f>
        <v>3</v>
      </c>
    </row>
    <row r="177" customFormat="false" ht="15" hidden="false" customHeight="false" outlineLevel="0" collapsed="false">
      <c r="A177" s="69"/>
      <c r="B177" s="69"/>
      <c r="C177" s="69" t="s">
        <v>363</v>
      </c>
      <c r="D177" s="18" t="s">
        <v>80</v>
      </c>
      <c r="E177" s="124" t="n">
        <v>2.3</v>
      </c>
      <c r="F177" s="123" t="n">
        <v>0</v>
      </c>
      <c r="G177" s="123"/>
      <c r="H177" s="121" t="n">
        <v>30</v>
      </c>
      <c r="I177" s="112" t="n">
        <f aca="false">H177*$E$172</f>
        <v>4.5</v>
      </c>
    </row>
    <row r="178" customFormat="false" ht="15" hidden="false" customHeight="false" outlineLevel="0" collapsed="false">
      <c r="A178" s="69"/>
      <c r="B178" s="69"/>
      <c r="C178" s="69" t="s">
        <v>364</v>
      </c>
      <c r="D178" s="18" t="s">
        <v>80</v>
      </c>
      <c r="E178" s="124" t="n">
        <v>2.4</v>
      </c>
      <c r="F178" s="123" t="n">
        <v>0</v>
      </c>
      <c r="G178" s="123"/>
      <c r="H178" s="121" t="n">
        <v>40</v>
      </c>
      <c r="I178" s="112" t="n">
        <f aca="false">H178*$E$172</f>
        <v>6</v>
      </c>
    </row>
    <row r="179" customFormat="false" ht="15" hidden="false" customHeight="false" outlineLevel="0" collapsed="false">
      <c r="A179" s="69"/>
      <c r="B179" s="69"/>
      <c r="C179" s="69" t="s">
        <v>365</v>
      </c>
      <c r="D179" s="18" t="s">
        <v>80</v>
      </c>
      <c r="E179" s="124" t="n">
        <v>2.5</v>
      </c>
      <c r="F179" s="123" t="n">
        <v>0</v>
      </c>
      <c r="G179" s="123"/>
      <c r="H179" s="121" t="n">
        <v>50</v>
      </c>
      <c r="I179" s="112" t="n">
        <f aca="false">H179*$E$172</f>
        <v>7.5</v>
      </c>
    </row>
    <row r="180" customFormat="false" ht="15" hidden="false" customHeight="false" outlineLevel="0" collapsed="false">
      <c r="A180" s="69"/>
      <c r="B180" s="69"/>
      <c r="C180" s="69" t="s">
        <v>366</v>
      </c>
      <c r="D180" s="18" t="s">
        <v>80</v>
      </c>
      <c r="E180" s="124" t="n">
        <v>2.6</v>
      </c>
      <c r="F180" s="123" t="n">
        <v>0</v>
      </c>
      <c r="G180" s="123"/>
      <c r="H180" s="121" t="n">
        <v>60</v>
      </c>
      <c r="I180" s="112" t="n">
        <f aca="false">H180*$E$172</f>
        <v>9</v>
      </c>
    </row>
    <row r="181" customFormat="false" ht="15" hidden="false" customHeight="false" outlineLevel="0" collapsed="false">
      <c r="A181" s="69"/>
      <c r="B181" s="69"/>
      <c r="C181" s="69" t="s">
        <v>367</v>
      </c>
      <c r="D181" s="18" t="s">
        <v>80</v>
      </c>
      <c r="E181" s="124" t="n">
        <v>2.7</v>
      </c>
      <c r="F181" s="123" t="n">
        <v>0</v>
      </c>
      <c r="G181" s="123"/>
      <c r="H181" s="121" t="n">
        <v>70</v>
      </c>
      <c r="I181" s="112" t="n">
        <f aca="false">H181*$E$172</f>
        <v>10.5</v>
      </c>
    </row>
    <row r="182" customFormat="false" ht="15" hidden="false" customHeight="false" outlineLevel="0" collapsed="false">
      <c r="A182" s="69"/>
      <c r="B182" s="69"/>
      <c r="C182" s="69" t="s">
        <v>368</v>
      </c>
      <c r="D182" s="18" t="s">
        <v>80</v>
      </c>
      <c r="E182" s="124" t="n">
        <v>2.8</v>
      </c>
      <c r="F182" s="123" t="n">
        <v>0</v>
      </c>
      <c r="G182" s="123"/>
      <c r="H182" s="121" t="n">
        <v>80</v>
      </c>
      <c r="I182" s="112" t="n">
        <f aca="false">H182*$E$172</f>
        <v>12</v>
      </c>
    </row>
    <row r="183" customFormat="false" ht="15" hidden="false" customHeight="false" outlineLevel="0" collapsed="false">
      <c r="A183" s="69"/>
      <c r="B183" s="69"/>
      <c r="C183" s="69" t="s">
        <v>370</v>
      </c>
      <c r="D183" s="18" t="s">
        <v>80</v>
      </c>
      <c r="E183" s="124" t="n">
        <v>2.9</v>
      </c>
      <c r="F183" s="123" t="n">
        <v>0</v>
      </c>
      <c r="G183" s="123"/>
      <c r="H183" s="121" t="n">
        <v>90</v>
      </c>
      <c r="I183" s="112" t="n">
        <f aca="false">H183*$E$172</f>
        <v>13.5</v>
      </c>
    </row>
    <row r="184" customFormat="false" ht="15" hidden="false" customHeight="false" outlineLevel="0" collapsed="false">
      <c r="A184" s="69"/>
      <c r="B184" s="69"/>
      <c r="C184" s="69" t="s">
        <v>371</v>
      </c>
      <c r="D184" s="18" t="s">
        <v>80</v>
      </c>
      <c r="E184" s="124" t="n">
        <v>3</v>
      </c>
      <c r="F184" s="123" t="n">
        <v>1</v>
      </c>
      <c r="G184" s="123"/>
      <c r="H184" s="121" t="n">
        <v>100</v>
      </c>
      <c r="I184" s="112" t="n">
        <f aca="false">H184*$E$172</f>
        <v>15</v>
      </c>
    </row>
    <row r="186" customFormat="false" ht="15" hidden="false" customHeight="false" outlineLevel="0" collapsed="false">
      <c r="A186" s="69"/>
      <c r="B186" s="69"/>
      <c r="C186" s="116" t="s">
        <v>372</v>
      </c>
      <c r="D186" s="117" t="s">
        <v>358</v>
      </c>
      <c r="E186" s="118" t="n">
        <v>0.1</v>
      </c>
      <c r="F186" s="119"/>
      <c r="G186" s="119"/>
      <c r="H186" s="119"/>
      <c r="I186" s="119"/>
    </row>
    <row r="187" customFormat="false" ht="15" hidden="false" customHeight="false" outlineLevel="0" collapsed="false">
      <c r="A187" s="69"/>
      <c r="B187" s="69"/>
      <c r="C187" s="69" t="s">
        <v>359</v>
      </c>
      <c r="D187" s="18" t="s">
        <v>80</v>
      </c>
      <c r="E187" s="115"/>
      <c r="F187" s="120"/>
      <c r="G187" s="120"/>
      <c r="H187" s="121" t="n">
        <v>0</v>
      </c>
      <c r="I187" s="112" t="n">
        <f aca="false">H187*$E$186</f>
        <v>0</v>
      </c>
    </row>
    <row r="188" customFormat="false" ht="15" hidden="false" customHeight="false" outlineLevel="0" collapsed="false">
      <c r="A188" s="69"/>
      <c r="B188" s="69"/>
      <c r="C188" s="69" t="s">
        <v>360</v>
      </c>
      <c r="D188" s="18" t="s">
        <v>80</v>
      </c>
      <c r="E188" s="125" t="n">
        <v>0.02</v>
      </c>
      <c r="F188" s="123" t="n">
        <v>0</v>
      </c>
      <c r="G188" s="123"/>
      <c r="H188" s="121" t="n">
        <v>10</v>
      </c>
      <c r="I188" s="112" t="n">
        <f aca="false">H188*$E$186</f>
        <v>1</v>
      </c>
    </row>
    <row r="189" customFormat="false" ht="15" hidden="false" customHeight="false" outlineLevel="0" collapsed="false">
      <c r="A189" s="69"/>
      <c r="B189" s="69"/>
      <c r="C189" s="69" t="s">
        <v>361</v>
      </c>
      <c r="D189" s="18" t="s">
        <v>80</v>
      </c>
      <c r="E189" s="125" t="n">
        <v>0.05</v>
      </c>
      <c r="F189" s="123" t="n">
        <v>1</v>
      </c>
      <c r="G189" s="123"/>
      <c r="H189" s="121" t="n">
        <v>20</v>
      </c>
      <c r="I189" s="112" t="n">
        <f aca="false">H189*$E$186</f>
        <v>2</v>
      </c>
    </row>
    <row r="190" customFormat="false" ht="15" hidden="false" customHeight="false" outlineLevel="0" collapsed="false">
      <c r="A190" s="69"/>
      <c r="B190" s="69"/>
      <c r="C190" s="69" t="s">
        <v>362</v>
      </c>
      <c r="D190" s="18" t="s">
        <v>80</v>
      </c>
      <c r="E190" s="125" t="n">
        <v>0.1</v>
      </c>
      <c r="F190" s="123" t="n">
        <v>1</v>
      </c>
      <c r="G190" s="123"/>
      <c r="H190" s="121" t="n">
        <v>30</v>
      </c>
      <c r="I190" s="112" t="n">
        <f aca="false">H190*$E$186</f>
        <v>3</v>
      </c>
    </row>
    <row r="191" customFormat="false" ht="15" hidden="false" customHeight="false" outlineLevel="0" collapsed="false">
      <c r="A191" s="69"/>
      <c r="B191" s="69"/>
      <c r="C191" s="69" t="s">
        <v>363</v>
      </c>
      <c r="D191" s="18" t="s">
        <v>80</v>
      </c>
      <c r="E191" s="125" t="n">
        <v>0.15</v>
      </c>
      <c r="F191" s="123" t="n">
        <v>1</v>
      </c>
      <c r="G191" s="123"/>
      <c r="H191" s="121" t="n">
        <v>40</v>
      </c>
      <c r="I191" s="112" t="n">
        <f aca="false">H191*$E$186</f>
        <v>4</v>
      </c>
    </row>
    <row r="192" customFormat="false" ht="15" hidden="false" customHeight="false" outlineLevel="0" collapsed="false">
      <c r="A192" s="69"/>
      <c r="B192" s="69"/>
      <c r="C192" s="69" t="s">
        <v>364</v>
      </c>
      <c r="D192" s="18" t="s">
        <v>80</v>
      </c>
      <c r="E192" s="125" t="n">
        <v>0.2</v>
      </c>
      <c r="F192" s="123" t="n">
        <v>1</v>
      </c>
      <c r="G192" s="123"/>
      <c r="H192" s="121" t="n">
        <v>50</v>
      </c>
      <c r="I192" s="112" t="n">
        <f aca="false">H192*$E$186</f>
        <v>5</v>
      </c>
    </row>
    <row r="193" customFormat="false" ht="15" hidden="false" customHeight="false" outlineLevel="0" collapsed="false">
      <c r="A193" s="69"/>
      <c r="B193" s="69"/>
      <c r="C193" s="69" t="s">
        <v>365</v>
      </c>
      <c r="D193" s="18" t="s">
        <v>80</v>
      </c>
      <c r="E193" s="125" t="n">
        <v>0.25</v>
      </c>
      <c r="F193" s="123" t="n">
        <v>1</v>
      </c>
      <c r="G193" s="123"/>
      <c r="H193" s="121" t="n">
        <v>60</v>
      </c>
      <c r="I193" s="112" t="n">
        <f aca="false">H193*$E$186</f>
        <v>6</v>
      </c>
    </row>
    <row r="194" customFormat="false" ht="15" hidden="false" customHeight="false" outlineLevel="0" collapsed="false">
      <c r="A194" s="69"/>
      <c r="B194" s="69"/>
      <c r="C194" s="69" t="s">
        <v>366</v>
      </c>
      <c r="D194" s="18" t="s">
        <v>80</v>
      </c>
      <c r="E194" s="125" t="n">
        <v>0.3</v>
      </c>
      <c r="F194" s="123" t="n">
        <v>1</v>
      </c>
      <c r="G194" s="123"/>
      <c r="H194" s="121" t="n">
        <v>70</v>
      </c>
      <c r="I194" s="112" t="n">
        <f aca="false">H194*$E$186</f>
        <v>7</v>
      </c>
    </row>
    <row r="195" customFormat="false" ht="15" hidden="false" customHeight="false" outlineLevel="0" collapsed="false">
      <c r="A195" s="69"/>
      <c r="B195" s="69"/>
      <c r="C195" s="69" t="s">
        <v>367</v>
      </c>
      <c r="D195" s="18" t="s">
        <v>80</v>
      </c>
      <c r="E195" s="125" t="n">
        <v>0.35</v>
      </c>
      <c r="F195" s="123" t="n">
        <v>1</v>
      </c>
      <c r="G195" s="123"/>
      <c r="H195" s="121" t="n">
        <v>80</v>
      </c>
      <c r="I195" s="112" t="n">
        <f aca="false">H195*$E$186</f>
        <v>8</v>
      </c>
    </row>
    <row r="196" customFormat="false" ht="15" hidden="false" customHeight="false" outlineLevel="0" collapsed="false">
      <c r="A196" s="69"/>
      <c r="B196" s="69"/>
      <c r="C196" s="69" t="s">
        <v>368</v>
      </c>
      <c r="D196" s="18" t="s">
        <v>80</v>
      </c>
      <c r="E196" s="125" t="n">
        <v>0.4</v>
      </c>
      <c r="F196" s="123" t="n">
        <v>1</v>
      </c>
      <c r="G196" s="123"/>
      <c r="H196" s="121" t="n">
        <v>90</v>
      </c>
      <c r="I196" s="112" t="n">
        <f aca="false">H196*$E$186</f>
        <v>9</v>
      </c>
    </row>
    <row r="197" customFormat="false" ht="15" hidden="false" customHeight="false" outlineLevel="0" collapsed="false">
      <c r="A197" s="69"/>
      <c r="B197" s="69"/>
      <c r="C197" s="69" t="s">
        <v>370</v>
      </c>
      <c r="D197" s="18" t="s">
        <v>80</v>
      </c>
      <c r="E197" s="125" t="n">
        <v>0.5</v>
      </c>
      <c r="F197" s="123" t="n">
        <v>0</v>
      </c>
      <c r="G197" s="123"/>
      <c r="H197" s="121" t="n">
        <v>100</v>
      </c>
      <c r="I197" s="112" t="n">
        <f aca="false">H197*$E$186</f>
        <v>10</v>
      </c>
    </row>
    <row r="199" customFormat="false" ht="15" hidden="false" customHeight="false" outlineLevel="0" collapsed="false">
      <c r="A199" s="69"/>
      <c r="B199" s="69"/>
      <c r="C199" s="116" t="s">
        <v>373</v>
      </c>
      <c r="D199" s="117" t="s">
        <v>358</v>
      </c>
      <c r="E199" s="118" t="n">
        <v>0.15</v>
      </c>
      <c r="F199" s="119"/>
      <c r="G199" s="119"/>
      <c r="H199" s="119"/>
      <c r="I199" s="119"/>
    </row>
    <row r="200" customFormat="false" ht="15" hidden="false" customHeight="false" outlineLevel="0" collapsed="false">
      <c r="A200" s="69"/>
      <c r="B200" s="69"/>
      <c r="C200" s="69" t="s">
        <v>359</v>
      </c>
      <c r="D200" s="18" t="s">
        <v>80</v>
      </c>
      <c r="E200" s="115"/>
      <c r="F200" s="120"/>
      <c r="G200" s="120"/>
      <c r="H200" s="121" t="n">
        <v>0</v>
      </c>
      <c r="I200" s="112" t="n">
        <f aca="false">H200*$E$199</f>
        <v>0</v>
      </c>
    </row>
    <row r="201" customFormat="false" ht="15" hidden="false" customHeight="false" outlineLevel="0" collapsed="false">
      <c r="A201" s="69"/>
      <c r="B201" s="69"/>
      <c r="C201" s="69" t="s">
        <v>360</v>
      </c>
      <c r="D201" s="18" t="s">
        <v>80</v>
      </c>
      <c r="E201" s="125" t="n">
        <v>0.02</v>
      </c>
      <c r="F201" s="123" t="n">
        <v>0</v>
      </c>
      <c r="G201" s="123"/>
      <c r="H201" s="121" t="n">
        <v>10</v>
      </c>
      <c r="I201" s="112" t="n">
        <f aca="false">H201*$E$199</f>
        <v>1.5</v>
      </c>
    </row>
    <row r="202" customFormat="false" ht="15" hidden="false" customHeight="false" outlineLevel="0" collapsed="false">
      <c r="A202" s="69"/>
      <c r="B202" s="69"/>
      <c r="C202" s="69" t="s">
        <v>361</v>
      </c>
      <c r="D202" s="18" t="s">
        <v>80</v>
      </c>
      <c r="E202" s="125" t="n">
        <v>0.05</v>
      </c>
      <c r="F202" s="123" t="n">
        <v>1</v>
      </c>
      <c r="G202" s="123"/>
      <c r="H202" s="121" t="n">
        <v>20</v>
      </c>
      <c r="I202" s="112" t="n">
        <f aca="false">H202*$E$199</f>
        <v>3</v>
      </c>
    </row>
    <row r="203" customFormat="false" ht="15" hidden="false" customHeight="false" outlineLevel="0" collapsed="false">
      <c r="A203" s="69"/>
      <c r="B203" s="69"/>
      <c r="C203" s="69" t="s">
        <v>362</v>
      </c>
      <c r="D203" s="18" t="s">
        <v>80</v>
      </c>
      <c r="E203" s="125" t="n">
        <v>0.1</v>
      </c>
      <c r="F203" s="123" t="n">
        <v>1</v>
      </c>
      <c r="G203" s="123"/>
      <c r="H203" s="121" t="n">
        <v>30</v>
      </c>
      <c r="I203" s="112" t="n">
        <f aca="false">H203*$E$199</f>
        <v>4.5</v>
      </c>
    </row>
    <row r="204" customFormat="false" ht="15" hidden="false" customHeight="false" outlineLevel="0" collapsed="false">
      <c r="A204" s="69"/>
      <c r="B204" s="69"/>
      <c r="C204" s="69" t="s">
        <v>363</v>
      </c>
      <c r="D204" s="18" t="s">
        <v>80</v>
      </c>
      <c r="E204" s="125" t="n">
        <v>0.15</v>
      </c>
      <c r="F204" s="123" t="n">
        <v>1</v>
      </c>
      <c r="G204" s="123"/>
      <c r="H204" s="121" t="n">
        <v>40</v>
      </c>
      <c r="I204" s="112" t="n">
        <f aca="false">H204*$E$199</f>
        <v>6</v>
      </c>
    </row>
    <row r="205" customFormat="false" ht="15" hidden="false" customHeight="false" outlineLevel="0" collapsed="false">
      <c r="A205" s="69"/>
      <c r="B205" s="69"/>
      <c r="C205" s="69" t="s">
        <v>364</v>
      </c>
      <c r="D205" s="18" t="s">
        <v>80</v>
      </c>
      <c r="E205" s="125" t="n">
        <v>0.2</v>
      </c>
      <c r="F205" s="123" t="n">
        <v>1</v>
      </c>
      <c r="G205" s="123"/>
      <c r="H205" s="121" t="n">
        <v>50</v>
      </c>
      <c r="I205" s="112" t="n">
        <f aca="false">H205*$E$199</f>
        <v>7.5</v>
      </c>
    </row>
    <row r="206" customFormat="false" ht="15" hidden="false" customHeight="false" outlineLevel="0" collapsed="false">
      <c r="A206" s="69"/>
      <c r="B206" s="69"/>
      <c r="C206" s="69" t="s">
        <v>365</v>
      </c>
      <c r="D206" s="18" t="s">
        <v>80</v>
      </c>
      <c r="E206" s="125" t="n">
        <v>0.25</v>
      </c>
      <c r="F206" s="123" t="n">
        <v>1</v>
      </c>
      <c r="G206" s="123"/>
      <c r="H206" s="121" t="n">
        <v>60</v>
      </c>
      <c r="I206" s="112" t="n">
        <f aca="false">H206*$E$199</f>
        <v>9</v>
      </c>
    </row>
    <row r="207" customFormat="false" ht="15" hidden="false" customHeight="false" outlineLevel="0" collapsed="false">
      <c r="A207" s="69"/>
      <c r="B207" s="69"/>
      <c r="C207" s="69" t="s">
        <v>366</v>
      </c>
      <c r="D207" s="18" t="s">
        <v>80</v>
      </c>
      <c r="E207" s="125" t="n">
        <v>0.3</v>
      </c>
      <c r="F207" s="123" t="n">
        <v>1</v>
      </c>
      <c r="G207" s="123"/>
      <c r="H207" s="121" t="n">
        <v>70</v>
      </c>
      <c r="I207" s="112" t="n">
        <f aca="false">H207*$E$199</f>
        <v>10.5</v>
      </c>
    </row>
    <row r="208" customFormat="false" ht="15" hidden="false" customHeight="false" outlineLevel="0" collapsed="false">
      <c r="A208" s="69"/>
      <c r="B208" s="69"/>
      <c r="C208" s="69" t="s">
        <v>367</v>
      </c>
      <c r="D208" s="18" t="s">
        <v>80</v>
      </c>
      <c r="E208" s="125" t="n">
        <v>0.35</v>
      </c>
      <c r="F208" s="123" t="n">
        <v>1</v>
      </c>
      <c r="G208" s="123"/>
      <c r="H208" s="121" t="n">
        <v>80</v>
      </c>
      <c r="I208" s="112" t="n">
        <f aca="false">H208*$E$199</f>
        <v>12</v>
      </c>
    </row>
    <row r="209" customFormat="false" ht="15" hidden="false" customHeight="false" outlineLevel="0" collapsed="false">
      <c r="A209" s="69"/>
      <c r="B209" s="69"/>
      <c r="C209" s="69" t="s">
        <v>368</v>
      </c>
      <c r="D209" s="18" t="s">
        <v>80</v>
      </c>
      <c r="E209" s="125" t="n">
        <v>0.4</v>
      </c>
      <c r="F209" s="123" t="n">
        <v>1</v>
      </c>
      <c r="G209" s="123"/>
      <c r="H209" s="121" t="n">
        <v>90</v>
      </c>
      <c r="I209" s="112" t="n">
        <f aca="false">H209*$E$199</f>
        <v>13.5</v>
      </c>
    </row>
    <row r="210" customFormat="false" ht="15" hidden="false" customHeight="false" outlineLevel="0" collapsed="false">
      <c r="A210" s="69"/>
      <c r="B210" s="69"/>
      <c r="C210" s="69" t="s">
        <v>370</v>
      </c>
      <c r="D210" s="18" t="s">
        <v>80</v>
      </c>
      <c r="E210" s="125" t="n">
        <v>0.5</v>
      </c>
      <c r="F210" s="123" t="n">
        <v>0</v>
      </c>
      <c r="G210" s="123"/>
      <c r="H210" s="121" t="n">
        <v>100</v>
      </c>
      <c r="I210" s="112" t="n">
        <f aca="false">H210*$E$199</f>
        <v>15</v>
      </c>
    </row>
    <row r="212" customFormat="false" ht="15" hidden="false" customHeight="false" outlineLevel="0" collapsed="false">
      <c r="A212" s="69"/>
      <c r="B212" s="69"/>
      <c r="C212" s="116" t="s">
        <v>374</v>
      </c>
      <c r="D212" s="117" t="s">
        <v>358</v>
      </c>
      <c r="E212" s="118" t="n">
        <v>0.05</v>
      </c>
      <c r="F212" s="119"/>
      <c r="G212" s="119"/>
      <c r="H212" s="119"/>
      <c r="I212" s="119"/>
    </row>
    <row r="213" customFormat="false" ht="15" hidden="false" customHeight="false" outlineLevel="0" collapsed="false">
      <c r="A213" s="69"/>
      <c r="B213" s="69"/>
      <c r="C213" s="69" t="s">
        <v>359</v>
      </c>
      <c r="D213" s="18" t="s">
        <v>80</v>
      </c>
      <c r="E213" s="115"/>
      <c r="F213" s="120"/>
      <c r="G213" s="120"/>
      <c r="H213" s="121" t="n">
        <v>0</v>
      </c>
      <c r="I213" s="112" t="n">
        <f aca="false">H213*$E$212</f>
        <v>0</v>
      </c>
    </row>
    <row r="214" customFormat="false" ht="15" hidden="false" customHeight="false" outlineLevel="0" collapsed="false">
      <c r="A214" s="69"/>
      <c r="B214" s="69"/>
      <c r="C214" s="69" t="s">
        <v>360</v>
      </c>
      <c r="D214" s="18" t="s">
        <v>80</v>
      </c>
      <c r="E214" s="126" t="n">
        <v>1</v>
      </c>
      <c r="F214" s="123" t="n">
        <v>0</v>
      </c>
      <c r="G214" s="123"/>
      <c r="H214" s="121" t="n">
        <v>10</v>
      </c>
      <c r="I214" s="112" t="n">
        <f aca="false">H214*$E$212</f>
        <v>0.5</v>
      </c>
    </row>
    <row r="215" customFormat="false" ht="15" hidden="false" customHeight="false" outlineLevel="0" collapsed="false">
      <c r="A215" s="69"/>
      <c r="B215" s="69"/>
      <c r="C215" s="69" t="s">
        <v>361</v>
      </c>
      <c r="D215" s="18" t="s">
        <v>80</v>
      </c>
      <c r="E215" s="126" t="n">
        <v>1.2</v>
      </c>
      <c r="F215" s="123" t="n">
        <v>1</v>
      </c>
      <c r="G215" s="123"/>
      <c r="H215" s="121" t="n">
        <v>20</v>
      </c>
      <c r="I215" s="112" t="n">
        <f aca="false">H215*$E$212</f>
        <v>1</v>
      </c>
    </row>
    <row r="216" customFormat="false" ht="15" hidden="false" customHeight="false" outlineLevel="0" collapsed="false">
      <c r="A216" s="69"/>
      <c r="B216" s="69"/>
      <c r="C216" s="69" t="s">
        <v>362</v>
      </c>
      <c r="D216" s="18" t="s">
        <v>80</v>
      </c>
      <c r="E216" s="126" t="n">
        <v>1.3</v>
      </c>
      <c r="F216" s="123" t="n">
        <v>1</v>
      </c>
      <c r="G216" s="123"/>
      <c r="H216" s="121" t="n">
        <v>30</v>
      </c>
      <c r="I216" s="112" t="n">
        <f aca="false">H216*$E$212</f>
        <v>1.5</v>
      </c>
    </row>
    <row r="217" customFormat="false" ht="15" hidden="false" customHeight="false" outlineLevel="0" collapsed="false">
      <c r="A217" s="69"/>
      <c r="B217" s="69"/>
      <c r="C217" s="69" t="s">
        <v>363</v>
      </c>
      <c r="D217" s="18" t="s">
        <v>80</v>
      </c>
      <c r="E217" s="126" t="n">
        <v>1.4</v>
      </c>
      <c r="F217" s="123" t="n">
        <v>1</v>
      </c>
      <c r="G217" s="123"/>
      <c r="H217" s="121" t="n">
        <v>40</v>
      </c>
      <c r="I217" s="112" t="n">
        <f aca="false">H217*$E$212</f>
        <v>2</v>
      </c>
    </row>
    <row r="218" customFormat="false" ht="15" hidden="false" customHeight="false" outlineLevel="0" collapsed="false">
      <c r="A218" s="69"/>
      <c r="B218" s="69"/>
      <c r="C218" s="69" t="s">
        <v>364</v>
      </c>
      <c r="D218" s="18" t="s">
        <v>80</v>
      </c>
      <c r="E218" s="126" t="n">
        <v>1.5</v>
      </c>
      <c r="F218" s="123" t="n">
        <v>1</v>
      </c>
      <c r="G218" s="123"/>
      <c r="H218" s="121" t="n">
        <v>50</v>
      </c>
      <c r="I218" s="112" t="n">
        <f aca="false">H218*$E$212</f>
        <v>2.5</v>
      </c>
    </row>
    <row r="219" customFormat="false" ht="15" hidden="false" customHeight="false" outlineLevel="0" collapsed="false">
      <c r="A219" s="69"/>
      <c r="B219" s="69"/>
      <c r="C219" s="69" t="s">
        <v>365</v>
      </c>
      <c r="D219" s="18" t="s">
        <v>80</v>
      </c>
      <c r="E219" s="126" t="n">
        <v>1.6</v>
      </c>
      <c r="F219" s="123" t="n">
        <v>1</v>
      </c>
      <c r="G219" s="123"/>
      <c r="H219" s="121" t="n">
        <v>60</v>
      </c>
      <c r="I219" s="112" t="n">
        <f aca="false">H219*$E$212</f>
        <v>3</v>
      </c>
    </row>
    <row r="220" customFormat="false" ht="15" hidden="false" customHeight="false" outlineLevel="0" collapsed="false">
      <c r="A220" s="69"/>
      <c r="B220" s="69"/>
      <c r="C220" s="69" t="s">
        <v>366</v>
      </c>
      <c r="D220" s="18" t="s">
        <v>80</v>
      </c>
      <c r="E220" s="126" t="n">
        <v>1.7</v>
      </c>
      <c r="F220" s="123" t="n">
        <v>1</v>
      </c>
      <c r="G220" s="123"/>
      <c r="H220" s="121" t="n">
        <v>70</v>
      </c>
      <c r="I220" s="112" t="n">
        <f aca="false">H220*$E$212</f>
        <v>3.5</v>
      </c>
    </row>
    <row r="221" customFormat="false" ht="15" hidden="false" customHeight="false" outlineLevel="0" collapsed="false">
      <c r="A221" s="69"/>
      <c r="B221" s="69"/>
      <c r="C221" s="69" t="s">
        <v>367</v>
      </c>
      <c r="D221" s="18" t="s">
        <v>80</v>
      </c>
      <c r="E221" s="126" t="n">
        <v>1.8</v>
      </c>
      <c r="F221" s="123" t="n">
        <v>1</v>
      </c>
      <c r="G221" s="123"/>
      <c r="H221" s="121" t="n">
        <v>80</v>
      </c>
      <c r="I221" s="112" t="n">
        <f aca="false">H221*$E$212</f>
        <v>4</v>
      </c>
    </row>
    <row r="222" customFormat="false" ht="15" hidden="false" customHeight="false" outlineLevel="0" collapsed="false">
      <c r="A222" s="69"/>
      <c r="B222" s="69"/>
      <c r="C222" s="69" t="s">
        <v>368</v>
      </c>
      <c r="D222" s="18" t="s">
        <v>80</v>
      </c>
      <c r="E222" s="126" t="n">
        <v>1.9</v>
      </c>
      <c r="F222" s="123" t="n">
        <v>1</v>
      </c>
      <c r="G222" s="123"/>
      <c r="H222" s="121" t="n">
        <v>90</v>
      </c>
      <c r="I222" s="112" t="n">
        <f aca="false">H222*$E$212</f>
        <v>4.5</v>
      </c>
    </row>
    <row r="223" customFormat="false" ht="15" hidden="false" customHeight="false" outlineLevel="0" collapsed="false">
      <c r="A223" s="69"/>
      <c r="B223" s="69"/>
      <c r="C223" s="69" t="s">
        <v>370</v>
      </c>
      <c r="D223" s="18" t="s">
        <v>80</v>
      </c>
      <c r="E223" s="126" t="n">
        <v>2</v>
      </c>
      <c r="F223" s="123" t="n">
        <v>1</v>
      </c>
      <c r="G223" s="123"/>
      <c r="H223" s="121" t="n">
        <v>100</v>
      </c>
      <c r="I223" s="112" t="n">
        <f aca="false">H223*$E$212</f>
        <v>5</v>
      </c>
    </row>
    <row r="225" customFormat="false" ht="15" hidden="false" customHeight="false" outlineLevel="0" collapsed="false">
      <c r="A225" s="69"/>
      <c r="B225" s="69"/>
      <c r="C225" s="116" t="s">
        <v>375</v>
      </c>
      <c r="D225" s="117" t="s">
        <v>358</v>
      </c>
      <c r="E225" s="119"/>
      <c r="F225" s="119"/>
      <c r="G225" s="119"/>
      <c r="H225" s="119"/>
      <c r="I225" s="119"/>
    </row>
    <row r="226" customFormat="false" ht="15" hidden="false" customHeight="false" outlineLevel="0" collapsed="false">
      <c r="A226" s="69"/>
      <c r="B226" s="69"/>
      <c r="C226" s="69" t="s">
        <v>376</v>
      </c>
      <c r="D226" s="18" t="s">
        <v>80</v>
      </c>
      <c r="E226" s="127" t="n">
        <v>0.05</v>
      </c>
      <c r="F226" s="120"/>
      <c r="G226" s="120"/>
      <c r="H226" s="121" t="n">
        <v>100</v>
      </c>
      <c r="I226" s="112" t="n">
        <f aca="false">H226*E226</f>
        <v>5</v>
      </c>
    </row>
    <row r="227" customFormat="false" ht="15" hidden="false" customHeight="false" outlineLevel="0" collapsed="false">
      <c r="A227" s="69"/>
      <c r="B227" s="69"/>
      <c r="C227" s="69" t="s">
        <v>377</v>
      </c>
      <c r="D227" s="18" t="s">
        <v>80</v>
      </c>
      <c r="E227" s="127" t="n">
        <v>0.1</v>
      </c>
      <c r="F227" s="120"/>
      <c r="G227" s="120"/>
      <c r="H227" s="121" t="n">
        <v>100</v>
      </c>
      <c r="I227" s="112" t="n">
        <f aca="false">H227*E227</f>
        <v>10</v>
      </c>
    </row>
    <row r="228" customFormat="false" ht="15" hidden="false" customHeight="false" outlineLevel="0" collapsed="false">
      <c r="A228" s="69"/>
      <c r="B228" s="69"/>
      <c r="C228" s="69" t="s">
        <v>378</v>
      </c>
      <c r="D228" s="18" t="s">
        <v>80</v>
      </c>
      <c r="E228" s="127" t="n">
        <v>0.05</v>
      </c>
      <c r="F228" s="120"/>
      <c r="G228" s="120"/>
      <c r="H228" s="121" t="n">
        <v>100</v>
      </c>
      <c r="I228" s="112" t="n">
        <f aca="false">H228*E228</f>
        <v>5</v>
      </c>
    </row>
    <row r="230" customFormat="false" ht="15" hidden="false" customHeight="false" outlineLevel="0" collapsed="false">
      <c r="A230" s="69"/>
      <c r="B230" s="69"/>
      <c r="C230" s="116" t="s">
        <v>379</v>
      </c>
      <c r="D230" s="117" t="s">
        <v>358</v>
      </c>
      <c r="E230" s="118" t="n">
        <v>0.15</v>
      </c>
      <c r="F230" s="119"/>
      <c r="G230" s="119"/>
      <c r="H230" s="119"/>
      <c r="I230" s="119"/>
    </row>
    <row r="231" customFormat="false" ht="15" hidden="false" customHeight="false" outlineLevel="0" collapsed="false">
      <c r="A231" s="69"/>
      <c r="B231" s="69"/>
      <c r="C231" s="69" t="s">
        <v>380</v>
      </c>
      <c r="D231" s="18" t="s">
        <v>80</v>
      </c>
      <c r="E231" s="115"/>
      <c r="F231" s="120"/>
      <c r="G231" s="120"/>
      <c r="H231" s="121" t="n">
        <v>80</v>
      </c>
      <c r="I231" s="112" t="n">
        <f aca="false">H231*$E$230</f>
        <v>12</v>
      </c>
    </row>
    <row r="232" customFormat="false" ht="15" hidden="false" customHeight="false" outlineLevel="0" collapsed="false">
      <c r="A232" s="69"/>
      <c r="B232" s="69"/>
      <c r="C232" s="69" t="s">
        <v>381</v>
      </c>
      <c r="D232" s="18" t="s">
        <v>80</v>
      </c>
      <c r="E232" s="115"/>
      <c r="F232" s="120"/>
      <c r="G232" s="120"/>
      <c r="H232" s="121" t="n">
        <v>20</v>
      </c>
      <c r="I232" s="112" t="n">
        <f aca="false">H232*$E$230</f>
        <v>3</v>
      </c>
    </row>
    <row r="234" customFormat="false" ht="15" hidden="false" customHeight="false" outlineLevel="0" collapsed="false">
      <c r="A234" s="69"/>
      <c r="B234" s="69"/>
      <c r="C234" s="116" t="s">
        <v>382</v>
      </c>
      <c r="D234" s="117" t="s">
        <v>80</v>
      </c>
      <c r="E234" s="119"/>
      <c r="F234" s="119"/>
      <c r="G234" s="119"/>
      <c r="H234" s="119"/>
      <c r="I234" s="128" t="n">
        <f aca="false">(E160+E172+E186+E199+E212+E226+E227+E228+E230)*MAX(H161:H232)</f>
        <v>100</v>
      </c>
    </row>
    <row r="236" customFormat="false" ht="15" hidden="false" customHeight="false" outlineLevel="0" collapsed="false">
      <c r="A236" s="69"/>
      <c r="B236" s="69"/>
      <c r="C236" s="69" t="s">
        <v>30</v>
      </c>
      <c r="D236" s="69"/>
      <c r="E236" s="69"/>
      <c r="F236" s="69"/>
      <c r="G236" s="69"/>
      <c r="H236" s="69"/>
      <c r="I236" s="69"/>
    </row>
  </sheetData>
  <conditionalFormatting sqref="E157:I157">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AB368"/>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pane xSplit="0" ySplit="69" topLeftCell="A70" activePane="bottomLeft" state="frozen"/>
      <selection pane="topLeft" activeCell="A1" activeCellId="0" sqref="A1"/>
      <selection pane="bottomLeft" activeCell="E85" activeCellId="0" sqref="E85"/>
    </sheetView>
  </sheetViews>
  <sheetFormatPr defaultColWidth="8.5703125" defaultRowHeight="15" zeroHeight="false" outlineLevelRow="1" outlineLevelCol="0"/>
  <cols>
    <col collapsed="false" customWidth="true" hidden="false" outlineLevel="0" max="2" min="1" style="0" width="2.57"/>
    <col collapsed="false" customWidth="true" hidden="false" outlineLevel="0" max="3" min="3" style="0" width="62.86"/>
    <col collapsed="false" customWidth="true" hidden="false" outlineLevel="0" max="4" min="4" style="0" width="13.42"/>
    <col collapsed="false" customWidth="true" hidden="false" outlineLevel="0" max="5" min="5" style="0" width="17.15"/>
    <col collapsed="false" customWidth="true" hidden="true" outlineLevel="0" max="6" min="6" style="0" width="26.42"/>
    <col collapsed="false" customWidth="true" hidden="false" outlineLevel="0" max="9" min="7" style="0" width="15.42"/>
    <col collapsed="false" customWidth="true" hidden="true" outlineLevel="0" max="16" min="10" style="0" width="15.42"/>
    <col collapsed="false" customWidth="true" hidden="false" outlineLevel="0" max="28" min="17" style="0" width="7"/>
  </cols>
  <sheetData>
    <row r="1" customFormat="false" ht="18.75" hidden="false" customHeight="true" outlineLevel="0" collapsed="false">
      <c r="A1" s="129" t="s">
        <v>383</v>
      </c>
    </row>
    <row r="2" customFormat="false" ht="15" hidden="false" customHeight="false" outlineLevel="0" collapsed="false">
      <c r="A2" s="130" t="s">
        <v>384</v>
      </c>
    </row>
    <row r="3" customFormat="false" ht="15" hidden="false" customHeight="false" outlineLevel="0" collapsed="false">
      <c r="A3" s="130" t="s">
        <v>385</v>
      </c>
    </row>
    <row r="5" customFormat="false" ht="15" hidden="false" customHeight="false" outlineLevel="0" collapsed="false">
      <c r="C5" s="131" t="s">
        <v>386</v>
      </c>
      <c r="D5" s="131" t="s">
        <v>387</v>
      </c>
      <c r="E5" s="131" t="s">
        <v>388</v>
      </c>
      <c r="F5" s="131" t="s">
        <v>389</v>
      </c>
      <c r="G5" s="131" t="s">
        <v>390</v>
      </c>
      <c r="H5" s="131" t="s">
        <v>391</v>
      </c>
      <c r="I5" s="131" t="s">
        <v>392</v>
      </c>
      <c r="J5" s="131" t="s">
        <v>393</v>
      </c>
      <c r="K5" s="131" t="s">
        <v>394</v>
      </c>
      <c r="L5" s="131" t="s">
        <v>395</v>
      </c>
      <c r="M5" s="131" t="s">
        <v>396</v>
      </c>
      <c r="N5" s="131" t="s">
        <v>397</v>
      </c>
      <c r="O5" s="131" t="s">
        <v>398</v>
      </c>
      <c r="P5" s="131" t="s">
        <v>399</v>
      </c>
    </row>
    <row r="6" customFormat="false" ht="15" hidden="false" customHeight="false" outlineLevel="0" collapsed="false">
      <c r="C6" s="0" t="s">
        <v>400</v>
      </c>
      <c r="D6" s="0" t="s">
        <v>29</v>
      </c>
      <c r="E6" s="132" t="n">
        <f aca="false">MATCH(Scenario_Name,Scenario_Names,0)</f>
        <v>2</v>
      </c>
      <c r="F6" s="130" t="s">
        <v>401</v>
      </c>
      <c r="G6" s="0" t="n">
        <v>1</v>
      </c>
      <c r="H6" s="133" t="n">
        <f aca="false">G6+1</f>
        <v>2</v>
      </c>
      <c r="I6" s="133" t="n">
        <f aca="false">H6+1</f>
        <v>3</v>
      </c>
      <c r="J6" s="133" t="n">
        <f aca="false">I6+1</f>
        <v>4</v>
      </c>
      <c r="K6" s="133" t="n">
        <f aca="false">J6+1</f>
        <v>5</v>
      </c>
      <c r="L6" s="133" t="n">
        <f aca="false">K6+1</f>
        <v>6</v>
      </c>
      <c r="M6" s="133" t="n">
        <f aca="false">L6+1</f>
        <v>7</v>
      </c>
      <c r="N6" s="133" t="n">
        <f aca="false">M6+1</f>
        <v>8</v>
      </c>
      <c r="O6" s="133" t="n">
        <f aca="false">N6+1</f>
        <v>9</v>
      </c>
      <c r="P6" s="133" t="n">
        <f aca="false">O6+1</f>
        <v>10</v>
      </c>
    </row>
    <row r="7" customFormat="false" ht="15" hidden="false" customHeight="false" outlineLevel="0" collapsed="false">
      <c r="C7" s="0" t="s">
        <v>402</v>
      </c>
      <c r="D7" s="0" t="s">
        <v>403</v>
      </c>
      <c r="E7" s="0" t="str">
        <f aca="false" t="array" ref="E7:E7">INDEX($G7:$P7,$E$6)</f>
        <v>CN turbine</v>
      </c>
      <c r="F7" s="130"/>
      <c r="G7" s="134" t="s">
        <v>404</v>
      </c>
      <c r="H7" s="134" t="s">
        <v>78</v>
      </c>
      <c r="I7" s="134" t="s">
        <v>405</v>
      </c>
      <c r="J7" s="134"/>
      <c r="K7" s="134"/>
      <c r="L7" s="134"/>
      <c r="M7" s="134"/>
      <c r="N7" s="134"/>
      <c r="O7" s="134"/>
      <c r="P7" s="134"/>
    </row>
    <row r="8" customFormat="false" ht="15" hidden="false" customHeight="false" outlineLevel="0" collapsed="false">
      <c r="C8" s="0" t="s">
        <v>406</v>
      </c>
      <c r="D8" s="0" t="s">
        <v>407</v>
      </c>
      <c r="E8" s="0" t="str">
        <f aca="false" t="array" ref="E8:E8">INDEX($G8:$P8,$E$6)</f>
        <v>As the EU turbine case, but CN turbines 500 k€/MW and 50 % gearing</v>
      </c>
      <c r="F8" s="130"/>
      <c r="G8" s="134" t="s">
        <v>408</v>
      </c>
      <c r="H8" s="134" t="s">
        <v>409</v>
      </c>
      <c r="I8" s="134" t="s">
        <v>410</v>
      </c>
      <c r="J8" s="134"/>
      <c r="K8" s="134"/>
      <c r="L8" s="134"/>
      <c r="M8" s="134"/>
      <c r="N8" s="134"/>
      <c r="O8" s="134"/>
      <c r="P8" s="134"/>
    </row>
    <row r="9" customFormat="false" ht="15" hidden="false" customHeight="false" outlineLevel="0" collapsed="false">
      <c r="C9" s="0" t="s">
        <v>411</v>
      </c>
      <c r="D9" s="0" t="s">
        <v>29</v>
      </c>
      <c r="E9" s="135" t="n">
        <v>1</v>
      </c>
      <c r="F9" s="130" t="s">
        <v>412</v>
      </c>
    </row>
    <row r="10" customFormat="false" ht="15" hidden="false" customHeight="false" outlineLevel="0" collapsed="false">
      <c r="B10" s="0" t="s">
        <v>7</v>
      </c>
      <c r="C10" s="136" t="s">
        <v>413</v>
      </c>
      <c r="D10" s="136"/>
      <c r="E10" s="136"/>
      <c r="F10" s="137"/>
      <c r="G10" s="136"/>
      <c r="H10" s="136"/>
      <c r="I10" s="136"/>
      <c r="J10" s="136"/>
      <c r="K10" s="136"/>
      <c r="L10" s="136"/>
      <c r="M10" s="136"/>
      <c r="N10" s="136"/>
      <c r="O10" s="136"/>
      <c r="P10" s="136"/>
    </row>
    <row r="11" customFormat="false" ht="15" hidden="false" customHeight="false" outlineLevel="0" collapsed="false">
      <c r="C11" s="0" t="s">
        <v>414</v>
      </c>
      <c r="D11" s="0" t="s">
        <v>218</v>
      </c>
      <c r="E11" s="138" t="n">
        <f aca="false" t="array" ref="E11:E11">IF(INDEX($G11:$P11,$E$6)="",$G11,INDEX($G11:$P11,$E$6))</f>
        <v>365</v>
      </c>
      <c r="F11" s="139" t="s">
        <v>415</v>
      </c>
      <c r="G11" s="140" t="n">
        <v>365</v>
      </c>
      <c r="H11" s="140"/>
      <c r="I11" s="140"/>
      <c r="J11" s="140"/>
      <c r="K11" s="140"/>
      <c r="L11" s="140"/>
      <c r="M11" s="140"/>
      <c r="N11" s="140"/>
      <c r="O11" s="140"/>
      <c r="P11" s="140"/>
    </row>
    <row r="12" customFormat="false" ht="15" hidden="false" customHeight="false" outlineLevel="0" collapsed="false">
      <c r="C12" s="0" t="s">
        <v>416</v>
      </c>
      <c r="D12" s="0" t="s">
        <v>51</v>
      </c>
      <c r="E12" s="141" t="n">
        <f aca="false" t="array" ref="E12:E12">IF(INDEX($G12:$P12,$E$6)="",$G12,INDEX($G12:$P12,$E$6))</f>
        <v>0.15</v>
      </c>
      <c r="F12" s="142" t="s">
        <v>417</v>
      </c>
      <c r="G12" s="143" t="n">
        <v>0.15</v>
      </c>
      <c r="H12" s="143"/>
      <c r="I12" s="143"/>
      <c r="J12" s="143"/>
      <c r="K12" s="143"/>
      <c r="L12" s="143"/>
      <c r="M12" s="143"/>
      <c r="N12" s="143"/>
      <c r="O12" s="143"/>
      <c r="P12" s="143"/>
    </row>
    <row r="13" customFormat="false" ht="15" hidden="false" customHeight="false" outlineLevel="0" collapsed="false">
      <c r="C13" s="0" t="s">
        <v>418</v>
      </c>
      <c r="D13" s="0" t="s">
        <v>51</v>
      </c>
      <c r="E13" s="141" t="n">
        <f aca="false" t="array" ref="E13:E13">IF(INDEX($G13:$P13,$E$6)="",$G13,INDEX($G13:$P13,$E$6))</f>
        <v>0.08</v>
      </c>
      <c r="F13" s="142" t="s">
        <v>419</v>
      </c>
      <c r="G13" s="144" t="n">
        <f aca="false">G$255</f>
        <v>0.08</v>
      </c>
      <c r="H13" s="143" t="str">
        <f aca="false">H$255</f>
        <v/>
      </c>
      <c r="I13" s="143"/>
      <c r="J13" s="143"/>
      <c r="K13" s="143"/>
      <c r="L13" s="143"/>
      <c r="M13" s="143"/>
      <c r="N13" s="143"/>
      <c r="O13" s="143"/>
      <c r="P13" s="143"/>
    </row>
    <row r="14" customFormat="false" ht="15" hidden="false" customHeight="false" outlineLevel="0" collapsed="false">
      <c r="C14" s="0" t="s">
        <v>420</v>
      </c>
      <c r="D14" s="0" t="s">
        <v>421</v>
      </c>
      <c r="E14" s="141" t="n">
        <f aca="false" t="array" ref="E14:E14">IF(INDEX($G14:$P14,$E$6)="",$G14,INDEX($G14:$P14,$E$6))</f>
        <v>1</v>
      </c>
      <c r="F14" s="142" t="s">
        <v>422</v>
      </c>
      <c r="G14" s="143" t="n">
        <v>1</v>
      </c>
      <c r="H14" s="143"/>
      <c r="I14" s="143"/>
      <c r="J14" s="143"/>
      <c r="K14" s="143"/>
      <c r="L14" s="143"/>
      <c r="M14" s="143"/>
      <c r="N14" s="143"/>
      <c r="O14" s="143"/>
      <c r="P14" s="143"/>
    </row>
    <row r="15" customFormat="false" ht="15" hidden="false" customHeight="false" outlineLevel="0" collapsed="false">
      <c r="B15" s="0" t="s">
        <v>7</v>
      </c>
      <c r="C15" s="136" t="s">
        <v>423</v>
      </c>
      <c r="D15" s="136"/>
      <c r="E15" s="136"/>
      <c r="F15" s="137"/>
      <c r="G15" s="136"/>
      <c r="H15" s="136"/>
      <c r="I15" s="136"/>
      <c r="J15" s="136"/>
      <c r="K15" s="136"/>
      <c r="L15" s="136"/>
      <c r="M15" s="136"/>
      <c r="N15" s="136"/>
      <c r="O15" s="136"/>
      <c r="P15" s="136"/>
    </row>
    <row r="16" customFormat="false" ht="15" hidden="false" customHeight="false" outlineLevel="0" collapsed="false">
      <c r="C16" s="0" t="s">
        <v>424</v>
      </c>
      <c r="D16" s="0" t="s">
        <v>84</v>
      </c>
      <c r="E16" s="138" t="n">
        <f aca="false">Dash_MVA*(1+Dash_Overbuild)</f>
        <v>151</v>
      </c>
      <c r="F16" s="139" t="s">
        <v>425</v>
      </c>
      <c r="G16" s="145"/>
      <c r="H16" s="140"/>
      <c r="I16" s="140"/>
      <c r="J16" s="140"/>
      <c r="K16" s="140"/>
      <c r="L16" s="140"/>
      <c r="M16" s="140"/>
      <c r="N16" s="140"/>
      <c r="O16" s="140"/>
      <c r="P16" s="140"/>
    </row>
    <row r="17" customFormat="false" ht="15" hidden="false" customHeight="false" outlineLevel="0" collapsed="false">
      <c r="C17" s="0" t="s">
        <v>426</v>
      </c>
      <c r="D17" s="0" t="s">
        <v>51</v>
      </c>
      <c r="E17" s="141" t="n">
        <f aca="false" t="array" ref="E17:E17">IF(INDEX($G17:$P17,$E$6)="",$G17,INDEX($G17:$P17,$E$6))</f>
        <v>1</v>
      </c>
      <c r="F17" s="142" t="s">
        <v>427</v>
      </c>
      <c r="G17" s="143" t="n">
        <v>1</v>
      </c>
      <c r="H17" s="143"/>
      <c r="I17" s="143"/>
      <c r="J17" s="143"/>
      <c r="K17" s="143"/>
      <c r="L17" s="143"/>
      <c r="M17" s="143"/>
      <c r="N17" s="143"/>
      <c r="O17" s="143"/>
      <c r="P17" s="143"/>
    </row>
    <row r="18" customFormat="false" ht="15" hidden="false" customHeight="false" outlineLevel="0" collapsed="false">
      <c r="C18" s="0" t="s">
        <v>428</v>
      </c>
      <c r="D18" s="0" t="s">
        <v>84</v>
      </c>
      <c r="E18" s="138" t="n">
        <f aca="false">E16*E17</f>
        <v>151</v>
      </c>
      <c r="F18" s="139"/>
      <c r="G18" s="138"/>
      <c r="H18" s="138"/>
      <c r="I18" s="138"/>
      <c r="J18" s="138"/>
      <c r="K18" s="138"/>
      <c r="L18" s="138"/>
      <c r="M18" s="138"/>
      <c r="N18" s="138"/>
      <c r="O18" s="138"/>
      <c r="P18" s="138"/>
    </row>
    <row r="19" customFormat="false" ht="15" hidden="false" customHeight="false" outlineLevel="0" collapsed="false">
      <c r="C19" s="0" t="s">
        <v>429</v>
      </c>
      <c r="D19" s="0" t="s">
        <v>84</v>
      </c>
      <c r="E19" s="138" t="n">
        <f aca="false">E16-E18</f>
        <v>0</v>
      </c>
      <c r="F19" s="139" t="s">
        <v>430</v>
      </c>
      <c r="G19" s="138"/>
      <c r="H19" s="138"/>
      <c r="I19" s="138"/>
      <c r="J19" s="138"/>
      <c r="K19" s="138"/>
      <c r="L19" s="138"/>
      <c r="M19" s="138"/>
      <c r="N19" s="138"/>
      <c r="O19" s="138"/>
      <c r="P19" s="138"/>
    </row>
    <row r="20" customFormat="false" ht="15" hidden="false" customHeight="false" outlineLevel="0" collapsed="false">
      <c r="C20" s="0" t="s">
        <v>431</v>
      </c>
      <c r="D20" s="0" t="s">
        <v>84</v>
      </c>
      <c r="E20" s="138" t="n">
        <f aca="false">Dash_BESS_Share*Dash_MVA</f>
        <v>30</v>
      </c>
      <c r="F20" s="139" t="s">
        <v>432</v>
      </c>
      <c r="G20" s="145"/>
      <c r="H20" s="140"/>
      <c r="I20" s="140"/>
      <c r="J20" s="140"/>
      <c r="K20" s="140"/>
      <c r="L20" s="140"/>
      <c r="M20" s="140"/>
      <c r="N20" s="140"/>
      <c r="O20" s="140"/>
      <c r="P20" s="140"/>
    </row>
    <row r="21" customFormat="false" ht="15" hidden="false" customHeight="false" outlineLevel="0" collapsed="false">
      <c r="C21" s="0" t="s">
        <v>63</v>
      </c>
      <c r="D21" s="0" t="s">
        <v>433</v>
      </c>
      <c r="E21" s="138" t="n">
        <f aca="false" t="array" ref="E21:E21">IF(INDEX($G21:$P21,$E$6)="",$G21,INDEX($G21:$P21,$E$6))</f>
        <v>4</v>
      </c>
      <c r="F21" s="139" t="s">
        <v>434</v>
      </c>
      <c r="G21" s="140" t="n">
        <v>4</v>
      </c>
      <c r="H21" s="140"/>
      <c r="I21" s="140"/>
      <c r="J21" s="140"/>
      <c r="K21" s="140"/>
      <c r="L21" s="140"/>
      <c r="M21" s="140"/>
      <c r="N21" s="140"/>
      <c r="O21" s="140"/>
      <c r="P21" s="140"/>
    </row>
    <row r="22" customFormat="false" ht="15" hidden="false" customHeight="false" outlineLevel="0" collapsed="false">
      <c r="C22" s="0" t="s">
        <v>435</v>
      </c>
      <c r="D22" s="0" t="s">
        <v>88</v>
      </c>
      <c r="E22" s="138" t="n">
        <f aca="false">E20*E21</f>
        <v>120</v>
      </c>
      <c r="F22" s="139" t="s">
        <v>436</v>
      </c>
      <c r="G22" s="138"/>
      <c r="H22" s="138"/>
      <c r="I22" s="138"/>
      <c r="J22" s="138"/>
      <c r="K22" s="138"/>
      <c r="L22" s="138"/>
      <c r="M22" s="138"/>
      <c r="N22" s="138"/>
      <c r="O22" s="138"/>
      <c r="P22" s="138"/>
    </row>
    <row r="23" customFormat="false" ht="15" hidden="false" customHeight="false" outlineLevel="0" collapsed="false">
      <c r="C23" s="0" t="s">
        <v>437</v>
      </c>
      <c r="D23" s="0" t="s">
        <v>88</v>
      </c>
      <c r="E23" s="138" t="n">
        <f aca="false">E22*E17</f>
        <v>120</v>
      </c>
      <c r="F23" s="139" t="s">
        <v>438</v>
      </c>
      <c r="G23" s="138"/>
      <c r="H23" s="138"/>
      <c r="I23" s="138"/>
      <c r="J23" s="138"/>
      <c r="K23" s="138"/>
      <c r="L23" s="138"/>
      <c r="M23" s="138"/>
      <c r="N23" s="138"/>
      <c r="O23" s="138"/>
      <c r="P23" s="138"/>
    </row>
    <row r="24" customFormat="false" ht="15" hidden="false" customHeight="false" outlineLevel="0" collapsed="false">
      <c r="C24" s="0" t="s">
        <v>439</v>
      </c>
      <c r="D24" s="0" t="s">
        <v>125</v>
      </c>
      <c r="E24" s="146" t="n">
        <f aca="false">IF(INDEX($G24:$P24,$E$6)="",$G24,INDEX($G24:$P24,$E$6))*In_Scale</f>
        <v>125</v>
      </c>
      <c r="F24" s="147" t="s">
        <v>440</v>
      </c>
      <c r="G24" s="148" t="n">
        <v>250</v>
      </c>
      <c r="H24" s="149"/>
      <c r="I24" s="149"/>
      <c r="J24" s="149"/>
      <c r="K24" s="149"/>
      <c r="L24" s="149"/>
      <c r="M24" s="149"/>
      <c r="N24" s="149"/>
      <c r="O24" s="149"/>
      <c r="P24" s="149"/>
    </row>
    <row r="25" customFormat="false" ht="15" hidden="false" customHeight="false" outlineLevel="0" collapsed="false">
      <c r="C25" s="0" t="s">
        <v>441</v>
      </c>
      <c r="D25" s="0" t="s">
        <v>125</v>
      </c>
      <c r="E25" s="146" t="n">
        <f aca="false">IF(INDEX($G25:$P25,$E$6)="",$G25,INDEX($G25:$P25,$E$6))*In_Scale</f>
        <v>75</v>
      </c>
      <c r="F25" s="147" t="s">
        <v>440</v>
      </c>
      <c r="G25" s="149" t="n">
        <v>150</v>
      </c>
      <c r="H25" s="149"/>
      <c r="I25" s="149"/>
      <c r="J25" s="149"/>
      <c r="K25" s="149"/>
      <c r="L25" s="149"/>
      <c r="M25" s="149"/>
      <c r="N25" s="149"/>
      <c r="O25" s="149"/>
      <c r="P25" s="149"/>
    </row>
    <row r="26" customFormat="false" ht="15" hidden="false" customHeight="false" outlineLevel="0" collapsed="false">
      <c r="C26" s="0" t="s">
        <v>442</v>
      </c>
      <c r="D26" s="0" t="s">
        <v>125</v>
      </c>
      <c r="E26" s="146" t="n">
        <f aca="false">IF(INDEX($G26:$P26,$E$6)="",$G26,INDEX($G26:$P26,$E$6))*In_Scale</f>
        <v>250</v>
      </c>
      <c r="F26" s="147" t="s">
        <v>443</v>
      </c>
      <c r="G26" s="149" t="n">
        <v>500</v>
      </c>
      <c r="H26" s="149"/>
      <c r="I26" s="149"/>
      <c r="J26" s="149"/>
      <c r="K26" s="149"/>
      <c r="L26" s="149"/>
      <c r="M26" s="149"/>
      <c r="N26" s="149"/>
      <c r="O26" s="149"/>
      <c r="P26" s="149"/>
    </row>
    <row r="27" customFormat="false" ht="15" hidden="false" customHeight="false" outlineLevel="0" collapsed="false">
      <c r="C27" s="0" t="s">
        <v>444</v>
      </c>
      <c r="D27" s="0" t="s">
        <v>269</v>
      </c>
      <c r="E27" s="150" t="n">
        <f aca="false" t="array" ref="E27:E27">IF(INDEX($G27:$P27,$E$6)="",$G27,INDEX($G27:$P27,$E$6))</f>
        <v>46234</v>
      </c>
      <c r="F27" s="151" t="s">
        <v>445</v>
      </c>
      <c r="G27" s="152" t="n">
        <v>46234</v>
      </c>
      <c r="H27" s="152"/>
      <c r="I27" s="152"/>
      <c r="J27" s="152"/>
      <c r="K27" s="152"/>
      <c r="L27" s="152"/>
      <c r="M27" s="152"/>
      <c r="N27" s="152"/>
      <c r="O27" s="152"/>
      <c r="P27" s="152"/>
    </row>
    <row r="28" customFormat="false" ht="15" hidden="false" customHeight="false" outlineLevel="0" collapsed="false">
      <c r="C28" s="0" t="s">
        <v>446</v>
      </c>
      <c r="D28" s="0" t="s">
        <v>447</v>
      </c>
      <c r="E28" s="153" t="n">
        <f aca="false" t="array" ref="E28:E28">IF(INDEX($G28:$P28,$E$6)="",$G28,INDEX($G28:$P28,$E$6))</f>
        <v>6</v>
      </c>
      <c r="F28" s="154" t="s">
        <v>448</v>
      </c>
      <c r="G28" s="155" t="n">
        <v>6</v>
      </c>
      <c r="H28" s="155"/>
      <c r="I28" s="155"/>
      <c r="J28" s="156"/>
      <c r="K28" s="156"/>
      <c r="L28" s="156"/>
      <c r="M28" s="156"/>
      <c r="N28" s="156"/>
      <c r="O28" s="156"/>
      <c r="P28" s="156"/>
    </row>
    <row r="29" customFormat="false" ht="15" hidden="false" customHeight="false" outlineLevel="0" collapsed="false">
      <c r="F29" s="130"/>
    </row>
    <row r="30" customFormat="false" ht="15" hidden="false" customHeight="false" outlineLevel="0" collapsed="false">
      <c r="B30" s="0" t="s">
        <v>7</v>
      </c>
      <c r="C30" s="136" t="s">
        <v>449</v>
      </c>
      <c r="D30" s="136"/>
      <c r="E30" s="136"/>
      <c r="F30" s="137"/>
      <c r="G30" s="136"/>
      <c r="H30" s="136"/>
      <c r="I30" s="136"/>
      <c r="J30" s="136"/>
      <c r="K30" s="136"/>
      <c r="L30" s="136"/>
      <c r="M30" s="136"/>
      <c r="N30" s="136"/>
      <c r="O30" s="136"/>
      <c r="P30" s="136"/>
    </row>
    <row r="31" customFormat="false" ht="15" hidden="false" customHeight="false" outlineLevel="0" collapsed="false">
      <c r="C31" s="0" t="s">
        <v>450</v>
      </c>
      <c r="D31" s="0" t="s">
        <v>421</v>
      </c>
      <c r="E31" s="153" t="n">
        <f aca="false" t="array" ref="E31:E31">IF($E$9=1,IF(INDEX($G31:$P31,$E$6)="",$G31,INDEX($G31:$P31,$E$6)),$E$286)</f>
        <v>1</v>
      </c>
      <c r="F31" s="154" t="s">
        <v>451</v>
      </c>
      <c r="G31" s="155" t="n">
        <v>1</v>
      </c>
      <c r="H31" s="156"/>
      <c r="I31" s="156"/>
      <c r="J31" s="156"/>
      <c r="K31" s="156"/>
      <c r="L31" s="156"/>
      <c r="M31" s="156"/>
      <c r="N31" s="156"/>
      <c r="O31" s="156"/>
      <c r="P31" s="156"/>
    </row>
    <row r="32" customFormat="false" ht="15" hidden="false" customHeight="false" outlineLevel="0" collapsed="false">
      <c r="C32" s="0" t="s">
        <v>452</v>
      </c>
      <c r="D32" s="0" t="s">
        <v>51</v>
      </c>
      <c r="E32" s="141" t="n">
        <f aca="false" t="array" ref="E32:E32">IF($E$9=1,IF(INDEX($G32:$P32,$E$6)="",$G32,INDEX($G32:$P32,$E$6)),$E$287)</f>
        <v>0.7</v>
      </c>
      <c r="F32" s="142"/>
      <c r="G32" s="157" t="n">
        <v>0.7</v>
      </c>
      <c r="H32" s="143"/>
      <c r="I32" s="143"/>
      <c r="J32" s="143"/>
      <c r="K32" s="143"/>
      <c r="L32" s="143"/>
      <c r="M32" s="143"/>
      <c r="N32" s="143"/>
      <c r="O32" s="143"/>
      <c r="P32" s="143"/>
    </row>
    <row r="33" customFormat="false" ht="15" hidden="false" customHeight="false" outlineLevel="0" collapsed="false">
      <c r="C33" s="0" t="s">
        <v>453</v>
      </c>
      <c r="D33" s="0" t="s">
        <v>51</v>
      </c>
      <c r="E33" s="141" t="n">
        <f aca="false">IF(E31=1,E32,1)</f>
        <v>0.7</v>
      </c>
      <c r="F33" s="142"/>
      <c r="G33" s="141"/>
      <c r="H33" s="141"/>
      <c r="I33" s="141"/>
      <c r="J33" s="141"/>
      <c r="K33" s="141"/>
      <c r="L33" s="141"/>
      <c r="M33" s="141"/>
      <c r="N33" s="141"/>
      <c r="O33" s="141"/>
      <c r="P33" s="141"/>
    </row>
    <row r="34" customFormat="false" ht="15" hidden="false" customHeight="false" outlineLevel="0" collapsed="false">
      <c r="C34" s="0" t="s">
        <v>454</v>
      </c>
      <c r="D34" s="0" t="s">
        <v>51</v>
      </c>
      <c r="E34" s="141" t="n">
        <f aca="false">1-E33</f>
        <v>0.3</v>
      </c>
      <c r="F34" s="142"/>
      <c r="G34" s="141"/>
      <c r="H34" s="141"/>
      <c r="I34" s="141"/>
      <c r="J34" s="141"/>
      <c r="K34" s="141"/>
      <c r="L34" s="141"/>
      <c r="M34" s="141"/>
      <c r="N34" s="141"/>
      <c r="O34" s="141"/>
      <c r="P34" s="141"/>
    </row>
    <row r="35" customFormat="false" ht="15" hidden="false" customHeight="false" outlineLevel="0" collapsed="false">
      <c r="C35" s="0" t="s">
        <v>455</v>
      </c>
      <c r="D35" s="0" t="s">
        <v>421</v>
      </c>
      <c r="E35" s="153" t="n">
        <f aca="false" t="array" ref="E35:E35">IF(INDEX($G35:$P35,$E$6)="",$G35,INDEX($G35:$P35,$E$6))</f>
        <v>0</v>
      </c>
      <c r="F35" s="154" t="s">
        <v>456</v>
      </c>
      <c r="G35" s="156" t="n">
        <v>0</v>
      </c>
      <c r="H35" s="156"/>
      <c r="I35" s="156"/>
      <c r="J35" s="156"/>
      <c r="K35" s="156"/>
      <c r="L35" s="156"/>
      <c r="M35" s="156"/>
      <c r="N35" s="156"/>
      <c r="O35" s="156"/>
      <c r="P35" s="156"/>
    </row>
    <row r="36" customFormat="false" ht="15" hidden="false" customHeight="false" outlineLevel="0" collapsed="false">
      <c r="C36" s="0" t="s">
        <v>457</v>
      </c>
      <c r="D36" s="0" t="s">
        <v>11</v>
      </c>
      <c r="E36" s="158" t="n">
        <f aca="false" t="array" ref="E36:E36">IF(INDEX($G36:$P36,$E$6)="",$G36,INDEX($G36:$P36,$E$6))</f>
        <v>2.5</v>
      </c>
      <c r="F36" s="159" t="s">
        <v>458</v>
      </c>
      <c r="G36" s="160" t="n">
        <v>2.5</v>
      </c>
      <c r="H36" s="160"/>
      <c r="I36" s="160"/>
      <c r="J36" s="160"/>
      <c r="K36" s="160"/>
      <c r="L36" s="160"/>
      <c r="M36" s="160"/>
      <c r="N36" s="160"/>
      <c r="O36" s="160"/>
      <c r="P36" s="160"/>
    </row>
    <row r="37" customFormat="false" ht="15" hidden="false" customHeight="false" outlineLevel="0" collapsed="false">
      <c r="C37" s="0" t="s">
        <v>459</v>
      </c>
      <c r="D37" s="0" t="s">
        <v>11</v>
      </c>
      <c r="E37" s="158" t="n">
        <f aca="false" t="array" ref="E37:E37">IF(INDEX($G37:$P37,$E$6)="",$G37,INDEX($G37:$P37,$E$6))</f>
        <v>10</v>
      </c>
      <c r="F37" s="159"/>
      <c r="G37" s="160" t="n">
        <v>10</v>
      </c>
      <c r="H37" s="160"/>
      <c r="I37" s="160"/>
      <c r="J37" s="160"/>
      <c r="K37" s="160"/>
      <c r="L37" s="160"/>
      <c r="M37" s="160"/>
      <c r="N37" s="160"/>
      <c r="O37" s="160"/>
      <c r="P37" s="160"/>
    </row>
    <row r="38" customFormat="false" ht="15" hidden="false" customHeight="false" outlineLevel="0" collapsed="false">
      <c r="C38" s="0" t="s">
        <v>460</v>
      </c>
      <c r="D38" s="0" t="s">
        <v>421</v>
      </c>
      <c r="E38" s="153" t="n">
        <f aca="false">IF($E$9=1,E31,$E$288)</f>
        <v>1</v>
      </c>
      <c r="F38" s="154" t="s">
        <v>461</v>
      </c>
      <c r="G38" s="153"/>
      <c r="H38" s="153"/>
      <c r="I38" s="153"/>
      <c r="J38" s="153"/>
      <c r="K38" s="153"/>
      <c r="L38" s="153"/>
      <c r="M38" s="153"/>
      <c r="N38" s="153"/>
      <c r="O38" s="153"/>
      <c r="P38" s="153"/>
    </row>
    <row r="39" customFormat="false" ht="15" hidden="false" customHeight="false" outlineLevel="0" collapsed="false">
      <c r="F39" s="130"/>
    </row>
    <row r="40" customFormat="false" ht="15" hidden="false" customHeight="false" outlineLevel="0" collapsed="false">
      <c r="B40" s="0" t="s">
        <v>7</v>
      </c>
      <c r="C40" s="136" t="s">
        <v>462</v>
      </c>
      <c r="D40" s="136"/>
      <c r="E40" s="136"/>
      <c r="F40" s="137"/>
      <c r="G40" s="136"/>
      <c r="H40" s="136"/>
      <c r="I40" s="136"/>
      <c r="J40" s="136"/>
      <c r="K40" s="136"/>
      <c r="L40" s="136"/>
      <c r="M40" s="136"/>
      <c r="N40" s="136"/>
      <c r="O40" s="136"/>
      <c r="P40" s="136"/>
    </row>
    <row r="41" customFormat="false" ht="15" hidden="false" customHeight="false" outlineLevel="1" collapsed="false">
      <c r="C41" s="0" t="s">
        <v>463</v>
      </c>
      <c r="D41" s="0" t="s">
        <v>11</v>
      </c>
      <c r="E41" s="158" t="n">
        <f aca="false">IF(INDEX($G41:$P41,$E$6)="",$G41,INDEX($G41:$P41,$E$6))</f>
        <v>0</v>
      </c>
      <c r="F41" s="159" t="s">
        <v>464</v>
      </c>
      <c r="G41" s="160"/>
      <c r="H41" s="160"/>
      <c r="I41" s="160"/>
      <c r="J41" s="160"/>
      <c r="K41" s="160"/>
      <c r="L41" s="160"/>
      <c r="M41" s="160"/>
      <c r="N41" s="160"/>
      <c r="O41" s="160"/>
      <c r="P41" s="160"/>
    </row>
    <row r="42" customFormat="false" ht="15" hidden="false" customHeight="false" outlineLevel="1" collapsed="false">
      <c r="C42" s="0" t="s">
        <v>465</v>
      </c>
      <c r="D42" s="0" t="s">
        <v>11</v>
      </c>
      <c r="E42" s="158" t="n">
        <f aca="false">IF(INDEX($G42:$P42,$E$6)="",$G42,INDEX($G42:$P42,$E$6))</f>
        <v>0</v>
      </c>
      <c r="F42" s="159"/>
      <c r="G42" s="160"/>
      <c r="H42" s="160"/>
      <c r="I42" s="160"/>
      <c r="J42" s="160"/>
      <c r="K42" s="160"/>
      <c r="L42" s="160"/>
      <c r="M42" s="160"/>
      <c r="N42" s="160"/>
      <c r="O42" s="160"/>
      <c r="P42" s="160"/>
    </row>
    <row r="43" customFormat="false" ht="15" hidden="false" customHeight="false" outlineLevel="1" collapsed="false">
      <c r="C43" s="0" t="s">
        <v>466</v>
      </c>
      <c r="D43" s="0" t="s">
        <v>11</v>
      </c>
      <c r="E43" s="158" t="n">
        <f aca="false">IF(INDEX($G43:$P43,$E$6)="",$G43,INDEX($G43:$P43,$E$6))</f>
        <v>0</v>
      </c>
      <c r="F43" s="159"/>
      <c r="G43" s="160"/>
      <c r="H43" s="160"/>
      <c r="I43" s="160"/>
      <c r="J43" s="160"/>
      <c r="K43" s="160"/>
      <c r="L43" s="160"/>
      <c r="M43" s="160"/>
      <c r="N43" s="160"/>
      <c r="O43" s="160"/>
      <c r="P43" s="160"/>
    </row>
    <row r="44" customFormat="false" ht="15" hidden="false" customHeight="false" outlineLevel="1" collapsed="false">
      <c r="C44" s="0" t="s">
        <v>467</v>
      </c>
      <c r="D44" s="0" t="s">
        <v>11</v>
      </c>
      <c r="E44" s="158" t="n">
        <f aca="false">IF(INDEX($G44:$P44,$E$6)="",$G44,INDEX($G44:$P44,$E$6))</f>
        <v>0</v>
      </c>
      <c r="F44" s="159"/>
      <c r="G44" s="160"/>
      <c r="H44" s="160"/>
      <c r="I44" s="160"/>
      <c r="J44" s="160"/>
      <c r="K44" s="160"/>
      <c r="L44" s="160"/>
      <c r="M44" s="160"/>
      <c r="N44" s="160"/>
      <c r="O44" s="160"/>
      <c r="P44" s="160"/>
    </row>
    <row r="45" customFormat="false" ht="15" hidden="false" customHeight="false" outlineLevel="1" collapsed="false">
      <c r="C45" s="0" t="s">
        <v>468</v>
      </c>
      <c r="D45" s="0" t="s">
        <v>11</v>
      </c>
      <c r="E45" s="158" t="n">
        <f aca="false">IF(INDEX($G45:$P45,$E$6)="",$G45,INDEX($G45:$P45,$E$6))</f>
        <v>0</v>
      </c>
      <c r="F45" s="159"/>
      <c r="G45" s="160"/>
      <c r="H45" s="160"/>
      <c r="I45" s="160"/>
      <c r="J45" s="160"/>
      <c r="K45" s="160"/>
      <c r="L45" s="160"/>
      <c r="M45" s="160"/>
      <c r="N45" s="160"/>
      <c r="O45" s="160"/>
      <c r="P45" s="160"/>
    </row>
    <row r="46" customFormat="false" ht="15" hidden="false" customHeight="false" outlineLevel="1" collapsed="false">
      <c r="C46" s="0" t="s">
        <v>469</v>
      </c>
      <c r="D46" s="0" t="s">
        <v>11</v>
      </c>
      <c r="E46" s="158" t="n">
        <f aca="false">IF(INDEX($G46:$P46,$E$6)="",$G46,INDEX($G46:$P46,$E$6))</f>
        <v>0</v>
      </c>
      <c r="F46" s="159"/>
      <c r="G46" s="160"/>
      <c r="H46" s="160"/>
      <c r="I46" s="160"/>
      <c r="J46" s="160"/>
      <c r="K46" s="160"/>
      <c r="L46" s="160"/>
      <c r="M46" s="160"/>
      <c r="N46" s="160"/>
      <c r="O46" s="160"/>
      <c r="P46" s="160"/>
    </row>
    <row r="47" customFormat="false" ht="15" hidden="false" customHeight="false" outlineLevel="1" collapsed="false">
      <c r="C47" s="0" t="s">
        <v>470</v>
      </c>
      <c r="D47" s="0" t="s">
        <v>11</v>
      </c>
      <c r="E47" s="158" t="n">
        <f aca="false">SUM(E41:E46)</f>
        <v>0</v>
      </c>
      <c r="F47" s="159"/>
      <c r="G47" s="158"/>
      <c r="H47" s="158"/>
      <c r="I47" s="158"/>
      <c r="J47" s="158"/>
      <c r="K47" s="158"/>
      <c r="L47" s="158"/>
      <c r="M47" s="158"/>
      <c r="N47" s="158"/>
      <c r="O47" s="158"/>
      <c r="P47" s="158"/>
    </row>
    <row r="48" customFormat="false" ht="15" hidden="false" customHeight="false" outlineLevel="1" collapsed="false">
      <c r="C48" s="0" t="s">
        <v>471</v>
      </c>
      <c r="D48" s="0" t="s">
        <v>125</v>
      </c>
      <c r="E48" s="146" t="n">
        <f aca="false">E47*E16</f>
        <v>0</v>
      </c>
      <c r="F48" s="147" t="s">
        <v>472</v>
      </c>
      <c r="G48" s="146"/>
      <c r="H48" s="146"/>
      <c r="I48" s="146"/>
      <c r="J48" s="146"/>
      <c r="K48" s="146"/>
      <c r="L48" s="146"/>
      <c r="M48" s="146"/>
      <c r="N48" s="146"/>
      <c r="O48" s="146"/>
      <c r="P48" s="146"/>
    </row>
    <row r="49" customFormat="false" ht="15" hidden="false" customHeight="false" outlineLevel="0" collapsed="false">
      <c r="C49" s="0" t="s">
        <v>473</v>
      </c>
      <c r="D49" s="0" t="s">
        <v>447</v>
      </c>
      <c r="E49" s="153" t="n">
        <f aca="false" t="array" ref="E49:E49">IF(INDEX($G49:$P49,$E$6)="",$G49,INDEX($G49:$P49,$E$6))</f>
        <v>0</v>
      </c>
      <c r="F49" s="154" t="s">
        <v>474</v>
      </c>
      <c r="G49" s="156" t="n">
        <v>0</v>
      </c>
      <c r="H49" s="156"/>
      <c r="I49" s="156"/>
      <c r="J49" s="156"/>
      <c r="K49" s="156"/>
      <c r="L49" s="156"/>
      <c r="M49" s="156"/>
      <c r="N49" s="156"/>
      <c r="O49" s="156"/>
      <c r="P49" s="156"/>
    </row>
    <row r="50" customFormat="false" ht="15" hidden="false" customHeight="false" outlineLevel="0" collapsed="false">
      <c r="C50" s="0" t="s">
        <v>475</v>
      </c>
      <c r="D50" s="0" t="s">
        <v>447</v>
      </c>
      <c r="E50" s="153" t="n">
        <f aca="false" t="array" ref="E50:E50">IF(INDEX($G50:$P50,$E$6)="",$G50,INDEX($G50:$P50,$E$6))</f>
        <v>6</v>
      </c>
      <c r="F50" s="154"/>
      <c r="G50" s="156" t="n">
        <v>6</v>
      </c>
      <c r="H50" s="156"/>
      <c r="I50" s="156"/>
      <c r="J50" s="156"/>
      <c r="K50" s="156"/>
      <c r="L50" s="156"/>
      <c r="M50" s="156"/>
      <c r="N50" s="156"/>
      <c r="O50" s="156"/>
      <c r="P50" s="156"/>
    </row>
    <row r="51" customFormat="false" ht="15" hidden="false" customHeight="false" outlineLevel="0" collapsed="false">
      <c r="C51" s="0" t="s">
        <v>476</v>
      </c>
      <c r="D51" s="0" t="s">
        <v>447</v>
      </c>
      <c r="E51" s="153" t="n">
        <f aca="false" t="array" ref="E51:E51">IF(INDEX($G51:$P51,$E$6)="",$G51,INDEX($G51:$P51,$E$6))</f>
        <v>6</v>
      </c>
      <c r="F51" s="154"/>
      <c r="G51" s="156" t="n">
        <v>6</v>
      </c>
      <c r="H51" s="156"/>
      <c r="I51" s="156"/>
      <c r="J51" s="156"/>
      <c r="K51" s="156"/>
      <c r="L51" s="156"/>
      <c r="M51" s="156"/>
      <c r="N51" s="156"/>
      <c r="O51" s="156"/>
      <c r="P51" s="156"/>
    </row>
    <row r="52" customFormat="false" ht="15" hidden="false" customHeight="false" outlineLevel="0" collapsed="false">
      <c r="C52" s="0" t="s">
        <v>477</v>
      </c>
      <c r="D52" s="0" t="s">
        <v>447</v>
      </c>
      <c r="E52" s="153" t="n">
        <f aca="false" t="array" ref="E52:E52">IF(INDEX($G52:$P52,$E$6)="",$G52,INDEX($G52:$P52,$E$6))</f>
        <v>6</v>
      </c>
      <c r="F52" s="154"/>
      <c r="G52" s="156" t="n">
        <v>6</v>
      </c>
      <c r="H52" s="156"/>
      <c r="I52" s="156"/>
      <c r="J52" s="156"/>
      <c r="K52" s="156"/>
      <c r="L52" s="156"/>
      <c r="M52" s="156"/>
      <c r="N52" s="156"/>
      <c r="O52" s="156"/>
      <c r="P52" s="156"/>
    </row>
    <row r="53" customFormat="false" ht="15" hidden="false" customHeight="false" outlineLevel="0" collapsed="false">
      <c r="C53" s="0" t="s">
        <v>478</v>
      </c>
      <c r="D53" s="0" t="s">
        <v>447</v>
      </c>
      <c r="E53" s="153" t="n">
        <f aca="false" t="array" ref="E53:E53">IF(INDEX($G53:$P53,$E$6)="",$G53,INDEX($G53:$P53,$E$6))</f>
        <v>7</v>
      </c>
      <c r="F53" s="154"/>
      <c r="G53" s="156" t="n">
        <v>7</v>
      </c>
      <c r="H53" s="156"/>
      <c r="I53" s="156"/>
      <c r="J53" s="156"/>
      <c r="K53" s="156"/>
      <c r="L53" s="156"/>
      <c r="M53" s="156"/>
      <c r="N53" s="156"/>
      <c r="O53" s="156"/>
      <c r="P53" s="156"/>
    </row>
    <row r="54" customFormat="false" ht="15" hidden="false" customHeight="false" outlineLevel="0" collapsed="false">
      <c r="C54" s="0" t="s">
        <v>479</v>
      </c>
      <c r="D54" s="0" t="s">
        <v>447</v>
      </c>
      <c r="E54" s="153" t="n">
        <f aca="false" t="array" ref="E54:E54">IF(INDEX($G54:$P54,$E$6)="",$G54,INDEX($G54:$P54,$E$6))</f>
        <v>7</v>
      </c>
      <c r="F54" s="154"/>
      <c r="G54" s="156" t="n">
        <v>7</v>
      </c>
      <c r="H54" s="156"/>
      <c r="I54" s="156"/>
      <c r="J54" s="156"/>
      <c r="K54" s="156"/>
      <c r="L54" s="156"/>
      <c r="M54" s="156"/>
      <c r="N54" s="156"/>
      <c r="O54" s="156"/>
      <c r="P54" s="156"/>
    </row>
    <row r="55" customFormat="false" ht="15" hidden="false" customHeight="false" outlineLevel="0" collapsed="false">
      <c r="C55" s="0" t="s">
        <v>480</v>
      </c>
      <c r="D55" s="0" t="s">
        <v>447</v>
      </c>
      <c r="E55" s="153" t="n">
        <f aca="false">SUM(E49:E54)</f>
        <v>32</v>
      </c>
      <c r="F55" s="154"/>
      <c r="G55" s="153"/>
      <c r="H55" s="153"/>
      <c r="I55" s="153"/>
      <c r="J55" s="153"/>
      <c r="K55" s="153"/>
      <c r="L55" s="153"/>
      <c r="M55" s="153"/>
      <c r="N55" s="153"/>
      <c r="O55" s="153"/>
      <c r="P55" s="153"/>
    </row>
    <row r="56" customFormat="false" ht="15" hidden="false" customHeight="false" outlineLevel="0" collapsed="false">
      <c r="C56" s="0" t="s">
        <v>481</v>
      </c>
      <c r="D56" s="0" t="s">
        <v>269</v>
      </c>
      <c r="E56" s="150" t="n">
        <f aca="false">EOMONTH(E27,E55)</f>
        <v>47208</v>
      </c>
      <c r="F56" s="161"/>
      <c r="G56" s="150"/>
      <c r="H56" s="150"/>
      <c r="I56" s="150"/>
      <c r="J56" s="150"/>
      <c r="K56" s="150"/>
      <c r="L56" s="150"/>
      <c r="M56" s="150"/>
      <c r="N56" s="150"/>
      <c r="O56" s="150"/>
      <c r="P56" s="150"/>
    </row>
    <row r="57" customFormat="false" ht="15" hidden="false" customHeight="false" outlineLevel="0" collapsed="false">
      <c r="C57" s="0" t="s">
        <v>482</v>
      </c>
      <c r="D57" s="0" t="s">
        <v>447</v>
      </c>
      <c r="E57" s="153" t="n">
        <f aca="false">E55+E28</f>
        <v>38</v>
      </c>
      <c r="F57" s="154"/>
      <c r="G57" s="153"/>
      <c r="H57" s="153"/>
      <c r="I57" s="153"/>
      <c r="J57" s="153"/>
      <c r="K57" s="153"/>
      <c r="L57" s="153"/>
      <c r="M57" s="153"/>
      <c r="N57" s="153"/>
      <c r="O57" s="153"/>
      <c r="P57" s="153"/>
    </row>
    <row r="58" customFormat="false" ht="15" hidden="false" customHeight="false" outlineLevel="0" collapsed="false">
      <c r="C58" s="0" t="s">
        <v>483</v>
      </c>
      <c r="D58" s="0" t="s">
        <v>269</v>
      </c>
      <c r="E58" s="150" t="n">
        <f aca="false">EOMONTH(E27,E57)</f>
        <v>47391</v>
      </c>
      <c r="F58" s="151"/>
      <c r="G58" s="150"/>
      <c r="H58" s="150"/>
      <c r="I58" s="150"/>
      <c r="J58" s="150"/>
      <c r="K58" s="150"/>
      <c r="L58" s="150"/>
      <c r="M58" s="150"/>
      <c r="N58" s="150"/>
      <c r="O58" s="150"/>
      <c r="P58" s="150"/>
    </row>
    <row r="59" customFormat="false" ht="15" hidden="false" customHeight="false" outlineLevel="0" collapsed="false">
      <c r="F59" s="130"/>
    </row>
    <row r="60" customFormat="false" ht="15" hidden="false" customHeight="false" outlineLevel="0" collapsed="false">
      <c r="B60" s="0" t="s">
        <v>7</v>
      </c>
      <c r="C60" s="136" t="s">
        <v>484</v>
      </c>
      <c r="D60" s="136"/>
      <c r="E60" s="136"/>
      <c r="F60" s="137"/>
      <c r="G60" s="136"/>
      <c r="H60" s="136"/>
      <c r="I60" s="136"/>
      <c r="J60" s="136"/>
      <c r="K60" s="136"/>
      <c r="L60" s="136"/>
      <c r="M60" s="136"/>
      <c r="N60" s="136"/>
      <c r="O60" s="136"/>
      <c r="P60" s="136"/>
    </row>
    <row r="61" customFormat="false" ht="15" hidden="false" customHeight="false" outlineLevel="0" collapsed="false">
      <c r="C61" s="0" t="s">
        <v>485</v>
      </c>
      <c r="D61" s="0" t="s">
        <v>486</v>
      </c>
      <c r="E61" s="141" t="n">
        <f aca="false" t="array" ref="E61:E61">IF(INDEX($G61:$P61,$E$6)="",$G61,INDEX($G61:$P61,$E$6))</f>
        <v>0.12</v>
      </c>
      <c r="F61" s="142" t="s">
        <v>487</v>
      </c>
      <c r="G61" s="143" t="n">
        <v>0.12</v>
      </c>
      <c r="H61" s="143"/>
      <c r="I61" s="143"/>
      <c r="J61" s="143"/>
      <c r="K61" s="143"/>
      <c r="L61" s="143"/>
      <c r="M61" s="143"/>
      <c r="N61" s="143"/>
      <c r="O61" s="143"/>
      <c r="P61" s="143"/>
    </row>
    <row r="62" customFormat="false" ht="15" hidden="false" customHeight="false" outlineLevel="0" collapsed="false">
      <c r="C62" s="0" t="s">
        <v>488</v>
      </c>
      <c r="D62" s="0" t="s">
        <v>486</v>
      </c>
      <c r="E62" s="141" t="n">
        <f aca="false" t="array" ref="E62:E62">IF(INDEX($G62:$P62,$E$6)="",$G62,INDEX($G62:$P62,$E$6))</f>
        <v>0.2</v>
      </c>
      <c r="F62" s="142" t="s">
        <v>489</v>
      </c>
      <c r="G62" s="143" t="n">
        <v>0.2</v>
      </c>
      <c r="H62" s="143"/>
      <c r="I62" s="143"/>
      <c r="J62" s="143"/>
      <c r="K62" s="143"/>
      <c r="L62" s="143"/>
      <c r="M62" s="143"/>
      <c r="N62" s="143"/>
      <c r="O62" s="143"/>
      <c r="P62" s="143"/>
    </row>
    <row r="63" customFormat="false" ht="15" hidden="false" customHeight="false" outlineLevel="0" collapsed="false">
      <c r="C63" s="0" t="s">
        <v>490</v>
      </c>
      <c r="D63" s="0" t="s">
        <v>7</v>
      </c>
      <c r="E63" s="162" t="n">
        <f aca="false" t="array" ref="E63:E63">IF(INDEX($G63:$P63,$E$6)="",$G63,INDEX($G63:$P63,$E$6))</f>
        <v>2</v>
      </c>
      <c r="F63" s="163" t="s">
        <v>491</v>
      </c>
      <c r="G63" s="164" t="n">
        <v>2</v>
      </c>
      <c r="H63" s="164"/>
      <c r="I63" s="164"/>
      <c r="J63" s="164"/>
      <c r="K63" s="164"/>
      <c r="L63" s="164"/>
      <c r="M63" s="164"/>
      <c r="N63" s="164"/>
      <c r="O63" s="164"/>
      <c r="P63" s="164"/>
    </row>
    <row r="64" customFormat="false" ht="15" hidden="false" customHeight="false" outlineLevel="0" collapsed="false">
      <c r="C64" s="0" t="s">
        <v>492</v>
      </c>
      <c r="D64" s="0" t="s">
        <v>269</v>
      </c>
      <c r="E64" s="165" t="n">
        <f aca="false" t="array" ref="E64:E64">IF(INDEX($G64:$P64,$E$6)="",$G64,INDEX($G64:$P64,$E$6))</f>
        <v>47299</v>
      </c>
      <c r="F64" s="163" t="s">
        <v>493</v>
      </c>
      <c r="G64" s="166" t="n">
        <f aca="false">DATE(2029,6,30)</f>
        <v>47299</v>
      </c>
      <c r="H64" s="164"/>
      <c r="I64" s="164"/>
      <c r="J64" s="164"/>
      <c r="K64" s="164"/>
      <c r="L64" s="164"/>
      <c r="M64" s="164"/>
      <c r="N64" s="164"/>
      <c r="O64" s="164"/>
      <c r="P64" s="164"/>
    </row>
    <row r="65" customFormat="false" ht="15" hidden="false" customHeight="false" outlineLevel="0" collapsed="false">
      <c r="C65" s="0" t="s">
        <v>494</v>
      </c>
      <c r="D65" s="0" t="s">
        <v>486</v>
      </c>
      <c r="E65" s="167" t="n">
        <f aca="false" t="array" ref="E65:E65">IF(INDEX($G65:$P65,$E$6)="",$G65,INDEX($G65:$P65,$E$6))</f>
        <v>0.06</v>
      </c>
      <c r="F65" s="163" t="s">
        <v>495</v>
      </c>
      <c r="G65" s="143" t="n">
        <v>0.06</v>
      </c>
      <c r="H65" s="164"/>
      <c r="I65" s="164"/>
      <c r="J65" s="164"/>
      <c r="K65" s="164"/>
      <c r="L65" s="164"/>
      <c r="M65" s="164"/>
      <c r="N65" s="164"/>
      <c r="O65" s="164"/>
      <c r="P65" s="164"/>
    </row>
    <row r="66" customFormat="false" ht="15" hidden="false" customHeight="false" outlineLevel="0" collapsed="false">
      <c r="C66" s="0" t="s">
        <v>496</v>
      </c>
      <c r="D66" s="0" t="s">
        <v>421</v>
      </c>
      <c r="E66" s="168" t="n">
        <f aca="false" t="array" ref="E66:E66">IF(INDEX($G66:$P66,$E$6)="",$G66,INDEX($G66:$P66,$E$6))</f>
        <v>1</v>
      </c>
      <c r="F66" s="163" t="s">
        <v>497</v>
      </c>
      <c r="G66" s="156" t="n">
        <v>1</v>
      </c>
      <c r="H66" s="164"/>
      <c r="I66" s="164"/>
      <c r="J66" s="164"/>
      <c r="K66" s="164"/>
      <c r="L66" s="164"/>
      <c r="M66" s="164"/>
      <c r="N66" s="164"/>
      <c r="O66" s="164"/>
      <c r="P66" s="164"/>
    </row>
    <row r="67" customFormat="false" ht="15" hidden="false" customHeight="false" outlineLevel="0" collapsed="false">
      <c r="C67" s="0" t="s">
        <v>498</v>
      </c>
      <c r="D67" s="0" t="s">
        <v>421</v>
      </c>
      <c r="E67" s="168" t="n">
        <f aca="false" t="array" ref="E67:E67">IF(INDEX($G67:$P67,$E$6)="",$G67,INDEX($G67:$P67,$E$6))</f>
        <v>1</v>
      </c>
      <c r="F67" s="169" t="s">
        <v>499</v>
      </c>
      <c r="G67" s="156" t="n">
        <v>1</v>
      </c>
      <c r="H67" s="164"/>
      <c r="I67" s="164"/>
      <c r="J67" s="164"/>
      <c r="K67" s="164"/>
      <c r="L67" s="164"/>
      <c r="M67" s="164"/>
      <c r="N67" s="164"/>
      <c r="O67" s="164"/>
      <c r="P67" s="164"/>
    </row>
    <row r="68" customFormat="false" ht="15" hidden="false" customHeight="false" outlineLevel="0" collapsed="false">
      <c r="C68" s="0" t="s">
        <v>500</v>
      </c>
      <c r="D68" s="0" t="s">
        <v>51</v>
      </c>
      <c r="E68" s="167" t="n">
        <f aca="false" t="array" ref="E68:E68">IF(INDEX($G68:$P68,$E$6)="",$G68,INDEX($G68:$P68,$E$6))</f>
        <v>0.1</v>
      </c>
      <c r="F68" s="163" t="s">
        <v>501</v>
      </c>
      <c r="G68" s="143" t="n">
        <v>0.1</v>
      </c>
      <c r="H68" s="164"/>
      <c r="I68" s="164"/>
      <c r="J68" s="164"/>
      <c r="K68" s="164"/>
      <c r="L68" s="164"/>
      <c r="M68" s="164"/>
      <c r="N68" s="164"/>
      <c r="O68" s="164"/>
      <c r="P68" s="164"/>
    </row>
    <row r="69" customFormat="false" ht="15" hidden="false" customHeight="false" outlineLevel="0" collapsed="false">
      <c r="C69" s="0" t="s">
        <v>502</v>
      </c>
      <c r="D69" s="0" t="s">
        <v>421</v>
      </c>
      <c r="E69" s="168" t="n">
        <f aca="false" t="array" ref="E69:E69">IF(INDEX($G69:$P69,$E$6)="",$G69,INDEX($G69:$P69,$E$6))</f>
        <v>1</v>
      </c>
      <c r="F69" s="163" t="s">
        <v>503</v>
      </c>
      <c r="G69" s="156" t="n">
        <v>1</v>
      </c>
      <c r="H69" s="164"/>
      <c r="I69" s="164"/>
      <c r="J69" s="164"/>
      <c r="K69" s="164"/>
      <c r="L69" s="164"/>
      <c r="M69" s="164"/>
      <c r="N69" s="164"/>
      <c r="O69" s="164"/>
      <c r="P69" s="164"/>
    </row>
    <row r="70" customFormat="false" ht="15" hidden="false" customHeight="false" outlineLevel="0" collapsed="false">
      <c r="C70" s="0" t="s">
        <v>504</v>
      </c>
      <c r="D70" s="0" t="s">
        <v>269</v>
      </c>
      <c r="E70" s="165" t="n">
        <f aca="false" t="array" ref="E70:E70">IF(INDEX($G70:$P70,$E$6)="",$G70,INDEX($G70:$P70,$E$6))</f>
        <v>46321</v>
      </c>
      <c r="F70" s="163" t="s">
        <v>505</v>
      </c>
      <c r="G70" s="166" t="n">
        <f aca="false">DATE(2026,10,26)</f>
        <v>46321</v>
      </c>
      <c r="H70" s="164"/>
      <c r="I70" s="164"/>
      <c r="J70" s="164"/>
      <c r="K70" s="164"/>
      <c r="L70" s="164"/>
      <c r="M70" s="164"/>
      <c r="N70" s="164"/>
      <c r="O70" s="164"/>
      <c r="P70" s="164"/>
    </row>
    <row r="71" customFormat="false" ht="15" hidden="false" customHeight="false" outlineLevel="0" collapsed="false">
      <c r="C71" s="0" t="s">
        <v>506</v>
      </c>
      <c r="D71" s="0" t="s">
        <v>421</v>
      </c>
      <c r="E71" s="168" t="n">
        <f aca="false" t="array" ref="E71:E71">IF(INDEX($G71:$P71,$E$6)="",$G71,INDEX($G71:$P71,$E$6))</f>
        <v>0</v>
      </c>
      <c r="F71" s="163" t="s">
        <v>507</v>
      </c>
      <c r="G71" s="156" t="n">
        <v>0</v>
      </c>
      <c r="H71" s="164"/>
      <c r="I71" s="164"/>
      <c r="J71" s="164"/>
      <c r="K71" s="164"/>
      <c r="L71" s="164"/>
      <c r="M71" s="164"/>
      <c r="N71" s="164"/>
      <c r="O71" s="164"/>
      <c r="P71" s="164"/>
    </row>
    <row r="72" customFormat="false" ht="15" hidden="false" customHeight="false" outlineLevel="0" collapsed="false">
      <c r="C72" s="0" t="s">
        <v>508</v>
      </c>
      <c r="D72" s="0" t="s">
        <v>486</v>
      </c>
      <c r="E72" s="167" t="n">
        <f aca="false" t="array" ref="E72:E72">IF(INDEX($G72:$P72,$E$6)="",$G72,INDEX($G72:$P72,$E$6))</f>
        <v>0.08</v>
      </c>
      <c r="F72" s="163" t="s">
        <v>509</v>
      </c>
      <c r="G72" s="167" t="n">
        <f aca="false">$E$13</f>
        <v>0.08</v>
      </c>
      <c r="H72" s="164"/>
      <c r="I72" s="164"/>
      <c r="J72" s="164"/>
      <c r="K72" s="164"/>
      <c r="L72" s="164"/>
      <c r="M72" s="164"/>
      <c r="N72" s="164"/>
      <c r="O72" s="164"/>
      <c r="P72" s="164"/>
    </row>
    <row r="73" customFormat="false" ht="15" hidden="false" customHeight="false" outlineLevel="0" collapsed="false">
      <c r="F73" s="130"/>
    </row>
    <row r="74" customFormat="false" ht="15" hidden="false" customHeight="false" outlineLevel="0" collapsed="false">
      <c r="B74" s="0" t="s">
        <v>7</v>
      </c>
      <c r="C74" s="136" t="s">
        <v>510</v>
      </c>
      <c r="D74" s="136"/>
      <c r="E74" s="136"/>
      <c r="F74" s="137"/>
      <c r="G74" s="136"/>
      <c r="H74" s="136"/>
      <c r="I74" s="136"/>
      <c r="J74" s="136"/>
      <c r="K74" s="136"/>
      <c r="L74" s="136"/>
      <c r="M74" s="136"/>
      <c r="N74" s="136"/>
      <c r="O74" s="136"/>
      <c r="P74" s="136"/>
    </row>
    <row r="75" customFormat="false" ht="15" hidden="false" customHeight="false" outlineLevel="0" collapsed="false">
      <c r="C75" s="0" t="s">
        <v>511</v>
      </c>
      <c r="D75" s="0" t="s">
        <v>512</v>
      </c>
      <c r="E75" s="170" t="n">
        <f aca="false" t="array" ref="E75:E75">IF(INDEX($G75:$P75,$E$6)="",$G75,INDEX($G75:$P75,$E$6))</f>
        <v>406</v>
      </c>
      <c r="F75" s="147" t="s">
        <v>513</v>
      </c>
      <c r="G75" s="171" t="n">
        <v>406</v>
      </c>
      <c r="H75" s="149"/>
      <c r="I75" s="149"/>
      <c r="J75" s="149"/>
      <c r="K75" s="149"/>
      <c r="L75" s="149"/>
      <c r="M75" s="149"/>
      <c r="N75" s="149"/>
      <c r="O75" s="149"/>
      <c r="P75" s="149"/>
    </row>
    <row r="76" customFormat="false" ht="15" hidden="false" customHeight="false" outlineLevel="0" collapsed="false">
      <c r="C76" s="0" t="s">
        <v>514</v>
      </c>
      <c r="D76" s="0" t="s">
        <v>515</v>
      </c>
      <c r="E76" s="44" t="n">
        <f aca="false" t="array" ref="E76:E76">IF(INDEX($G76:$P76,$E$6)="",$G76,INDEX($G76:$P76,$E$6))</f>
        <v>0.005</v>
      </c>
      <c r="F76" s="172" t="s">
        <v>516</v>
      </c>
      <c r="G76" s="173" t="n">
        <v>0.005</v>
      </c>
      <c r="H76" s="173"/>
      <c r="I76" s="173"/>
      <c r="J76" s="173"/>
      <c r="K76" s="173"/>
      <c r="L76" s="173"/>
      <c r="M76" s="173"/>
      <c r="N76" s="173"/>
      <c r="O76" s="173"/>
      <c r="P76" s="173"/>
    </row>
    <row r="77" customFormat="false" ht="15" hidden="false" customHeight="false" outlineLevel="0" collapsed="false">
      <c r="C77" s="0" t="s">
        <v>517</v>
      </c>
      <c r="D77" s="0" t="s">
        <v>515</v>
      </c>
      <c r="E77" s="44" t="n">
        <f aca="false" t="array" ref="E77:E77">IF(INDEX($G77:$P77,$E$6)="",$G77,INDEX($G77:$P77,$E$6))</f>
        <v>0.025</v>
      </c>
      <c r="F77" s="172"/>
      <c r="G77" s="173" t="n">
        <v>0.025</v>
      </c>
      <c r="H77" s="173"/>
      <c r="I77" s="173"/>
      <c r="J77" s="173"/>
      <c r="K77" s="173"/>
      <c r="L77" s="173"/>
      <c r="M77" s="173"/>
      <c r="N77" s="173"/>
      <c r="O77" s="173"/>
      <c r="P77" s="173"/>
    </row>
    <row r="78" customFormat="false" ht="15" hidden="false" customHeight="false" outlineLevel="0" collapsed="false">
      <c r="C78" s="0" t="s">
        <v>518</v>
      </c>
      <c r="D78" s="0" t="s">
        <v>515</v>
      </c>
      <c r="E78" s="44" t="n">
        <f aca="false" t="array" ref="E78:E78">IF(INDEX($G78:$P78,$E$6)="",$G78,INDEX($G78:$P78,$E$6))</f>
        <v>0</v>
      </c>
      <c r="F78" s="172"/>
      <c r="G78" s="173" t="n">
        <v>0</v>
      </c>
      <c r="H78" s="173"/>
      <c r="I78" s="173"/>
      <c r="J78" s="173"/>
      <c r="K78" s="173"/>
      <c r="L78" s="173"/>
      <c r="M78" s="173"/>
      <c r="N78" s="173"/>
      <c r="O78" s="173"/>
      <c r="P78" s="173"/>
    </row>
    <row r="79" customFormat="false" ht="15" hidden="false" customHeight="false" outlineLevel="0" collapsed="false">
      <c r="C79" s="0" t="s">
        <v>519</v>
      </c>
      <c r="D79" s="0" t="s">
        <v>51</v>
      </c>
      <c r="E79" s="141" t="n">
        <f aca="false" t="array" ref="E79:E79">IF(INDEX($G79:$P79,$E$6)="",$G79,INDEX($G79:$P79,$E$6))</f>
        <v>0.4</v>
      </c>
      <c r="F79" s="142" t="s">
        <v>520</v>
      </c>
      <c r="G79" s="143" t="n">
        <v>0.4</v>
      </c>
      <c r="H79" s="143"/>
      <c r="I79" s="143"/>
      <c r="J79" s="143"/>
      <c r="K79" s="143"/>
      <c r="L79" s="143"/>
      <c r="M79" s="143"/>
      <c r="N79" s="143"/>
      <c r="O79" s="143"/>
      <c r="P79" s="143"/>
    </row>
    <row r="80" customFormat="false" ht="15" hidden="false" customHeight="false" outlineLevel="0" collapsed="false">
      <c r="C80" s="0" t="s">
        <v>521</v>
      </c>
      <c r="D80" s="0" t="s">
        <v>51</v>
      </c>
      <c r="E80" s="141" t="n">
        <f aca="false" t="array" ref="E80:E80">IF(INDEX($G80:$P80,$E$6)="",$G80,INDEX($G80:$P80,$E$6))</f>
        <v>0.2</v>
      </c>
      <c r="F80" s="142"/>
      <c r="G80" s="143" t="n">
        <v>0.2</v>
      </c>
      <c r="H80" s="143"/>
      <c r="I80" s="143"/>
      <c r="J80" s="143"/>
      <c r="K80" s="143"/>
      <c r="L80" s="143"/>
      <c r="M80" s="143"/>
      <c r="N80" s="143"/>
      <c r="O80" s="143"/>
      <c r="P80" s="143"/>
    </row>
    <row r="81" customFormat="false" ht="15" hidden="false" customHeight="false" outlineLevel="0" collapsed="false">
      <c r="C81" s="0" t="s">
        <v>522</v>
      </c>
      <c r="D81" s="0" t="s">
        <v>523</v>
      </c>
      <c r="E81" s="170" t="n">
        <f aca="false" t="array" ref="E81:E81">IF(INDEX($G81:$P81,$E$6)="",$G81,INDEX($G81:$P81,$E$6))</f>
        <v>3</v>
      </c>
      <c r="F81" s="147" t="s">
        <v>524</v>
      </c>
      <c r="G81" s="171" t="n">
        <v>3</v>
      </c>
      <c r="H81" s="149"/>
      <c r="I81" s="149"/>
      <c r="J81" s="149"/>
      <c r="K81" s="149"/>
      <c r="L81" s="149"/>
      <c r="M81" s="149"/>
      <c r="N81" s="149"/>
      <c r="O81" s="149"/>
      <c r="P81" s="149"/>
    </row>
    <row r="82" customFormat="false" ht="15" hidden="false" customHeight="false" outlineLevel="0" collapsed="false">
      <c r="C82" s="0" t="s">
        <v>525</v>
      </c>
      <c r="D82" s="0" t="s">
        <v>29</v>
      </c>
      <c r="E82" s="153" t="n">
        <f aca="false">In_Bids</f>
        <v>1</v>
      </c>
      <c r="F82" s="154" t="s">
        <v>526</v>
      </c>
      <c r="G82" s="155" t="n">
        <v>2</v>
      </c>
      <c r="H82" s="149"/>
      <c r="I82" s="149"/>
      <c r="J82" s="149"/>
      <c r="K82" s="149"/>
      <c r="L82" s="149"/>
      <c r="M82" s="149"/>
      <c r="N82" s="149"/>
      <c r="O82" s="149"/>
      <c r="P82" s="149"/>
    </row>
    <row r="83" customFormat="false" ht="15" hidden="false" customHeight="false" outlineLevel="0" collapsed="false">
      <c r="C83" s="0" t="s">
        <v>527</v>
      </c>
      <c r="D83" s="0" t="s">
        <v>512</v>
      </c>
      <c r="E83" s="170" t="n">
        <f aca="false" t="array" ref="E83:E83">IF(INDEX($G83:$P83,$E$6)="",$G83,INDEX($G83:$P83,$E$6))</f>
        <v>4.5</v>
      </c>
      <c r="F83" s="147" t="s">
        <v>528</v>
      </c>
      <c r="G83" s="171" t="n">
        <v>4.5</v>
      </c>
      <c r="H83" s="149"/>
      <c r="I83" s="149"/>
      <c r="J83" s="149"/>
      <c r="K83" s="149"/>
      <c r="L83" s="149"/>
      <c r="M83" s="149"/>
      <c r="N83" s="149"/>
      <c r="O83" s="149"/>
      <c r="P83" s="149"/>
    </row>
    <row r="84" customFormat="false" ht="15" hidden="false" customHeight="false" outlineLevel="0" collapsed="false">
      <c r="C84" s="0" t="s">
        <v>529</v>
      </c>
      <c r="D84" s="0" t="s">
        <v>512</v>
      </c>
      <c r="E84" s="170" t="n">
        <f aca="false" t="array" ref="E84:E84">IF($E$9=1,IF(INDEX($G84:$P84,$E$6)="",$G84,INDEX($G84:$P84,$E$6)),$E$293)</f>
        <v>2.54172902</v>
      </c>
      <c r="F84" s="147" t="s">
        <v>530</v>
      </c>
      <c r="G84" s="174" t="n">
        <v>2.54172902</v>
      </c>
      <c r="H84" s="149"/>
      <c r="I84" s="149"/>
      <c r="J84" s="149"/>
      <c r="K84" s="149"/>
      <c r="L84" s="149"/>
      <c r="M84" s="149"/>
      <c r="N84" s="149"/>
      <c r="O84" s="149"/>
      <c r="P84" s="149"/>
    </row>
    <row r="85" customFormat="false" ht="15" hidden="false" customHeight="false" outlineLevel="0" collapsed="false">
      <c r="C85" s="0" t="s">
        <v>531</v>
      </c>
      <c r="D85" s="0" t="s">
        <v>512</v>
      </c>
      <c r="E85" s="170" t="n">
        <f aca="false" t="array" ref="E85:E85">IF($E$9=1,IF(INDEX($G85:$P85,$E$6)="",$G85,INDEX($G85:$P85,$E$6)),$E$292)</f>
        <v>73.071306</v>
      </c>
      <c r="F85" s="147" t="s">
        <v>532</v>
      </c>
      <c r="G85" s="174" t="n">
        <v>73.071306</v>
      </c>
      <c r="H85" s="149"/>
      <c r="I85" s="149"/>
      <c r="J85" s="149"/>
      <c r="K85" s="149"/>
      <c r="L85" s="149"/>
      <c r="M85" s="149"/>
      <c r="N85" s="149"/>
      <c r="O85" s="149"/>
      <c r="P85" s="149"/>
    </row>
    <row r="86" customFormat="false" ht="15" hidden="false" customHeight="false" outlineLevel="0" collapsed="false">
      <c r="C86" s="0" t="s">
        <v>533</v>
      </c>
      <c r="D86" s="0" t="s">
        <v>84</v>
      </c>
      <c r="E86" s="138" t="n">
        <f aca="false" t="array" ref="E86:E86">IF($E$9=1,IF(INDEX($G86:$P86,$E$6)="",$G86,INDEX($G86:$P86,$E$6)),$E$283)</f>
        <v>200</v>
      </c>
      <c r="F86" s="139" t="s">
        <v>534</v>
      </c>
      <c r="G86" s="140" t="n">
        <v>200</v>
      </c>
      <c r="H86" s="140"/>
      <c r="I86" s="140"/>
      <c r="J86" s="140"/>
      <c r="K86" s="140"/>
      <c r="L86" s="140"/>
      <c r="M86" s="140"/>
      <c r="N86" s="140"/>
      <c r="O86" s="140"/>
      <c r="P86" s="140"/>
    </row>
    <row r="87" customFormat="false" ht="15" hidden="false" customHeight="false" outlineLevel="0" collapsed="false">
      <c r="C87" s="0" t="s">
        <v>535</v>
      </c>
      <c r="D87" s="0" t="s">
        <v>169</v>
      </c>
      <c r="E87" s="158" t="n">
        <f aca="false" t="array" ref="E87:E87">IF($E$9=1,IF(INDEX($G87:$P87,$E$6)="",$G87,INDEX($G87:$P87,$E$6)),Deposits!$E$28)</f>
        <v>24497.61</v>
      </c>
      <c r="F87" s="147" t="s">
        <v>536</v>
      </c>
      <c r="G87" s="160" t="n">
        <v>24497.61</v>
      </c>
      <c r="H87" s="149"/>
      <c r="I87" s="149"/>
      <c r="J87" s="149"/>
      <c r="K87" s="149"/>
      <c r="L87" s="149"/>
      <c r="M87" s="149"/>
      <c r="N87" s="149"/>
      <c r="O87" s="149"/>
      <c r="P87" s="149"/>
    </row>
    <row r="88" customFormat="false" ht="15" hidden="false" customHeight="false" outlineLevel="0" collapsed="false">
      <c r="C88" s="0" t="s">
        <v>537</v>
      </c>
      <c r="D88" s="0" t="s">
        <v>169</v>
      </c>
      <c r="E88" s="158" t="n">
        <f aca="false" t="array" ref="E88:E88">IF($E$9=1,IF(INDEX($G88:$P88,$E$6)="",$G88,INDEX($G88:$P88,$E$6)),Deposits!$E$31)</f>
        <v>22791.61</v>
      </c>
      <c r="F88" s="147" t="s">
        <v>538</v>
      </c>
      <c r="G88" s="160" t="n">
        <v>22791.61</v>
      </c>
      <c r="H88" s="149"/>
      <c r="I88" s="149"/>
      <c r="J88" s="149"/>
      <c r="K88" s="149"/>
      <c r="L88" s="149"/>
      <c r="M88" s="149"/>
      <c r="N88" s="149"/>
      <c r="O88" s="149"/>
      <c r="P88" s="149"/>
    </row>
    <row r="89" customFormat="false" ht="15" hidden="false" customHeight="false" outlineLevel="0" collapsed="false">
      <c r="C89" s="0" t="s">
        <v>539</v>
      </c>
      <c r="D89" s="0" t="s">
        <v>540</v>
      </c>
      <c r="E89" s="170" t="n">
        <f aca="false" t="array" ref="E89:E89">IF(INDEX($G89:$P89,$E$6)="",$G89,INDEX($G89:$P89,$E$6))</f>
        <v>200</v>
      </c>
      <c r="F89" s="147" t="s">
        <v>541</v>
      </c>
      <c r="G89" s="171" t="n">
        <v>200</v>
      </c>
      <c r="H89" s="149"/>
      <c r="I89" s="149"/>
      <c r="J89" s="149"/>
      <c r="K89" s="149"/>
      <c r="L89" s="149"/>
      <c r="M89" s="149"/>
      <c r="N89" s="149"/>
      <c r="O89" s="149"/>
      <c r="P89" s="149"/>
    </row>
    <row r="90" customFormat="false" ht="15" hidden="false" customHeight="false" outlineLevel="0" collapsed="false">
      <c r="C90" s="0" t="s">
        <v>542</v>
      </c>
      <c r="D90" s="0" t="s">
        <v>7</v>
      </c>
      <c r="E90" s="170" t="n">
        <f aca="false">Dash_PB_Mult</f>
        <v>1</v>
      </c>
      <c r="F90" s="147" t="s">
        <v>543</v>
      </c>
      <c r="G90" s="171" t="n">
        <v>1.5</v>
      </c>
      <c r="H90" s="149"/>
      <c r="I90" s="149"/>
      <c r="J90" s="149"/>
      <c r="K90" s="149"/>
      <c r="L90" s="149"/>
      <c r="M90" s="149"/>
      <c r="N90" s="149"/>
      <c r="O90" s="149"/>
      <c r="P90" s="149"/>
    </row>
    <row r="91" customFormat="false" ht="15" hidden="false" customHeight="false" outlineLevel="0" collapsed="false">
      <c r="C91" s="0" t="s">
        <v>544</v>
      </c>
      <c r="D91" s="0" t="s">
        <v>169</v>
      </c>
      <c r="E91" s="138" t="n">
        <f aca="false">E16*E75+E22*E89</f>
        <v>85306</v>
      </c>
      <c r="F91" s="139" t="s">
        <v>545</v>
      </c>
      <c r="G91" s="138"/>
      <c r="H91" s="138"/>
      <c r="I91" s="138"/>
      <c r="J91" s="138"/>
      <c r="K91" s="138"/>
      <c r="L91" s="138"/>
      <c r="M91" s="138"/>
      <c r="N91" s="138"/>
      <c r="O91" s="138"/>
      <c r="P91" s="138"/>
    </row>
    <row r="92" customFormat="false" ht="15" hidden="false" customHeight="false" outlineLevel="0" collapsed="false">
      <c r="C92" s="0" t="s">
        <v>546</v>
      </c>
      <c r="D92" s="0" t="s">
        <v>169</v>
      </c>
      <c r="E92" s="138" t="n">
        <f aca="false">E18*E75+E23*E89</f>
        <v>85306</v>
      </c>
      <c r="F92" s="139" t="s">
        <v>547</v>
      </c>
      <c r="G92" s="138"/>
      <c r="H92" s="138"/>
      <c r="I92" s="138"/>
      <c r="J92" s="138"/>
      <c r="K92" s="138"/>
      <c r="L92" s="138"/>
      <c r="M92" s="138"/>
      <c r="N92" s="138"/>
      <c r="O92" s="138"/>
      <c r="P92" s="138"/>
    </row>
    <row r="93" customFormat="false" ht="15" hidden="false" customHeight="false" outlineLevel="0" collapsed="false">
      <c r="F93" s="130"/>
    </row>
    <row r="94" customFormat="false" ht="15" hidden="false" customHeight="false" outlineLevel="0" collapsed="false">
      <c r="B94" s="0" t="s">
        <v>7</v>
      </c>
      <c r="C94" s="136" t="s">
        <v>548</v>
      </c>
      <c r="D94" s="136"/>
      <c r="E94" s="136"/>
      <c r="F94" s="137"/>
      <c r="G94" s="136"/>
      <c r="H94" s="136"/>
      <c r="I94" s="136"/>
      <c r="J94" s="136"/>
      <c r="K94" s="136"/>
      <c r="L94" s="136"/>
      <c r="M94" s="136"/>
      <c r="N94" s="136"/>
      <c r="O94" s="136"/>
      <c r="P94" s="136"/>
    </row>
    <row r="95" customFormat="false" ht="15" hidden="false" customHeight="false" outlineLevel="0" collapsed="false">
      <c r="C95" s="0" t="s">
        <v>549</v>
      </c>
      <c r="D95" s="0" t="s">
        <v>269</v>
      </c>
      <c r="E95" s="150" t="n">
        <f aca="false" t="array" ref="E95:E95">IF(INDEX($G95:$P95,$E$6)="",$G95,INDEX($G95:$P95,$E$6))</f>
        <v>46325</v>
      </c>
      <c r="F95" s="151" t="s">
        <v>550</v>
      </c>
      <c r="G95" s="152" t="n">
        <f aca="false">DATE(2026,10,30)</f>
        <v>46325</v>
      </c>
      <c r="H95" s="152"/>
      <c r="I95" s="152"/>
      <c r="J95" s="152"/>
      <c r="K95" s="152"/>
      <c r="L95" s="152"/>
      <c r="M95" s="152"/>
      <c r="N95" s="152"/>
      <c r="O95" s="152"/>
      <c r="P95" s="152"/>
    </row>
    <row r="96" customFormat="false" ht="15" hidden="false" customHeight="false" outlineLevel="0" collapsed="false">
      <c r="C96" s="0" t="s">
        <v>551</v>
      </c>
      <c r="D96" s="0" t="s">
        <v>269</v>
      </c>
      <c r="E96" s="150" t="n">
        <f aca="false" t="array" ref="E96:E96">IF(INDEX($G96:$P96,$E$6)="",$G96,INDEX($G96:$P96,$E$6))</f>
        <v>46369</v>
      </c>
      <c r="F96" s="151" t="s">
        <v>552</v>
      </c>
      <c r="G96" s="152" t="n">
        <f aca="false">DATE(2026,12,13)</f>
        <v>46369</v>
      </c>
      <c r="H96" s="152"/>
      <c r="I96" s="152"/>
      <c r="J96" s="152"/>
      <c r="K96" s="152"/>
      <c r="L96" s="152"/>
      <c r="M96" s="152"/>
      <c r="N96" s="152"/>
      <c r="O96" s="152"/>
      <c r="P96" s="152"/>
    </row>
    <row r="97" customFormat="false" ht="15" hidden="false" customHeight="false" outlineLevel="0" collapsed="false">
      <c r="C97" s="0" t="s">
        <v>553</v>
      </c>
      <c r="D97" s="0" t="s">
        <v>269</v>
      </c>
      <c r="E97" s="150" t="n">
        <f aca="false" t="array" ref="E97:E97">IF(INDEX($G97:$P97,$E$6)="",$G97,INDEX($G97:$P97,$E$6))</f>
        <v>46386</v>
      </c>
      <c r="F97" s="151" t="s">
        <v>554</v>
      </c>
      <c r="G97" s="152" t="n">
        <f aca="false">DATE(2026,12,30)</f>
        <v>46386</v>
      </c>
      <c r="H97" s="152"/>
      <c r="I97" s="152"/>
      <c r="J97" s="152"/>
      <c r="K97" s="152"/>
      <c r="L97" s="152"/>
      <c r="M97" s="152"/>
      <c r="N97" s="152"/>
      <c r="O97" s="152"/>
      <c r="P97" s="152"/>
    </row>
    <row r="98" customFormat="false" ht="15" hidden="false" customHeight="false" outlineLevel="0" collapsed="false">
      <c r="C98" s="0" t="s">
        <v>555</v>
      </c>
      <c r="D98" s="0" t="s">
        <v>269</v>
      </c>
      <c r="E98" s="150" t="n">
        <f aca="false" t="array" ref="E98:E98">IF(INDEX($G98:$P98,$E$6)="",$G98,INDEX($G98:$P98,$E$6))</f>
        <v>46478</v>
      </c>
      <c r="F98" s="151"/>
      <c r="G98" s="152" t="n">
        <v>46478</v>
      </c>
      <c r="H98" s="152"/>
      <c r="I98" s="152"/>
      <c r="J98" s="152"/>
      <c r="K98" s="152"/>
      <c r="L98" s="152"/>
      <c r="M98" s="152"/>
      <c r="N98" s="152"/>
      <c r="O98" s="152"/>
      <c r="P98" s="152"/>
    </row>
    <row r="99" customFormat="false" ht="15" hidden="false" customHeight="false" outlineLevel="0" collapsed="false">
      <c r="C99" s="0" t="s">
        <v>556</v>
      </c>
      <c r="D99" s="0" t="s">
        <v>269</v>
      </c>
      <c r="E99" s="150" t="n">
        <f aca="false" t="array" ref="E99:E99">IF(INDEX($G99:$P99,$E$6)="",$G99,INDEX($G99:$P99,$E$6))</f>
        <v>47126</v>
      </c>
      <c r="F99" s="151" t="s">
        <v>557</v>
      </c>
      <c r="G99" s="152" t="n">
        <f aca="false">DATE(2029,1,8)</f>
        <v>47126</v>
      </c>
      <c r="H99" s="152"/>
      <c r="I99" s="152"/>
      <c r="J99" s="152"/>
      <c r="K99" s="152"/>
      <c r="L99" s="152"/>
      <c r="M99" s="152"/>
      <c r="N99" s="152"/>
      <c r="O99" s="152"/>
      <c r="P99" s="152"/>
    </row>
    <row r="100" customFormat="false" ht="15" hidden="false" customHeight="false" outlineLevel="0" collapsed="false">
      <c r="C100" s="0" t="s">
        <v>558</v>
      </c>
      <c r="D100" s="0" t="s">
        <v>269</v>
      </c>
      <c r="E100" s="150" t="n">
        <f aca="false" t="array" ref="E100:E100">IF(INDEX($G100:$P100,$E$6)="",$G100,INDEX($G100:$P100,$E$6))</f>
        <v>46825</v>
      </c>
      <c r="F100" s="151" t="s">
        <v>559</v>
      </c>
      <c r="G100" s="152" t="n">
        <v>46825</v>
      </c>
      <c r="H100" s="152"/>
      <c r="I100" s="152"/>
      <c r="J100" s="152"/>
      <c r="K100" s="152"/>
      <c r="L100" s="152"/>
      <c r="M100" s="152"/>
      <c r="N100" s="152"/>
      <c r="O100" s="152"/>
      <c r="P100" s="152"/>
    </row>
    <row r="101" customFormat="false" ht="15" hidden="false" customHeight="false" outlineLevel="0" collapsed="false">
      <c r="C101" s="0" t="s">
        <v>560</v>
      </c>
      <c r="D101" s="0" t="s">
        <v>269</v>
      </c>
      <c r="E101" s="150" t="n">
        <f aca="false" t="array" ref="E101:E101">IF(INDEX($G101:$P101,$E$6)="",$G101,INDEX($G101:$P101,$E$6))</f>
        <v>47848</v>
      </c>
      <c r="F101" s="151" t="s">
        <v>561</v>
      </c>
      <c r="G101" s="152" t="n">
        <v>47848</v>
      </c>
      <c r="H101" s="152"/>
      <c r="I101" s="152"/>
      <c r="J101" s="152"/>
      <c r="K101" s="152"/>
      <c r="L101" s="152"/>
      <c r="M101" s="152"/>
      <c r="N101" s="152"/>
      <c r="O101" s="152"/>
      <c r="P101" s="152"/>
    </row>
    <row r="102" customFormat="false" ht="15" hidden="false" customHeight="false" outlineLevel="0" collapsed="false">
      <c r="C102" s="0" t="s">
        <v>562</v>
      </c>
      <c r="D102" s="0" t="s">
        <v>563</v>
      </c>
      <c r="E102" s="153" t="n">
        <f aca="false" t="array" ref="E102:E102">IF(INDEX($G102:$P102,$E$6)="",$G102,INDEX($G102:$P102,$E$6))</f>
        <v>17</v>
      </c>
      <c r="F102" s="154"/>
      <c r="G102" s="156" t="n">
        <v>17</v>
      </c>
      <c r="H102" s="156"/>
      <c r="I102" s="156"/>
      <c r="J102" s="156"/>
      <c r="K102" s="156"/>
      <c r="L102" s="156"/>
      <c r="M102" s="156"/>
      <c r="N102" s="156"/>
      <c r="O102" s="156"/>
      <c r="P102" s="156"/>
    </row>
    <row r="103" customFormat="false" ht="15" hidden="false" customHeight="false" outlineLevel="0" collapsed="false">
      <c r="C103" s="0" t="s">
        <v>564</v>
      </c>
      <c r="D103" s="0" t="s">
        <v>565</v>
      </c>
      <c r="E103" s="153" t="n">
        <f aca="false" t="array" ref="E103:E103">IF(INDEX($G103:$P103,$E$6)="",$G103,INDEX($G103:$P103,$E$6))</f>
        <v>23</v>
      </c>
      <c r="F103" s="154"/>
      <c r="G103" s="156" t="n">
        <v>23</v>
      </c>
      <c r="H103" s="156"/>
      <c r="I103" s="156"/>
      <c r="J103" s="156"/>
      <c r="K103" s="156"/>
      <c r="L103" s="156"/>
      <c r="M103" s="156"/>
      <c r="N103" s="156"/>
      <c r="O103" s="156"/>
      <c r="P103" s="156"/>
    </row>
    <row r="104" customFormat="false" ht="15" hidden="false" customHeight="false" outlineLevel="0" collapsed="false">
      <c r="C104" s="0" t="s">
        <v>566</v>
      </c>
      <c r="D104" s="0" t="s">
        <v>269</v>
      </c>
      <c r="E104" s="150" t="n">
        <f aca="false">IF(DATE(YEAR(E98),4,E103)&gt;=E98,DATE(YEAR(E98),4,E103),DATE(YEAR(E98)+1,4,E103))</f>
        <v>46500</v>
      </c>
      <c r="F104" s="151"/>
      <c r="G104" s="150"/>
      <c r="H104" s="150"/>
      <c r="I104" s="150"/>
      <c r="J104" s="150"/>
      <c r="K104" s="150"/>
      <c r="L104" s="150"/>
      <c r="M104" s="150"/>
      <c r="N104" s="150"/>
      <c r="O104" s="150"/>
      <c r="P104" s="150"/>
    </row>
    <row r="105" customFormat="false" ht="15" hidden="false" customHeight="false" outlineLevel="0" collapsed="false">
      <c r="F105" s="130"/>
    </row>
    <row r="106" customFormat="false" ht="15" hidden="false" customHeight="false" outlineLevel="0" collapsed="false">
      <c r="B106" s="0" t="s">
        <v>7</v>
      </c>
      <c r="C106" s="136" t="s">
        <v>567</v>
      </c>
      <c r="D106" s="136"/>
      <c r="E106" s="136"/>
      <c r="F106" s="137"/>
      <c r="G106" s="136"/>
      <c r="H106" s="136"/>
      <c r="I106" s="136"/>
      <c r="J106" s="136"/>
      <c r="K106" s="136"/>
      <c r="L106" s="136"/>
      <c r="M106" s="136"/>
      <c r="N106" s="136"/>
      <c r="O106" s="136"/>
      <c r="P106" s="136"/>
    </row>
    <row r="107" customFormat="false" ht="15" hidden="false" customHeight="false" outlineLevel="0" collapsed="false">
      <c r="C107" s="0" t="s">
        <v>568</v>
      </c>
      <c r="D107" s="0" t="s">
        <v>421</v>
      </c>
      <c r="E107" s="153" t="n">
        <f aca="false" t="array" ref="E107:E107">IF(INDEX($G107:$P107,$E$6)="",$G107,INDEX($G107:$P107,$E$6))</f>
        <v>1</v>
      </c>
      <c r="F107" s="154" t="s">
        <v>569</v>
      </c>
      <c r="G107" s="156" t="n">
        <v>1</v>
      </c>
      <c r="H107" s="156"/>
      <c r="I107" s="156"/>
      <c r="J107" s="156"/>
      <c r="K107" s="156"/>
      <c r="L107" s="156"/>
      <c r="M107" s="156"/>
      <c r="N107" s="156"/>
      <c r="O107" s="156"/>
      <c r="P107" s="156"/>
    </row>
    <row r="108" customFormat="false" ht="15" hidden="false" customHeight="false" outlineLevel="0" collapsed="false">
      <c r="C108" s="0" t="s">
        <v>570</v>
      </c>
      <c r="D108" s="0" t="s">
        <v>51</v>
      </c>
      <c r="E108" s="141" t="n">
        <f aca="false" t="array" ref="E108:E108">IF(INDEX($G108:$P108,$E$6)="",$G108,INDEX($G108:$P108,$E$6))</f>
        <v>0.5</v>
      </c>
      <c r="F108" s="142"/>
      <c r="G108" s="143" t="n">
        <v>0.5</v>
      </c>
      <c r="H108" s="143"/>
      <c r="I108" s="143"/>
      <c r="J108" s="143"/>
      <c r="K108" s="143"/>
      <c r="L108" s="143"/>
      <c r="M108" s="143"/>
      <c r="N108" s="143"/>
      <c r="O108" s="143"/>
      <c r="P108" s="143"/>
    </row>
    <row r="109" customFormat="false" ht="15" hidden="false" customHeight="false" outlineLevel="0" collapsed="false">
      <c r="C109" s="0" t="s">
        <v>571</v>
      </c>
      <c r="D109" s="0" t="s">
        <v>421</v>
      </c>
      <c r="E109" s="175" t="n">
        <f aca="false" t="array" ref="E109:E109">IF(INDEX($G109:$P109,$E$6)="",$G109,INDEX($G109:$P109,$E$6))</f>
        <v>0</v>
      </c>
      <c r="F109" s="154" t="s">
        <v>572</v>
      </c>
      <c r="G109" s="156" t="n">
        <v>0</v>
      </c>
      <c r="H109" s="156"/>
      <c r="I109" s="156"/>
      <c r="J109" s="156"/>
      <c r="K109" s="156"/>
      <c r="L109" s="156"/>
      <c r="M109" s="156"/>
      <c r="N109" s="156"/>
      <c r="O109" s="156"/>
      <c r="P109" s="156"/>
    </row>
    <row r="110" customFormat="false" ht="15" hidden="false" customHeight="false" outlineLevel="0" collapsed="false">
      <c r="C110" s="0" t="s">
        <v>573</v>
      </c>
      <c r="D110" s="0" t="s">
        <v>421</v>
      </c>
      <c r="E110" s="153" t="n">
        <f aca="false" t="array" ref="E110:E110">IF(INDEX($G110:$P110,$E$6)="",$G110,INDEX($G110:$P110,$E$6))</f>
        <v>1</v>
      </c>
      <c r="F110" s="154" t="s">
        <v>574</v>
      </c>
      <c r="G110" s="156" t="n">
        <v>1</v>
      </c>
      <c r="H110" s="156"/>
      <c r="I110" s="156"/>
      <c r="J110" s="156"/>
      <c r="K110" s="156"/>
      <c r="L110" s="156"/>
      <c r="M110" s="156"/>
      <c r="N110" s="156"/>
      <c r="O110" s="156"/>
      <c r="P110" s="156"/>
    </row>
    <row r="111" customFormat="false" ht="15" hidden="false" customHeight="false" outlineLevel="0" collapsed="false">
      <c r="C111" s="0" t="s">
        <v>575</v>
      </c>
      <c r="D111" s="0" t="s">
        <v>51</v>
      </c>
      <c r="E111" s="44" t="n">
        <f aca="false" t="array" ref="E111:E111">IF(INDEX($G111:$P111,$E$6)="",$G111,INDEX($G111:$P111,$E$6))</f>
        <v>0.03</v>
      </c>
      <c r="F111" s="172" t="s">
        <v>576</v>
      </c>
      <c r="G111" s="173" t="n">
        <v>0.03</v>
      </c>
      <c r="H111" s="173"/>
      <c r="I111" s="173"/>
      <c r="J111" s="173"/>
      <c r="K111" s="173"/>
      <c r="L111" s="173"/>
      <c r="M111" s="173"/>
      <c r="N111" s="173"/>
      <c r="O111" s="173"/>
      <c r="P111" s="173"/>
    </row>
    <row r="112" customFormat="false" ht="15" hidden="false" customHeight="false" outlineLevel="0" collapsed="false">
      <c r="C112" s="0" t="s">
        <v>577</v>
      </c>
      <c r="D112" s="0" t="s">
        <v>403</v>
      </c>
      <c r="E112" s="0" t="str">
        <f aca="false" t="array" ref="E112:E112">IF(INDEX($G112:$P112,$E$6)="",$G112,INDEX($G112:$P112,$E$6))</f>
        <v>1M EURIBOR Jul-26</v>
      </c>
      <c r="F112" s="130" t="s">
        <v>578</v>
      </c>
      <c r="G112" s="176" t="s">
        <v>579</v>
      </c>
      <c r="H112" s="176"/>
      <c r="I112" s="176"/>
      <c r="J112" s="176"/>
      <c r="K112" s="176"/>
      <c r="L112" s="176"/>
      <c r="M112" s="176"/>
      <c r="N112" s="176"/>
      <c r="O112" s="176"/>
      <c r="P112" s="176"/>
    </row>
    <row r="113" customFormat="false" ht="15" hidden="false" customHeight="false" outlineLevel="0" collapsed="false">
      <c r="C113" s="0" t="s">
        <v>580</v>
      </c>
      <c r="D113" s="0" t="s">
        <v>486</v>
      </c>
      <c r="E113" s="44" t="n">
        <f aca="false" t="array" ref="E113:E113">IF(INDEX($G113:$P113,$E$6)="",$G113,INDEX($G113:$P113,$E$6))</f>
        <v>0.06</v>
      </c>
      <c r="F113" s="172" t="s">
        <v>581</v>
      </c>
      <c r="G113" s="173" t="n">
        <v>0.06</v>
      </c>
      <c r="H113" s="173"/>
      <c r="I113" s="173"/>
      <c r="J113" s="173"/>
      <c r="K113" s="173"/>
      <c r="L113" s="173"/>
      <c r="M113" s="173"/>
      <c r="N113" s="173"/>
      <c r="O113" s="173"/>
      <c r="P113" s="173"/>
    </row>
    <row r="114" customFormat="false" ht="15" hidden="false" customHeight="false" outlineLevel="0" collapsed="false">
      <c r="C114" s="0" t="s">
        <v>582</v>
      </c>
      <c r="D114" s="0" t="s">
        <v>421</v>
      </c>
      <c r="E114" s="153" t="n">
        <f aca="false" t="array" ref="E114:E114">IF(INDEX($G114:$P114,$E$6)="",$G114,INDEX($G114:$P114,$E$6))</f>
        <v>1</v>
      </c>
      <c r="F114" s="154" t="s">
        <v>583</v>
      </c>
      <c r="G114" s="156" t="n">
        <v>1</v>
      </c>
      <c r="H114" s="156"/>
      <c r="I114" s="156"/>
      <c r="J114" s="156"/>
      <c r="K114" s="156"/>
      <c r="L114" s="156"/>
      <c r="M114" s="156"/>
      <c r="N114" s="156"/>
      <c r="O114" s="156"/>
      <c r="P114" s="156"/>
    </row>
    <row r="115" customFormat="false" ht="15" hidden="false" customHeight="false" outlineLevel="0" collapsed="false">
      <c r="F115" s="130"/>
    </row>
    <row r="116" customFormat="false" ht="15" hidden="false" customHeight="false" outlineLevel="0" collapsed="false">
      <c r="B116" s="0" t="s">
        <v>7</v>
      </c>
      <c r="C116" s="136" t="s">
        <v>584</v>
      </c>
      <c r="D116" s="136"/>
      <c r="E116" s="136"/>
      <c r="F116" s="137"/>
      <c r="G116" s="136"/>
      <c r="H116" s="136"/>
      <c r="I116" s="136"/>
      <c r="J116" s="136"/>
      <c r="K116" s="136"/>
      <c r="L116" s="136"/>
      <c r="M116" s="136"/>
      <c r="N116" s="136"/>
      <c r="O116" s="136"/>
      <c r="P116" s="136"/>
    </row>
    <row r="117" customFormat="false" ht="15" hidden="false" customHeight="false" outlineLevel="0" collapsed="false">
      <c r="C117" s="0" t="s">
        <v>585</v>
      </c>
      <c r="D117" s="0" t="s">
        <v>421</v>
      </c>
      <c r="E117" s="153" t="n">
        <f aca="false" t="array" ref="E117:E117">IF(INDEX($G117:$P117,$E$6)="",$G117,INDEX($G117:$P117,$E$6))</f>
        <v>1</v>
      </c>
      <c r="F117" s="154" t="s">
        <v>586</v>
      </c>
      <c r="G117" s="156" t="n">
        <v>1</v>
      </c>
      <c r="H117" s="156"/>
      <c r="I117" s="156"/>
      <c r="J117" s="156"/>
      <c r="K117" s="156"/>
      <c r="L117" s="156"/>
      <c r="M117" s="156"/>
      <c r="N117" s="156"/>
      <c r="O117" s="156"/>
      <c r="P117" s="156"/>
    </row>
    <row r="118" customFormat="false" ht="15" hidden="false" customHeight="false" outlineLevel="0" collapsed="false">
      <c r="C118" s="0" t="s">
        <v>587</v>
      </c>
      <c r="D118" s="0" t="s">
        <v>421</v>
      </c>
      <c r="E118" s="153" t="n">
        <f aca="false" t="array" ref="E118:E118">IF(INDEX($G118:$P118,$E$6)="",$G118,INDEX($G118:$P118,$E$6))</f>
        <v>0</v>
      </c>
      <c r="F118" s="154"/>
      <c r="G118" s="156" t="n">
        <v>0</v>
      </c>
      <c r="H118" s="156"/>
      <c r="I118" s="156"/>
      <c r="J118" s="156"/>
      <c r="K118" s="156"/>
      <c r="L118" s="156"/>
      <c r="M118" s="156"/>
      <c r="N118" s="156"/>
      <c r="O118" s="156"/>
      <c r="P118" s="156"/>
    </row>
    <row r="119" customFormat="false" ht="15" hidden="false" customHeight="false" outlineLevel="0" collapsed="false">
      <c r="C119" s="0" t="s">
        <v>588</v>
      </c>
      <c r="D119" s="0" t="s">
        <v>421</v>
      </c>
      <c r="E119" s="153" t="n">
        <f aca="false" t="array" ref="E119:E119">IF(INDEX($G119:$P119,$E$6)="",$G119,INDEX($G119:$P119,$E$6))</f>
        <v>0</v>
      </c>
      <c r="F119" s="154"/>
      <c r="G119" s="156" t="n">
        <v>0</v>
      </c>
      <c r="H119" s="156"/>
      <c r="I119" s="156"/>
      <c r="J119" s="156"/>
      <c r="K119" s="156"/>
      <c r="L119" s="156"/>
      <c r="M119" s="156"/>
      <c r="N119" s="156"/>
      <c r="O119" s="156"/>
      <c r="P119" s="156"/>
    </row>
    <row r="120" customFormat="false" ht="15" hidden="false" customHeight="false" outlineLevel="0" collapsed="false">
      <c r="C120" s="0" t="s">
        <v>589</v>
      </c>
      <c r="D120" s="0" t="s">
        <v>421</v>
      </c>
      <c r="E120" s="153" t="n">
        <f aca="false" t="array" ref="E120:E120">IF(INDEX($G120:$P120,$E$6)="",$G120,INDEX($G120:$P120,$E$6))</f>
        <v>1</v>
      </c>
      <c r="F120" s="154"/>
      <c r="G120" s="156" t="n">
        <v>1</v>
      </c>
      <c r="H120" s="156"/>
      <c r="I120" s="156"/>
      <c r="J120" s="156"/>
      <c r="K120" s="156"/>
      <c r="L120" s="156"/>
      <c r="M120" s="156"/>
      <c r="N120" s="156"/>
      <c r="O120" s="156"/>
      <c r="P120" s="156"/>
    </row>
    <row r="121" customFormat="false" ht="15" hidden="false" customHeight="false" outlineLevel="0" collapsed="false">
      <c r="C121" s="0" t="s">
        <v>590</v>
      </c>
      <c r="D121" s="0" t="s">
        <v>421</v>
      </c>
      <c r="E121" s="153" t="n">
        <f aca="false" t="array" ref="E121:E121">IF(INDEX($G121:$P121,$E$6)="",$G121,INDEX($G121:$P121,$E$6))</f>
        <v>1</v>
      </c>
      <c r="F121" s="154"/>
      <c r="G121" s="156" t="n">
        <v>1</v>
      </c>
      <c r="H121" s="156"/>
      <c r="I121" s="156"/>
      <c r="J121" s="156"/>
      <c r="K121" s="156"/>
      <c r="L121" s="156"/>
      <c r="M121" s="156"/>
      <c r="N121" s="156"/>
      <c r="O121" s="156"/>
      <c r="P121" s="156"/>
    </row>
    <row r="122" customFormat="false" ht="15" hidden="false" customHeight="false" outlineLevel="0" collapsed="false">
      <c r="C122" s="0" t="s">
        <v>591</v>
      </c>
      <c r="D122" s="0" t="s">
        <v>421</v>
      </c>
      <c r="E122" s="153" t="n">
        <f aca="false" t="array" ref="E122:E122">IF(INDEX($G122:$P122,$E$6)="",$G122,INDEX($G122:$P122,$E$6))</f>
        <v>0</v>
      </c>
      <c r="F122" s="154"/>
      <c r="G122" s="156" t="n">
        <v>0</v>
      </c>
      <c r="H122" s="156"/>
      <c r="I122" s="156"/>
      <c r="J122" s="156"/>
      <c r="K122" s="156"/>
      <c r="L122" s="156"/>
      <c r="M122" s="156"/>
      <c r="N122" s="156"/>
      <c r="O122" s="156"/>
      <c r="P122" s="156"/>
    </row>
    <row r="123" customFormat="false" ht="15" hidden="false" customHeight="false" outlineLevel="0" collapsed="false">
      <c r="C123" s="0" t="s">
        <v>592</v>
      </c>
      <c r="D123" s="0" t="s">
        <v>421</v>
      </c>
      <c r="E123" s="153" t="n">
        <f aca="false" t="array" ref="E123:E123">IF(INDEX($G123:$P123,$E$6)="",$G123,INDEX($G123:$P123,$E$6))</f>
        <v>0</v>
      </c>
      <c r="F123" s="154"/>
      <c r="G123" s="156" t="n">
        <v>0</v>
      </c>
      <c r="H123" s="156"/>
      <c r="I123" s="156"/>
      <c r="J123" s="156"/>
      <c r="K123" s="156"/>
      <c r="L123" s="156"/>
      <c r="M123" s="156"/>
      <c r="N123" s="156"/>
      <c r="O123" s="156"/>
      <c r="P123" s="156"/>
    </row>
    <row r="124" customFormat="false" ht="15" hidden="false" customHeight="false" outlineLevel="0" collapsed="false">
      <c r="C124" s="0" t="s">
        <v>593</v>
      </c>
      <c r="D124" s="0" t="s">
        <v>421</v>
      </c>
      <c r="E124" s="153" t="n">
        <f aca="false" t="array" ref="E124:E124">IF(INDEX($G124:$P124,$E$6)="",$G124,INDEX($G124:$P124,$E$6))</f>
        <v>0</v>
      </c>
      <c r="F124" s="154"/>
      <c r="G124" s="156" t="n">
        <v>0</v>
      </c>
      <c r="H124" s="156"/>
      <c r="I124" s="156"/>
      <c r="J124" s="156"/>
      <c r="K124" s="156"/>
      <c r="L124" s="156"/>
      <c r="M124" s="156"/>
      <c r="N124" s="156"/>
      <c r="O124" s="156"/>
      <c r="P124" s="156"/>
    </row>
    <row r="125" customFormat="false" ht="15" hidden="false" customHeight="false" outlineLevel="0" collapsed="false">
      <c r="C125" s="0" t="s">
        <v>594</v>
      </c>
      <c r="D125" s="0" t="s">
        <v>421</v>
      </c>
      <c r="E125" s="153" t="n">
        <f aca="false" t="array" ref="E125:E125">IF(INDEX($G125:$P125,$E$6)="",$G125,INDEX($G125:$P125,$E$6))</f>
        <v>0</v>
      </c>
      <c r="F125" s="154"/>
      <c r="G125" s="156" t="n">
        <v>0</v>
      </c>
      <c r="H125" s="156"/>
      <c r="I125" s="156"/>
      <c r="J125" s="156"/>
      <c r="K125" s="156"/>
      <c r="L125" s="156"/>
      <c r="M125" s="156"/>
      <c r="N125" s="156"/>
      <c r="O125" s="156"/>
      <c r="P125" s="156"/>
    </row>
    <row r="126" customFormat="false" ht="15" hidden="false" customHeight="false" outlineLevel="0" collapsed="false">
      <c r="C126" s="0" t="s">
        <v>595</v>
      </c>
      <c r="D126" s="0" t="s">
        <v>421</v>
      </c>
      <c r="E126" s="153" t="n">
        <f aca="false" t="array" ref="E126:E126">IF(INDEX($G126:$P126,$E$6)="",$G126,INDEX($G126:$P126,$E$6))</f>
        <v>1</v>
      </c>
      <c r="F126" s="154"/>
      <c r="G126" s="156" t="n">
        <v>1</v>
      </c>
      <c r="H126" s="156"/>
      <c r="I126" s="156"/>
      <c r="J126" s="156"/>
      <c r="K126" s="156"/>
      <c r="L126" s="156"/>
      <c r="M126" s="156"/>
      <c r="N126" s="156"/>
      <c r="O126" s="156"/>
      <c r="P126" s="156"/>
    </row>
    <row r="127" customFormat="false" ht="15" hidden="false" customHeight="false" outlineLevel="0" collapsed="false">
      <c r="F127" s="130"/>
    </row>
    <row r="128" customFormat="false" ht="15" hidden="false" customHeight="false" outlineLevel="0" collapsed="false">
      <c r="B128" s="0" t="s">
        <v>7</v>
      </c>
      <c r="C128" s="136" t="s">
        <v>596</v>
      </c>
      <c r="D128" s="136"/>
      <c r="E128" s="136"/>
      <c r="F128" s="137"/>
      <c r="G128" s="136"/>
      <c r="H128" s="136"/>
      <c r="I128" s="136"/>
      <c r="J128" s="136"/>
      <c r="K128" s="136"/>
      <c r="L128" s="136"/>
      <c r="M128" s="136"/>
      <c r="N128" s="136"/>
      <c r="O128" s="136"/>
      <c r="P128" s="136"/>
    </row>
    <row r="129" customFormat="false" ht="15" hidden="false" customHeight="false" outlineLevel="0" collapsed="false">
      <c r="C129" s="0" t="s">
        <v>585</v>
      </c>
      <c r="D129" s="0" t="s">
        <v>51</v>
      </c>
      <c r="E129" s="141" t="n">
        <f aca="false" t="array" ref="E129:E129">IF(INDEX($G129:$P129,$E$6)="",$G129,INDEX($G129:$P129,$E$6))</f>
        <v>0</v>
      </c>
      <c r="F129" s="142" t="s">
        <v>597</v>
      </c>
      <c r="G129" s="143" t="n">
        <v>0</v>
      </c>
      <c r="H129" s="143"/>
      <c r="I129" s="143"/>
      <c r="J129" s="143"/>
      <c r="K129" s="143"/>
      <c r="L129" s="143"/>
      <c r="M129" s="143"/>
      <c r="N129" s="143"/>
      <c r="O129" s="143"/>
      <c r="P129" s="143"/>
    </row>
    <row r="130" customFormat="false" ht="15" hidden="false" customHeight="false" outlineLevel="0" collapsed="false">
      <c r="C130" s="0" t="s">
        <v>587</v>
      </c>
      <c r="D130" s="0" t="s">
        <v>51</v>
      </c>
      <c r="E130" s="141" t="n">
        <f aca="false" t="array" ref="E130:E130">IF(INDEX($G130:$P130,$E$6)="",$G130,INDEX($G130:$P130,$E$6))</f>
        <v>1</v>
      </c>
      <c r="F130" s="142"/>
      <c r="G130" s="143" t="n">
        <v>1</v>
      </c>
      <c r="H130" s="143"/>
      <c r="I130" s="143"/>
      <c r="J130" s="143"/>
      <c r="K130" s="143"/>
      <c r="L130" s="143"/>
      <c r="M130" s="143"/>
      <c r="N130" s="143"/>
      <c r="O130" s="143"/>
      <c r="P130" s="143"/>
    </row>
    <row r="131" customFormat="false" ht="15" hidden="false" customHeight="false" outlineLevel="0" collapsed="false">
      <c r="C131" s="0" t="s">
        <v>588</v>
      </c>
      <c r="D131" s="0" t="s">
        <v>51</v>
      </c>
      <c r="E131" s="141" t="n">
        <f aca="false" t="array" ref="E131:E131">IF(INDEX($G131:$P131,$E$6)="",$G131,INDEX($G131:$P131,$E$6))</f>
        <v>1</v>
      </c>
      <c r="F131" s="142"/>
      <c r="G131" s="143" t="n">
        <v>1</v>
      </c>
      <c r="H131" s="143"/>
      <c r="I131" s="143"/>
      <c r="J131" s="143"/>
      <c r="K131" s="143"/>
      <c r="L131" s="143"/>
      <c r="M131" s="143"/>
      <c r="N131" s="143"/>
      <c r="O131" s="143"/>
      <c r="P131" s="143"/>
    </row>
    <row r="132" customFormat="false" ht="15" hidden="false" customHeight="false" outlineLevel="0" collapsed="false">
      <c r="C132" s="0" t="s">
        <v>589</v>
      </c>
      <c r="D132" s="0" t="s">
        <v>51</v>
      </c>
      <c r="E132" s="141" t="n">
        <f aca="false" t="array" ref="E132:E132">IF(INDEX($G132:$P132,$E$6)="",$G132,INDEX($G132:$P132,$E$6))</f>
        <v>1</v>
      </c>
      <c r="F132" s="142"/>
      <c r="G132" s="143" t="n">
        <v>1</v>
      </c>
      <c r="H132" s="143"/>
      <c r="I132" s="143"/>
      <c r="J132" s="143"/>
      <c r="K132" s="143"/>
      <c r="L132" s="143"/>
      <c r="M132" s="143"/>
      <c r="N132" s="143"/>
      <c r="O132" s="143"/>
      <c r="P132" s="143"/>
    </row>
    <row r="133" customFormat="false" ht="15" hidden="false" customHeight="false" outlineLevel="0" collapsed="false">
      <c r="C133" s="0" t="s">
        <v>590</v>
      </c>
      <c r="D133" s="0" t="s">
        <v>51</v>
      </c>
      <c r="E133" s="141" t="n">
        <f aca="false" t="array" ref="E133:E133">IF(INDEX($G133:$P133,$E$6)="",$G133,INDEX($G133:$P133,$E$6))</f>
        <v>1</v>
      </c>
      <c r="F133" s="142"/>
      <c r="G133" s="143" t="n">
        <v>1</v>
      </c>
      <c r="H133" s="143"/>
      <c r="I133" s="143"/>
      <c r="J133" s="143"/>
      <c r="K133" s="143"/>
      <c r="L133" s="143"/>
      <c r="M133" s="143"/>
      <c r="N133" s="143"/>
      <c r="O133" s="143"/>
      <c r="P133" s="143"/>
    </row>
    <row r="134" customFormat="false" ht="15" hidden="false" customHeight="false" outlineLevel="0" collapsed="false">
      <c r="C134" s="0" t="s">
        <v>591</v>
      </c>
      <c r="D134" s="0" t="s">
        <v>51</v>
      </c>
      <c r="E134" s="141" t="n">
        <f aca="false" t="array" ref="E134:E134">IF(INDEX($G134:$P134,$E$6)="",$G134,INDEX($G134:$P134,$E$6))</f>
        <v>1</v>
      </c>
      <c r="F134" s="142"/>
      <c r="G134" s="143" t="n">
        <v>1</v>
      </c>
      <c r="H134" s="143"/>
      <c r="I134" s="143"/>
      <c r="J134" s="143"/>
      <c r="K134" s="143"/>
      <c r="L134" s="143"/>
      <c r="M134" s="143"/>
      <c r="N134" s="143"/>
      <c r="O134" s="143"/>
      <c r="P134" s="143"/>
    </row>
    <row r="135" customFormat="false" ht="15" hidden="false" customHeight="false" outlineLevel="0" collapsed="false">
      <c r="C135" s="0" t="s">
        <v>592</v>
      </c>
      <c r="D135" s="0" t="s">
        <v>51</v>
      </c>
      <c r="E135" s="141" t="n">
        <f aca="false" t="array" ref="E135:E135">IF(INDEX($G135:$P135,$E$6)="",$G135,INDEX($G135:$P135,$E$6))</f>
        <v>1</v>
      </c>
      <c r="F135" s="142"/>
      <c r="G135" s="143" t="n">
        <v>1</v>
      </c>
      <c r="H135" s="143"/>
      <c r="I135" s="143"/>
      <c r="J135" s="143"/>
      <c r="K135" s="143"/>
      <c r="L135" s="143"/>
      <c r="M135" s="143"/>
      <c r="N135" s="143"/>
      <c r="O135" s="143"/>
      <c r="P135" s="143"/>
    </row>
    <row r="136" customFormat="false" ht="15" hidden="false" customHeight="false" outlineLevel="0" collapsed="false">
      <c r="C136" s="0" t="s">
        <v>593</v>
      </c>
      <c r="D136" s="0" t="s">
        <v>51</v>
      </c>
      <c r="E136" s="141" t="n">
        <f aca="false" t="array" ref="E136:E136">IF(INDEX($G136:$P136,$E$6)="",$G136,INDEX($G136:$P136,$E$6))</f>
        <v>1</v>
      </c>
      <c r="F136" s="142"/>
      <c r="G136" s="143" t="n">
        <v>1</v>
      </c>
      <c r="H136" s="143"/>
      <c r="I136" s="143"/>
      <c r="J136" s="143"/>
      <c r="K136" s="143"/>
      <c r="L136" s="143"/>
      <c r="M136" s="143"/>
      <c r="N136" s="143"/>
      <c r="O136" s="143"/>
      <c r="P136" s="143"/>
    </row>
    <row r="137" customFormat="false" ht="15" hidden="false" customHeight="false" outlineLevel="0" collapsed="false">
      <c r="C137" s="0" t="s">
        <v>594</v>
      </c>
      <c r="D137" s="0" t="s">
        <v>51</v>
      </c>
      <c r="E137" s="141" t="n">
        <f aca="false" t="array" ref="E137:E137">IF(INDEX($G137:$P137,$E$6)="",$G137,INDEX($G137:$P137,$E$6))</f>
        <v>1</v>
      </c>
      <c r="F137" s="142"/>
      <c r="G137" s="143" t="n">
        <v>1</v>
      </c>
      <c r="H137" s="143"/>
      <c r="I137" s="143"/>
      <c r="J137" s="143"/>
      <c r="K137" s="143"/>
      <c r="L137" s="143"/>
      <c r="M137" s="143"/>
      <c r="N137" s="143"/>
      <c r="O137" s="143"/>
      <c r="P137" s="143"/>
    </row>
    <row r="138" customFormat="false" ht="15" hidden="false" customHeight="false" outlineLevel="0" collapsed="false">
      <c r="C138" s="0" t="s">
        <v>595</v>
      </c>
      <c r="D138" s="0" t="s">
        <v>51</v>
      </c>
      <c r="E138" s="177" t="n">
        <f aca="false" t="array" ref="E138:E138">IF(INDEX($G138:$P138,$E$6)="",$G138,INDEX($G138:$P138,$E$6))</f>
        <v>1</v>
      </c>
      <c r="F138" s="142" t="s">
        <v>598</v>
      </c>
      <c r="G138" s="143" t="n">
        <v>1</v>
      </c>
      <c r="H138" s="143"/>
      <c r="I138" s="143"/>
      <c r="J138" s="143"/>
      <c r="K138" s="143"/>
      <c r="L138" s="143"/>
      <c r="M138" s="143"/>
      <c r="N138" s="143"/>
      <c r="O138" s="143"/>
      <c r="P138" s="143"/>
    </row>
    <row r="139" customFormat="false" ht="15" hidden="false" customHeight="false" outlineLevel="0" collapsed="false">
      <c r="F139" s="130"/>
    </row>
    <row r="140" customFormat="false" ht="15" hidden="false" customHeight="false" outlineLevel="0" collapsed="false">
      <c r="B140" s="0" t="s">
        <v>7</v>
      </c>
      <c r="C140" s="136" t="s">
        <v>599</v>
      </c>
      <c r="D140" s="136"/>
      <c r="E140" s="136"/>
      <c r="F140" s="137"/>
      <c r="G140" s="136"/>
      <c r="H140" s="136"/>
      <c r="I140" s="136"/>
      <c r="J140" s="136"/>
      <c r="K140" s="136"/>
      <c r="L140" s="136"/>
      <c r="M140" s="136"/>
      <c r="N140" s="136"/>
      <c r="O140" s="136"/>
      <c r="P140" s="136"/>
    </row>
    <row r="141" customFormat="false" ht="15" hidden="false" customHeight="false" outlineLevel="0" collapsed="false">
      <c r="C141" s="0" t="s">
        <v>600</v>
      </c>
      <c r="D141" s="0" t="s">
        <v>2</v>
      </c>
      <c r="E141" s="158" t="n">
        <f aca="false" t="array" ref="E141:E141">IF(INDEX($G141:$P141,$E$6)="",$G141,INDEX($G141:$P141,$E$6))</f>
        <v>200</v>
      </c>
      <c r="F141" s="159" t="s">
        <v>601</v>
      </c>
      <c r="G141" s="178" t="n">
        <f aca="false">Dashboard!$H$12</f>
        <v>200</v>
      </c>
      <c r="H141" s="179"/>
      <c r="I141" s="179"/>
      <c r="J141" s="160"/>
      <c r="K141" s="160"/>
      <c r="L141" s="160"/>
      <c r="M141" s="160"/>
      <c r="N141" s="160"/>
      <c r="O141" s="160"/>
      <c r="P141" s="160"/>
    </row>
    <row r="142" customFormat="false" ht="15" hidden="false" customHeight="false" outlineLevel="0" collapsed="false">
      <c r="C142" s="0" t="s">
        <v>602</v>
      </c>
      <c r="D142" s="0" t="s">
        <v>11</v>
      </c>
      <c r="E142" s="158"/>
      <c r="F142" s="159" t="s">
        <v>603</v>
      </c>
      <c r="G142" s="160"/>
      <c r="H142" s="160"/>
      <c r="I142" s="160"/>
      <c r="J142" s="160"/>
      <c r="K142" s="160"/>
      <c r="L142" s="160"/>
      <c r="M142" s="160"/>
      <c r="N142" s="160"/>
      <c r="O142" s="160"/>
      <c r="P142" s="160"/>
    </row>
    <row r="143" customFormat="false" ht="15" hidden="false" customHeight="false" outlineLevel="0" collapsed="false">
      <c r="C143" s="0" t="s">
        <v>604</v>
      </c>
      <c r="D143" s="0" t="s">
        <v>11</v>
      </c>
      <c r="E143" s="158"/>
      <c r="F143" s="159"/>
      <c r="G143" s="160"/>
      <c r="H143" s="160"/>
      <c r="I143" s="160"/>
      <c r="J143" s="160"/>
      <c r="K143" s="160"/>
      <c r="L143" s="160"/>
      <c r="M143" s="160"/>
      <c r="N143" s="160"/>
      <c r="O143" s="160"/>
      <c r="P143" s="160"/>
    </row>
    <row r="144" customFormat="false" ht="15" hidden="false" customHeight="false" outlineLevel="0" collapsed="false">
      <c r="C144" s="0" t="s">
        <v>605</v>
      </c>
      <c r="D144" s="0" t="s">
        <v>11</v>
      </c>
      <c r="E144" s="158"/>
      <c r="F144" s="159"/>
      <c r="G144" s="160"/>
      <c r="H144" s="160"/>
      <c r="I144" s="160"/>
      <c r="J144" s="160"/>
      <c r="K144" s="160"/>
      <c r="L144" s="160"/>
      <c r="M144" s="160"/>
      <c r="N144" s="160"/>
      <c r="O144" s="160"/>
      <c r="P144" s="160"/>
    </row>
    <row r="145" customFormat="false" ht="15" hidden="false" customHeight="false" outlineLevel="0" collapsed="false">
      <c r="C145" s="0" t="s">
        <v>606</v>
      </c>
      <c r="D145" s="0" t="s">
        <v>11</v>
      </c>
      <c r="E145" s="158"/>
      <c r="F145" s="159"/>
      <c r="G145" s="160"/>
      <c r="H145" s="160"/>
      <c r="I145" s="160"/>
      <c r="J145" s="160"/>
      <c r="K145" s="160"/>
      <c r="L145" s="160"/>
      <c r="M145" s="160"/>
      <c r="N145" s="160"/>
      <c r="O145" s="160"/>
      <c r="P145" s="160"/>
    </row>
    <row r="146" customFormat="false" ht="15" hidden="false" customHeight="false" outlineLevel="0" collapsed="false">
      <c r="C146" s="0" t="s">
        <v>607</v>
      </c>
      <c r="D146" s="0" t="s">
        <v>11</v>
      </c>
      <c r="E146" s="158"/>
      <c r="F146" s="159"/>
      <c r="G146" s="160"/>
      <c r="H146" s="160"/>
      <c r="I146" s="160"/>
      <c r="J146" s="160"/>
      <c r="K146" s="160"/>
      <c r="L146" s="160"/>
      <c r="M146" s="160"/>
      <c r="N146" s="160"/>
      <c r="O146" s="160"/>
      <c r="P146" s="160"/>
    </row>
    <row r="147" customFormat="false" ht="15" hidden="false" customHeight="false" outlineLevel="0" collapsed="false">
      <c r="C147" s="0" t="s">
        <v>608</v>
      </c>
      <c r="D147" s="0" t="s">
        <v>11</v>
      </c>
      <c r="E147" s="158"/>
      <c r="F147" s="159"/>
      <c r="G147" s="160"/>
      <c r="H147" s="160"/>
      <c r="I147" s="160"/>
      <c r="J147" s="160"/>
      <c r="K147" s="160"/>
      <c r="L147" s="160"/>
      <c r="M147" s="160"/>
      <c r="N147" s="160"/>
      <c r="O147" s="160"/>
      <c r="P147" s="160"/>
    </row>
    <row r="148" customFormat="false" ht="15" hidden="false" customHeight="false" outlineLevel="0" collapsed="false">
      <c r="C148" s="0" t="s">
        <v>609</v>
      </c>
      <c r="D148" s="0" t="s">
        <v>11</v>
      </c>
      <c r="E148" s="158"/>
      <c r="F148" s="159"/>
      <c r="G148" s="160"/>
      <c r="H148" s="160"/>
      <c r="I148" s="160"/>
      <c r="J148" s="160"/>
      <c r="K148" s="160"/>
      <c r="L148" s="160"/>
      <c r="M148" s="160"/>
      <c r="N148" s="160"/>
      <c r="O148" s="160"/>
      <c r="P148" s="160"/>
    </row>
    <row r="151" customFormat="false" ht="15" hidden="false" customHeight="false" outlineLevel="0" collapsed="false">
      <c r="C151" s="136" t="s">
        <v>610</v>
      </c>
      <c r="D151" s="136"/>
      <c r="E151" s="136"/>
      <c r="F151" s="137"/>
      <c r="G151" s="136"/>
      <c r="H151" s="136"/>
      <c r="I151" s="136"/>
      <c r="J151" s="136"/>
      <c r="K151" s="136"/>
      <c r="L151" s="136"/>
      <c r="M151" s="136"/>
      <c r="N151" s="136"/>
      <c r="O151" s="136"/>
      <c r="P151" s="136"/>
    </row>
    <row r="152" customFormat="false" ht="15" hidden="false" customHeight="false" outlineLevel="0" collapsed="false">
      <c r="C152" s="0" t="s">
        <v>611</v>
      </c>
      <c r="D152" s="0" t="s">
        <v>447</v>
      </c>
      <c r="E152" s="153" t="n">
        <f aca="false" t="array" ref="E152:E152">IF(INDEX($G152:$P152,$E$6)="",$G152,INDEX($G152:$P152,$E$6))</f>
        <v>3</v>
      </c>
      <c r="F152" s="130" t="s">
        <v>612</v>
      </c>
      <c r="G152" s="156" t="n">
        <v>3</v>
      </c>
      <c r="H152" s="156"/>
      <c r="I152" s="156"/>
      <c r="J152" s="156"/>
      <c r="K152" s="156"/>
      <c r="L152" s="156"/>
      <c r="M152" s="156"/>
      <c r="N152" s="156"/>
      <c r="O152" s="156"/>
      <c r="P152" s="156"/>
    </row>
    <row r="153" customFormat="false" ht="15" hidden="false" customHeight="false" outlineLevel="0" collapsed="false">
      <c r="C153" s="0" t="s">
        <v>613</v>
      </c>
      <c r="D153" s="0" t="s">
        <v>447</v>
      </c>
      <c r="E153" s="153" t="n">
        <f aca="false" t="array" ref="E153:E153">IF(INDEX($G153:$P153,$E$6)="",$G153,INDEX($G153:$P153,$E$6))</f>
        <v>24</v>
      </c>
      <c r="F153" s="130" t="s">
        <v>614</v>
      </c>
      <c r="G153" s="155" t="n">
        <v>24</v>
      </c>
      <c r="H153" s="155"/>
      <c r="I153" s="155"/>
      <c r="J153" s="156"/>
      <c r="K153" s="156"/>
      <c r="L153" s="156"/>
      <c r="M153" s="156"/>
      <c r="N153" s="156"/>
      <c r="O153" s="156"/>
      <c r="P153" s="156"/>
    </row>
    <row r="154" customFormat="false" ht="15" hidden="false" customHeight="false" outlineLevel="0" collapsed="false">
      <c r="C154" s="0" t="s">
        <v>615</v>
      </c>
      <c r="D154" s="0" t="s">
        <v>269</v>
      </c>
      <c r="E154" s="150" t="n">
        <f aca="false">EOMONTH($E$56,E152)</f>
        <v>47299</v>
      </c>
      <c r="F154" s="130"/>
    </row>
    <row r="155" customFormat="false" ht="15" hidden="false" customHeight="false" outlineLevel="0" collapsed="false">
      <c r="C155" s="0" t="s">
        <v>616</v>
      </c>
      <c r="D155" s="0" t="s">
        <v>269</v>
      </c>
      <c r="E155" s="150" t="n">
        <f aca="false">EOMONTH(E154,E153)</f>
        <v>48029</v>
      </c>
      <c r="F155" s="130" t="s">
        <v>617</v>
      </c>
    </row>
    <row r="156" customFormat="false" ht="15" hidden="false" customHeight="false" outlineLevel="0" collapsed="false">
      <c r="C156" s="0" t="s">
        <v>114</v>
      </c>
      <c r="D156" s="0" t="s">
        <v>5</v>
      </c>
      <c r="E156" s="153" t="n">
        <f aca="false">YEAR(E155)+1</f>
        <v>2032</v>
      </c>
      <c r="F156" s="130" t="s">
        <v>618</v>
      </c>
    </row>
    <row r="157" customFormat="false" ht="15" hidden="false" customHeight="false" outlineLevel="0" collapsed="false">
      <c r="C157" s="0" t="s">
        <v>223</v>
      </c>
      <c r="D157" s="0" t="s">
        <v>619</v>
      </c>
      <c r="E157" s="153" t="n">
        <f aca="false" t="array" ref="E157:E157">IF(INDEX($G157:$P157,$E$6)="",$G157,INDEX($G157:$P157,$E$6))</f>
        <v>30</v>
      </c>
      <c r="F157" s="130" t="s">
        <v>620</v>
      </c>
      <c r="G157" s="155" t="n">
        <v>30</v>
      </c>
      <c r="H157" s="155"/>
      <c r="I157" s="155"/>
      <c r="J157" s="156"/>
      <c r="K157" s="156"/>
      <c r="L157" s="156"/>
      <c r="M157" s="156"/>
      <c r="N157" s="156"/>
      <c r="O157" s="156"/>
      <c r="P157" s="156"/>
    </row>
    <row r="158" customFormat="false" ht="15" hidden="false" customHeight="false" outlineLevel="0" collapsed="false">
      <c r="C158" s="0" t="s">
        <v>621</v>
      </c>
      <c r="D158" s="0" t="s">
        <v>5</v>
      </c>
      <c r="E158" s="153" t="n">
        <f aca="false">YEAR(E155)+E157</f>
        <v>2061</v>
      </c>
      <c r="F158" s="130"/>
    </row>
    <row r="159" customFormat="false" ht="15" hidden="false" customHeight="false" outlineLevel="0" collapsed="false">
      <c r="C159" s="0" t="s">
        <v>622</v>
      </c>
      <c r="D159" s="0" t="s">
        <v>194</v>
      </c>
      <c r="E159" s="0" t="str">
        <f aca="false">IF(E158&lt;=HTM!$AQ$5,"OK","EXTEND GRID")</f>
        <v>OK</v>
      </c>
      <c r="F159" s="130"/>
    </row>
    <row r="161" customFormat="false" ht="15" hidden="false" customHeight="false" outlineLevel="0" collapsed="false">
      <c r="C161" s="136" t="s">
        <v>623</v>
      </c>
      <c r="D161" s="136"/>
      <c r="E161" s="136"/>
      <c r="F161" s="137"/>
      <c r="G161" s="136"/>
      <c r="H161" s="136"/>
      <c r="I161" s="136"/>
      <c r="J161" s="136"/>
      <c r="K161" s="136"/>
      <c r="L161" s="136"/>
      <c r="M161" s="136"/>
      <c r="N161" s="136"/>
      <c r="O161" s="136"/>
      <c r="P161" s="136"/>
    </row>
    <row r="162" customFormat="false" ht="15" hidden="false" customHeight="false" outlineLevel="0" collapsed="false">
      <c r="C162" s="0" t="s">
        <v>624</v>
      </c>
      <c r="D162" s="0" t="s">
        <v>11</v>
      </c>
      <c r="E162" s="180" t="n">
        <f aca="false" t="array" ref="E162:E162">IF(INDEX($G162:$P162,$E$6)="",$G162,INDEX($G162:$P162,$E$6))</f>
        <v>500</v>
      </c>
      <c r="F162" s="130" t="s">
        <v>625</v>
      </c>
      <c r="G162" s="181" t="n">
        <f aca="false">Dashboard!$H$8</f>
        <v>500</v>
      </c>
      <c r="H162" s="182" t="n">
        <v>500</v>
      </c>
      <c r="I162" s="182"/>
      <c r="J162" s="183"/>
      <c r="K162" s="183"/>
      <c r="L162" s="183"/>
      <c r="M162" s="183"/>
      <c r="N162" s="183"/>
      <c r="O162" s="183"/>
      <c r="P162" s="183"/>
    </row>
    <row r="163" customFormat="false" ht="15" hidden="false" customHeight="false" outlineLevel="0" collapsed="false">
      <c r="C163" s="0" t="s">
        <v>626</v>
      </c>
      <c r="D163" s="0" t="s">
        <v>11</v>
      </c>
      <c r="E163" s="180" t="n">
        <f aca="false" t="array" ref="E163:E163">IF(INDEX($G163:$P163,$E$6)="",$G163,INDEX($G163:$P163,$E$6))*$E$172</f>
        <v>80</v>
      </c>
      <c r="F163" s="130" t="s">
        <v>627</v>
      </c>
      <c r="G163" s="182" t="n">
        <v>80</v>
      </c>
      <c r="H163" s="182"/>
      <c r="I163" s="182"/>
      <c r="J163" s="183"/>
      <c r="K163" s="183"/>
      <c r="L163" s="183"/>
      <c r="M163" s="183"/>
      <c r="N163" s="183"/>
      <c r="O163" s="183"/>
      <c r="P163" s="183"/>
    </row>
    <row r="164" customFormat="false" ht="15" hidden="false" customHeight="false" outlineLevel="0" collapsed="false">
      <c r="C164" s="0" t="s">
        <v>95</v>
      </c>
      <c r="D164" s="0" t="s">
        <v>11</v>
      </c>
      <c r="E164" s="180" t="n">
        <f aca="false" t="array" ref="E164:E164">IF(INDEX($G164:$P164,$E$6)="",$G164,INDEX($G164:$P164,$E$6))*$E$172</f>
        <v>90</v>
      </c>
      <c r="F164" s="130" t="s">
        <v>627</v>
      </c>
      <c r="G164" s="182" t="n">
        <v>90</v>
      </c>
      <c r="H164" s="182"/>
      <c r="I164" s="182"/>
      <c r="J164" s="183"/>
      <c r="K164" s="183"/>
      <c r="L164" s="183"/>
      <c r="M164" s="183"/>
      <c r="N164" s="183"/>
      <c r="O164" s="183"/>
      <c r="P164" s="183"/>
    </row>
    <row r="165" customFormat="false" ht="15" hidden="false" customHeight="false" outlineLevel="0" collapsed="false">
      <c r="C165" s="0" t="s">
        <v>628</v>
      </c>
      <c r="D165" s="0" t="s">
        <v>11</v>
      </c>
      <c r="E165" s="180" t="n">
        <f aca="false" t="array" ref="E165:E165">IF(INDEX($G165:$P165,$E$6)="",$G165,INDEX($G165:$P165,$E$6))*$E$172</f>
        <v>70</v>
      </c>
      <c r="F165" s="130" t="s">
        <v>627</v>
      </c>
      <c r="G165" s="182" t="n">
        <v>70</v>
      </c>
      <c r="H165" s="182"/>
      <c r="I165" s="182"/>
      <c r="J165" s="183"/>
      <c r="K165" s="183"/>
      <c r="L165" s="183"/>
      <c r="M165" s="183"/>
      <c r="N165" s="183"/>
      <c r="O165" s="183"/>
      <c r="P165" s="183"/>
    </row>
    <row r="166" customFormat="false" ht="15" hidden="false" customHeight="false" outlineLevel="0" collapsed="false">
      <c r="C166" s="0" t="s">
        <v>629</v>
      </c>
      <c r="D166" s="0" t="s">
        <v>11</v>
      </c>
      <c r="E166" s="180" t="n">
        <f aca="false" t="array" ref="E166:E166">IF(INDEX($G166:$P166,$E$6)="",$G166,INDEX($G166:$P166,$E$6))*$E$172</f>
        <v>60</v>
      </c>
      <c r="F166" s="130" t="s">
        <v>627</v>
      </c>
      <c r="G166" s="182" t="n">
        <v>60</v>
      </c>
      <c r="H166" s="182"/>
      <c r="I166" s="182"/>
      <c r="J166" s="183"/>
      <c r="K166" s="183"/>
      <c r="L166" s="183"/>
      <c r="M166" s="183"/>
      <c r="N166" s="183"/>
      <c r="O166" s="183"/>
      <c r="P166" s="183"/>
    </row>
    <row r="167" customFormat="false" ht="15" hidden="false" customHeight="false" outlineLevel="0" collapsed="false">
      <c r="C167" s="0" t="s">
        <v>630</v>
      </c>
      <c r="D167" s="0" t="s">
        <v>125</v>
      </c>
      <c r="E167" s="138" t="n">
        <f aca="false">IF(INDEX($G167:$P167,$E$6)="",$G167,INDEX($G167:$P167,$E$6))*In_Scale</f>
        <v>6000</v>
      </c>
      <c r="F167" s="130" t="s">
        <v>631</v>
      </c>
      <c r="G167" s="184" t="n">
        <v>12000</v>
      </c>
      <c r="H167" s="184"/>
      <c r="I167" s="184"/>
      <c r="J167" s="184"/>
      <c r="K167" s="184"/>
      <c r="L167" s="184"/>
      <c r="M167" s="184"/>
      <c r="N167" s="184"/>
      <c r="O167" s="184"/>
      <c r="P167" s="184"/>
    </row>
    <row r="168" customFormat="false" ht="15" hidden="false" customHeight="false" outlineLevel="0" collapsed="false">
      <c r="C168" s="0" t="s">
        <v>632</v>
      </c>
      <c r="D168" s="0" t="s">
        <v>633</v>
      </c>
      <c r="E168" s="138" t="n">
        <f aca="false">Dash_BESS_Capex_MWh*E21</f>
        <v>400</v>
      </c>
      <c r="F168" s="130" t="s">
        <v>634</v>
      </c>
      <c r="G168" s="184" t="n">
        <v>400</v>
      </c>
      <c r="H168" s="184"/>
      <c r="I168" s="184"/>
      <c r="J168" s="184"/>
      <c r="K168" s="184"/>
      <c r="L168" s="184"/>
      <c r="M168" s="184"/>
      <c r="N168" s="184"/>
      <c r="O168" s="184"/>
      <c r="P168" s="184"/>
    </row>
    <row r="169" customFormat="false" ht="15" hidden="false" customHeight="false" outlineLevel="0" collapsed="false">
      <c r="C169" s="0" t="s">
        <v>635</v>
      </c>
      <c r="D169" s="0" t="s">
        <v>11</v>
      </c>
      <c r="E169" s="180" t="n">
        <f aca="false" t="array" ref="E169:E169">IF(INDEX($G169:$P169,$E$6)="",$G169,INDEX($G169:$P169,$E$6))*$E$172</f>
        <v>40</v>
      </c>
      <c r="F169" s="130" t="s">
        <v>627</v>
      </c>
      <c r="G169" s="183" t="n">
        <v>40</v>
      </c>
      <c r="H169" s="183"/>
      <c r="I169" s="183"/>
      <c r="J169" s="183"/>
      <c r="K169" s="183"/>
      <c r="L169" s="183"/>
      <c r="M169" s="183"/>
      <c r="N169" s="183"/>
      <c r="O169" s="183"/>
      <c r="P169" s="183"/>
    </row>
    <row r="170" customFormat="false" ht="15" hidden="false" customHeight="false" outlineLevel="0" collapsed="false">
      <c r="C170" s="0" t="s">
        <v>636</v>
      </c>
      <c r="D170" s="0" t="s">
        <v>11</v>
      </c>
      <c r="E170" s="180" t="n">
        <f aca="false" t="array" ref="E170:E170">IF(INDEX($G170:$P170,$E$6)="",$G170,INDEX($G170:$P170,$E$6))*$E$172</f>
        <v>15</v>
      </c>
      <c r="F170" s="130" t="s">
        <v>637</v>
      </c>
      <c r="G170" s="183" t="n">
        <v>15</v>
      </c>
      <c r="H170" s="183"/>
      <c r="I170" s="183"/>
      <c r="J170" s="183"/>
      <c r="K170" s="183"/>
      <c r="L170" s="183"/>
      <c r="M170" s="183"/>
      <c r="N170" s="183"/>
      <c r="O170" s="183"/>
      <c r="P170" s="183"/>
    </row>
    <row r="171" customFormat="false" ht="15" hidden="false" customHeight="false" outlineLevel="0" collapsed="false">
      <c r="C171" s="0" t="s">
        <v>638</v>
      </c>
      <c r="D171" s="0" t="s">
        <v>11</v>
      </c>
      <c r="E171" s="180" t="n">
        <f aca="false" t="array" ref="E171:E171">IF(INDEX($G171:$P171,$E$6)="",$G171,INDEX($G171:$P171,$E$6))</f>
        <v>355</v>
      </c>
      <c r="F171" s="130" t="s">
        <v>639</v>
      </c>
      <c r="G171" s="185" t="n">
        <f aca="false">Dashboard!$H$13</f>
        <v>355</v>
      </c>
      <c r="H171" s="183"/>
      <c r="I171" s="183"/>
      <c r="J171" s="183"/>
      <c r="K171" s="183"/>
      <c r="L171" s="183"/>
      <c r="M171" s="183"/>
      <c r="N171" s="183"/>
      <c r="O171" s="183"/>
      <c r="P171" s="183"/>
    </row>
    <row r="172" customFormat="false" ht="15" hidden="false" customHeight="false" outlineLevel="0" collapsed="false">
      <c r="C172" s="0" t="s">
        <v>640</v>
      </c>
      <c r="D172" s="0" t="s">
        <v>7</v>
      </c>
      <c r="E172" s="180" t="n">
        <f aca="false">E171/(G163+G164+G165+G166+G169+G170)</f>
        <v>1</v>
      </c>
      <c r="F172" s="130" t="s">
        <v>641</v>
      </c>
      <c r="G172" s="183"/>
      <c r="H172" s="183"/>
      <c r="I172" s="183"/>
      <c r="J172" s="183"/>
      <c r="K172" s="183"/>
      <c r="L172" s="183"/>
      <c r="M172" s="183"/>
      <c r="N172" s="183"/>
      <c r="O172" s="183"/>
      <c r="P172" s="183"/>
    </row>
    <row r="173" customFormat="false" ht="15" hidden="false" customHeight="false" outlineLevel="0" collapsed="false">
      <c r="C173" s="0" t="s">
        <v>642</v>
      </c>
      <c r="D173" s="0" t="s">
        <v>51</v>
      </c>
      <c r="E173" s="141" t="n">
        <f aca="false" t="array" ref="E173:E173">IF(INDEX($G173:$P173,$E$6)="",$G173,INDEX($G173:$P173,$E$6))</f>
        <v>0.05</v>
      </c>
      <c r="F173" s="130" t="s">
        <v>627</v>
      </c>
      <c r="G173" s="186" t="n">
        <v>0.05</v>
      </c>
      <c r="H173" s="186"/>
      <c r="I173" s="186"/>
      <c r="J173" s="186"/>
      <c r="K173" s="186"/>
      <c r="L173" s="186"/>
      <c r="M173" s="186"/>
      <c r="N173" s="186"/>
      <c r="O173" s="186"/>
      <c r="P173" s="186"/>
    </row>
    <row r="174" customFormat="false" ht="15" hidden="false" customHeight="false" outlineLevel="0" collapsed="false">
      <c r="C174" s="0" t="s">
        <v>643</v>
      </c>
      <c r="D174" s="0" t="s">
        <v>125</v>
      </c>
      <c r="E174" s="138" t="n">
        <f aca="false">Deposits!$M$18+Deposits!$M$12</f>
        <v>19483.0232931507</v>
      </c>
      <c r="F174" s="130" t="s">
        <v>644</v>
      </c>
    </row>
    <row r="175" customFormat="false" ht="15" hidden="false" customHeight="false" outlineLevel="0" collapsed="false">
      <c r="C175" s="0" t="s">
        <v>645</v>
      </c>
      <c r="D175" s="0" t="s">
        <v>1</v>
      </c>
      <c r="E175" s="180" t="n">
        <f aca="false">(SUM(E162:E166)+E169+E170)*(1+E173)+E167*(1+E173)/In_Wind_Built+E168*E20/In_Wind_Built</f>
        <v>1032.40783664459</v>
      </c>
      <c r="F175" s="130"/>
    </row>
    <row r="176" customFormat="false" ht="15" hidden="false" customHeight="false" outlineLevel="0" collapsed="false">
      <c r="C176" s="0" t="s">
        <v>646</v>
      </c>
      <c r="D176" s="0" t="s">
        <v>1</v>
      </c>
      <c r="E176" s="180" t="n">
        <f aca="false">E175+E174/In_Wind_Built</f>
        <v>1175.77077478404</v>
      </c>
      <c r="F176" s="130" t="s">
        <v>647</v>
      </c>
    </row>
    <row r="177" customFormat="false" ht="15" hidden="false" customHeight="false" outlineLevel="0" collapsed="false">
      <c r="C177" s="0" t="s">
        <v>648</v>
      </c>
      <c r="D177" s="0" t="s">
        <v>11</v>
      </c>
      <c r="E177" s="180" t="n">
        <f aca="false" t="array" ref="E177:E177">IF(INDEX($G177:$P177,$E$6)="",$G177,INDEX($G177:$P177,$E$6))</f>
        <v>30</v>
      </c>
      <c r="F177" s="130" t="s">
        <v>627</v>
      </c>
      <c r="G177" s="183" t="n">
        <v>30</v>
      </c>
      <c r="H177" s="183"/>
      <c r="I177" s="183"/>
      <c r="J177" s="183"/>
      <c r="K177" s="183"/>
      <c r="L177" s="183"/>
      <c r="M177" s="183"/>
      <c r="N177" s="183"/>
      <c r="O177" s="183"/>
      <c r="P177" s="183"/>
    </row>
    <row r="178" customFormat="false" ht="15" hidden="false" customHeight="false" outlineLevel="0" collapsed="false">
      <c r="C178" s="0" t="s">
        <v>649</v>
      </c>
      <c r="D178" s="0" t="s">
        <v>11</v>
      </c>
      <c r="E178" s="180" t="n">
        <f aca="false" t="array" ref="E178:E178">IF(INDEX($G178:$P178,$E$6)="",$G178,INDEX($G178:$P178,$E$6))</f>
        <v>0</v>
      </c>
      <c r="F178" s="130" t="s">
        <v>650</v>
      </c>
      <c r="G178" s="187" t="n">
        <v>0</v>
      </c>
      <c r="H178" s="187"/>
      <c r="I178" s="187"/>
      <c r="J178" s="187"/>
      <c r="K178" s="187"/>
      <c r="L178" s="187"/>
      <c r="M178" s="187"/>
      <c r="N178" s="187"/>
      <c r="O178" s="187"/>
      <c r="P178" s="187"/>
    </row>
    <row r="180" customFormat="false" ht="15" hidden="false" customHeight="false" outlineLevel="0" collapsed="false">
      <c r="C180" s="136" t="s">
        <v>651</v>
      </c>
      <c r="D180" s="136"/>
      <c r="E180" s="136"/>
      <c r="F180" s="137"/>
      <c r="G180" s="136"/>
      <c r="H180" s="136"/>
      <c r="I180" s="136"/>
      <c r="J180" s="136"/>
      <c r="K180" s="136"/>
      <c r="L180" s="136"/>
      <c r="M180" s="136"/>
      <c r="N180" s="136"/>
      <c r="O180" s="136"/>
      <c r="P180" s="136"/>
    </row>
    <row r="181" customFormat="false" ht="15" hidden="false" customHeight="false" outlineLevel="0" collapsed="false">
      <c r="C181" s="0" t="s">
        <v>652</v>
      </c>
      <c r="D181" s="0" t="s">
        <v>653</v>
      </c>
      <c r="E181" s="138" t="n">
        <f aca="false" t="array" ref="E181:E181">IF(INDEX($G181:$P181,$E$6)="",$G181,INDEX($G181:$P181,$E$6))</f>
        <v>2500</v>
      </c>
      <c r="F181" s="130" t="s">
        <v>654</v>
      </c>
      <c r="G181" s="188" t="n">
        <f aca="false">Dashboard!$H$10</f>
        <v>2500</v>
      </c>
      <c r="H181" s="145"/>
      <c r="I181" s="145"/>
      <c r="J181" s="140"/>
      <c r="K181" s="140"/>
      <c r="L181" s="140"/>
      <c r="M181" s="140"/>
      <c r="N181" s="140"/>
      <c r="O181" s="140"/>
      <c r="P181" s="140"/>
    </row>
    <row r="182" customFormat="false" ht="15" hidden="false" customHeight="false" outlineLevel="0" collapsed="false">
      <c r="C182" s="0" t="s">
        <v>655</v>
      </c>
      <c r="D182" s="0" t="s">
        <v>51</v>
      </c>
      <c r="E182" s="141" t="n">
        <f aca="false" t="array" ref="E182:E182">IF(INDEX($G182:$P182,$E$6)="",$G182,INDEX($G182:$P182,$E$6))</f>
        <v>0</v>
      </c>
      <c r="F182" s="130" t="s">
        <v>656</v>
      </c>
      <c r="G182" s="157" t="n">
        <v>0</v>
      </c>
      <c r="H182" s="157"/>
      <c r="I182" s="157"/>
      <c r="J182" s="143"/>
      <c r="K182" s="143"/>
      <c r="L182" s="143"/>
      <c r="M182" s="143"/>
      <c r="N182" s="143"/>
      <c r="O182" s="143"/>
      <c r="P182" s="143"/>
    </row>
    <row r="183" customFormat="false" ht="15" hidden="false" customHeight="false" outlineLevel="0" collapsed="false">
      <c r="C183" s="0" t="s">
        <v>657</v>
      </c>
      <c r="D183" s="0" t="s">
        <v>51</v>
      </c>
      <c r="E183" s="141" t="n">
        <f aca="false" t="array" ref="E183:E183">IF(INDEX($G183:$P183,$E$6)="",$G183,INDEX($G183:$P183,$E$6))</f>
        <v>0.02</v>
      </c>
      <c r="F183" s="130" t="s">
        <v>627</v>
      </c>
      <c r="G183" s="157" t="n">
        <v>0.02</v>
      </c>
      <c r="H183" s="157"/>
      <c r="I183" s="157"/>
      <c r="J183" s="186"/>
      <c r="K183" s="186"/>
      <c r="L183" s="186"/>
      <c r="M183" s="186"/>
      <c r="N183" s="186"/>
      <c r="O183" s="186"/>
      <c r="P183" s="186"/>
    </row>
    <row r="184" customFormat="false" ht="15" hidden="false" customHeight="false" outlineLevel="0" collapsed="false">
      <c r="C184" s="0" t="s">
        <v>658</v>
      </c>
      <c r="D184" s="0" t="s">
        <v>486</v>
      </c>
      <c r="E184" s="141" t="n">
        <f aca="false" t="array" ref="E184:E184">IF(INDEX($G184:$P184,$E$6)="",$G184,INDEX($G184:$P184,$E$6))</f>
        <v>0.003</v>
      </c>
      <c r="F184" s="130" t="s">
        <v>659</v>
      </c>
      <c r="G184" s="157" t="n">
        <v>0.003</v>
      </c>
      <c r="H184" s="157"/>
      <c r="I184" s="157"/>
      <c r="J184" s="186"/>
      <c r="K184" s="186"/>
      <c r="L184" s="186"/>
      <c r="M184" s="186"/>
      <c r="N184" s="186"/>
      <c r="O184" s="186"/>
      <c r="P184" s="186"/>
    </row>
    <row r="185" customFormat="false" ht="15" hidden="false" customHeight="false" outlineLevel="0" collapsed="false">
      <c r="C185" s="0" t="s">
        <v>660</v>
      </c>
      <c r="D185" s="0" t="s">
        <v>7</v>
      </c>
      <c r="E185" s="189" t="n">
        <f aca="false" t="array" ref="E185:E185">IF(INDEX($G185:$P185,$E$6)="",$G185,INDEX($G185:$P185,$E$6))</f>
        <v>1</v>
      </c>
      <c r="F185" s="130" t="s">
        <v>661</v>
      </c>
      <c r="G185" s="190" t="n">
        <v>1</v>
      </c>
      <c r="H185" s="190"/>
      <c r="I185" s="190"/>
      <c r="J185" s="190"/>
      <c r="K185" s="190"/>
      <c r="L185" s="190"/>
      <c r="M185" s="190"/>
      <c r="N185" s="190"/>
      <c r="O185" s="190"/>
      <c r="P185" s="190"/>
    </row>
    <row r="186" customFormat="false" ht="15" hidden="false" customHeight="false" outlineLevel="0" collapsed="false">
      <c r="C186" s="0" t="s">
        <v>662</v>
      </c>
      <c r="D186" s="0" t="s">
        <v>7</v>
      </c>
      <c r="E186" s="189" t="n">
        <f aca="false" t="array" ref="E186:E186">IF(INDEX($G186:$P186,$E$6)="",$G186,INDEX($G186:$P186,$E$6))</f>
        <v>1</v>
      </c>
      <c r="F186" s="130" t="s">
        <v>663</v>
      </c>
      <c r="G186" s="191" t="n">
        <v>1</v>
      </c>
      <c r="H186" s="191"/>
      <c r="I186" s="191"/>
      <c r="J186" s="190"/>
      <c r="K186" s="190"/>
      <c r="L186" s="190"/>
      <c r="M186" s="190"/>
      <c r="N186" s="190"/>
      <c r="O186" s="190"/>
      <c r="P186" s="190"/>
    </row>
    <row r="187" customFormat="false" ht="15" hidden="false" customHeight="false" outlineLevel="0" collapsed="false">
      <c r="C187" s="136" t="s">
        <v>664</v>
      </c>
      <c r="D187" s="136"/>
      <c r="E187" s="136"/>
      <c r="F187" s="137"/>
      <c r="G187" s="136"/>
      <c r="H187" s="136"/>
      <c r="I187" s="136"/>
      <c r="J187" s="136"/>
      <c r="K187" s="136"/>
      <c r="L187" s="136"/>
      <c r="M187" s="136"/>
      <c r="N187" s="136"/>
      <c r="O187" s="136"/>
      <c r="P187" s="136"/>
    </row>
    <row r="188" customFormat="false" ht="15" hidden="false" customHeight="false" outlineLevel="0" collapsed="false">
      <c r="C188" s="0" t="s">
        <v>665</v>
      </c>
      <c r="D188" s="0" t="s">
        <v>421</v>
      </c>
      <c r="E188" s="153" t="n">
        <f aca="false" t="array" ref="E188:E188">IF(INDEX($G188:$P188,$E$6)="",$G188,INDEX($G188:$P188,$E$6))</f>
        <v>1</v>
      </c>
      <c r="F188" s="130" t="s">
        <v>666</v>
      </c>
      <c r="G188" s="192" t="n">
        <v>1</v>
      </c>
      <c r="H188" s="192"/>
      <c r="I188" s="192"/>
      <c r="J188" s="192"/>
      <c r="K188" s="192"/>
      <c r="L188" s="192"/>
      <c r="M188" s="192"/>
      <c r="N188" s="192"/>
      <c r="O188" s="192"/>
      <c r="P188" s="192"/>
    </row>
    <row r="189" customFormat="false" ht="15" hidden="false" customHeight="false" outlineLevel="0" collapsed="false">
      <c r="C189" s="0" t="s">
        <v>667</v>
      </c>
      <c r="D189" s="0" t="s">
        <v>253</v>
      </c>
      <c r="E189" s="180" t="n">
        <f aca="false" t="array" ref="E189:E189">IF(INDEX($G189:$P189,$E$6)="",$G189,INDEX($G189:$P189,$E$6))</f>
        <v>100</v>
      </c>
      <c r="F189" s="130" t="s">
        <v>668</v>
      </c>
      <c r="G189" s="183" t="n">
        <v>100</v>
      </c>
      <c r="H189" s="183"/>
      <c r="I189" s="183"/>
      <c r="J189" s="183"/>
      <c r="K189" s="183"/>
      <c r="L189" s="183"/>
      <c r="M189" s="183"/>
      <c r="N189" s="183"/>
      <c r="O189" s="183"/>
      <c r="P189" s="183"/>
    </row>
    <row r="190" customFormat="false" ht="15" hidden="false" customHeight="false" outlineLevel="0" collapsed="false">
      <c r="C190" s="0" t="s">
        <v>669</v>
      </c>
      <c r="D190" s="0" t="s">
        <v>486</v>
      </c>
      <c r="E190" s="141" t="n">
        <f aca="false" t="array" ref="E190:E190">IF(INDEX($G190:$P190,$E$6)="",$G190,INDEX($G190:$P190,$E$6))</f>
        <v>0.02</v>
      </c>
      <c r="F190" s="130" t="s">
        <v>627</v>
      </c>
      <c r="G190" s="186" t="n">
        <v>0.02</v>
      </c>
      <c r="H190" s="186"/>
      <c r="I190" s="186"/>
      <c r="J190" s="186"/>
      <c r="K190" s="186"/>
      <c r="L190" s="186"/>
      <c r="M190" s="186"/>
      <c r="N190" s="186"/>
      <c r="O190" s="186"/>
      <c r="P190" s="186"/>
    </row>
    <row r="191" customFormat="false" ht="15" hidden="false" customHeight="false" outlineLevel="0" collapsed="false">
      <c r="C191" s="0" t="s">
        <v>670</v>
      </c>
      <c r="D191" s="0" t="s">
        <v>51</v>
      </c>
      <c r="E191" s="141" t="n">
        <f aca="false" t="array" ref="E191:E191">IF(INDEX($G191:$P191,$E$6)="",$G191,INDEX($G191:$P191,$E$6))</f>
        <v>0.85</v>
      </c>
      <c r="F191" s="130" t="s">
        <v>671</v>
      </c>
      <c r="G191" s="186" t="n">
        <v>0.85</v>
      </c>
      <c r="H191" s="186"/>
      <c r="I191" s="186"/>
      <c r="J191" s="186"/>
      <c r="K191" s="186"/>
      <c r="L191" s="186"/>
      <c r="M191" s="186"/>
      <c r="N191" s="186"/>
      <c r="O191" s="186"/>
      <c r="P191" s="186"/>
    </row>
    <row r="192" customFormat="false" ht="15" hidden="false" customHeight="false" outlineLevel="0" collapsed="false">
      <c r="C192" s="0" t="s">
        <v>672</v>
      </c>
      <c r="D192" s="0" t="s">
        <v>51</v>
      </c>
      <c r="E192" s="141" t="n">
        <f aca="false" t="array" ref="E192:E192">IF(INDEX($G192:$P192,$E$6)="",$G192,INDEX($G192:$P192,$E$6))</f>
        <v>0</v>
      </c>
      <c r="F192" s="130" t="s">
        <v>673</v>
      </c>
      <c r="G192" s="157" t="n">
        <v>0</v>
      </c>
      <c r="H192" s="157"/>
      <c r="I192" s="157"/>
      <c r="J192" s="143"/>
      <c r="K192" s="143"/>
      <c r="L192" s="143"/>
      <c r="M192" s="143"/>
      <c r="N192" s="143"/>
      <c r="O192" s="143"/>
      <c r="P192" s="143"/>
    </row>
    <row r="193" customFormat="false" ht="15" hidden="false" customHeight="false" outlineLevel="0" collapsed="false">
      <c r="C193" s="0" t="s">
        <v>674</v>
      </c>
      <c r="D193" s="0" t="s">
        <v>253</v>
      </c>
      <c r="E193" s="180" t="n">
        <f aca="false" t="array" ref="E193:E193">IF(INDEX($G193:$P193,$E$6)="",$G193,INDEX($G193:$P193,$E$6))</f>
        <v>90</v>
      </c>
      <c r="F193" s="130" t="s">
        <v>627</v>
      </c>
      <c r="G193" s="181" t="n">
        <f aca="false">Dashboard!$H$9</f>
        <v>90</v>
      </c>
      <c r="H193" s="182"/>
      <c r="I193" s="182"/>
      <c r="J193" s="183"/>
      <c r="K193" s="183"/>
      <c r="L193" s="183"/>
      <c r="M193" s="183"/>
      <c r="N193" s="183"/>
      <c r="O193" s="183"/>
      <c r="P193" s="183"/>
    </row>
    <row r="194" customFormat="false" ht="15" hidden="false" customHeight="false" outlineLevel="0" collapsed="false">
      <c r="C194" s="0" t="s">
        <v>675</v>
      </c>
      <c r="D194" s="0" t="s">
        <v>486</v>
      </c>
      <c r="E194" s="141" t="n">
        <f aca="false" t="array" ref="E194:E194">IF(INDEX($G194:$P194,$E$6)="",$G194,INDEX($G194:$P194,$E$6))</f>
        <v>0.01</v>
      </c>
      <c r="F194" s="130"/>
      <c r="G194" s="157" t="n">
        <v>0.01</v>
      </c>
      <c r="H194" s="157"/>
      <c r="I194" s="157"/>
      <c r="J194" s="143"/>
      <c r="K194" s="143"/>
      <c r="L194" s="143"/>
      <c r="M194" s="143"/>
      <c r="N194" s="143"/>
      <c r="O194" s="143"/>
      <c r="P194" s="143"/>
    </row>
    <row r="195" customFormat="false" ht="15" hidden="false" customHeight="false" outlineLevel="0" collapsed="false">
      <c r="C195" s="0" t="s">
        <v>676</v>
      </c>
      <c r="D195" s="0" t="s">
        <v>619</v>
      </c>
      <c r="E195" s="153" t="n">
        <f aca="false" t="array" ref="E195:E195">IF(INDEX($G195:$P195,$E$6)="",$G195,INDEX($G195:$P195,$E$6))</f>
        <v>30</v>
      </c>
      <c r="F195" s="130" t="s">
        <v>677</v>
      </c>
      <c r="G195" s="155" t="n">
        <v>30</v>
      </c>
      <c r="H195" s="155"/>
      <c r="I195" s="155"/>
      <c r="J195" s="156"/>
      <c r="K195" s="156"/>
      <c r="L195" s="156"/>
      <c r="M195" s="156"/>
      <c r="N195" s="156"/>
      <c r="O195" s="156"/>
      <c r="P195" s="156"/>
    </row>
    <row r="196" customFormat="false" ht="15" hidden="false" customHeight="false" outlineLevel="0" collapsed="false">
      <c r="C196" s="0" t="s">
        <v>678</v>
      </c>
      <c r="D196" s="0" t="s">
        <v>253</v>
      </c>
      <c r="E196" s="180" t="n">
        <f aca="false" t="array" ref="E196:E196">IF(INDEX($G196:$P196,$E$6)="",$G196,INDEX($G196:$P196,$E$6))</f>
        <v>4</v>
      </c>
      <c r="F196" s="130" t="s">
        <v>679</v>
      </c>
      <c r="G196" s="183" t="n">
        <v>4</v>
      </c>
      <c r="H196" s="183"/>
      <c r="I196" s="183"/>
      <c r="J196" s="183"/>
      <c r="K196" s="183"/>
      <c r="L196" s="183"/>
      <c r="M196" s="183"/>
      <c r="N196" s="183"/>
      <c r="O196" s="183"/>
      <c r="P196" s="183"/>
    </row>
    <row r="197" customFormat="false" ht="15" hidden="false" customHeight="false" outlineLevel="0" collapsed="false">
      <c r="C197" s="0" t="s">
        <v>680</v>
      </c>
      <c r="D197" s="0" t="s">
        <v>253</v>
      </c>
      <c r="E197" s="180" t="n">
        <f aca="false" t="array" ref="E197:E197">IF(INDEX($G197:$P197,$E$6)="",$G197,INDEX($G197:$P197,$E$6))</f>
        <v>1</v>
      </c>
      <c r="F197" s="130" t="s">
        <v>627</v>
      </c>
      <c r="G197" s="183" t="n">
        <v>1</v>
      </c>
      <c r="H197" s="183"/>
      <c r="I197" s="183"/>
      <c r="J197" s="183"/>
      <c r="K197" s="183"/>
      <c r="L197" s="183"/>
      <c r="M197" s="183"/>
      <c r="N197" s="183"/>
      <c r="O197" s="183"/>
      <c r="P197" s="183"/>
    </row>
    <row r="198" customFormat="false" ht="15" hidden="false" customHeight="false" outlineLevel="0" collapsed="false">
      <c r="C198" s="0" t="s">
        <v>681</v>
      </c>
      <c r="D198" s="0" t="s">
        <v>682</v>
      </c>
      <c r="E198" s="44" t="n">
        <f aca="false" t="array" ref="E198:E198">IF(INDEX($G198:$P198,$E$6)="",$G198,INDEX($G198:$P198,$E$6))</f>
        <v>0.001</v>
      </c>
      <c r="F198" s="130"/>
      <c r="G198" s="173" t="n">
        <v>0.001</v>
      </c>
      <c r="H198" s="173"/>
      <c r="I198" s="173"/>
      <c r="J198" s="173"/>
      <c r="K198" s="173"/>
      <c r="L198" s="173"/>
      <c r="M198" s="173"/>
      <c r="N198" s="173"/>
      <c r="O198" s="173"/>
      <c r="P198" s="173"/>
    </row>
    <row r="199" customFormat="false" ht="15" hidden="false" customHeight="false" outlineLevel="0" collapsed="false">
      <c r="C199" s="0" t="s">
        <v>683</v>
      </c>
      <c r="D199" s="0" t="s">
        <v>421</v>
      </c>
      <c r="E199" s="153" t="n">
        <f aca="false" t="array" ref="E199:E199">IF(INDEX($G199:$P199,$E$6)="",$G199,INDEX($G199:$P199,$E$6))</f>
        <v>0</v>
      </c>
      <c r="F199" s="130" t="s">
        <v>684</v>
      </c>
      <c r="G199" s="155" t="n">
        <v>0</v>
      </c>
      <c r="H199" s="155"/>
      <c r="I199" s="155"/>
      <c r="J199" s="192"/>
      <c r="K199" s="192"/>
      <c r="L199" s="192"/>
      <c r="M199" s="192"/>
      <c r="N199" s="192"/>
      <c r="O199" s="192"/>
      <c r="P199" s="192"/>
    </row>
    <row r="200" customFormat="false" ht="15" hidden="false" customHeight="false" outlineLevel="0" collapsed="false">
      <c r="C200" s="0" t="s">
        <v>685</v>
      </c>
      <c r="D200" s="0" t="s">
        <v>51</v>
      </c>
      <c r="E200" s="141" t="n">
        <f aca="false" t="array" ref="E200:E200">IF(INDEX($G200:$P200,$E$6)="",$G200,INDEX($G200:$P200,$E$6))</f>
        <v>0.31</v>
      </c>
      <c r="F200" s="130"/>
      <c r="G200" s="143" t="n">
        <v>0.31</v>
      </c>
      <c r="H200" s="143"/>
      <c r="I200" s="143"/>
      <c r="J200" s="143"/>
      <c r="K200" s="143"/>
      <c r="L200" s="143"/>
      <c r="M200" s="143"/>
      <c r="N200" s="143"/>
      <c r="O200" s="143"/>
      <c r="P200" s="143"/>
    </row>
    <row r="201" customFormat="false" ht="15" hidden="false" customHeight="false" outlineLevel="0" collapsed="false">
      <c r="C201" s="0" t="s">
        <v>686</v>
      </c>
      <c r="D201" s="0" t="s">
        <v>421</v>
      </c>
      <c r="E201" s="153" t="n">
        <f aca="false" t="array" ref="E201:E201">IF(INDEX($G201:$P201,$E$6)="",$G201,INDEX($G201:$P201,$E$6))</f>
        <v>2</v>
      </c>
      <c r="F201" s="130" t="s">
        <v>687</v>
      </c>
      <c r="G201" s="155" t="n">
        <v>2</v>
      </c>
      <c r="H201" s="155" t="n">
        <v>2</v>
      </c>
      <c r="I201" s="155"/>
      <c r="J201" s="156"/>
      <c r="K201" s="156"/>
      <c r="L201" s="156"/>
      <c r="M201" s="156"/>
      <c r="N201" s="156"/>
      <c r="O201" s="156"/>
      <c r="P201" s="156"/>
    </row>
    <row r="202" customFormat="false" ht="15" hidden="false" customHeight="false" outlineLevel="0" collapsed="false">
      <c r="C202" s="136" t="s">
        <v>688</v>
      </c>
      <c r="D202" s="136"/>
      <c r="E202" s="136"/>
      <c r="F202" s="137"/>
      <c r="G202" s="136"/>
      <c r="H202" s="136"/>
      <c r="I202" s="136"/>
      <c r="J202" s="136"/>
      <c r="K202" s="136"/>
      <c r="L202" s="136"/>
      <c r="M202" s="136"/>
      <c r="N202" s="136"/>
      <c r="O202" s="136"/>
      <c r="P202" s="136"/>
    </row>
    <row r="203" customFormat="false" ht="15" hidden="false" customHeight="false" outlineLevel="0" collapsed="false">
      <c r="C203" s="0" t="s">
        <v>689</v>
      </c>
      <c r="D203" s="0" t="s">
        <v>44</v>
      </c>
      <c r="E203" s="180" t="n">
        <f aca="false" t="array" ref="E203:E203">IF(INDEX($G203:$P203,$E$6)="",$G203,INDEX($G203:$P203,$E$6))</f>
        <v>12</v>
      </c>
      <c r="F203" s="130" t="s">
        <v>690</v>
      </c>
      <c r="G203" s="181" t="n">
        <f aca="false">Dashboard!$H$11</f>
        <v>12</v>
      </c>
      <c r="H203" s="182"/>
      <c r="I203" s="182"/>
      <c r="J203" s="183"/>
      <c r="K203" s="183"/>
      <c r="L203" s="183"/>
      <c r="M203" s="183"/>
      <c r="N203" s="183"/>
      <c r="O203" s="183"/>
      <c r="P203" s="183"/>
    </row>
    <row r="204" customFormat="false" ht="15" hidden="false" customHeight="false" outlineLevel="0" collapsed="false">
      <c r="C204" s="0" t="s">
        <v>691</v>
      </c>
      <c r="D204" s="0" t="s">
        <v>44</v>
      </c>
      <c r="E204" s="180" t="n">
        <f aca="false" t="array" ref="E204:E204">IF(INDEX($G204:$P204,$E$6)="",$G204,INDEX($G204:$P204,$E$6))</f>
        <v>3</v>
      </c>
      <c r="F204" s="130" t="s">
        <v>627</v>
      </c>
      <c r="G204" s="182" t="n">
        <v>3</v>
      </c>
      <c r="H204" s="182"/>
      <c r="I204" s="182"/>
      <c r="J204" s="183"/>
      <c r="K204" s="183"/>
      <c r="L204" s="183"/>
      <c r="M204" s="183"/>
      <c r="N204" s="183"/>
      <c r="O204" s="183"/>
      <c r="P204" s="183"/>
    </row>
    <row r="205" customFormat="false" ht="15" hidden="false" customHeight="false" outlineLevel="0" collapsed="false">
      <c r="C205" s="0" t="s">
        <v>692</v>
      </c>
      <c r="D205" s="0" t="s">
        <v>44</v>
      </c>
      <c r="E205" s="180" t="n">
        <f aca="false" t="array" ref="E205:E205">IF(INDEX($G205:$P205,$E$6)="",$G205,INDEX($G205:$P205,$E$6))</f>
        <v>3</v>
      </c>
      <c r="F205" s="130" t="s">
        <v>693</v>
      </c>
      <c r="G205" s="182" t="n">
        <v>3</v>
      </c>
      <c r="H205" s="182"/>
      <c r="I205" s="182"/>
      <c r="J205" s="183"/>
      <c r="K205" s="183"/>
      <c r="L205" s="183"/>
      <c r="M205" s="183"/>
      <c r="N205" s="183"/>
      <c r="O205" s="183"/>
      <c r="P205" s="183"/>
    </row>
    <row r="206" customFormat="false" ht="15" hidden="false" customHeight="false" outlineLevel="0" collapsed="false">
      <c r="C206" s="0" t="s">
        <v>694</v>
      </c>
      <c r="D206" s="0" t="s">
        <v>44</v>
      </c>
      <c r="E206" s="180" t="n">
        <f aca="false" t="array" ref="E206:E206">IF(INDEX($G206:$P206,$E$6)="",$G206,INDEX($G206:$P206,$E$6))</f>
        <v>2.5</v>
      </c>
      <c r="F206" s="130" t="s">
        <v>627</v>
      </c>
      <c r="G206" s="183" t="n">
        <v>2.5</v>
      </c>
      <c r="H206" s="183"/>
      <c r="I206" s="183"/>
      <c r="J206" s="183"/>
      <c r="K206" s="183"/>
      <c r="L206" s="183"/>
      <c r="M206" s="183"/>
      <c r="N206" s="183"/>
      <c r="O206" s="183"/>
      <c r="P206" s="183"/>
    </row>
    <row r="207" customFormat="false" ht="15" hidden="false" customHeight="false" outlineLevel="0" collapsed="false">
      <c r="C207" s="0" t="s">
        <v>695</v>
      </c>
      <c r="D207" s="0" t="s">
        <v>44</v>
      </c>
      <c r="E207" s="180" t="n">
        <f aca="false" t="array" ref="E207:E207">IF(INDEX($G207:$P207,$E$6)="",$G207,INDEX($G207:$P207,$E$6))</f>
        <v>1.5</v>
      </c>
      <c r="F207" s="130" t="s">
        <v>627</v>
      </c>
      <c r="G207" s="183" t="n">
        <v>1.5</v>
      </c>
      <c r="H207" s="183"/>
      <c r="I207" s="183"/>
      <c r="J207" s="183"/>
      <c r="K207" s="183"/>
      <c r="L207" s="183"/>
      <c r="M207" s="183"/>
      <c r="N207" s="183"/>
      <c r="O207" s="183"/>
      <c r="P207" s="183"/>
    </row>
    <row r="208" customFormat="false" ht="15" hidden="false" customHeight="false" outlineLevel="0" collapsed="false">
      <c r="C208" s="0" t="s">
        <v>696</v>
      </c>
      <c r="D208" s="0" t="s">
        <v>44</v>
      </c>
      <c r="E208" s="180" t="n">
        <f aca="false" t="array" ref="E208:E208">IF(INDEX($G208:$P208,$E$6)="",$G208,INDEX($G208:$P208,$E$6))</f>
        <v>3</v>
      </c>
      <c r="F208" s="130" t="s">
        <v>697</v>
      </c>
      <c r="G208" s="183" t="n">
        <v>3</v>
      </c>
      <c r="H208" s="183"/>
      <c r="I208" s="183"/>
      <c r="J208" s="183"/>
      <c r="K208" s="183"/>
      <c r="L208" s="183"/>
      <c r="M208" s="183"/>
      <c r="N208" s="183"/>
      <c r="O208" s="183"/>
      <c r="P208" s="183"/>
    </row>
    <row r="209" customFormat="false" ht="15" hidden="false" customHeight="false" outlineLevel="0" collapsed="false">
      <c r="C209" s="0" t="s">
        <v>698</v>
      </c>
      <c r="D209" s="0" t="s">
        <v>699</v>
      </c>
      <c r="E209" s="138" t="n">
        <f aca="false">IF(INDEX($G209:$P209,$E$6)="",$G209,INDEX($G209:$P209,$E$6))*In_Scale</f>
        <v>75</v>
      </c>
      <c r="F209" s="130" t="s">
        <v>627</v>
      </c>
      <c r="G209" s="184" t="n">
        <v>150</v>
      </c>
      <c r="H209" s="184"/>
      <c r="I209" s="184"/>
      <c r="J209" s="184"/>
      <c r="K209" s="184"/>
      <c r="L209" s="184"/>
      <c r="M209" s="184"/>
      <c r="N209" s="184"/>
      <c r="O209" s="184"/>
      <c r="P209" s="184"/>
    </row>
    <row r="210" customFormat="false" ht="15" hidden="false" customHeight="false" outlineLevel="0" collapsed="false">
      <c r="C210" s="0" t="s">
        <v>700</v>
      </c>
      <c r="D210" s="0" t="s">
        <v>51</v>
      </c>
      <c r="E210" s="141" t="n">
        <f aca="false" t="array" ref="E210:E210">IF(INDEX($G210:$P210,$E$6)="",$G210,INDEX($G210:$P210,$E$6))</f>
        <v>0.05</v>
      </c>
      <c r="F210" s="130" t="s">
        <v>627</v>
      </c>
      <c r="G210" s="186" t="n">
        <v>0.05</v>
      </c>
      <c r="H210" s="186"/>
      <c r="I210" s="186"/>
      <c r="J210" s="186"/>
      <c r="K210" s="186"/>
      <c r="L210" s="186"/>
      <c r="M210" s="186"/>
      <c r="N210" s="186"/>
      <c r="O210" s="186"/>
      <c r="P210" s="186"/>
    </row>
    <row r="211" customFormat="false" ht="15" hidden="false" customHeight="false" outlineLevel="0" collapsed="false">
      <c r="C211" s="0" t="s">
        <v>701</v>
      </c>
      <c r="D211" s="0" t="s">
        <v>486</v>
      </c>
      <c r="E211" s="141" t="n">
        <f aca="false" t="array" ref="E211:E211">IF(INDEX($G211:$P211,$E$6)="",$G211,INDEX($G211:$P211,$E$6))</f>
        <v>0.025</v>
      </c>
      <c r="F211" s="130" t="s">
        <v>702</v>
      </c>
      <c r="G211" s="157" t="n">
        <v>0.025</v>
      </c>
      <c r="H211" s="157"/>
      <c r="I211" s="157"/>
      <c r="J211" s="186"/>
      <c r="K211" s="186"/>
      <c r="L211" s="186"/>
      <c r="M211" s="186"/>
      <c r="N211" s="186"/>
      <c r="O211" s="186"/>
      <c r="P211" s="186"/>
    </row>
    <row r="212" customFormat="false" ht="15" hidden="false" customHeight="false" outlineLevel="0" collapsed="false">
      <c r="C212" s="0" t="s">
        <v>703</v>
      </c>
      <c r="D212" s="0" t="s">
        <v>682</v>
      </c>
      <c r="E212" s="44" t="n">
        <f aca="false" t="array" ref="E212:E212">IF(INDEX($G212:$P212,$E$6)="",$G212,INDEX($G212:$P212,$E$6))</f>
        <v>0.02</v>
      </c>
      <c r="F212" s="130" t="s">
        <v>704</v>
      </c>
      <c r="G212" s="193" t="n">
        <v>0.02</v>
      </c>
      <c r="H212" s="193"/>
      <c r="I212" s="193"/>
      <c r="J212" s="193"/>
      <c r="K212" s="193"/>
      <c r="L212" s="193"/>
      <c r="M212" s="193"/>
      <c r="N212" s="193"/>
      <c r="O212" s="193"/>
      <c r="P212" s="193"/>
    </row>
    <row r="214" customFormat="false" ht="15" hidden="false" customHeight="false" outlineLevel="0" collapsed="false">
      <c r="C214" s="136" t="s">
        <v>705</v>
      </c>
      <c r="D214" s="136"/>
      <c r="E214" s="136"/>
      <c r="F214" s="137"/>
      <c r="G214" s="136"/>
      <c r="H214" s="136"/>
      <c r="I214" s="136"/>
      <c r="J214" s="136"/>
      <c r="K214" s="136"/>
      <c r="L214" s="136"/>
      <c r="M214" s="136"/>
      <c r="N214" s="136"/>
      <c r="O214" s="136"/>
      <c r="P214" s="136"/>
    </row>
    <row r="215" customFormat="false" ht="15" hidden="false" customHeight="false" outlineLevel="0" collapsed="false">
      <c r="C215" s="0" t="s">
        <v>706</v>
      </c>
      <c r="D215" s="0" t="s">
        <v>619</v>
      </c>
      <c r="E215" s="153" t="n">
        <f aca="false" t="array" ref="E215:E215">IF(INDEX($G215:$P215,$E$6)="",$G215,INDEX($G215:$P215,$E$6))</f>
        <v>20</v>
      </c>
      <c r="F215" s="130" t="s">
        <v>707</v>
      </c>
      <c r="G215" s="192" t="n">
        <v>20</v>
      </c>
      <c r="H215" s="192"/>
      <c r="I215" s="192"/>
      <c r="J215" s="192"/>
      <c r="K215" s="192"/>
      <c r="L215" s="192"/>
      <c r="M215" s="192"/>
      <c r="N215" s="192"/>
      <c r="O215" s="192"/>
      <c r="P215" s="192"/>
    </row>
    <row r="216" customFormat="false" ht="15" hidden="false" customHeight="false" outlineLevel="0" collapsed="false">
      <c r="C216" s="0" t="s">
        <v>708</v>
      </c>
      <c r="D216" s="0" t="s">
        <v>51</v>
      </c>
      <c r="E216" s="141" t="n">
        <f aca="false" t="array" ref="E216:E216">IF(INDEX($G216:$P216,$E$6)="",$G216,INDEX($G216:$P216,$E$6))</f>
        <v>0.5</v>
      </c>
      <c r="F216" s="130" t="s">
        <v>709</v>
      </c>
      <c r="G216" s="143" t="n">
        <v>0.5</v>
      </c>
      <c r="H216" s="143"/>
      <c r="I216" s="143"/>
      <c r="J216" s="143"/>
      <c r="K216" s="143"/>
      <c r="L216" s="143"/>
      <c r="M216" s="143"/>
      <c r="N216" s="143"/>
      <c r="O216" s="143"/>
      <c r="P216" s="143"/>
    </row>
    <row r="218" customFormat="false" ht="15" hidden="false" customHeight="false" outlineLevel="0" collapsed="false">
      <c r="C218" s="136" t="s">
        <v>710</v>
      </c>
      <c r="D218" s="136"/>
      <c r="E218" s="136"/>
      <c r="F218" s="137"/>
      <c r="G218" s="136"/>
      <c r="H218" s="136"/>
      <c r="I218" s="136"/>
      <c r="J218" s="136"/>
      <c r="K218" s="136"/>
      <c r="L218" s="136"/>
      <c r="M218" s="136"/>
      <c r="N218" s="136"/>
      <c r="O218" s="136"/>
      <c r="P218" s="136"/>
    </row>
    <row r="219" customFormat="false" ht="15" hidden="false" customHeight="false" outlineLevel="0" collapsed="false">
      <c r="C219" s="0" t="s">
        <v>711</v>
      </c>
      <c r="D219" s="0" t="s">
        <v>51</v>
      </c>
      <c r="E219" s="141" t="n">
        <f aca="false" t="array" ref="E219:E219">IF(INDEX($G219:$P219,$E$6)="",$G219,INDEX($G219:$P219,$E$6))</f>
        <v>0.5</v>
      </c>
      <c r="F219" s="130" t="s">
        <v>712</v>
      </c>
      <c r="G219" s="157" t="n">
        <v>0.6</v>
      </c>
      <c r="H219" s="157" t="n">
        <v>0.5</v>
      </c>
      <c r="I219" s="157"/>
      <c r="J219" s="186"/>
      <c r="K219" s="186"/>
      <c r="L219" s="186"/>
      <c r="M219" s="186"/>
      <c r="N219" s="186"/>
      <c r="O219" s="186"/>
      <c r="P219" s="186"/>
    </row>
    <row r="220" customFormat="false" ht="15" hidden="false" customHeight="false" outlineLevel="0" collapsed="false">
      <c r="C220" s="0" t="s">
        <v>713</v>
      </c>
      <c r="D220" s="0" t="s">
        <v>51</v>
      </c>
      <c r="E220" s="141" t="n">
        <f aca="false" t="array" ref="E220:E220">IF(INDEX($G220:$P220,$E$6)="",$G220,INDEX($G220:$P220,$E$6))</f>
        <v>0.05</v>
      </c>
      <c r="F220" s="130" t="s">
        <v>714</v>
      </c>
      <c r="G220" s="157" t="n">
        <v>0.05</v>
      </c>
      <c r="H220" s="157"/>
      <c r="I220" s="157"/>
      <c r="J220" s="186"/>
      <c r="K220" s="186"/>
      <c r="L220" s="186"/>
      <c r="M220" s="186"/>
      <c r="N220" s="186"/>
      <c r="O220" s="186"/>
      <c r="P220" s="186"/>
    </row>
    <row r="221" customFormat="false" ht="15" hidden="false" customHeight="false" outlineLevel="0" collapsed="false">
      <c r="C221" s="0" t="s">
        <v>715</v>
      </c>
      <c r="D221" s="0" t="s">
        <v>716</v>
      </c>
      <c r="E221" s="141" t="n">
        <f aca="false" t="array" ref="E221:E221">IF(INDEX($G221:$P221,$E$6)="",$G221,INDEX($G221:$P221,$E$6))</f>
        <v>0.0175</v>
      </c>
      <c r="F221" s="130" t="s">
        <v>627</v>
      </c>
      <c r="G221" s="186" t="n">
        <v>0.0175</v>
      </c>
      <c r="H221" s="186"/>
      <c r="I221" s="186"/>
      <c r="J221" s="186"/>
      <c r="K221" s="186"/>
      <c r="L221" s="186"/>
      <c r="M221" s="186"/>
      <c r="N221" s="186"/>
      <c r="O221" s="186"/>
      <c r="P221" s="186"/>
    </row>
    <row r="222" customFormat="false" ht="15" hidden="false" customHeight="false" outlineLevel="0" collapsed="false">
      <c r="C222" s="0" t="s">
        <v>717</v>
      </c>
      <c r="D222" s="0" t="s">
        <v>619</v>
      </c>
      <c r="E222" s="153" t="n">
        <f aca="false" t="array" ref="E222:E222">IF(INDEX($G222:$P222,$E$6)="",$G222,INDEX($G222:$P222,$E$6))</f>
        <v>15</v>
      </c>
      <c r="F222" s="130" t="s">
        <v>718</v>
      </c>
      <c r="G222" s="192" t="n">
        <v>15</v>
      </c>
      <c r="H222" s="192"/>
      <c r="I222" s="192"/>
      <c r="J222" s="192"/>
      <c r="K222" s="192"/>
      <c r="L222" s="192"/>
      <c r="M222" s="192"/>
      <c r="N222" s="192"/>
      <c r="O222" s="192"/>
      <c r="P222" s="192"/>
    </row>
    <row r="223" customFormat="false" ht="15" hidden="false" customHeight="false" outlineLevel="0" collapsed="false">
      <c r="C223" s="0" t="s">
        <v>719</v>
      </c>
      <c r="D223" s="0" t="s">
        <v>421</v>
      </c>
      <c r="E223" s="153" t="n">
        <f aca="false" t="array" ref="E223:E223">IF(INDEX($G223:$P223,$E$6)="",$G223,INDEX($G223:$P223,$E$6))</f>
        <v>1</v>
      </c>
      <c r="F223" s="130"/>
      <c r="G223" s="156" t="n">
        <v>1</v>
      </c>
      <c r="H223" s="156"/>
      <c r="I223" s="156"/>
      <c r="J223" s="156"/>
      <c r="K223" s="156"/>
      <c r="L223" s="156"/>
      <c r="M223" s="156"/>
      <c r="N223" s="156"/>
      <c r="O223" s="156"/>
      <c r="P223" s="156"/>
    </row>
    <row r="224" customFormat="false" ht="15" hidden="false" customHeight="false" outlineLevel="0" collapsed="false">
      <c r="C224" s="0" t="s">
        <v>720</v>
      </c>
      <c r="D224" s="0" t="s">
        <v>486</v>
      </c>
      <c r="E224" s="141" t="n">
        <f aca="false" t="array" ref="E224:E224">IF(INDEX($G224:$P224,$E$6)="",$G224,INDEX($G224:$P224,$E$6))</f>
        <v>0.009</v>
      </c>
      <c r="F224" s="130" t="s">
        <v>721</v>
      </c>
      <c r="G224" s="157" t="n">
        <v>0.009</v>
      </c>
      <c r="H224" s="157"/>
      <c r="I224" s="157"/>
      <c r="J224" s="186"/>
      <c r="K224" s="186"/>
      <c r="L224" s="186"/>
      <c r="M224" s="186"/>
      <c r="N224" s="186"/>
      <c r="O224" s="186"/>
      <c r="P224" s="186"/>
    </row>
    <row r="225" customFormat="false" ht="15" hidden="false" customHeight="false" outlineLevel="0" collapsed="false">
      <c r="C225" s="136" t="s">
        <v>722</v>
      </c>
      <c r="D225" s="136"/>
      <c r="E225" s="136"/>
      <c r="F225" s="137"/>
      <c r="G225" s="136"/>
      <c r="H225" s="136"/>
      <c r="I225" s="136"/>
      <c r="J225" s="136"/>
      <c r="K225" s="136"/>
      <c r="L225" s="136"/>
      <c r="M225" s="136"/>
      <c r="N225" s="136"/>
      <c r="O225" s="136"/>
      <c r="P225" s="136"/>
    </row>
    <row r="226" customFormat="false" ht="15" hidden="false" customHeight="false" outlineLevel="0" collapsed="false">
      <c r="C226" s="0" t="s">
        <v>723</v>
      </c>
      <c r="D226" s="0" t="s">
        <v>51</v>
      </c>
      <c r="E226" s="141" t="n">
        <f aca="false" t="array" ref="E226:E226">IF(INDEX($G226:$P226,$E$6)="",$G226,INDEX($G226:$P226,$E$6))</f>
        <v>0.08</v>
      </c>
      <c r="F226" s="130" t="s">
        <v>724</v>
      </c>
      <c r="G226" s="194" t="n">
        <f aca="false">G$255</f>
        <v>0.08</v>
      </c>
      <c r="H226" s="186" t="str">
        <f aca="false">H$255</f>
        <v/>
      </c>
      <c r="I226" s="186"/>
      <c r="J226" s="186"/>
      <c r="K226" s="186"/>
      <c r="L226" s="186"/>
      <c r="M226" s="186"/>
      <c r="N226" s="186"/>
      <c r="O226" s="186"/>
      <c r="P226" s="186"/>
    </row>
    <row r="227" customFormat="false" ht="15" hidden="false" customHeight="false" outlineLevel="0" collapsed="false">
      <c r="C227" s="0" t="s">
        <v>725</v>
      </c>
      <c r="D227" s="0" t="s">
        <v>51</v>
      </c>
      <c r="E227" s="141" t="n">
        <f aca="false" t="array" ref="E227:E227">IF(INDEX($G227:$P227,$E$6)="",$G227,INDEX($G227:$P227,$E$6))</f>
        <v>0.08</v>
      </c>
      <c r="F227" s="130" t="s">
        <v>726</v>
      </c>
      <c r="G227" s="194" t="n">
        <f aca="false">G$255</f>
        <v>0.08</v>
      </c>
      <c r="H227" s="186" t="str">
        <f aca="false">H$255</f>
        <v/>
      </c>
      <c r="I227" s="186"/>
      <c r="J227" s="186"/>
      <c r="K227" s="186"/>
      <c r="L227" s="186"/>
      <c r="M227" s="186"/>
      <c r="N227" s="186"/>
      <c r="O227" s="186"/>
      <c r="P227" s="186"/>
    </row>
    <row r="228" customFormat="false" ht="15" hidden="false" customHeight="false" outlineLevel="0" collapsed="false">
      <c r="C228" s="0" t="s">
        <v>727</v>
      </c>
      <c r="D228" s="0" t="s">
        <v>421</v>
      </c>
      <c r="E228" s="153" t="n">
        <f aca="false" t="array" ref="E228:E228">IF(INDEX($G228:$P228,$E$6)="",$G228,INDEX($G228:$P228,$E$6))</f>
        <v>1</v>
      </c>
      <c r="F228" s="130" t="s">
        <v>728</v>
      </c>
      <c r="G228" s="156" t="n">
        <v>1</v>
      </c>
      <c r="H228" s="156"/>
      <c r="I228" s="156"/>
      <c r="J228" s="156"/>
      <c r="K228" s="156"/>
      <c r="L228" s="156"/>
      <c r="M228" s="156"/>
      <c r="N228" s="156"/>
      <c r="O228" s="156"/>
      <c r="P228" s="156"/>
    </row>
    <row r="229" customFormat="false" ht="15" hidden="false" customHeight="false" outlineLevel="0" collapsed="false">
      <c r="C229" s="0" t="s">
        <v>729</v>
      </c>
      <c r="D229" s="0" t="s">
        <v>421</v>
      </c>
      <c r="E229" s="153" t="n">
        <f aca="false" t="array" ref="E229:E229">IF(INDEX($G229:$P229,$E$6)="",$G229,INDEX($G229:$P229,$E$6))</f>
        <v>0</v>
      </c>
      <c r="F229" s="130" t="s">
        <v>730</v>
      </c>
      <c r="G229" s="156" t="n">
        <v>0</v>
      </c>
      <c r="H229" s="156"/>
      <c r="I229" s="156"/>
      <c r="J229" s="156"/>
      <c r="K229" s="156"/>
      <c r="L229" s="156"/>
      <c r="M229" s="156"/>
      <c r="N229" s="156"/>
      <c r="O229" s="156"/>
      <c r="P229" s="156"/>
    </row>
    <row r="230" customFormat="false" ht="15" hidden="false" customHeight="false" outlineLevel="0" collapsed="false">
      <c r="C230" s="0" t="s">
        <v>731</v>
      </c>
      <c r="D230" s="0" t="s">
        <v>421</v>
      </c>
      <c r="E230" s="153" t="n">
        <f aca="false" t="array" ref="E230:E230">IF(INDEX($G230:$P230,$E$6)="",$G230,INDEX($G230:$P230,$E$6))</f>
        <v>1</v>
      </c>
      <c r="F230" s="130" t="s">
        <v>732</v>
      </c>
      <c r="G230" s="156" t="n">
        <v>1</v>
      </c>
      <c r="H230" s="156"/>
      <c r="I230" s="156"/>
      <c r="J230" s="156"/>
      <c r="K230" s="156"/>
      <c r="L230" s="156"/>
      <c r="M230" s="156"/>
      <c r="N230" s="156"/>
      <c r="O230" s="156"/>
      <c r="P230" s="156"/>
    </row>
    <row r="231" customFormat="false" ht="15" hidden="false" customHeight="false" outlineLevel="0" collapsed="false">
      <c r="C231" s="0" t="s">
        <v>733</v>
      </c>
      <c r="D231" s="0" t="s">
        <v>51</v>
      </c>
      <c r="E231" s="141" t="n">
        <f aca="false" t="array" ref="E231:E231">IF(INDEX($G231:$P231,$E$6)="",$G231,INDEX($G231:$P231,$E$6))</f>
        <v>0.2213175</v>
      </c>
      <c r="F231" s="130" t="s">
        <v>734</v>
      </c>
      <c r="G231" s="143" t="n">
        <v>0.2213175</v>
      </c>
      <c r="H231" s="156"/>
      <c r="I231" s="156"/>
      <c r="J231" s="156"/>
      <c r="K231" s="156"/>
      <c r="L231" s="156"/>
      <c r="M231" s="156"/>
      <c r="N231" s="156"/>
      <c r="O231" s="156"/>
      <c r="P231" s="156"/>
    </row>
    <row r="234" customFormat="false" ht="15" hidden="false" customHeight="false" outlineLevel="0" collapsed="false">
      <c r="C234" s="136" t="s">
        <v>735</v>
      </c>
      <c r="D234" s="136"/>
      <c r="E234" s="136"/>
      <c r="F234" s="137"/>
      <c r="G234" s="136"/>
      <c r="H234" s="136"/>
      <c r="I234" s="136"/>
      <c r="J234" s="136"/>
      <c r="K234" s="136"/>
      <c r="L234" s="136"/>
      <c r="M234" s="136"/>
      <c r="N234" s="136"/>
      <c r="O234" s="136"/>
      <c r="P234" s="136"/>
    </row>
    <row r="235" customFormat="false" ht="15" hidden="false" customHeight="false" outlineLevel="0" collapsed="false">
      <c r="C235" s="0" t="s">
        <v>736</v>
      </c>
      <c r="D235" s="0" t="s">
        <v>2</v>
      </c>
      <c r="E235" s="195" t="n">
        <f aca="false">Dash_Municipal</f>
        <v>50</v>
      </c>
      <c r="F235" s="130" t="s">
        <v>737</v>
      </c>
      <c r="G235" s="182"/>
      <c r="H235" s="157"/>
      <c r="I235" s="157"/>
      <c r="J235" s="186"/>
      <c r="K235" s="186"/>
      <c r="L235" s="186"/>
      <c r="M235" s="186"/>
      <c r="N235" s="186"/>
      <c r="O235" s="186"/>
      <c r="P235" s="186"/>
    </row>
    <row r="236" customFormat="false" ht="15" hidden="false" customHeight="false" outlineLevel="0" collapsed="false">
      <c r="C236" s="0" t="s">
        <v>738</v>
      </c>
      <c r="D236" s="0" t="s">
        <v>40</v>
      </c>
      <c r="E236" s="196" t="n">
        <f aca="false">Dash_Community</f>
        <v>3</v>
      </c>
      <c r="F236" s="130" t="s">
        <v>739</v>
      </c>
      <c r="G236" s="191"/>
      <c r="H236" s="157"/>
      <c r="I236" s="157"/>
      <c r="J236" s="186"/>
      <c r="K236" s="186"/>
      <c r="L236" s="186"/>
      <c r="M236" s="186"/>
      <c r="N236" s="186"/>
      <c r="O236" s="186"/>
      <c r="P236" s="186"/>
    </row>
    <row r="237" customFormat="false" ht="15" hidden="false" customHeight="false" outlineLevel="0" collapsed="false">
      <c r="C237" s="0" t="s">
        <v>740</v>
      </c>
      <c r="D237" s="0" t="s">
        <v>741</v>
      </c>
      <c r="E237" s="65" t="n">
        <f aca="false" t="array" ref="E237:E237">IF(INDEX($G237:$P237,$E$6)="",$G237,INDEX($G237:$P237,$E$6))</f>
        <v>0.25</v>
      </c>
      <c r="F237" s="130" t="s">
        <v>742</v>
      </c>
      <c r="G237" s="197" t="n">
        <v>0.25</v>
      </c>
      <c r="H237" s="186"/>
      <c r="I237" s="186"/>
      <c r="J237" s="186"/>
      <c r="K237" s="186"/>
      <c r="L237" s="186"/>
      <c r="M237" s="186"/>
      <c r="N237" s="186"/>
      <c r="O237" s="186"/>
      <c r="P237" s="186"/>
    </row>
    <row r="238" customFormat="false" ht="15" hidden="false" customHeight="false" outlineLevel="0" collapsed="false">
      <c r="C238" s="0" t="s">
        <v>743</v>
      </c>
      <c r="D238" s="0" t="s">
        <v>269</v>
      </c>
      <c r="E238" s="150" t="n">
        <f aca="false" t="array" ref="E238:E238">IF(INDEX($G238:$P238,$E$6)="",$G238,INDEX($G238:$P238,$E$6))</f>
        <v>47484</v>
      </c>
      <c r="F238" s="130" t="s">
        <v>744</v>
      </c>
      <c r="G238" s="198" t="n">
        <f aca="false">DATE(2030,1,1)</f>
        <v>47484</v>
      </c>
      <c r="H238" s="186"/>
      <c r="I238" s="186"/>
      <c r="J238" s="186"/>
      <c r="K238" s="186"/>
      <c r="L238" s="186"/>
      <c r="M238" s="186"/>
      <c r="N238" s="186"/>
      <c r="O238" s="186"/>
      <c r="P238" s="186"/>
    </row>
    <row r="239" customFormat="false" ht="15" hidden="false" customHeight="false" outlineLevel="0" collapsed="false">
      <c r="C239" s="0" t="s">
        <v>745</v>
      </c>
      <c r="D239" s="0" t="s">
        <v>269</v>
      </c>
      <c r="E239" s="150" t="n">
        <f aca="false" t="array" ref="E239:E239">IF(INDEX($G239:$P239,$E$6)="",$G239,INDEX($G239:$P239,$E$6))</f>
        <v>47756</v>
      </c>
      <c r="F239" s="130" t="s">
        <v>746</v>
      </c>
      <c r="G239" s="198" t="n">
        <f aca="false">DATE(2030,9,30)</f>
        <v>47756</v>
      </c>
      <c r="H239" s="186"/>
      <c r="I239" s="186"/>
      <c r="J239" s="186"/>
      <c r="K239" s="186"/>
      <c r="L239" s="186"/>
      <c r="M239" s="186"/>
      <c r="N239" s="186"/>
      <c r="O239" s="186"/>
      <c r="P239" s="186"/>
    </row>
    <row r="240" customFormat="false" ht="15" hidden="false" customHeight="false" outlineLevel="0" collapsed="false">
      <c r="C240" s="0" t="s">
        <v>747</v>
      </c>
      <c r="D240" s="0" t="s">
        <v>269</v>
      </c>
      <c r="E240" s="150" t="n">
        <f aca="false" t="array" ref="E240:E240">IF(INDEX($G240:$P240,$E$6)="",$G240,INDEX($G240:$P240,$E$6))</f>
        <v>48487</v>
      </c>
      <c r="F240" s="130" t="s">
        <v>748</v>
      </c>
      <c r="G240" s="198" t="n">
        <f aca="false">DATE(2032,9,30)</f>
        <v>48487</v>
      </c>
      <c r="H240" s="186"/>
      <c r="I240" s="186"/>
      <c r="J240" s="186"/>
      <c r="K240" s="186"/>
      <c r="L240" s="186"/>
      <c r="M240" s="186"/>
      <c r="N240" s="186"/>
      <c r="O240" s="186"/>
      <c r="P240" s="186"/>
    </row>
    <row r="241" customFormat="false" ht="15" hidden="false" customHeight="false" outlineLevel="0" collapsed="false">
      <c r="C241" s="0" t="s">
        <v>749</v>
      </c>
      <c r="D241" s="0" t="s">
        <v>56</v>
      </c>
      <c r="E241" s="153" t="n">
        <f aca="false" t="array" ref="E241:E241">IF(INDEX($G241:$P241,$E$6)="",$G241,INDEX($G241:$P241,$E$6))</f>
        <v>87</v>
      </c>
      <c r="F241" s="130" t="s">
        <v>750</v>
      </c>
      <c r="G241" s="192" t="n">
        <v>87</v>
      </c>
      <c r="H241" s="186"/>
      <c r="I241" s="186"/>
      <c r="J241" s="186"/>
      <c r="K241" s="186"/>
      <c r="L241" s="186"/>
      <c r="M241" s="186"/>
      <c r="N241" s="186"/>
      <c r="O241" s="186"/>
      <c r="P241" s="186"/>
    </row>
    <row r="242" customFormat="false" ht="15" hidden="false" customHeight="false" outlineLevel="0" collapsed="false">
      <c r="C242" s="0" t="s">
        <v>751</v>
      </c>
      <c r="D242" s="0" t="s">
        <v>194</v>
      </c>
      <c r="E242" s="199" t="str">
        <f aca="false">IF(E155&gt;=E239,"OK","COD TOO EARLY")</f>
        <v>OK</v>
      </c>
    </row>
    <row r="243" customFormat="false" ht="15" hidden="false" customHeight="false" outlineLevel="0" collapsed="false">
      <c r="C243" s="0" t="s">
        <v>752</v>
      </c>
      <c r="D243" s="0" t="s">
        <v>194</v>
      </c>
      <c r="E243" s="199" t="str">
        <f aca="false">IF(E155&lt;=E240,"OK","COD TOO LATE")</f>
        <v>OK</v>
      </c>
    </row>
    <row r="245" customFormat="false" ht="15" hidden="false" customHeight="false" outlineLevel="0" collapsed="false">
      <c r="B245" s="0" t="s">
        <v>7</v>
      </c>
      <c r="C245" s="136" t="s">
        <v>753</v>
      </c>
      <c r="D245" s="136"/>
      <c r="E245" s="136"/>
      <c r="F245" s="137"/>
      <c r="G245" s="136"/>
      <c r="H245" s="136"/>
      <c r="I245" s="136"/>
      <c r="J245" s="136"/>
      <c r="K245" s="136"/>
      <c r="L245" s="136"/>
      <c r="M245" s="136"/>
      <c r="N245" s="136"/>
      <c r="O245" s="136"/>
      <c r="P245" s="136"/>
    </row>
    <row r="246" customFormat="false" ht="15" hidden="false" customHeight="false" outlineLevel="0" collapsed="false">
      <c r="C246" s="0" t="s">
        <v>754</v>
      </c>
      <c r="D246" s="0" t="s">
        <v>51</v>
      </c>
      <c r="E246" s="141"/>
      <c r="F246" s="159" t="s">
        <v>755</v>
      </c>
      <c r="G246" s="143"/>
      <c r="H246" s="160"/>
      <c r="I246" s="160"/>
      <c r="J246" s="160"/>
      <c r="K246" s="160"/>
      <c r="L246" s="160"/>
      <c r="M246" s="160"/>
      <c r="N246" s="160"/>
      <c r="O246" s="160"/>
      <c r="P246" s="160"/>
    </row>
    <row r="247" customFormat="false" ht="15" hidden="false" customHeight="false" outlineLevel="0" collapsed="false">
      <c r="C247" s="0" t="s">
        <v>756</v>
      </c>
      <c r="D247" s="0" t="s">
        <v>51</v>
      </c>
      <c r="E247" s="141"/>
      <c r="F247" s="159"/>
      <c r="G247" s="143"/>
      <c r="H247" s="160"/>
      <c r="I247" s="160"/>
      <c r="J247" s="160"/>
      <c r="K247" s="160"/>
      <c r="L247" s="160"/>
      <c r="M247" s="160"/>
      <c r="N247" s="160"/>
      <c r="O247" s="160"/>
      <c r="P247" s="160"/>
    </row>
    <row r="248" customFormat="false" ht="15" hidden="false" customHeight="false" outlineLevel="0" collapsed="false">
      <c r="C248" s="0" t="s">
        <v>757</v>
      </c>
      <c r="D248" s="0" t="s">
        <v>51</v>
      </c>
      <c r="E248" s="141"/>
      <c r="F248" s="159"/>
      <c r="G248" s="143"/>
      <c r="H248" s="160"/>
      <c r="I248" s="160"/>
      <c r="J248" s="160"/>
      <c r="K248" s="160"/>
      <c r="L248" s="160"/>
      <c r="M248" s="160"/>
      <c r="N248" s="160"/>
      <c r="O248" s="160"/>
      <c r="P248" s="160"/>
    </row>
    <row r="249" customFormat="false" ht="15" hidden="false" customHeight="false" outlineLevel="0" collapsed="false">
      <c r="C249" s="0" t="s">
        <v>758</v>
      </c>
      <c r="D249" s="0" t="s">
        <v>51</v>
      </c>
      <c r="E249" s="141"/>
      <c r="F249" s="159"/>
      <c r="G249" s="143"/>
      <c r="H249" s="160"/>
      <c r="I249" s="160"/>
      <c r="J249" s="160"/>
      <c r="K249" s="160"/>
      <c r="L249" s="160"/>
      <c r="M249" s="160"/>
      <c r="N249" s="160"/>
      <c r="O249" s="160"/>
      <c r="P249" s="160"/>
    </row>
    <row r="250" customFormat="false" ht="15" hidden="false" customHeight="false" outlineLevel="0" collapsed="false">
      <c r="C250" s="0" t="s">
        <v>759</v>
      </c>
      <c r="D250" s="0" t="s">
        <v>51</v>
      </c>
      <c r="E250" s="141"/>
      <c r="F250" s="159"/>
      <c r="G250" s="143"/>
      <c r="H250" s="160"/>
      <c r="I250" s="160"/>
      <c r="J250" s="160"/>
      <c r="K250" s="160"/>
      <c r="L250" s="160"/>
      <c r="M250" s="160"/>
      <c r="N250" s="160"/>
      <c r="O250" s="160"/>
      <c r="P250" s="160"/>
    </row>
    <row r="251" customFormat="false" ht="15" hidden="false" customHeight="false" outlineLevel="0" collapsed="false">
      <c r="C251" s="0" t="s">
        <v>760</v>
      </c>
      <c r="D251" s="0" t="s">
        <v>51</v>
      </c>
      <c r="E251" s="141"/>
      <c r="F251" s="159"/>
      <c r="G251" s="143"/>
      <c r="H251" s="160"/>
      <c r="I251" s="160"/>
      <c r="J251" s="160"/>
      <c r="K251" s="160"/>
      <c r="L251" s="160"/>
      <c r="M251" s="160"/>
      <c r="N251" s="160"/>
      <c r="O251" s="160"/>
      <c r="P251" s="160"/>
    </row>
    <row r="252" customFormat="false" ht="15" hidden="false" customHeight="false" outlineLevel="0" collapsed="false">
      <c r="C252" s="0" t="s">
        <v>761</v>
      </c>
      <c r="D252" s="0" t="s">
        <v>51</v>
      </c>
      <c r="E252" s="141"/>
      <c r="F252" s="159"/>
      <c r="G252" s="143"/>
      <c r="H252" s="160"/>
      <c r="I252" s="160"/>
      <c r="J252" s="160"/>
      <c r="K252" s="160"/>
      <c r="L252" s="160"/>
      <c r="M252" s="160"/>
      <c r="N252" s="160"/>
      <c r="O252" s="160"/>
      <c r="P252" s="160"/>
    </row>
    <row r="253" customFormat="false" ht="15" hidden="false" customHeight="false" outlineLevel="0" collapsed="false">
      <c r="C253" s="0" t="s">
        <v>762</v>
      </c>
      <c r="D253" s="0" t="s">
        <v>7</v>
      </c>
      <c r="E253" s="162" t="n">
        <f aca="false" t="array" ref="E253:E253">IF(INDEX($G253:$P253,$E$6)="",$G253,INDEX($G253:$P253,$E$6))</f>
        <v>1.5</v>
      </c>
      <c r="F253" s="159" t="s">
        <v>763</v>
      </c>
      <c r="G253" s="200" t="n">
        <v>1.5</v>
      </c>
      <c r="H253" s="160"/>
      <c r="I253" s="160"/>
      <c r="J253" s="160"/>
      <c r="K253" s="160"/>
      <c r="L253" s="160"/>
      <c r="M253" s="160"/>
      <c r="N253" s="160"/>
      <c r="O253" s="160"/>
      <c r="P253" s="160"/>
    </row>
    <row r="254" customFormat="false" ht="15" hidden="false" customHeight="false" outlineLevel="0" collapsed="false">
      <c r="C254" s="0" t="s">
        <v>764</v>
      </c>
      <c r="D254" s="0" t="s">
        <v>51</v>
      </c>
      <c r="E254" s="141" t="n">
        <f aca="false" t="array" ref="E254:E254">IF(INDEX($G254:$P254,$E$6)="",$G254,INDEX($G254:$P254,$E$6))</f>
        <v>0.11</v>
      </c>
      <c r="F254" s="169" t="s">
        <v>765</v>
      </c>
      <c r="G254" s="186" t="n">
        <v>0.11</v>
      </c>
      <c r="H254" s="160"/>
      <c r="I254" s="160"/>
      <c r="J254" s="160"/>
      <c r="K254" s="160"/>
      <c r="L254" s="160"/>
      <c r="M254" s="160"/>
      <c r="N254" s="160"/>
      <c r="O254" s="160"/>
      <c r="P254" s="160"/>
    </row>
    <row r="255" customFormat="false" ht="15" hidden="false" customHeight="false" outlineLevel="0" collapsed="false">
      <c r="C255" s="0" t="s">
        <v>766</v>
      </c>
      <c r="D255" s="0" t="s">
        <v>51</v>
      </c>
      <c r="E255" s="141" t="n">
        <f aca="false" t="array" ref="E255:E255">IF(INDEX($G255:$P255,$E$6)="",$G255,INDEX($G255:$P255,$E$6))</f>
        <v>0.08</v>
      </c>
      <c r="F255" s="169" t="s">
        <v>767</v>
      </c>
      <c r="G255" s="157" t="n">
        <v>0.08</v>
      </c>
      <c r="H255" s="179" t="str">
        <f aca="false">""</f>
        <v/>
      </c>
      <c r="I255" s="179"/>
      <c r="J255" s="160"/>
      <c r="K255" s="160"/>
      <c r="L255" s="160"/>
      <c r="M255" s="160"/>
      <c r="N255" s="160"/>
      <c r="O255" s="160"/>
      <c r="P255" s="160"/>
    </row>
    <row r="257" customFormat="false" ht="15" hidden="false" customHeight="false" outlineLevel="0" collapsed="false">
      <c r="B257" s="0" t="s">
        <v>7</v>
      </c>
      <c r="C257" s="136" t="s">
        <v>768</v>
      </c>
      <c r="D257" s="136"/>
      <c r="E257" s="136"/>
      <c r="F257" s="137"/>
      <c r="G257" s="136"/>
      <c r="H257" s="136"/>
      <c r="I257" s="136"/>
      <c r="J257" s="136"/>
      <c r="K257" s="136"/>
      <c r="L257" s="136"/>
      <c r="M257" s="136"/>
      <c r="N257" s="136"/>
      <c r="O257" s="136"/>
      <c r="P257" s="136"/>
    </row>
    <row r="258" customFormat="false" ht="15" hidden="false" customHeight="false" outlineLevel="0" collapsed="false">
      <c r="C258" s="0" t="s">
        <v>585</v>
      </c>
      <c r="D258" s="0" t="s">
        <v>51</v>
      </c>
      <c r="E258" s="65" t="n">
        <f aca="false" t="array" ref="E258:E258">IF(INDEX($G258:$P258,$E$6)="",$G258,INDEX($G258:$P258,$E$6))</f>
        <v>0</v>
      </c>
      <c r="F258" s="142" t="s">
        <v>769</v>
      </c>
      <c r="G258" s="197" t="n">
        <v>0</v>
      </c>
      <c r="H258" s="143"/>
      <c r="I258" s="143"/>
      <c r="J258" s="143"/>
      <c r="K258" s="143"/>
      <c r="L258" s="143"/>
      <c r="M258" s="143"/>
      <c r="N258" s="143"/>
      <c r="O258" s="143"/>
      <c r="P258" s="143"/>
    </row>
    <row r="259" customFormat="false" ht="15" hidden="false" customHeight="false" outlineLevel="0" collapsed="false">
      <c r="C259" s="0" t="s">
        <v>587</v>
      </c>
      <c r="D259" s="0" t="s">
        <v>51</v>
      </c>
      <c r="E259" s="65" t="n">
        <f aca="false" t="array" ref="E259:E259">IF(INDEX($G259:$P259,$E$6)="",$G259,INDEX($G259:$P259,$E$6))</f>
        <v>0</v>
      </c>
      <c r="F259" s="142" t="s">
        <v>770</v>
      </c>
      <c r="G259" s="197" t="n">
        <v>0</v>
      </c>
      <c r="H259" s="143"/>
      <c r="I259" s="143"/>
      <c r="J259" s="143"/>
      <c r="K259" s="143"/>
      <c r="L259" s="143"/>
      <c r="M259" s="143"/>
      <c r="N259" s="143"/>
      <c r="O259" s="143"/>
      <c r="P259" s="143"/>
    </row>
    <row r="260" customFormat="false" ht="15" hidden="false" customHeight="false" outlineLevel="0" collapsed="false">
      <c r="C260" s="0" t="s">
        <v>588</v>
      </c>
      <c r="D260" s="0" t="s">
        <v>51</v>
      </c>
      <c r="E260" s="65" t="n">
        <f aca="false" t="array" ref="E260:E260">IF(INDEX($G260:$P260,$E$6)="",$G260,INDEX($G260:$P260,$E$6))</f>
        <v>0</v>
      </c>
      <c r="F260" s="142" t="s">
        <v>771</v>
      </c>
      <c r="G260" s="197" t="n">
        <v>0</v>
      </c>
      <c r="H260" s="143"/>
      <c r="I260" s="143"/>
      <c r="J260" s="143"/>
      <c r="K260" s="143"/>
      <c r="L260" s="143"/>
      <c r="M260" s="143"/>
      <c r="N260" s="143"/>
      <c r="O260" s="143"/>
      <c r="P260" s="143"/>
    </row>
    <row r="261" customFormat="false" ht="15" hidden="false" customHeight="false" outlineLevel="0" collapsed="false">
      <c r="C261" s="0" t="s">
        <v>589</v>
      </c>
      <c r="D261" s="0" t="s">
        <v>51</v>
      </c>
      <c r="E261" s="65" t="n">
        <f aca="false" t="array" ref="E261:E261">IF(INDEX($G261:$P261,$E$6)="",$G261,INDEX($G261:$P261,$E$6))</f>
        <v>1</v>
      </c>
      <c r="F261" s="142" t="s">
        <v>772</v>
      </c>
      <c r="G261" s="201" t="n">
        <v>1</v>
      </c>
      <c r="H261" s="143"/>
      <c r="I261" s="143"/>
      <c r="J261" s="143"/>
      <c r="K261" s="143"/>
      <c r="L261" s="143"/>
      <c r="M261" s="143"/>
      <c r="N261" s="143"/>
      <c r="O261" s="143"/>
      <c r="P261" s="143"/>
    </row>
    <row r="262" customFormat="false" ht="15" hidden="false" customHeight="false" outlineLevel="0" collapsed="false">
      <c r="C262" s="0" t="s">
        <v>590</v>
      </c>
      <c r="D262" s="0" t="s">
        <v>51</v>
      </c>
      <c r="E262" s="65" t="n">
        <f aca="false" t="array" ref="E262:E262">IF(INDEX($G262:$P262,$E$6)="",$G262,INDEX($G262:$P262,$E$6))</f>
        <v>1</v>
      </c>
      <c r="F262" s="142" t="s">
        <v>773</v>
      </c>
      <c r="G262" s="201" t="n">
        <v>1</v>
      </c>
      <c r="H262" s="143"/>
      <c r="I262" s="143"/>
      <c r="J262" s="143"/>
      <c r="K262" s="143"/>
      <c r="L262" s="143"/>
      <c r="M262" s="143"/>
      <c r="N262" s="143"/>
      <c r="O262" s="143"/>
      <c r="P262" s="143"/>
    </row>
    <row r="263" customFormat="false" ht="15" hidden="false" customHeight="false" outlineLevel="0" collapsed="false">
      <c r="C263" s="0" t="s">
        <v>591</v>
      </c>
      <c r="D263" s="0" t="s">
        <v>51</v>
      </c>
      <c r="E263" s="65" t="n">
        <f aca="false" t="array" ref="E263:E263">IF(INDEX($G263:$P263,$E$6)="",$G263,INDEX($G263:$P263,$E$6))</f>
        <v>1</v>
      </c>
      <c r="F263" s="142" t="s">
        <v>774</v>
      </c>
      <c r="G263" s="197" t="n">
        <v>1</v>
      </c>
      <c r="H263" s="143"/>
      <c r="I263" s="143"/>
      <c r="J263" s="143"/>
      <c r="K263" s="143"/>
      <c r="L263" s="143"/>
      <c r="M263" s="143"/>
      <c r="N263" s="143"/>
      <c r="O263" s="143"/>
      <c r="P263" s="143"/>
    </row>
    <row r="264" customFormat="false" ht="15" hidden="false" customHeight="false" outlineLevel="0" collapsed="false">
      <c r="C264" s="0" t="s">
        <v>592</v>
      </c>
      <c r="D264" s="0" t="s">
        <v>51</v>
      </c>
      <c r="E264" s="65" t="n">
        <f aca="false" t="array" ref="E264:E264">IF(INDEX($G264:$P264,$E$6)="",$G264,INDEX($G264:$P264,$E$6))</f>
        <v>1</v>
      </c>
      <c r="F264" s="142" t="s">
        <v>774</v>
      </c>
      <c r="G264" s="197" t="n">
        <v>1</v>
      </c>
      <c r="H264" s="143"/>
      <c r="I264" s="143"/>
      <c r="J264" s="143"/>
      <c r="K264" s="143"/>
      <c r="L264" s="143"/>
      <c r="M264" s="143"/>
      <c r="N264" s="143"/>
      <c r="O264" s="143"/>
      <c r="P264" s="143"/>
    </row>
    <row r="265" customFormat="false" ht="15" hidden="false" customHeight="false" outlineLevel="0" collapsed="false">
      <c r="C265" s="0" t="s">
        <v>593</v>
      </c>
      <c r="D265" s="0" t="s">
        <v>51</v>
      </c>
      <c r="E265" s="65" t="n">
        <f aca="false" t="array" ref="E265:E265">IF(INDEX($G265:$P265,$E$6)="",$G265,INDEX($G265:$P265,$E$6))</f>
        <v>1</v>
      </c>
      <c r="F265" s="142" t="s">
        <v>774</v>
      </c>
      <c r="G265" s="197" t="n">
        <v>1</v>
      </c>
      <c r="H265" s="143"/>
      <c r="I265" s="143"/>
      <c r="J265" s="143"/>
      <c r="K265" s="143"/>
      <c r="L265" s="143"/>
      <c r="M265" s="143"/>
      <c r="N265" s="143"/>
      <c r="O265" s="143"/>
      <c r="P265" s="143"/>
    </row>
    <row r="266" customFormat="false" ht="15" hidden="false" customHeight="false" outlineLevel="0" collapsed="false">
      <c r="C266" s="0" t="s">
        <v>594</v>
      </c>
      <c r="D266" s="0" t="s">
        <v>51</v>
      </c>
      <c r="E266" s="65" t="n">
        <f aca="false" t="array" ref="E266:E266">IF(INDEX($G266:$P266,$E$6)="",$G266,INDEX($G266:$P266,$E$6))</f>
        <v>1</v>
      </c>
      <c r="F266" s="142" t="s">
        <v>774</v>
      </c>
      <c r="G266" s="197" t="n">
        <v>1</v>
      </c>
      <c r="H266" s="143"/>
      <c r="I266" s="143"/>
      <c r="J266" s="143"/>
      <c r="K266" s="143"/>
      <c r="L266" s="143"/>
      <c r="M266" s="143"/>
      <c r="N266" s="143"/>
      <c r="O266" s="143"/>
      <c r="P266" s="143"/>
    </row>
    <row r="267" customFormat="false" ht="15" hidden="false" customHeight="false" outlineLevel="0" collapsed="false">
      <c r="C267" s="0" t="s">
        <v>595</v>
      </c>
      <c r="D267" s="0" t="s">
        <v>51</v>
      </c>
      <c r="E267" s="202" t="n">
        <f aca="false" t="array" ref="E267:E267">IF(INDEX($G267:$P267,$E$6)="",$G267,INDEX($G267:$P267,$E$6))</f>
        <v>1</v>
      </c>
      <c r="F267" s="142" t="s">
        <v>773</v>
      </c>
      <c r="G267" s="201" t="n">
        <v>1</v>
      </c>
      <c r="H267" s="143"/>
      <c r="I267" s="143"/>
      <c r="J267" s="143"/>
      <c r="K267" s="143"/>
      <c r="L267" s="143"/>
      <c r="M267" s="143"/>
      <c r="N267" s="143"/>
      <c r="O267" s="143"/>
      <c r="P267" s="143"/>
    </row>
    <row r="269" customFormat="false" ht="15" hidden="false" customHeight="false" outlineLevel="0" collapsed="false">
      <c r="B269" s="0" t="s">
        <v>7</v>
      </c>
      <c r="C269" s="136" t="s">
        <v>775</v>
      </c>
      <c r="D269" s="136"/>
      <c r="E269" s="136"/>
      <c r="F269" s="137"/>
      <c r="G269" s="136"/>
      <c r="H269" s="136"/>
      <c r="I269" s="136"/>
      <c r="J269" s="136"/>
      <c r="K269" s="136"/>
      <c r="L269" s="136"/>
      <c r="M269" s="136"/>
      <c r="N269" s="136"/>
      <c r="O269" s="136"/>
      <c r="P269" s="136"/>
    </row>
    <row r="270" customFormat="false" ht="15" hidden="false" customHeight="false" outlineLevel="0" collapsed="false">
      <c r="C270" s="0" t="s">
        <v>776</v>
      </c>
      <c r="D270" s="0" t="s">
        <v>240</v>
      </c>
      <c r="E270" s="153" t="n">
        <f aca="false" t="array" ref="E270:E270">IF(INDEX($G270:$P270,$E$6)="",$G270,INDEX($G270:$P270,$E$6))</f>
        <v>0</v>
      </c>
      <c r="F270" s="169" t="s">
        <v>777</v>
      </c>
      <c r="G270" s="155" t="n">
        <v>0</v>
      </c>
      <c r="H270" s="160"/>
      <c r="I270" s="160"/>
      <c r="J270" s="160"/>
      <c r="K270" s="160"/>
      <c r="L270" s="160"/>
      <c r="M270" s="160"/>
      <c r="N270" s="160"/>
      <c r="O270" s="160"/>
      <c r="P270" s="160"/>
    </row>
    <row r="271" customFormat="false" ht="15" hidden="false" customHeight="false" outlineLevel="0" collapsed="false">
      <c r="C271" s="0" t="s">
        <v>778</v>
      </c>
      <c r="D271" s="0" t="s">
        <v>51</v>
      </c>
      <c r="E271" s="65" t="n">
        <f aca="false" t="array" ref="E271:E271">IF(INDEX($G271:$P271,$E$6)="",$G271,INDEX($G271:$P271,$E$6))</f>
        <v>0</v>
      </c>
      <c r="F271" s="169" t="s">
        <v>779</v>
      </c>
      <c r="G271" s="201" t="n">
        <v>0</v>
      </c>
      <c r="H271" s="160"/>
      <c r="I271" s="160"/>
      <c r="J271" s="160"/>
      <c r="K271" s="160"/>
      <c r="L271" s="160"/>
      <c r="M271" s="160"/>
      <c r="N271" s="160"/>
      <c r="O271" s="160"/>
      <c r="P271" s="160"/>
    </row>
    <row r="272" customFormat="false" ht="15" hidden="false" customHeight="false" outlineLevel="0" collapsed="false">
      <c r="C272" s="0" t="s">
        <v>780</v>
      </c>
      <c r="D272" s="0" t="s">
        <v>211</v>
      </c>
      <c r="E272" s="153" t="n">
        <f aca="false" t="array" ref="E272:E272">IF(INDEX($G272:$P272,$E$6)="",$G272,INDEX($G272:$P272,$E$6))</f>
        <v>5</v>
      </c>
      <c r="F272" s="169" t="s">
        <v>781</v>
      </c>
      <c r="G272" s="155" t="n">
        <v>5</v>
      </c>
      <c r="H272" s="160"/>
      <c r="I272" s="160"/>
      <c r="J272" s="160"/>
      <c r="K272" s="160"/>
      <c r="L272" s="160"/>
      <c r="M272" s="160"/>
      <c r="N272" s="160"/>
      <c r="O272" s="160"/>
      <c r="P272" s="160"/>
    </row>
    <row r="273" customFormat="false" ht="15" hidden="false" customHeight="false" outlineLevel="0" collapsed="false">
      <c r="G273" s="203"/>
      <c r="H273" s="160"/>
      <c r="I273" s="160"/>
      <c r="J273" s="160"/>
      <c r="K273" s="160"/>
      <c r="L273" s="160"/>
      <c r="M273" s="160"/>
      <c r="N273" s="160"/>
      <c r="O273" s="160"/>
      <c r="P273" s="160"/>
    </row>
    <row r="274" customFormat="false" ht="15" hidden="false" customHeight="false" outlineLevel="0" collapsed="false">
      <c r="C274" s="0" t="s">
        <v>782</v>
      </c>
      <c r="D274" s="0" t="s">
        <v>7</v>
      </c>
      <c r="E274" s="162" t="n">
        <f aca="false" t="array" ref="E274:E274">IF(INDEX($G274:$P274,$E$6)="",$G274,INDEX($G274:$P274,$E$6))</f>
        <v>0.9</v>
      </c>
      <c r="F274" s="169" t="s">
        <v>783</v>
      </c>
      <c r="G274" s="204" t="n">
        <v>0.9</v>
      </c>
      <c r="H274" s="160"/>
      <c r="I274" s="160"/>
      <c r="J274" s="160"/>
      <c r="K274" s="160"/>
      <c r="L274" s="160"/>
      <c r="M274" s="160"/>
      <c r="N274" s="160"/>
      <c r="O274" s="160"/>
      <c r="P274" s="160"/>
    </row>
    <row r="275" customFormat="false" ht="15" hidden="false" customHeight="false" outlineLevel="0" collapsed="false">
      <c r="C275" s="0" t="s">
        <v>784</v>
      </c>
      <c r="D275" s="0" t="s">
        <v>785</v>
      </c>
      <c r="E275" s="153" t="n">
        <f aca="false" t="array" ref="E275:E275">IF(INDEX($G275:$P275,$E$6)="",$G275,INDEX($G275:$P275,$E$6))</f>
        <v>1</v>
      </c>
      <c r="F275" s="169" t="s">
        <v>786</v>
      </c>
      <c r="G275" s="155" t="n">
        <v>1</v>
      </c>
      <c r="H275" s="160"/>
      <c r="I275" s="160"/>
      <c r="J275" s="160"/>
      <c r="K275" s="160"/>
      <c r="L275" s="160"/>
      <c r="M275" s="160"/>
      <c r="N275" s="160"/>
      <c r="O275" s="160"/>
      <c r="P275" s="160"/>
    </row>
    <row r="276" customFormat="false" ht="15" hidden="false" customHeight="false" outlineLevel="0" collapsed="false">
      <c r="C276" s="0" t="s">
        <v>787</v>
      </c>
      <c r="D276" s="0" t="s">
        <v>7</v>
      </c>
      <c r="E276" s="162" t="n">
        <f aca="false" t="array" ref="E276:E276">IF(INDEX($G276:$P276,$E$6)="",$G276,INDEX($G276:$P276,$E$6))</f>
        <v>1.05</v>
      </c>
      <c r="F276" s="169" t="s">
        <v>788</v>
      </c>
      <c r="G276" s="204" t="n">
        <v>1.05</v>
      </c>
      <c r="H276" s="160"/>
      <c r="I276" s="160"/>
      <c r="J276" s="160"/>
      <c r="K276" s="160"/>
      <c r="L276" s="160"/>
      <c r="M276" s="160"/>
      <c r="N276" s="160"/>
      <c r="O276" s="160"/>
      <c r="P276" s="160"/>
    </row>
    <row r="279" customFormat="false" ht="15" hidden="false" customHeight="false" outlineLevel="0" collapsed="false">
      <c r="C279" s="205" t="s">
        <v>789</v>
      </c>
      <c r="E279" s="162"/>
      <c r="F279" s="169"/>
      <c r="G279" s="204"/>
      <c r="H279" s="160"/>
      <c r="I279" s="160"/>
      <c r="J279" s="160"/>
    </row>
    <row r="280" customFormat="false" ht="15" hidden="false" customHeight="false" outlineLevel="0" collapsed="false">
      <c r="C280" s="205" t="s">
        <v>386</v>
      </c>
      <c r="D280" s="205" t="s">
        <v>387</v>
      </c>
      <c r="E280" s="205" t="s">
        <v>790</v>
      </c>
      <c r="F280" s="205" t="s">
        <v>791</v>
      </c>
      <c r="G280" s="205" t="s">
        <v>792</v>
      </c>
    </row>
    <row r="281" customFormat="false" ht="15" hidden="false" customHeight="false" outlineLevel="0" collapsed="false">
      <c r="C281" s="0" t="s">
        <v>793</v>
      </c>
      <c r="D281" s="0" t="s">
        <v>403</v>
      </c>
      <c r="E281" s="0" t="str">
        <f aca="false" t="array" ref="E281:E281">INDEX($G281:$J281,$E$9)</f>
        <v>Bora</v>
      </c>
      <c r="F281" s="130"/>
      <c r="G281" s="176" t="s">
        <v>792</v>
      </c>
    </row>
    <row r="282" customFormat="false" ht="15" hidden="false" customHeight="false" outlineLevel="0" collapsed="false">
      <c r="C282" s="0" t="s">
        <v>794</v>
      </c>
      <c r="D282" s="0" t="s">
        <v>403</v>
      </c>
      <c r="E282" s="0" t="str">
        <f aca="false" t="array" ref="E282:E282">INDEX($G282:$J282,$E$9)</f>
        <v>Szombathely OVIT (SZHO B 132.00)</v>
      </c>
      <c r="F282" s="130" t="s">
        <v>795</v>
      </c>
      <c r="G282" s="206" t="s">
        <v>796</v>
      </c>
    </row>
    <row r="283" customFormat="false" ht="15" hidden="false" customHeight="false" outlineLevel="0" collapsed="false">
      <c r="C283" s="0" t="s">
        <v>797</v>
      </c>
      <c r="D283" s="0" t="s">
        <v>84</v>
      </c>
      <c r="E283" s="138" t="n">
        <f aca="false" t="array" ref="E283:E283">INDEX($G283:$J283,$E$9)</f>
        <v>200</v>
      </c>
      <c r="F283" s="139" t="s">
        <v>798</v>
      </c>
      <c r="G283" s="145" t="n">
        <v>200</v>
      </c>
    </row>
    <row r="284" customFormat="false" ht="15" hidden="false" customHeight="false" outlineLevel="0" collapsed="false">
      <c r="C284" s="0" t="s">
        <v>799</v>
      </c>
      <c r="D284" s="0" t="s">
        <v>84</v>
      </c>
      <c r="E284" s="138" t="n">
        <f aca="false" t="array" ref="E284:E284">INDEX($G284:$J284,$E$9)</f>
        <v>100</v>
      </c>
      <c r="F284" s="139" t="s">
        <v>800</v>
      </c>
      <c r="G284" s="145" t="n">
        <v>100</v>
      </c>
    </row>
    <row r="285" customFormat="false" ht="15" hidden="false" customHeight="false" outlineLevel="0" collapsed="false">
      <c r="C285" s="0" t="s">
        <v>439</v>
      </c>
      <c r="D285" s="0" t="s">
        <v>125</v>
      </c>
      <c r="E285" s="138" t="n">
        <f aca="false" t="array" ref="E285:E285">INDEX($G285:$J285,$E$9)</f>
        <v>250</v>
      </c>
      <c r="F285" s="139"/>
      <c r="G285" s="145" t="n">
        <v>250</v>
      </c>
    </row>
    <row r="286" customFormat="false" ht="15" hidden="false" customHeight="false" outlineLevel="0" collapsed="false">
      <c r="C286" s="0" t="s">
        <v>801</v>
      </c>
      <c r="D286" s="0" t="s">
        <v>421</v>
      </c>
      <c r="E286" s="0" t="n">
        <f aca="false" t="array" ref="E286:E286">INDEX($G286:$J286,$E$9)</f>
        <v>1</v>
      </c>
      <c r="F286" s="130" t="s">
        <v>802</v>
      </c>
      <c r="G286" s="206" t="n">
        <v>1</v>
      </c>
    </row>
    <row r="287" customFormat="false" ht="15" hidden="false" customHeight="false" outlineLevel="0" collapsed="false">
      <c r="C287" s="0" t="s">
        <v>452</v>
      </c>
      <c r="D287" s="0" t="s">
        <v>51</v>
      </c>
      <c r="E287" s="65" t="n">
        <f aca="false" t="array" ref="E287:E287">INDEX($G287:$J287,$E$9)</f>
        <v>0.7</v>
      </c>
      <c r="F287" s="207" t="s">
        <v>803</v>
      </c>
      <c r="G287" s="201" t="n">
        <v>0.7</v>
      </c>
    </row>
    <row r="288" customFormat="false" ht="15" hidden="false" customHeight="false" outlineLevel="0" collapsed="false">
      <c r="C288" s="0" t="s">
        <v>804</v>
      </c>
      <c r="D288" s="0" t="s">
        <v>421</v>
      </c>
      <c r="E288" s="0" t="n">
        <f aca="false" t="array" ref="E288:E288">INDEX($G288:$J288,$E$9)</f>
        <v>1</v>
      </c>
      <c r="F288" s="130" t="s">
        <v>805</v>
      </c>
      <c r="G288" s="206" t="n">
        <v>1</v>
      </c>
    </row>
    <row r="289" customFormat="false" ht="15" hidden="false" customHeight="false" outlineLevel="0" collapsed="false">
      <c r="C289" s="0" t="s">
        <v>806</v>
      </c>
      <c r="D289" s="0" t="s">
        <v>29</v>
      </c>
      <c r="E289" s="0" t="n">
        <f aca="false" t="array" ref="E289:E289">INDEX($G289:$J289,$E$9)</f>
        <v>2</v>
      </c>
      <c r="F289" s="130" t="s">
        <v>285</v>
      </c>
      <c r="G289" s="206" t="n">
        <v>2</v>
      </c>
    </row>
    <row r="290" customFormat="false" ht="15" hidden="false" customHeight="false" outlineLevel="0" collapsed="false">
      <c r="C290" s="0" t="s">
        <v>807</v>
      </c>
      <c r="D290" s="0" t="s">
        <v>808</v>
      </c>
      <c r="E290" s="138" t="n">
        <f aca="false" t="array" ref="E290:E290">INDEX($G290:$J290,$E$9)</f>
        <v>73071306</v>
      </c>
      <c r="F290" s="139" t="s">
        <v>809</v>
      </c>
      <c r="G290" s="145" t="n">
        <v>73071306</v>
      </c>
    </row>
    <row r="291" customFormat="false" ht="15" hidden="false" customHeight="false" outlineLevel="0" collapsed="false">
      <c r="C291" s="0" t="s">
        <v>810</v>
      </c>
      <c r="D291" s="0" t="s">
        <v>811</v>
      </c>
      <c r="E291" s="138" t="n">
        <f aca="false" t="array" ref="E291:E291">INDEX($G291:$J291,$E$9)</f>
        <v>508345804</v>
      </c>
      <c r="F291" s="139" t="s">
        <v>809</v>
      </c>
      <c r="G291" s="145" t="n">
        <v>508345804</v>
      </c>
    </row>
    <row r="292" customFormat="false" ht="15" hidden="false" customHeight="false" outlineLevel="0" collapsed="false">
      <c r="C292" s="0" t="s">
        <v>812</v>
      </c>
      <c r="D292" s="0" t="s">
        <v>512</v>
      </c>
      <c r="E292" s="208" t="n">
        <f aca="false" t="array" ref="E292:E292">INDEX($G292:$J292,$E$9)</f>
        <v>73.071306</v>
      </c>
      <c r="F292" s="209" t="s">
        <v>813</v>
      </c>
      <c r="G292" s="208" t="n">
        <f aca="false">G290/1000000</f>
        <v>73.071306</v>
      </c>
    </row>
    <row r="293" customFormat="false" ht="15" hidden="false" customHeight="false" outlineLevel="0" collapsed="false">
      <c r="C293" s="0" t="s">
        <v>303</v>
      </c>
      <c r="D293" s="0" t="s">
        <v>512</v>
      </c>
      <c r="E293" s="208" t="n">
        <f aca="false" t="array" ref="E293:E293">INDEX($G293:$J293,$E$9)</f>
        <v>2.54172902</v>
      </c>
      <c r="F293" s="209" t="s">
        <v>814</v>
      </c>
      <c r="G293" s="208" t="n">
        <f aca="false">G291/1000000/G283</f>
        <v>2.54172902</v>
      </c>
    </row>
    <row r="294" customFormat="false" ht="15" hidden="false" customHeight="false" outlineLevel="0" collapsed="false">
      <c r="C294" s="0" t="s">
        <v>815</v>
      </c>
      <c r="D294" s="0" t="s">
        <v>125</v>
      </c>
      <c r="E294" s="138" t="n">
        <f aca="false" t="array" ref="E294:E294">INDEX($G294:$J294,$E$9)</f>
        <v>3137.0240039417</v>
      </c>
      <c r="F294" s="139" t="s">
        <v>816</v>
      </c>
      <c r="G294" s="210" t="n">
        <f aca="false" t="array" ref="G294:G294">G295+$E$68*(G297+SUMPRODUCT(Devex_FEP!$L$5:$L$37,Devex_FEP!$J$5:$J$37*(1-Devex_FEP!$G$5:$G$37))+Deposits!$O$7)</f>
        <v>3137.0240039417</v>
      </c>
    </row>
    <row r="295" customFormat="false" ht="15" hidden="false" customHeight="false" outlineLevel="0" collapsed="false">
      <c r="C295" s="0" t="s">
        <v>817</v>
      </c>
      <c r="D295" s="0" t="s">
        <v>125</v>
      </c>
      <c r="E295" s="138" t="n">
        <f aca="false" t="array" ref="E295:E295">INDEX($G295:$J295,$E$9)</f>
        <v>2855.63826012135</v>
      </c>
      <c r="F295" s="139" t="s">
        <v>818</v>
      </c>
      <c r="G295" s="138" t="n">
        <f aca="false">SUM(Devex_FEP!$L$5:$L$37)</f>
        <v>2855.63826012135</v>
      </c>
    </row>
    <row r="296" customFormat="false" ht="15" hidden="false" customHeight="false" outlineLevel="0" collapsed="false">
      <c r="C296" s="0" t="s">
        <v>819</v>
      </c>
      <c r="D296" s="0" t="s">
        <v>7</v>
      </c>
      <c r="E296" s="211" t="n">
        <f aca="false">In_Scale</f>
        <v>0.5</v>
      </c>
      <c r="F296" s="212" t="s">
        <v>820</v>
      </c>
      <c r="G296" s="211" t="n">
        <f aca="false" t="array" ref="G296:G296">(G294-$E$68*Deposits!$O$7)/(G295+$E$68*(G297+SUMPRODUCT(Devex_FEP!$L$5:$L$37,Devex_FEP!$J$5:$J$37*(1-Devex_FEP!$G$5:$G$37))))</f>
        <v>1</v>
      </c>
    </row>
    <row r="297" customFormat="false" ht="15" hidden="false" customHeight="false" outlineLevel="0" collapsed="false">
      <c r="C297" s="0" t="s">
        <v>821</v>
      </c>
      <c r="D297" s="0" t="s">
        <v>125</v>
      </c>
      <c r="E297" s="138" t="n">
        <f aca="false" t="array" ref="E297:E297">INDEX($G297:$J297,$E$9)</f>
        <v>2380.25853039162</v>
      </c>
      <c r="F297" s="139" t="s">
        <v>822</v>
      </c>
      <c r="G297" s="138" t="n">
        <f aca="false">SUMPRODUCT(Devex_FEP!$L$5:$L$37,Devex_FEP!$G$5:$G$37)</f>
        <v>2380.25853039162</v>
      </c>
    </row>
    <row r="298" customFormat="false" ht="15" hidden="false" customHeight="false" outlineLevel="0" collapsed="false">
      <c r="C298" s="0" t="s">
        <v>823</v>
      </c>
      <c r="D298" s="0" t="s">
        <v>389</v>
      </c>
      <c r="F298" s="130" t="s">
        <v>824</v>
      </c>
    </row>
    <row r="302" customFormat="false" ht="15" hidden="false" customHeight="false" outlineLevel="0" collapsed="false">
      <c r="B302" s="0" t="s">
        <v>7</v>
      </c>
      <c r="C302" s="136" t="s">
        <v>825</v>
      </c>
    </row>
    <row r="303" customFormat="false" ht="15" hidden="false" customHeight="false" outlineLevel="0" collapsed="false">
      <c r="C303" s="0" t="s">
        <v>826</v>
      </c>
      <c r="D303" s="0" t="s">
        <v>56</v>
      </c>
      <c r="E303" s="213" t="n">
        <v>100</v>
      </c>
      <c r="F303" s="169" t="s">
        <v>827</v>
      </c>
    </row>
    <row r="304" customFormat="false" ht="15" hidden="false" customHeight="false" outlineLevel="0" collapsed="false">
      <c r="C304" s="0" t="s">
        <v>57</v>
      </c>
      <c r="D304" s="0" t="s">
        <v>29</v>
      </c>
      <c r="E304" s="153" t="n">
        <f aca="false">ROUNDUP(Dash_MVA/In_MVA_Per_Bid,0)</f>
        <v>1</v>
      </c>
      <c r="F304" s="169" t="s">
        <v>828</v>
      </c>
    </row>
    <row r="305" customFormat="false" ht="15" hidden="false" customHeight="false" outlineLevel="0" collapsed="false">
      <c r="C305" s="0" t="s">
        <v>829</v>
      </c>
      <c r="D305" s="0" t="s">
        <v>56</v>
      </c>
      <c r="E305" s="213" t="n">
        <v>200</v>
      </c>
      <c r="F305" s="169" t="s">
        <v>830</v>
      </c>
    </row>
    <row r="306" customFormat="false" ht="15" hidden="false" customHeight="false" outlineLevel="0" collapsed="false">
      <c r="C306" s="0" t="s">
        <v>831</v>
      </c>
      <c r="D306" s="0" t="s">
        <v>7</v>
      </c>
      <c r="E306" s="208" t="n">
        <f aca="false">Dash_MVA/In_Source_MVA</f>
        <v>0.5</v>
      </c>
      <c r="F306" s="169" t="s">
        <v>832</v>
      </c>
    </row>
    <row r="307" customFormat="false" ht="15" hidden="false" customHeight="false" outlineLevel="0" collapsed="false">
      <c r="C307" s="0" t="s">
        <v>833</v>
      </c>
      <c r="D307" s="0" t="s">
        <v>62</v>
      </c>
      <c r="E307" s="214" t="n">
        <v>0</v>
      </c>
      <c r="F307" s="169" t="s">
        <v>834</v>
      </c>
    </row>
    <row r="308" customFormat="false" ht="15" hidden="false" customHeight="false" outlineLevel="0" collapsed="false">
      <c r="C308" s="0" t="s">
        <v>835</v>
      </c>
      <c r="D308" s="0" t="s">
        <v>84</v>
      </c>
      <c r="E308" s="215" t="n">
        <f aca="false">E18*(1-Dash_Build_Shortfall)</f>
        <v>135.9</v>
      </c>
      <c r="F308" s="169" t="s">
        <v>836</v>
      </c>
    </row>
    <row r="309" customFormat="false" ht="15" hidden="false" customHeight="false" outlineLevel="0" collapsed="false">
      <c r="C309" s="0" t="s">
        <v>837</v>
      </c>
      <c r="D309" s="0" t="s">
        <v>51</v>
      </c>
      <c r="E309" s="216" t="n">
        <f aca="false">Dash_BESS_Share/(1+Dash_Overbuild)</f>
        <v>0.198675496688742</v>
      </c>
      <c r="F309" s="169" t="s">
        <v>838</v>
      </c>
    </row>
    <row r="310" customFormat="false" ht="15" hidden="false" customHeight="false" outlineLevel="0" collapsed="false">
      <c r="C310" s="0" t="s">
        <v>839</v>
      </c>
      <c r="D310" s="0" t="s">
        <v>80</v>
      </c>
      <c r="E310" s="189" t="n">
        <f aca="false">INDEX(Osz3_Pts,1+SUMPRODUCT((Osz3_LB&lt;E309)+(Osz3_LB=E309)*Osz3_Incl))*Osz4_W</f>
        <v>6</v>
      </c>
      <c r="F310" s="169" t="s">
        <v>840</v>
      </c>
    </row>
    <row r="311" customFormat="false" ht="15" hidden="false" customHeight="false" outlineLevel="0" collapsed="false">
      <c r="C311" s="0" t="s">
        <v>841</v>
      </c>
      <c r="D311" s="0" t="s">
        <v>51</v>
      </c>
      <c r="E311" s="216" t="n">
        <f aca="false">Dash_BESS_Share/(1+Dash_Overbuild*Dash_OSZ4_Basis)</f>
        <v>0.3</v>
      </c>
      <c r="F311" s="169" t="s">
        <v>840</v>
      </c>
    </row>
    <row r="312" customFormat="false" ht="15" hidden="false" customHeight="false" outlineLevel="0" collapsed="false">
      <c r="C312" s="0" t="s">
        <v>842</v>
      </c>
      <c r="D312" s="0" t="s">
        <v>7</v>
      </c>
      <c r="F312" s="169" t="s">
        <v>843</v>
      </c>
      <c r="Q312" s="189" t="n">
        <v>1.01</v>
      </c>
      <c r="R312" s="189" t="n">
        <v>1.08</v>
      </c>
      <c r="S312" s="189" t="n">
        <v>1.15</v>
      </c>
      <c r="T312" s="189" t="n">
        <v>1.22</v>
      </c>
      <c r="U312" s="189" t="n">
        <v>1.3</v>
      </c>
      <c r="V312" s="189" t="n">
        <v>1.37</v>
      </c>
      <c r="W312" s="189" t="n">
        <v>1.44</v>
      </c>
      <c r="X312" s="189" t="n">
        <v>1.51</v>
      </c>
      <c r="Y312" s="189" t="n">
        <v>1.58</v>
      </c>
      <c r="Z312" s="189" t="n">
        <v>1.66</v>
      </c>
      <c r="AA312" s="189" t="n">
        <v>1.73</v>
      </c>
      <c r="AB312" s="189" t="n">
        <v>1.8</v>
      </c>
    </row>
    <row r="313" customFormat="false" ht="15" hidden="false" customHeight="false" outlineLevel="0" collapsed="false">
      <c r="C313" s="0" t="s">
        <v>844</v>
      </c>
      <c r="D313" s="0" t="s">
        <v>51</v>
      </c>
      <c r="F313" s="169" t="s">
        <v>843</v>
      </c>
      <c r="Q313" s="141" t="n">
        <v>0</v>
      </c>
      <c r="R313" s="141" t="n">
        <v>0.01</v>
      </c>
      <c r="S313" s="141" t="n">
        <v>0.032</v>
      </c>
      <c r="T313" s="141" t="n">
        <v>0.056</v>
      </c>
      <c r="U313" s="141" t="n">
        <v>0.08</v>
      </c>
      <c r="V313" s="141" t="n">
        <v>0.103</v>
      </c>
      <c r="W313" s="141" t="n">
        <v>0.126</v>
      </c>
      <c r="X313" s="141" t="n">
        <v>0.148</v>
      </c>
      <c r="Y313" s="141" t="n">
        <v>0.169</v>
      </c>
      <c r="Z313" s="141" t="n">
        <v>0.19</v>
      </c>
      <c r="AA313" s="141" t="n">
        <v>0.209</v>
      </c>
      <c r="AB313" s="141" t="n">
        <v>0.228</v>
      </c>
    </row>
    <row r="314" customFormat="false" ht="15" hidden="false" customHeight="false" outlineLevel="0" collapsed="false">
      <c r="C314" s="0" t="s">
        <v>845</v>
      </c>
      <c r="D314" s="0" t="s">
        <v>7</v>
      </c>
      <c r="E314" s="208" t="n">
        <f aca="false">In_Wind_Built/Dash_MVA</f>
        <v>1.359</v>
      </c>
      <c r="F314" s="169" t="s">
        <v>846</v>
      </c>
    </row>
    <row r="315" customFormat="false" ht="15" hidden="false" customHeight="false" outlineLevel="0" collapsed="false">
      <c r="C315" s="0" t="s">
        <v>847</v>
      </c>
      <c r="D315" s="0" t="s">
        <v>29</v>
      </c>
      <c r="E315" s="153" t="n">
        <f aca="false">IFERROR(MATCH(E314,In_Clip_Ratios,1),1)</f>
        <v>5</v>
      </c>
      <c r="F315" s="169" t="s">
        <v>848</v>
      </c>
    </row>
    <row r="316" customFormat="false" ht="15" hidden="false" customHeight="false" outlineLevel="0" collapsed="false">
      <c r="C316" s="0" t="s">
        <v>849</v>
      </c>
      <c r="D316" s="0" t="s">
        <v>29</v>
      </c>
      <c r="E316" s="153" t="n">
        <f aca="false">MIN(E315,COUNT(In_Clip_Ratios)-1)</f>
        <v>5</v>
      </c>
      <c r="F316" s="169" t="s">
        <v>848</v>
      </c>
    </row>
    <row r="317" customFormat="false" ht="15" hidden="false" customHeight="false" outlineLevel="0" collapsed="false">
      <c r="C317" s="0" t="s">
        <v>850</v>
      </c>
      <c r="D317" s="0" t="s">
        <v>7</v>
      </c>
      <c r="E317" s="189" t="n">
        <f aca="false">INDEX(In_Clip_Ratios,E316)</f>
        <v>1.3</v>
      </c>
      <c r="F317" s="169" t="s">
        <v>848</v>
      </c>
    </row>
    <row r="318" customFormat="false" ht="15" hidden="false" customHeight="false" outlineLevel="0" collapsed="false">
      <c r="C318" s="0" t="s">
        <v>851</v>
      </c>
      <c r="D318" s="0" t="s">
        <v>7</v>
      </c>
      <c r="E318" s="189" t="n">
        <f aca="false">INDEX(In_Clip_Ratios,E316+1)</f>
        <v>1.37</v>
      </c>
      <c r="F318" s="169" t="s">
        <v>848</v>
      </c>
    </row>
    <row r="319" customFormat="false" ht="15" hidden="false" customHeight="false" outlineLevel="0" collapsed="false">
      <c r="C319" s="0" t="s">
        <v>852</v>
      </c>
      <c r="D319" s="0" t="s">
        <v>51</v>
      </c>
      <c r="E319" s="141" t="n">
        <f aca="false">INDEX(In_Clip_Shares,E316)</f>
        <v>0.08</v>
      </c>
      <c r="F319" s="169" t="s">
        <v>848</v>
      </c>
    </row>
    <row r="320" customFormat="false" ht="15" hidden="false" customHeight="false" outlineLevel="0" collapsed="false">
      <c r="C320" s="0" t="s">
        <v>853</v>
      </c>
      <c r="D320" s="0" t="s">
        <v>51</v>
      </c>
      <c r="E320" s="141" t="n">
        <f aca="false">INDEX(In_Clip_Shares,E316+1)</f>
        <v>0.103</v>
      </c>
      <c r="F320" s="169" t="s">
        <v>848</v>
      </c>
    </row>
    <row r="321" customFormat="false" ht="15" hidden="false" customHeight="false" outlineLevel="0" collapsed="false">
      <c r="C321" s="0" t="s">
        <v>854</v>
      </c>
      <c r="D321" s="0" t="s">
        <v>855</v>
      </c>
      <c r="E321" s="208" t="n">
        <f aca="false">(E320-E319)/(E318-E317)</f>
        <v>0.328571428571428</v>
      </c>
      <c r="F321" s="169" t="s">
        <v>848</v>
      </c>
    </row>
    <row r="322" customFormat="false" ht="15" hidden="false" customHeight="false" outlineLevel="0" collapsed="false">
      <c r="C322" s="0" t="s">
        <v>856</v>
      </c>
      <c r="D322" s="0" t="s">
        <v>51</v>
      </c>
      <c r="E322" s="44" t="n">
        <f aca="false">MAX(0,E319+E321*(E314-E317))</f>
        <v>0.0993857142857142</v>
      </c>
      <c r="F322" s="169" t="s">
        <v>848</v>
      </c>
    </row>
    <row r="323" customFormat="false" ht="15" hidden="false" customHeight="false" outlineLevel="0" collapsed="false">
      <c r="C323" s="0" t="s">
        <v>857</v>
      </c>
      <c r="D323" s="0" t="s">
        <v>7</v>
      </c>
      <c r="E323" s="217" t="n">
        <f aca="false">1-E322</f>
        <v>0.900614285714286</v>
      </c>
      <c r="F323" s="169" t="s">
        <v>858</v>
      </c>
    </row>
    <row r="324" customFormat="false" ht="15" hidden="false" customHeight="false" outlineLevel="0" collapsed="false">
      <c r="C324" s="0" t="s">
        <v>859</v>
      </c>
      <c r="D324" s="0" t="s">
        <v>64</v>
      </c>
      <c r="E324" s="155" t="n">
        <v>4</v>
      </c>
      <c r="F324" s="169" t="s">
        <v>860</v>
      </c>
    </row>
    <row r="325" customFormat="false" ht="15" hidden="false" customHeight="false" outlineLevel="0" collapsed="false">
      <c r="C325" s="0" t="s">
        <v>861</v>
      </c>
      <c r="D325" s="0" t="s">
        <v>29</v>
      </c>
      <c r="E325" s="155" t="n">
        <v>2</v>
      </c>
      <c r="F325" s="169" t="s">
        <v>862</v>
      </c>
    </row>
    <row r="326" customFormat="false" ht="15" hidden="false" customHeight="false" outlineLevel="0" collapsed="false">
      <c r="C326" s="0" t="s">
        <v>863</v>
      </c>
      <c r="D326" s="0" t="s">
        <v>51</v>
      </c>
      <c r="E326" s="218" t="n">
        <v>0.2</v>
      </c>
      <c r="F326" s="169" t="s">
        <v>864</v>
      </c>
    </row>
    <row r="327" customFormat="false" ht="15" hidden="false" customHeight="false" outlineLevel="0" collapsed="false">
      <c r="C327" s="0" t="s">
        <v>865</v>
      </c>
      <c r="D327" s="0" t="s">
        <v>51</v>
      </c>
      <c r="E327" s="218" t="n">
        <v>0.15</v>
      </c>
      <c r="F327" s="169" t="s">
        <v>864</v>
      </c>
    </row>
    <row r="328" customFormat="false" ht="15" hidden="false" customHeight="false" outlineLevel="0" collapsed="false">
      <c r="C328" s="0" t="s">
        <v>866</v>
      </c>
      <c r="D328" s="0" t="s">
        <v>51</v>
      </c>
      <c r="E328" s="218" t="n">
        <v>0.1</v>
      </c>
      <c r="F328" s="169" t="s">
        <v>864</v>
      </c>
    </row>
    <row r="329" customFormat="false" ht="15" hidden="false" customHeight="false" outlineLevel="0" collapsed="false">
      <c r="C329" s="0" t="s">
        <v>867</v>
      </c>
      <c r="D329" s="0" t="s">
        <v>51</v>
      </c>
      <c r="E329" s="218" t="n">
        <v>0.15</v>
      </c>
      <c r="F329" s="169" t="s">
        <v>864</v>
      </c>
    </row>
    <row r="330" customFormat="false" ht="15" hidden="false" customHeight="false" outlineLevel="0" collapsed="false">
      <c r="C330" s="0" t="s">
        <v>868</v>
      </c>
      <c r="D330" s="0" t="s">
        <v>51</v>
      </c>
      <c r="E330" s="218" t="n">
        <v>0.05</v>
      </c>
      <c r="F330" s="169" t="s">
        <v>864</v>
      </c>
    </row>
    <row r="331" customFormat="false" ht="15" hidden="false" customHeight="false" outlineLevel="0" collapsed="false">
      <c r="C331" s="0" t="s">
        <v>869</v>
      </c>
      <c r="D331" s="0" t="s">
        <v>51</v>
      </c>
      <c r="E331" s="218" t="n">
        <v>0.05</v>
      </c>
      <c r="F331" s="169" t="s">
        <v>864</v>
      </c>
    </row>
    <row r="332" customFormat="false" ht="15" hidden="false" customHeight="false" outlineLevel="0" collapsed="false">
      <c r="C332" s="0" t="s">
        <v>870</v>
      </c>
      <c r="D332" s="0" t="s">
        <v>51</v>
      </c>
      <c r="E332" s="218" t="n">
        <v>0.1</v>
      </c>
      <c r="F332" s="169" t="s">
        <v>864</v>
      </c>
    </row>
    <row r="333" customFormat="false" ht="15" hidden="false" customHeight="false" outlineLevel="0" collapsed="false">
      <c r="C333" s="0" t="s">
        <v>871</v>
      </c>
      <c r="D333" s="0" t="s">
        <v>51</v>
      </c>
      <c r="E333" s="218" t="n">
        <v>0.05</v>
      </c>
      <c r="F333" s="169" t="s">
        <v>864</v>
      </c>
    </row>
    <row r="334" customFormat="false" ht="15" hidden="false" customHeight="false" outlineLevel="0" collapsed="false">
      <c r="C334" s="0" t="s">
        <v>872</v>
      </c>
      <c r="D334" s="0" t="s">
        <v>51</v>
      </c>
      <c r="E334" s="218" t="n">
        <v>0.15</v>
      </c>
      <c r="F334" s="169" t="s">
        <v>864</v>
      </c>
    </row>
    <row r="335" customFormat="false" ht="15" hidden="false" customHeight="false" outlineLevel="0" collapsed="false">
      <c r="C335" s="0" t="s">
        <v>873</v>
      </c>
      <c r="D335" s="0" t="s">
        <v>80</v>
      </c>
      <c r="E335" s="155" t="n">
        <v>100</v>
      </c>
      <c r="F335" s="169" t="s">
        <v>874</v>
      </c>
    </row>
    <row r="336" customFormat="false" ht="15" hidden="false" customHeight="false" outlineLevel="0" collapsed="false">
      <c r="C336" s="0" t="s">
        <v>875</v>
      </c>
      <c r="D336" s="0" t="s">
        <v>80</v>
      </c>
      <c r="E336" s="155" t="n">
        <v>100</v>
      </c>
      <c r="F336" s="169" t="s">
        <v>874</v>
      </c>
    </row>
    <row r="337" customFormat="false" ht="15" hidden="false" customHeight="false" outlineLevel="0" collapsed="false">
      <c r="C337" s="0" t="s">
        <v>876</v>
      </c>
      <c r="D337" s="0" t="s">
        <v>80</v>
      </c>
      <c r="E337" s="155" t="n">
        <v>100</v>
      </c>
      <c r="F337" s="169" t="s">
        <v>874</v>
      </c>
    </row>
    <row r="338" customFormat="false" ht="15" hidden="false" customHeight="false" outlineLevel="0" collapsed="false">
      <c r="C338" s="0" t="s">
        <v>877</v>
      </c>
      <c r="D338" s="0" t="s">
        <v>80</v>
      </c>
      <c r="E338" s="155" t="n">
        <v>80</v>
      </c>
      <c r="F338" s="169" t="s">
        <v>874</v>
      </c>
    </row>
    <row r="339" customFormat="false" ht="15" hidden="false" customHeight="false" outlineLevel="0" collapsed="false">
      <c r="C339" s="0" t="s">
        <v>878</v>
      </c>
      <c r="D339" s="0" t="s">
        <v>80</v>
      </c>
      <c r="E339" s="155" t="n">
        <v>20</v>
      </c>
      <c r="F339" s="169" t="s">
        <v>874</v>
      </c>
    </row>
    <row r="340" customFormat="false" ht="15" hidden="false" customHeight="false" outlineLevel="0" collapsed="false">
      <c r="C340" s="0" t="s">
        <v>879</v>
      </c>
      <c r="D340" s="0" t="s">
        <v>2</v>
      </c>
      <c r="E340" s="213" t="n">
        <v>10</v>
      </c>
      <c r="F340" s="169" t="s">
        <v>874</v>
      </c>
    </row>
    <row r="341" customFormat="false" ht="15" hidden="false" customHeight="false" outlineLevel="0" collapsed="false">
      <c r="C341" s="0" t="s">
        <v>880</v>
      </c>
      <c r="D341" s="0" t="s">
        <v>2</v>
      </c>
      <c r="E341" s="213" t="n">
        <v>50</v>
      </c>
      <c r="F341" s="169" t="s">
        <v>881</v>
      </c>
    </row>
    <row r="342" customFormat="false" ht="15" hidden="false" customHeight="false" outlineLevel="0" collapsed="false">
      <c r="C342" s="0" t="s">
        <v>882</v>
      </c>
      <c r="D342" s="0" t="s">
        <v>40</v>
      </c>
      <c r="E342" s="219" t="n">
        <v>2</v>
      </c>
      <c r="F342" s="169" t="s">
        <v>874</v>
      </c>
    </row>
    <row r="343" customFormat="false" ht="15" hidden="false" customHeight="false" outlineLevel="0" collapsed="false">
      <c r="C343" s="0" t="s">
        <v>883</v>
      </c>
      <c r="D343" s="0" t="s">
        <v>40</v>
      </c>
      <c r="E343" s="219" t="n">
        <v>3</v>
      </c>
      <c r="F343" s="169" t="s">
        <v>881</v>
      </c>
    </row>
    <row r="344" customFormat="false" ht="15" hidden="false" customHeight="false" outlineLevel="0" collapsed="false">
      <c r="C344" s="0" t="s">
        <v>884</v>
      </c>
      <c r="D344" s="0" t="s">
        <v>51</v>
      </c>
      <c r="E344" s="218" t="n">
        <v>0.05</v>
      </c>
      <c r="F344" s="169" t="s">
        <v>885</v>
      </c>
    </row>
    <row r="345" customFormat="false" ht="15" hidden="false" customHeight="false" outlineLevel="0" collapsed="false">
      <c r="C345" s="0" t="s">
        <v>886</v>
      </c>
      <c r="D345" s="0" t="s">
        <v>29</v>
      </c>
      <c r="E345" s="213" t="n">
        <v>1000</v>
      </c>
      <c r="F345" s="169" t="s">
        <v>241</v>
      </c>
    </row>
    <row r="346" customFormat="false" ht="15" hidden="false" customHeight="false" outlineLevel="0" collapsed="false">
      <c r="C346" s="0" t="s">
        <v>887</v>
      </c>
      <c r="D346" s="0" t="s">
        <v>64</v>
      </c>
      <c r="E346" s="213" t="n">
        <v>8760</v>
      </c>
      <c r="F346" s="169" t="s">
        <v>241</v>
      </c>
    </row>
    <row r="347" customFormat="false" ht="15" hidden="false" customHeight="false" outlineLevel="0" collapsed="false">
      <c r="C347" s="0" t="s">
        <v>888</v>
      </c>
      <c r="D347" s="0" t="s">
        <v>29</v>
      </c>
      <c r="E347" s="220" t="n">
        <v>1E-006</v>
      </c>
      <c r="F347" s="169" t="s">
        <v>889</v>
      </c>
    </row>
    <row r="349" customFormat="false" ht="15" hidden="false" customHeight="false" outlineLevel="0" collapsed="false">
      <c r="C349" s="205" t="s">
        <v>890</v>
      </c>
      <c r="Q349" s="131" t="n">
        <v>1</v>
      </c>
      <c r="R349" s="131" t="n">
        <v>2</v>
      </c>
      <c r="S349" s="131" t="n">
        <v>3</v>
      </c>
      <c r="T349" s="131" t="n">
        <v>4</v>
      </c>
      <c r="U349" s="131" t="n">
        <v>5</v>
      </c>
      <c r="V349" s="131" t="n">
        <v>6</v>
      </c>
      <c r="W349" s="131" t="n">
        <v>7</v>
      </c>
      <c r="X349" s="131" t="n">
        <v>8</v>
      </c>
      <c r="Y349" s="131" t="n">
        <v>9</v>
      </c>
      <c r="Z349" s="131" t="n">
        <v>10</v>
      </c>
      <c r="AA349" s="131" t="n">
        <v>11</v>
      </c>
      <c r="AB349" s="131" t="n">
        <v>12</v>
      </c>
    </row>
    <row r="350" customFormat="false" ht="15" hidden="false" customHeight="false" outlineLevel="0" collapsed="false">
      <c r="C350" s="0" t="s">
        <v>891</v>
      </c>
      <c r="D350" s="0" t="s">
        <v>2</v>
      </c>
      <c r="F350" s="169" t="s">
        <v>874</v>
      </c>
      <c r="Q350" s="206" t="n">
        <v>10</v>
      </c>
      <c r="R350" s="206" t="n">
        <v>15</v>
      </c>
      <c r="S350" s="206" t="n">
        <v>20</v>
      </c>
      <c r="T350" s="206" t="n">
        <v>25</v>
      </c>
      <c r="U350" s="206" t="n">
        <v>30</v>
      </c>
      <c r="V350" s="206" t="n">
        <v>35</v>
      </c>
      <c r="W350" s="206" t="n">
        <v>40</v>
      </c>
      <c r="X350" s="206" t="n">
        <v>45</v>
      </c>
      <c r="Y350" s="206" t="n">
        <v>50</v>
      </c>
    </row>
    <row r="351" customFormat="false" ht="15" hidden="false" customHeight="false" outlineLevel="0" collapsed="false">
      <c r="C351" s="0" t="s">
        <v>892</v>
      </c>
      <c r="D351" s="0" t="s">
        <v>62</v>
      </c>
      <c r="F351" s="169" t="s">
        <v>874</v>
      </c>
      <c r="Q351" s="155" t="n">
        <v>0</v>
      </c>
      <c r="R351" s="155" t="n">
        <v>0</v>
      </c>
      <c r="S351" s="155" t="n">
        <v>0</v>
      </c>
      <c r="T351" s="155" t="n">
        <v>0</v>
      </c>
      <c r="U351" s="155" t="n">
        <v>0</v>
      </c>
      <c r="V351" s="155" t="n">
        <v>0</v>
      </c>
      <c r="W351" s="155" t="n">
        <v>0</v>
      </c>
      <c r="X351" s="155" t="n">
        <v>0</v>
      </c>
      <c r="Y351" s="155" t="n">
        <v>1</v>
      </c>
    </row>
    <row r="352" customFormat="false" ht="15" hidden="false" customHeight="false" outlineLevel="0" collapsed="false">
      <c r="C352" s="0" t="s">
        <v>893</v>
      </c>
      <c r="D352" s="0" t="s">
        <v>80</v>
      </c>
      <c r="F352" s="169" t="s">
        <v>874</v>
      </c>
      <c r="Q352" s="155" t="n">
        <v>0</v>
      </c>
      <c r="R352" s="155" t="n">
        <v>10</v>
      </c>
      <c r="S352" s="155" t="n">
        <v>20</v>
      </c>
      <c r="T352" s="155" t="n">
        <v>30</v>
      </c>
      <c r="U352" s="155" t="n">
        <v>40</v>
      </c>
      <c r="V352" s="155" t="n">
        <v>55</v>
      </c>
      <c r="W352" s="155" t="n">
        <v>70</v>
      </c>
      <c r="X352" s="155" t="n">
        <v>80</v>
      </c>
      <c r="Y352" s="155" t="n">
        <v>90</v>
      </c>
      <c r="Z352" s="155" t="n">
        <v>100</v>
      </c>
    </row>
    <row r="353" customFormat="false" ht="15" hidden="false" customHeight="false" outlineLevel="0" collapsed="false">
      <c r="C353" s="0" t="s">
        <v>894</v>
      </c>
      <c r="D353" s="0" t="s">
        <v>40</v>
      </c>
      <c r="F353" s="169" t="s">
        <v>874</v>
      </c>
      <c r="Q353" s="206" t="n">
        <v>2</v>
      </c>
      <c r="R353" s="206" t="n">
        <v>2.1</v>
      </c>
      <c r="S353" s="206" t="n">
        <v>2.2</v>
      </c>
      <c r="T353" s="206" t="n">
        <v>2.3</v>
      </c>
      <c r="U353" s="206" t="n">
        <v>2.4</v>
      </c>
      <c r="V353" s="206" t="n">
        <v>2.5</v>
      </c>
      <c r="W353" s="206" t="n">
        <v>2.6</v>
      </c>
      <c r="X353" s="206" t="n">
        <v>2.7</v>
      </c>
      <c r="Y353" s="206" t="n">
        <v>2.8</v>
      </c>
      <c r="Z353" s="206" t="n">
        <v>2.9</v>
      </c>
      <c r="AA353" s="206" t="n">
        <v>3</v>
      </c>
    </row>
    <row r="354" customFormat="false" ht="15" hidden="false" customHeight="false" outlineLevel="0" collapsed="false">
      <c r="C354" s="0" t="s">
        <v>895</v>
      </c>
      <c r="D354" s="0" t="s">
        <v>62</v>
      </c>
      <c r="F354" s="169" t="s">
        <v>874</v>
      </c>
      <c r="Q354" s="155" t="n">
        <v>0</v>
      </c>
      <c r="R354" s="155" t="n">
        <v>0</v>
      </c>
      <c r="S354" s="155" t="n">
        <v>0</v>
      </c>
      <c r="T354" s="155" t="n">
        <v>0</v>
      </c>
      <c r="U354" s="155" t="n">
        <v>0</v>
      </c>
      <c r="V354" s="155" t="n">
        <v>0</v>
      </c>
      <c r="W354" s="155" t="n">
        <v>0</v>
      </c>
      <c r="X354" s="155" t="n">
        <v>0</v>
      </c>
      <c r="Y354" s="155" t="n">
        <v>0</v>
      </c>
      <c r="Z354" s="155" t="n">
        <v>0</v>
      </c>
      <c r="AA354" s="155" t="n">
        <v>1</v>
      </c>
    </row>
    <row r="355" customFormat="false" ht="15" hidden="false" customHeight="false" outlineLevel="0" collapsed="false">
      <c r="C355" s="0" t="s">
        <v>896</v>
      </c>
      <c r="D355" s="0" t="s">
        <v>80</v>
      </c>
      <c r="F355" s="169" t="s">
        <v>874</v>
      </c>
      <c r="Q355" s="155" t="n">
        <v>0</v>
      </c>
      <c r="R355" s="155" t="n">
        <v>5</v>
      </c>
      <c r="S355" s="155" t="n">
        <v>10</v>
      </c>
      <c r="T355" s="155" t="n">
        <v>20</v>
      </c>
      <c r="U355" s="155" t="n">
        <v>30</v>
      </c>
      <c r="V355" s="155" t="n">
        <v>40</v>
      </c>
      <c r="W355" s="155" t="n">
        <v>50</v>
      </c>
      <c r="X355" s="155" t="n">
        <v>60</v>
      </c>
      <c r="Y355" s="155" t="n">
        <v>70</v>
      </c>
      <c r="Z355" s="155" t="n">
        <v>80</v>
      </c>
      <c r="AA355" s="155" t="n">
        <v>90</v>
      </c>
      <c r="AB355" s="155" t="n">
        <v>100</v>
      </c>
    </row>
    <row r="356" customFormat="false" ht="15" hidden="false" customHeight="false" outlineLevel="0" collapsed="false">
      <c r="C356" s="0" t="s">
        <v>897</v>
      </c>
      <c r="D356" s="0" t="s">
        <v>51</v>
      </c>
      <c r="F356" s="169" t="s">
        <v>840</v>
      </c>
      <c r="Q356" s="206" t="n">
        <v>0.02</v>
      </c>
      <c r="R356" s="206" t="n">
        <v>0.05</v>
      </c>
      <c r="S356" s="206" t="n">
        <v>0.1</v>
      </c>
      <c r="T356" s="206" t="n">
        <v>0.15</v>
      </c>
      <c r="U356" s="206" t="n">
        <v>0.2</v>
      </c>
      <c r="V356" s="206" t="n">
        <v>0.25</v>
      </c>
      <c r="W356" s="206" t="n">
        <v>0.3</v>
      </c>
      <c r="X356" s="206" t="n">
        <v>0.35</v>
      </c>
      <c r="Y356" s="206" t="n">
        <v>0.4</v>
      </c>
      <c r="Z356" s="206" t="n">
        <v>0.5</v>
      </c>
    </row>
    <row r="357" customFormat="false" ht="15" hidden="false" customHeight="false" outlineLevel="0" collapsed="false">
      <c r="C357" s="0" t="s">
        <v>898</v>
      </c>
      <c r="D357" s="0" t="s">
        <v>62</v>
      </c>
      <c r="F357" s="169" t="s">
        <v>840</v>
      </c>
      <c r="Q357" s="155" t="n">
        <v>0</v>
      </c>
      <c r="R357" s="155" t="n">
        <v>1</v>
      </c>
      <c r="S357" s="155" t="n">
        <v>1</v>
      </c>
      <c r="T357" s="155" t="n">
        <v>1</v>
      </c>
      <c r="U357" s="155" t="n">
        <v>1</v>
      </c>
      <c r="V357" s="155" t="n">
        <v>1</v>
      </c>
      <c r="W357" s="155" t="n">
        <v>1</v>
      </c>
      <c r="X357" s="155" t="n">
        <v>1</v>
      </c>
      <c r="Y357" s="155" t="n">
        <v>1</v>
      </c>
      <c r="Z357" s="155" t="n">
        <v>0</v>
      </c>
    </row>
    <row r="358" customFormat="false" ht="15" hidden="false" customHeight="false" outlineLevel="0" collapsed="false">
      <c r="C358" s="0" t="s">
        <v>899</v>
      </c>
      <c r="D358" s="0" t="s">
        <v>80</v>
      </c>
      <c r="F358" s="169" t="s">
        <v>840</v>
      </c>
      <c r="Q358" s="155" t="n">
        <v>0</v>
      </c>
      <c r="R358" s="155" t="n">
        <v>10</v>
      </c>
      <c r="S358" s="155" t="n">
        <v>20</v>
      </c>
      <c r="T358" s="155" t="n">
        <v>30</v>
      </c>
      <c r="U358" s="155" t="n">
        <v>40</v>
      </c>
      <c r="V358" s="155" t="n">
        <v>50</v>
      </c>
      <c r="W358" s="155" t="n">
        <v>60</v>
      </c>
      <c r="X358" s="155" t="n">
        <v>70</v>
      </c>
      <c r="Y358" s="155" t="n">
        <v>80</v>
      </c>
      <c r="Z358" s="155" t="n">
        <v>90</v>
      </c>
      <c r="AA358" s="155" t="n">
        <v>100</v>
      </c>
    </row>
    <row r="359" customFormat="false" ht="15" hidden="false" customHeight="false" outlineLevel="0" collapsed="false">
      <c r="C359" s="0" t="s">
        <v>900</v>
      </c>
      <c r="D359" s="0" t="s">
        <v>7</v>
      </c>
      <c r="F359" s="169" t="s">
        <v>901</v>
      </c>
      <c r="Q359" s="206" t="n">
        <v>1</v>
      </c>
      <c r="R359" s="206" t="n">
        <v>1.2</v>
      </c>
      <c r="S359" s="206" t="n">
        <v>1.3</v>
      </c>
      <c r="T359" s="206" t="n">
        <v>1.4</v>
      </c>
      <c r="U359" s="206" t="n">
        <v>1.5</v>
      </c>
      <c r="V359" s="206" t="n">
        <v>1.6</v>
      </c>
      <c r="W359" s="206" t="n">
        <v>1.7</v>
      </c>
      <c r="X359" s="206" t="n">
        <v>1.8</v>
      </c>
      <c r="Y359" s="206" t="n">
        <v>1.9</v>
      </c>
      <c r="Z359" s="206" t="n">
        <v>2</v>
      </c>
    </row>
    <row r="360" customFormat="false" ht="15" hidden="false" customHeight="false" outlineLevel="0" collapsed="false">
      <c r="C360" s="0" t="s">
        <v>902</v>
      </c>
      <c r="D360" s="0" t="s">
        <v>62</v>
      </c>
      <c r="F360" s="169" t="s">
        <v>901</v>
      </c>
      <c r="Q360" s="155" t="n">
        <v>0</v>
      </c>
      <c r="R360" s="155" t="n">
        <v>1</v>
      </c>
      <c r="S360" s="155" t="n">
        <v>1</v>
      </c>
      <c r="T360" s="155" t="n">
        <v>1</v>
      </c>
      <c r="U360" s="155" t="n">
        <v>1</v>
      </c>
      <c r="V360" s="155" t="n">
        <v>1</v>
      </c>
      <c r="W360" s="155" t="n">
        <v>1</v>
      </c>
      <c r="X360" s="155" t="n">
        <v>1</v>
      </c>
      <c r="Y360" s="155" t="n">
        <v>1</v>
      </c>
      <c r="Z360" s="155" t="n">
        <v>1</v>
      </c>
    </row>
    <row r="361" customFormat="false" ht="15" hidden="false" customHeight="false" outlineLevel="0" collapsed="false">
      <c r="C361" s="0" t="s">
        <v>903</v>
      </c>
      <c r="D361" s="0" t="s">
        <v>80</v>
      </c>
      <c r="F361" s="169" t="s">
        <v>901</v>
      </c>
      <c r="Q361" s="155" t="n">
        <v>0</v>
      </c>
      <c r="R361" s="155" t="n">
        <v>10</v>
      </c>
      <c r="S361" s="155" t="n">
        <v>20</v>
      </c>
      <c r="T361" s="155" t="n">
        <v>30</v>
      </c>
      <c r="U361" s="155" t="n">
        <v>40</v>
      </c>
      <c r="V361" s="155" t="n">
        <v>50</v>
      </c>
      <c r="W361" s="155" t="n">
        <v>60</v>
      </c>
      <c r="X361" s="155" t="n">
        <v>70</v>
      </c>
      <c r="Y361" s="155" t="n">
        <v>80</v>
      </c>
      <c r="Z361" s="155" t="n">
        <v>90</v>
      </c>
      <c r="AA361" s="155" t="n">
        <v>100</v>
      </c>
    </row>
    <row r="362" customFormat="false" ht="15" hidden="false" customHeight="false" outlineLevel="0" collapsed="false">
      <c r="C362" s="136" t="s">
        <v>904</v>
      </c>
    </row>
    <row r="363" customFormat="false" ht="15" hidden="false" customHeight="false" outlineLevel="0" collapsed="false">
      <c r="C363" s="0" t="s">
        <v>905</v>
      </c>
      <c r="D363" s="0" t="s">
        <v>62</v>
      </c>
      <c r="E363" s="153" t="n">
        <f aca="false">IF(INDEX($G363:$P363,$E$6)="",$G363,INDEX($G363:$P363,$E$6))</f>
        <v>0</v>
      </c>
      <c r="F363" s="169" t="s">
        <v>906</v>
      </c>
      <c r="G363" s="155" t="n">
        <v>0</v>
      </c>
      <c r="H363" s="155" t="n">
        <v>0</v>
      </c>
      <c r="I363" s="155" t="n">
        <v>1</v>
      </c>
    </row>
    <row r="364" customFormat="false" ht="15" hidden="false" customHeight="false" outlineLevel="0" collapsed="false">
      <c r="C364" s="0" t="s">
        <v>907</v>
      </c>
      <c r="D364" s="0" t="s">
        <v>211</v>
      </c>
      <c r="E364" s="155" t="n">
        <v>1</v>
      </c>
      <c r="F364" s="169" t="s">
        <v>906</v>
      </c>
    </row>
    <row r="365" customFormat="false" ht="15" hidden="false" customHeight="false" outlineLevel="0" collapsed="false">
      <c r="C365" s="0" t="s">
        <v>908</v>
      </c>
      <c r="D365" s="0" t="s">
        <v>51</v>
      </c>
      <c r="E365" s="157" t="n">
        <v>0.04</v>
      </c>
      <c r="F365" s="169" t="s">
        <v>909</v>
      </c>
    </row>
    <row r="366" customFormat="false" ht="15" hidden="false" customHeight="false" outlineLevel="0" collapsed="false">
      <c r="C366" s="0" t="s">
        <v>910</v>
      </c>
      <c r="D366" s="0" t="s">
        <v>51</v>
      </c>
      <c r="E366" s="221" t="n">
        <v>0.045</v>
      </c>
      <c r="F366" s="169" t="s">
        <v>911</v>
      </c>
    </row>
    <row r="367" customFormat="false" ht="15" hidden="false" customHeight="false" outlineLevel="0" collapsed="false">
      <c r="C367" s="0" t="s">
        <v>912</v>
      </c>
      <c r="D367" s="0" t="s">
        <v>211</v>
      </c>
      <c r="E367" s="155" t="n">
        <v>15</v>
      </c>
      <c r="F367" s="169" t="s">
        <v>906</v>
      </c>
    </row>
    <row r="368" customFormat="false" ht="15" hidden="false" customHeight="false" outlineLevel="0" collapsed="false">
      <c r="C368" s="0" t="s">
        <v>913</v>
      </c>
      <c r="D368" s="0" t="s">
        <v>716</v>
      </c>
      <c r="E368" s="44" t="n">
        <f aca="false">E221</f>
        <v>0.0175</v>
      </c>
      <c r="F368" s="169" t="s">
        <v>914</v>
      </c>
    </row>
  </sheetData>
  <dataValidations count="1">
    <dataValidation allowBlank="true" errorStyle="stop" operator="between" showDropDown="false" showErrorMessage="true" showInputMessage="true" sqref="E9" type="whole">
      <formula1>1</formula1>
      <formula2>1</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P7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E20" activeCellId="0" sqref="E20"/>
    </sheetView>
  </sheetViews>
  <sheetFormatPr defaultColWidth="8.5703125" defaultRowHeight="15" zeroHeight="false" outlineLevelRow="0" outlineLevelCol="0"/>
  <cols>
    <col collapsed="false" customWidth="true" hidden="false" outlineLevel="0" max="2" min="1" style="0" width="2.57"/>
    <col collapsed="false" customWidth="true" hidden="false" outlineLevel="0" max="3" min="3" style="0" width="57.14"/>
    <col collapsed="false" customWidth="true" hidden="false" outlineLevel="0" max="18" min="4" style="0" width="18.14"/>
    <col collapsed="false" customWidth="true" hidden="false" outlineLevel="0" max="68" min="19" style="0" width="11.43"/>
  </cols>
  <sheetData>
    <row r="1" customFormat="false" ht="18.75" hidden="false" customHeight="true" outlineLevel="0" collapsed="false">
      <c r="A1" s="129" t="s">
        <v>915</v>
      </c>
    </row>
    <row r="2" customFormat="false" ht="15" hidden="false" customHeight="false" outlineLevel="0" collapsed="false">
      <c r="A2" s="130" t="s">
        <v>916</v>
      </c>
    </row>
    <row r="4" customFormat="false" ht="15" hidden="false" customHeight="false" outlineLevel="0" collapsed="false">
      <c r="B4" s="0" t="s">
        <v>7</v>
      </c>
      <c r="C4" s="136" t="s">
        <v>917</v>
      </c>
      <c r="D4" s="222"/>
      <c r="E4" s="222"/>
      <c r="F4" s="222"/>
      <c r="G4" s="222"/>
      <c r="H4" s="222"/>
      <c r="I4" s="222"/>
      <c r="J4" s="222"/>
      <c r="K4" s="222"/>
      <c r="L4" s="222"/>
      <c r="M4" s="222"/>
      <c r="N4" s="222"/>
      <c r="O4" s="222"/>
      <c r="P4" s="222"/>
      <c r="Q4" s="222"/>
      <c r="R4" s="222"/>
      <c r="S4" s="222"/>
      <c r="T4" s="222"/>
      <c r="U4" s="222"/>
      <c r="V4" s="222"/>
      <c r="W4" s="222"/>
      <c r="X4" s="222"/>
      <c r="Y4" s="222"/>
      <c r="Z4" s="222"/>
      <c r="AA4" s="222"/>
      <c r="AB4" s="222"/>
      <c r="AC4" s="222"/>
      <c r="AD4" s="222"/>
      <c r="AE4" s="222"/>
      <c r="AF4" s="222"/>
      <c r="AG4" s="222"/>
      <c r="AH4" s="222"/>
      <c r="AI4" s="222"/>
      <c r="AJ4" s="222"/>
      <c r="AK4" s="222"/>
      <c r="AL4" s="222"/>
      <c r="AM4" s="222"/>
      <c r="AN4" s="222"/>
      <c r="AO4" s="222"/>
      <c r="AP4" s="222"/>
      <c r="AQ4" s="222"/>
      <c r="AR4" s="222"/>
      <c r="AS4" s="222"/>
      <c r="AT4" s="222"/>
      <c r="AU4" s="222"/>
      <c r="AV4" s="222"/>
      <c r="AW4" s="222"/>
      <c r="AX4" s="222"/>
      <c r="AY4" s="222"/>
      <c r="AZ4" s="222"/>
      <c r="BA4" s="222"/>
      <c r="BB4" s="222"/>
      <c r="BC4" s="222"/>
      <c r="BD4" s="222"/>
      <c r="BE4" s="222"/>
      <c r="BF4" s="222"/>
      <c r="BG4" s="222"/>
      <c r="BH4" s="222"/>
      <c r="BI4" s="222"/>
      <c r="BJ4" s="222"/>
      <c r="BK4" s="222"/>
      <c r="BL4" s="222"/>
      <c r="BM4" s="222"/>
      <c r="BN4" s="222"/>
      <c r="BO4" s="222"/>
      <c r="BP4" s="222"/>
    </row>
    <row r="5" customFormat="false" ht="15" hidden="false" customHeight="false" outlineLevel="0" collapsed="false">
      <c r="C5" s="0" t="s">
        <v>918</v>
      </c>
      <c r="G5" s="0" t="s">
        <v>919</v>
      </c>
      <c r="H5" s="153" t="n">
        <f aca="false">MOIC!H4</f>
        <v>0</v>
      </c>
      <c r="I5" s="153" t="n">
        <f aca="false">MOIC!I4</f>
        <v>1</v>
      </c>
      <c r="J5" s="153" t="n">
        <f aca="false">MOIC!J4</f>
        <v>2</v>
      </c>
      <c r="K5" s="153" t="n">
        <f aca="false">MOIC!K4</f>
        <v>3</v>
      </c>
      <c r="L5" s="153" t="n">
        <f aca="false">MOIC!L4</f>
        <v>4</v>
      </c>
      <c r="M5" s="153" t="n">
        <f aca="false">MOIC!M4</f>
        <v>5</v>
      </c>
      <c r="N5" s="153" t="n">
        <f aca="false">MOIC!N4</f>
        <v>6</v>
      </c>
      <c r="O5" s="153" t="n">
        <f aca="false">MOIC!O4</f>
        <v>7</v>
      </c>
      <c r="P5" s="153" t="n">
        <f aca="false">MOIC!P4</f>
        <v>8</v>
      </c>
      <c r="Q5" s="153" t="n">
        <f aca="false">MOIC!Q4</f>
        <v>9</v>
      </c>
      <c r="R5" s="153" t="n">
        <f aca="false">MOIC!R4</f>
        <v>10</v>
      </c>
      <c r="S5" s="153" t="n">
        <f aca="false">MOIC!S4</f>
        <v>11</v>
      </c>
      <c r="T5" s="153" t="n">
        <f aca="false">MOIC!T4</f>
        <v>12</v>
      </c>
      <c r="U5" s="153" t="n">
        <f aca="false">MOIC!U4</f>
        <v>13</v>
      </c>
      <c r="V5" s="153" t="n">
        <f aca="false">MOIC!V4</f>
        <v>14</v>
      </c>
      <c r="W5" s="153" t="n">
        <f aca="false">MOIC!W4</f>
        <v>15</v>
      </c>
      <c r="X5" s="153" t="n">
        <f aca="false">MOIC!X4</f>
        <v>16</v>
      </c>
      <c r="Y5" s="153" t="n">
        <f aca="false">MOIC!Y4</f>
        <v>17</v>
      </c>
      <c r="Z5" s="153" t="n">
        <f aca="false">MOIC!Z4</f>
        <v>18</v>
      </c>
      <c r="AA5" s="153" t="n">
        <f aca="false">MOIC!AA4</f>
        <v>19</v>
      </c>
      <c r="AB5" s="153" t="n">
        <f aca="false">MOIC!AB4</f>
        <v>20</v>
      </c>
      <c r="AC5" s="153" t="n">
        <f aca="false">MOIC!AC4</f>
        <v>21</v>
      </c>
      <c r="AD5" s="153" t="n">
        <f aca="false">MOIC!AD4</f>
        <v>22</v>
      </c>
      <c r="AE5" s="153" t="n">
        <f aca="false">MOIC!AE4</f>
        <v>23</v>
      </c>
      <c r="AF5" s="153" t="n">
        <f aca="false">MOIC!AF4</f>
        <v>24</v>
      </c>
      <c r="AG5" s="153" t="n">
        <f aca="false">MOIC!AG4</f>
        <v>25</v>
      </c>
      <c r="AH5" s="153" t="n">
        <f aca="false">MOIC!AH4</f>
        <v>26</v>
      </c>
      <c r="AI5" s="153" t="n">
        <f aca="false">MOIC!AI4</f>
        <v>27</v>
      </c>
      <c r="AJ5" s="153" t="n">
        <f aca="false">MOIC!AJ4</f>
        <v>28</v>
      </c>
      <c r="AK5" s="153" t="n">
        <f aca="false">MOIC!AK4</f>
        <v>29</v>
      </c>
      <c r="AL5" s="153" t="n">
        <f aca="false">MOIC!AL4</f>
        <v>30</v>
      </c>
      <c r="AM5" s="153" t="n">
        <f aca="false">MOIC!AM4</f>
        <v>31</v>
      </c>
      <c r="AN5" s="153" t="n">
        <f aca="false">MOIC!AN4</f>
        <v>32</v>
      </c>
      <c r="AO5" s="153" t="n">
        <f aca="false">MOIC!AO4</f>
        <v>33</v>
      </c>
      <c r="AP5" s="153" t="n">
        <f aca="false">MOIC!AP4</f>
        <v>34</v>
      </c>
      <c r="AQ5" s="153" t="n">
        <f aca="false">MOIC!AQ4</f>
        <v>35</v>
      </c>
      <c r="AR5" s="153" t="n">
        <f aca="false">MOIC!AR4</f>
        <v>36</v>
      </c>
      <c r="AS5" s="153" t="n">
        <f aca="false">MOIC!AS4</f>
        <v>37</v>
      </c>
      <c r="AT5" s="153" t="n">
        <f aca="false">MOIC!AT4</f>
        <v>38</v>
      </c>
      <c r="AU5" s="153" t="n">
        <f aca="false">MOIC!AU4</f>
        <v>39</v>
      </c>
      <c r="AV5" s="153" t="n">
        <f aca="false">MOIC!AV4</f>
        <v>40</v>
      </c>
      <c r="AW5" s="153" t="n">
        <f aca="false">MOIC!AW4</f>
        <v>41</v>
      </c>
      <c r="AX5" s="153" t="n">
        <f aca="false">MOIC!AX4</f>
        <v>42</v>
      </c>
      <c r="AY5" s="153" t="n">
        <f aca="false">MOIC!AY4</f>
        <v>43</v>
      </c>
      <c r="AZ5" s="153" t="n">
        <f aca="false">MOIC!AZ4</f>
        <v>44</v>
      </c>
      <c r="BA5" s="153" t="n">
        <f aca="false">MOIC!BA4</f>
        <v>45</v>
      </c>
      <c r="BB5" s="153" t="n">
        <f aca="false">MOIC!BB4</f>
        <v>46</v>
      </c>
      <c r="BC5" s="153" t="n">
        <f aca="false">MOIC!BC4</f>
        <v>47</v>
      </c>
      <c r="BD5" s="153" t="n">
        <f aca="false">MOIC!BD4</f>
        <v>48</v>
      </c>
      <c r="BE5" s="153" t="n">
        <f aca="false">MOIC!BE4</f>
        <v>49</v>
      </c>
      <c r="BF5" s="153" t="n">
        <f aca="false">MOIC!BF4</f>
        <v>50</v>
      </c>
      <c r="BG5" s="153" t="n">
        <f aca="false">MOIC!BG4</f>
        <v>51</v>
      </c>
      <c r="BH5" s="153" t="n">
        <f aca="false">MOIC!BH4</f>
        <v>52</v>
      </c>
      <c r="BI5" s="153" t="n">
        <f aca="false">MOIC!BI4</f>
        <v>53</v>
      </c>
      <c r="BJ5" s="153" t="n">
        <f aca="false">MOIC!BJ4</f>
        <v>54</v>
      </c>
      <c r="BK5" s="153" t="n">
        <f aca="false">MOIC!BK4</f>
        <v>55</v>
      </c>
      <c r="BL5" s="153" t="n">
        <f aca="false">MOIC!BL4</f>
        <v>56</v>
      </c>
      <c r="BM5" s="153" t="n">
        <f aca="false">MOIC!BM4</f>
        <v>57</v>
      </c>
      <c r="BN5" s="153" t="n">
        <f aca="false">MOIC!BN4</f>
        <v>58</v>
      </c>
      <c r="BO5" s="153" t="n">
        <f aca="false">MOIC!BO4</f>
        <v>59</v>
      </c>
      <c r="BP5" s="153" t="n">
        <f aca="false">MOIC!BP4</f>
        <v>60</v>
      </c>
    </row>
    <row r="6" customFormat="false" ht="15" hidden="false" customHeight="false" outlineLevel="0" collapsed="false">
      <c r="C6" s="0" t="s">
        <v>920</v>
      </c>
      <c r="D6" s="0" t="s">
        <v>269</v>
      </c>
      <c r="H6" s="223" t="n">
        <f aca="false">MOIC!H5</f>
        <v>46234</v>
      </c>
      <c r="I6" s="223" t="n">
        <f aca="false">MOIC!I5</f>
        <v>46265</v>
      </c>
      <c r="J6" s="223" t="n">
        <f aca="false">MOIC!J5</f>
        <v>46295</v>
      </c>
      <c r="K6" s="223" t="n">
        <f aca="false">MOIC!K5</f>
        <v>46326</v>
      </c>
      <c r="L6" s="223" t="n">
        <f aca="false">MOIC!L5</f>
        <v>46356</v>
      </c>
      <c r="M6" s="223" t="n">
        <f aca="false">MOIC!M5</f>
        <v>46387</v>
      </c>
      <c r="N6" s="223" t="n">
        <f aca="false">MOIC!N5</f>
        <v>46418</v>
      </c>
      <c r="O6" s="223" t="n">
        <f aca="false">MOIC!O5</f>
        <v>46446</v>
      </c>
      <c r="P6" s="223" t="n">
        <f aca="false">MOIC!P5</f>
        <v>46477</v>
      </c>
      <c r="Q6" s="223" t="n">
        <f aca="false">MOIC!Q5</f>
        <v>46507</v>
      </c>
      <c r="R6" s="223" t="n">
        <f aca="false">MOIC!R5</f>
        <v>46538</v>
      </c>
      <c r="S6" s="223" t="n">
        <f aca="false">MOIC!S5</f>
        <v>46568</v>
      </c>
      <c r="T6" s="223" t="n">
        <f aca="false">MOIC!T5</f>
        <v>46599</v>
      </c>
      <c r="U6" s="223" t="n">
        <f aca="false">MOIC!U5</f>
        <v>46630</v>
      </c>
      <c r="V6" s="223" t="n">
        <f aca="false">MOIC!V5</f>
        <v>46660</v>
      </c>
      <c r="W6" s="223" t="n">
        <f aca="false">MOIC!W5</f>
        <v>46691</v>
      </c>
      <c r="X6" s="223" t="n">
        <f aca="false">MOIC!X5</f>
        <v>46721</v>
      </c>
      <c r="Y6" s="223" t="n">
        <f aca="false">MOIC!Y5</f>
        <v>46752</v>
      </c>
      <c r="Z6" s="223" t="n">
        <f aca="false">MOIC!Z5</f>
        <v>46783</v>
      </c>
      <c r="AA6" s="223" t="n">
        <f aca="false">MOIC!AA5</f>
        <v>46812</v>
      </c>
      <c r="AB6" s="223" t="n">
        <f aca="false">MOIC!AB5</f>
        <v>46843</v>
      </c>
      <c r="AC6" s="223" t="n">
        <f aca="false">MOIC!AC5</f>
        <v>46873</v>
      </c>
      <c r="AD6" s="223" t="n">
        <f aca="false">MOIC!AD5</f>
        <v>46904</v>
      </c>
      <c r="AE6" s="223" t="n">
        <f aca="false">MOIC!AE5</f>
        <v>46934</v>
      </c>
      <c r="AF6" s="223" t="n">
        <f aca="false">MOIC!AF5</f>
        <v>46965</v>
      </c>
      <c r="AG6" s="223" t="n">
        <f aca="false">MOIC!AG5</f>
        <v>46996</v>
      </c>
      <c r="AH6" s="223" t="n">
        <f aca="false">MOIC!AH5</f>
        <v>47026</v>
      </c>
      <c r="AI6" s="223" t="n">
        <f aca="false">MOIC!AI5</f>
        <v>47057</v>
      </c>
      <c r="AJ6" s="223" t="n">
        <f aca="false">MOIC!AJ5</f>
        <v>47087</v>
      </c>
      <c r="AK6" s="223" t="n">
        <f aca="false">MOIC!AK5</f>
        <v>47118</v>
      </c>
      <c r="AL6" s="223" t="n">
        <f aca="false">MOIC!AL5</f>
        <v>47149</v>
      </c>
      <c r="AM6" s="223" t="n">
        <f aca="false">MOIC!AM5</f>
        <v>47177</v>
      </c>
      <c r="AN6" s="223" t="n">
        <f aca="false">MOIC!AN5</f>
        <v>47208</v>
      </c>
      <c r="AO6" s="223" t="n">
        <f aca="false">MOIC!AO5</f>
        <v>47238</v>
      </c>
      <c r="AP6" s="223" t="n">
        <f aca="false">MOIC!AP5</f>
        <v>47269</v>
      </c>
      <c r="AQ6" s="223" t="n">
        <f aca="false">MOIC!AQ5</f>
        <v>47299</v>
      </c>
      <c r="AR6" s="223" t="n">
        <f aca="false">MOIC!AR5</f>
        <v>47330</v>
      </c>
      <c r="AS6" s="223" t="n">
        <f aca="false">MOIC!AS5</f>
        <v>47361</v>
      </c>
      <c r="AT6" s="223" t="n">
        <f aca="false">MOIC!AT5</f>
        <v>47391</v>
      </c>
      <c r="AU6" s="223" t="n">
        <f aca="false">MOIC!AU5</f>
        <v>47422</v>
      </c>
      <c r="AV6" s="223" t="n">
        <f aca="false">MOIC!AV5</f>
        <v>47452</v>
      </c>
      <c r="AW6" s="223" t="n">
        <f aca="false">MOIC!AW5</f>
        <v>47483</v>
      </c>
      <c r="AX6" s="223" t="n">
        <f aca="false">MOIC!AX5</f>
        <v>47514</v>
      </c>
      <c r="AY6" s="223" t="n">
        <f aca="false">MOIC!AY5</f>
        <v>47542</v>
      </c>
      <c r="AZ6" s="223" t="n">
        <f aca="false">MOIC!AZ5</f>
        <v>47573</v>
      </c>
      <c r="BA6" s="223" t="n">
        <f aca="false">MOIC!BA5</f>
        <v>47603</v>
      </c>
      <c r="BB6" s="223" t="n">
        <f aca="false">MOIC!BB5</f>
        <v>47634</v>
      </c>
      <c r="BC6" s="223" t="n">
        <f aca="false">MOIC!BC5</f>
        <v>47664</v>
      </c>
      <c r="BD6" s="223" t="n">
        <f aca="false">MOIC!BD5</f>
        <v>47695</v>
      </c>
      <c r="BE6" s="223" t="n">
        <f aca="false">MOIC!BE5</f>
        <v>47726</v>
      </c>
      <c r="BF6" s="223" t="n">
        <f aca="false">MOIC!BF5</f>
        <v>47756</v>
      </c>
      <c r="BG6" s="223" t="n">
        <f aca="false">MOIC!BG5</f>
        <v>47787</v>
      </c>
      <c r="BH6" s="223" t="n">
        <f aca="false">MOIC!BH5</f>
        <v>47817</v>
      </c>
      <c r="BI6" s="223" t="n">
        <f aca="false">MOIC!BI5</f>
        <v>47848</v>
      </c>
      <c r="BJ6" s="223" t="n">
        <f aca="false">MOIC!BJ5</f>
        <v>47879</v>
      </c>
      <c r="BK6" s="223" t="n">
        <f aca="false">MOIC!BK5</f>
        <v>47907</v>
      </c>
      <c r="BL6" s="223" t="n">
        <f aca="false">MOIC!BL5</f>
        <v>47938</v>
      </c>
      <c r="BM6" s="223" t="n">
        <f aca="false">MOIC!BM5</f>
        <v>47968</v>
      </c>
      <c r="BN6" s="223" t="n">
        <f aca="false">MOIC!BN5</f>
        <v>47999</v>
      </c>
      <c r="BO6" s="223" t="n">
        <f aca="false">MOIC!BO5</f>
        <v>48029</v>
      </c>
      <c r="BP6" s="223" t="n">
        <f aca="false">MOIC!BP5</f>
        <v>48060</v>
      </c>
    </row>
    <row r="7" customFormat="false" ht="15" hidden="false" customHeight="false" outlineLevel="0" collapsed="false">
      <c r="C7" s="0" t="s">
        <v>921</v>
      </c>
      <c r="D7" s="0" t="s">
        <v>486</v>
      </c>
      <c r="E7" s="224" t="str">
        <f aca="false">Inputs!E112</f>
        <v>1M EURIBOR Jul-26</v>
      </c>
      <c r="H7" s="225" t="n">
        <f aca="false">INDEX(H$9:H$11,MATCH($E$7,$C$9:$C$11,0))</f>
        <v>0.02204</v>
      </c>
      <c r="I7" s="225" t="n">
        <f aca="false">INDEX(I$9:I$11,MATCH($E$7,$C$9:$C$11,0))</f>
        <v>0.0230337</v>
      </c>
      <c r="J7" s="225" t="n">
        <f aca="false">INDEX(J$9:J$11,MATCH($E$7,$C$9:$C$11,0))</f>
        <v>0.0239429</v>
      </c>
      <c r="K7" s="225" t="n">
        <f aca="false">INDEX(K$9:K$11,MATCH($E$7,$C$9:$C$11,0))</f>
        <v>0.0248091</v>
      </c>
      <c r="L7" s="225" t="n">
        <f aca="false">INDEX(L$9:L$11,MATCH($E$7,$C$9:$C$11,0))</f>
        <v>0.0256369</v>
      </c>
      <c r="M7" s="225" t="n">
        <f aca="false">INDEX(M$9:M$11,MATCH($E$7,$C$9:$C$11,0))</f>
        <v>0.0263515</v>
      </c>
      <c r="N7" s="225" t="n">
        <f aca="false">INDEX(N$9:N$11,MATCH($E$7,$C$9:$C$11,0))</f>
        <v>0.0270143</v>
      </c>
      <c r="O7" s="225" t="n">
        <f aca="false">INDEX(O$9:O$11,MATCH($E$7,$C$9:$C$11,0))</f>
        <v>0.0274756</v>
      </c>
      <c r="P7" s="225" t="n">
        <f aca="false">INDEX(P$9:P$11,MATCH($E$7,$C$9:$C$11,0))</f>
        <v>0.0278202</v>
      </c>
      <c r="Q7" s="225" t="n">
        <f aca="false">INDEX(Q$9:Q$11,MATCH($E$7,$C$9:$C$11,0))</f>
        <v>0.0280983</v>
      </c>
      <c r="R7" s="225" t="n">
        <f aca="false">INDEX(R$9:R$11,MATCH($E$7,$C$9:$C$11,0))</f>
        <v>0.0282812</v>
      </c>
      <c r="S7" s="225" t="n">
        <f aca="false">INDEX(S$9:S$11,MATCH($E$7,$C$9:$C$11,0))</f>
        <v>0.0283804</v>
      </c>
      <c r="T7" s="225" t="n">
        <f aca="false">INDEX(T$9:T$11,MATCH($E$7,$C$9:$C$11,0))</f>
        <v>0.0284156</v>
      </c>
      <c r="U7" s="225" t="n">
        <f aca="false">INDEX(U$9:U$11,MATCH($E$7,$C$9:$C$11,0))</f>
        <v>0.0283978</v>
      </c>
      <c r="V7" s="225" t="n">
        <f aca="false">INDEX(V$9:V$11,MATCH($E$7,$C$9:$C$11,0))</f>
        <v>0.0283387</v>
      </c>
      <c r="W7" s="225" t="n">
        <f aca="false">INDEX(W$9:W$11,MATCH($E$7,$C$9:$C$11,0))</f>
        <v>0.0282487</v>
      </c>
      <c r="X7" s="225" t="n">
        <f aca="false">INDEX(X$9:X$11,MATCH($E$7,$C$9:$C$11,0))</f>
        <v>0.0281543</v>
      </c>
      <c r="Y7" s="225" t="n">
        <f aca="false">INDEX(Y$9:Y$11,MATCH($E$7,$C$9:$C$11,0))</f>
        <v>0.028056</v>
      </c>
      <c r="Z7" s="225" t="n">
        <f aca="false">INDEX(Z$9:Z$11,MATCH($E$7,$C$9:$C$11,0))</f>
        <v>0.0279639</v>
      </c>
      <c r="AA7" s="225" t="n">
        <f aca="false">INDEX(AA$9:AA$11,MATCH($E$7,$C$9:$C$11,0))</f>
        <v>0.0278951</v>
      </c>
      <c r="AB7" s="225" t="n">
        <f aca="false">INDEX(AB$9:AB$11,MATCH($E$7,$C$9:$C$11,0))</f>
        <v>0.0278436</v>
      </c>
      <c r="AC7" s="225" t="n">
        <f aca="false">INDEX(AC$9:AC$11,MATCH($E$7,$C$9:$C$11,0))</f>
        <v>0.0278026</v>
      </c>
      <c r="AD7" s="225" t="n">
        <f aca="false">INDEX(AD$9:AD$11,MATCH($E$7,$C$9:$C$11,0))</f>
        <v>0.0277784</v>
      </c>
      <c r="AE7" s="225" t="n">
        <f aca="false">INDEX(AE$9:AE$11,MATCH($E$7,$C$9:$C$11,0))</f>
        <v>0.027765</v>
      </c>
      <c r="AF7" s="225" t="n">
        <f aca="false">INDEX(AF$9:AF$11,MATCH($E$7,$C$9:$C$11,0))</f>
        <v>0.0277628</v>
      </c>
      <c r="AG7" s="225" t="n">
        <f aca="false">INDEX(AG$9:AG$11,MATCH($E$7,$C$9:$C$11,0))</f>
        <v>0.0277702</v>
      </c>
      <c r="AH7" s="225" t="n">
        <f aca="false">INDEX(AH$9:AH$11,MATCH($E$7,$C$9:$C$11,0))</f>
        <v>0.0277875</v>
      </c>
      <c r="AI7" s="225" t="n">
        <f aca="false">INDEX(AI$9:AI$11,MATCH($E$7,$C$9:$C$11,0))</f>
        <v>0.0278085</v>
      </c>
      <c r="AJ7" s="225" t="n">
        <f aca="false">INDEX(AJ$9:AJ$11,MATCH($E$7,$C$9:$C$11,0))</f>
        <v>0.0278372</v>
      </c>
      <c r="AK7" s="225" t="n">
        <f aca="false">INDEX(AK$9:AK$11,MATCH($E$7,$C$9:$C$11,0))</f>
        <v>0.0278735</v>
      </c>
      <c r="AL7" s="225" t="n">
        <f aca="false">INDEX(AL$9:AL$11,MATCH($E$7,$C$9:$C$11,0))</f>
        <v>0.0278735</v>
      </c>
      <c r="AM7" s="225" t="n">
        <f aca="false">INDEX(AM$9:AM$11,MATCH($E$7,$C$9:$C$11,0))</f>
        <v>0.0278735</v>
      </c>
      <c r="AN7" s="225" t="n">
        <f aca="false">INDEX(AN$9:AN$11,MATCH($E$7,$C$9:$C$11,0))</f>
        <v>0.0278735</v>
      </c>
      <c r="AO7" s="225" t="n">
        <f aca="false">INDEX(AO$9:AO$11,MATCH($E$7,$C$9:$C$11,0))</f>
        <v>0.0278735</v>
      </c>
      <c r="AP7" s="225" t="n">
        <f aca="false">INDEX(AP$9:AP$11,MATCH($E$7,$C$9:$C$11,0))</f>
        <v>0.0278735</v>
      </c>
      <c r="AQ7" s="225" t="n">
        <f aca="false">INDEX(AQ$9:AQ$11,MATCH($E$7,$C$9:$C$11,0))</f>
        <v>0.0278735</v>
      </c>
      <c r="AR7" s="225" t="n">
        <f aca="false">INDEX(AR$9:AR$11,MATCH($E$7,$C$9:$C$11,0))</f>
        <v>0.0278735</v>
      </c>
      <c r="AS7" s="225" t="n">
        <f aca="false">INDEX(AS$9:AS$11,MATCH($E$7,$C$9:$C$11,0))</f>
        <v>0.0278735</v>
      </c>
      <c r="AT7" s="225" t="n">
        <f aca="false">INDEX(AT$9:AT$11,MATCH($E$7,$C$9:$C$11,0))</f>
        <v>0.0278735</v>
      </c>
      <c r="AU7" s="225" t="n">
        <f aca="false">INDEX(AU$9:AU$11,MATCH($E$7,$C$9:$C$11,0))</f>
        <v>0.0278735</v>
      </c>
      <c r="AV7" s="225" t="n">
        <f aca="false">INDEX(AV$9:AV$11,MATCH($E$7,$C$9:$C$11,0))</f>
        <v>0.0278735</v>
      </c>
      <c r="AW7" s="225" t="n">
        <f aca="false">INDEX(AW$9:AW$11,MATCH($E$7,$C$9:$C$11,0))</f>
        <v>0.0278735</v>
      </c>
      <c r="AX7" s="225" t="n">
        <f aca="false">INDEX(AX$9:AX$11,MATCH($E$7,$C$9:$C$11,0))</f>
        <v>0.0278735</v>
      </c>
      <c r="AY7" s="225" t="n">
        <f aca="false">INDEX(AY$9:AY$11,MATCH($E$7,$C$9:$C$11,0))</f>
        <v>0.0278735</v>
      </c>
      <c r="AZ7" s="225" t="n">
        <f aca="false">INDEX(AZ$9:AZ$11,MATCH($E$7,$C$9:$C$11,0))</f>
        <v>0.0278735</v>
      </c>
      <c r="BA7" s="225" t="n">
        <f aca="false">INDEX(BA$9:BA$11,MATCH($E$7,$C$9:$C$11,0))</f>
        <v>0.0278735</v>
      </c>
      <c r="BB7" s="225" t="n">
        <f aca="false">INDEX(BB$9:BB$11,MATCH($E$7,$C$9:$C$11,0))</f>
        <v>0.0278735</v>
      </c>
      <c r="BC7" s="225" t="n">
        <f aca="false">INDEX(BC$9:BC$11,MATCH($E$7,$C$9:$C$11,0))</f>
        <v>0.0278735</v>
      </c>
      <c r="BD7" s="225" t="n">
        <f aca="false">INDEX(BD$9:BD$11,MATCH($E$7,$C$9:$C$11,0))</f>
        <v>0.0278735</v>
      </c>
      <c r="BE7" s="225" t="n">
        <f aca="false">INDEX(BE$9:BE$11,MATCH($E$7,$C$9:$C$11,0))</f>
        <v>0.0278735</v>
      </c>
      <c r="BF7" s="225" t="n">
        <f aca="false">INDEX(BF$9:BF$11,MATCH($E$7,$C$9:$C$11,0))</f>
        <v>0.0278735</v>
      </c>
      <c r="BG7" s="225" t="n">
        <f aca="false">INDEX(BG$9:BG$11,MATCH($E$7,$C$9:$C$11,0))</f>
        <v>0.0278735</v>
      </c>
      <c r="BH7" s="225" t="n">
        <f aca="false">INDEX(BH$9:BH$11,MATCH($E$7,$C$9:$C$11,0))</f>
        <v>0.0278735</v>
      </c>
      <c r="BI7" s="225" t="n">
        <f aca="false">INDEX(BI$9:BI$11,MATCH($E$7,$C$9:$C$11,0))</f>
        <v>0.0278735</v>
      </c>
      <c r="BJ7" s="225" t="n">
        <f aca="false">INDEX(BJ$9:BJ$11,MATCH($E$7,$C$9:$C$11,0))</f>
        <v>0.0278735</v>
      </c>
      <c r="BK7" s="225" t="n">
        <f aca="false">INDEX(BK$9:BK$11,MATCH($E$7,$C$9:$C$11,0))</f>
        <v>0.0278735</v>
      </c>
      <c r="BL7" s="225" t="n">
        <f aca="false">INDEX(BL$9:BL$11,MATCH($E$7,$C$9:$C$11,0))</f>
        <v>0.0278735</v>
      </c>
      <c r="BM7" s="225" t="n">
        <f aca="false">INDEX(BM$9:BM$11,MATCH($E$7,$C$9:$C$11,0))</f>
        <v>0.0278735</v>
      </c>
      <c r="BN7" s="225" t="n">
        <f aca="false">INDEX(BN$9:BN$11,MATCH($E$7,$C$9:$C$11,0))</f>
        <v>0.0278735</v>
      </c>
      <c r="BO7" s="225" t="n">
        <f aca="false">INDEX(BO$9:BO$11,MATCH($E$7,$C$9:$C$11,0))</f>
        <v>0.0278735</v>
      </c>
      <c r="BP7" s="225" t="n">
        <f aca="false">INDEX(BP$9:BP$11,MATCH($E$7,$C$9:$C$11,0))</f>
        <v>0.0278735</v>
      </c>
    </row>
    <row r="8" customFormat="false" ht="15" hidden="false" customHeight="false" outlineLevel="0" collapsed="false">
      <c r="C8" s="205" t="s">
        <v>922</v>
      </c>
      <c r="D8" s="205" t="s">
        <v>387</v>
      </c>
      <c r="E8" s="205" t="s">
        <v>923</v>
      </c>
      <c r="F8" s="205" t="s">
        <v>389</v>
      </c>
      <c r="G8" s="205"/>
      <c r="H8" s="226"/>
      <c r="I8" s="226"/>
      <c r="J8" s="226"/>
      <c r="K8" s="226"/>
      <c r="L8" s="226"/>
      <c r="M8" s="226"/>
      <c r="N8" s="226"/>
      <c r="O8" s="226"/>
      <c r="P8" s="226"/>
      <c r="Q8" s="226"/>
      <c r="R8" s="226"/>
      <c r="S8" s="226"/>
      <c r="T8" s="226"/>
      <c r="U8" s="226"/>
      <c r="V8" s="226"/>
      <c r="W8" s="226"/>
      <c r="X8" s="226"/>
      <c r="Y8" s="226"/>
      <c r="Z8" s="226"/>
      <c r="AA8" s="226"/>
      <c r="AB8" s="226"/>
      <c r="AC8" s="226"/>
      <c r="AD8" s="226"/>
      <c r="AE8" s="226"/>
      <c r="AF8" s="226"/>
      <c r="AG8" s="226"/>
      <c r="AH8" s="226"/>
      <c r="AI8" s="226"/>
      <c r="AJ8" s="226"/>
      <c r="AK8" s="226"/>
      <c r="AL8" s="226"/>
      <c r="AM8" s="226"/>
      <c r="AN8" s="226"/>
      <c r="AO8" s="226"/>
      <c r="AP8" s="226"/>
      <c r="AQ8" s="226"/>
      <c r="AR8" s="226"/>
      <c r="AS8" s="226"/>
      <c r="AT8" s="226"/>
      <c r="AU8" s="226"/>
      <c r="AV8" s="226"/>
      <c r="AW8" s="226"/>
      <c r="AX8" s="226"/>
      <c r="AY8" s="226"/>
      <c r="AZ8" s="226"/>
      <c r="BA8" s="226"/>
      <c r="BB8" s="226"/>
      <c r="BC8" s="226"/>
      <c r="BD8" s="226"/>
      <c r="BE8" s="226"/>
      <c r="BF8" s="226"/>
      <c r="BG8" s="226"/>
      <c r="BH8" s="226"/>
      <c r="BI8" s="226"/>
      <c r="BJ8" s="226"/>
      <c r="BK8" s="226"/>
      <c r="BL8" s="226"/>
      <c r="BM8" s="226"/>
      <c r="BN8" s="226"/>
      <c r="BO8" s="226"/>
      <c r="BP8" s="226"/>
    </row>
    <row r="9" customFormat="false" ht="15" hidden="false" customHeight="false" outlineLevel="0" collapsed="false">
      <c r="C9" s="0" t="s">
        <v>924</v>
      </c>
      <c r="D9" s="0" t="s">
        <v>486</v>
      </c>
      <c r="E9" s="0" t="s">
        <v>925</v>
      </c>
      <c r="F9" s="0" t="s">
        <v>926</v>
      </c>
      <c r="H9" s="227" t="n">
        <v>0.019</v>
      </c>
      <c r="I9" s="227" t="n">
        <v>0.0188</v>
      </c>
      <c r="J9" s="227" t="n">
        <v>0.0186</v>
      </c>
      <c r="K9" s="227" t="n">
        <v>0.0184</v>
      </c>
      <c r="L9" s="227" t="n">
        <v>0.0182</v>
      </c>
      <c r="M9" s="227" t="n">
        <v>0.0181</v>
      </c>
      <c r="N9" s="227" t="n">
        <v>0.018</v>
      </c>
      <c r="O9" s="227" t="n">
        <v>0.018</v>
      </c>
      <c r="P9" s="227" t="n">
        <v>0.018</v>
      </c>
      <c r="Q9" s="227" t="n">
        <v>0.018</v>
      </c>
      <c r="R9" s="227" t="n">
        <v>0.018</v>
      </c>
      <c r="S9" s="227" t="n">
        <v>0.0181</v>
      </c>
      <c r="T9" s="227" t="n">
        <v>0.0182</v>
      </c>
      <c r="U9" s="227" t="n">
        <v>0.0183</v>
      </c>
      <c r="V9" s="227" t="n">
        <v>0.0185</v>
      </c>
      <c r="W9" s="227" t="n">
        <v>0.0186</v>
      </c>
      <c r="X9" s="227" t="n">
        <v>0.0188</v>
      </c>
      <c r="Y9" s="227" t="n">
        <v>0.019</v>
      </c>
      <c r="Z9" s="227" t="n">
        <v>0.0192</v>
      </c>
      <c r="AA9" s="227" t="n">
        <v>0.0192</v>
      </c>
      <c r="AB9" s="227" t="n">
        <v>0.0192</v>
      </c>
      <c r="AC9" s="227" t="n">
        <v>0.0192</v>
      </c>
      <c r="AD9" s="227" t="n">
        <v>0.0192</v>
      </c>
      <c r="AE9" s="227" t="n">
        <v>0.0192</v>
      </c>
      <c r="AF9" s="227" t="n">
        <v>0.0192</v>
      </c>
      <c r="AG9" s="227" t="n">
        <v>0.0192</v>
      </c>
      <c r="AH9" s="227" t="n">
        <v>0.0192</v>
      </c>
      <c r="AI9" s="227" t="n">
        <v>0.0192</v>
      </c>
      <c r="AJ9" s="227" t="n">
        <v>0.0192</v>
      </c>
      <c r="AK9" s="227" t="n">
        <v>0.0192</v>
      </c>
      <c r="AL9" s="227" t="n">
        <v>0.0192</v>
      </c>
      <c r="AM9" s="227" t="n">
        <v>0.0192</v>
      </c>
      <c r="AN9" s="227" t="n">
        <v>0.0192</v>
      </c>
      <c r="AO9" s="227" t="n">
        <v>0.0192</v>
      </c>
      <c r="AP9" s="227" t="n">
        <v>0.0192</v>
      </c>
      <c r="AQ9" s="227" t="n">
        <v>0.0192</v>
      </c>
      <c r="AR9" s="227" t="n">
        <v>0.0192</v>
      </c>
      <c r="AS9" s="227" t="n">
        <v>0.0192</v>
      </c>
      <c r="AT9" s="227" t="n">
        <v>0.0192</v>
      </c>
      <c r="AU9" s="227" t="n">
        <v>0.0192</v>
      </c>
      <c r="AV9" s="227" t="n">
        <v>0.0192</v>
      </c>
      <c r="AW9" s="227" t="n">
        <v>0.0192</v>
      </c>
      <c r="AX9" s="227" t="n">
        <v>0.0192</v>
      </c>
      <c r="AY9" s="227" t="n">
        <v>0.0192</v>
      </c>
      <c r="AZ9" s="227" t="n">
        <v>0.0192</v>
      </c>
      <c r="BA9" s="227" t="n">
        <v>0.0192</v>
      </c>
      <c r="BB9" s="227" t="n">
        <v>0.0192</v>
      </c>
      <c r="BC9" s="227" t="n">
        <v>0.0192</v>
      </c>
      <c r="BD9" s="227" t="n">
        <v>0.0192</v>
      </c>
      <c r="BE9" s="227" t="n">
        <v>0.0192</v>
      </c>
      <c r="BF9" s="227" t="n">
        <v>0.0192</v>
      </c>
      <c r="BG9" s="227" t="n">
        <v>0.0192</v>
      </c>
      <c r="BH9" s="227" t="n">
        <v>0.0192</v>
      </c>
      <c r="BI9" s="227" t="n">
        <v>0.0192</v>
      </c>
      <c r="BJ9" s="227" t="n">
        <v>0.0192</v>
      </c>
      <c r="BK9" s="225" t="n">
        <f aca="false">BJ9</f>
        <v>0.0192</v>
      </c>
      <c r="BL9" s="225" t="n">
        <f aca="false">BK9</f>
        <v>0.0192</v>
      </c>
      <c r="BM9" s="225" t="n">
        <f aca="false">BL9</f>
        <v>0.0192</v>
      </c>
      <c r="BN9" s="225" t="n">
        <f aca="false">BM9</f>
        <v>0.0192</v>
      </c>
      <c r="BO9" s="225" t="n">
        <f aca="false">BN9</f>
        <v>0.0192</v>
      </c>
      <c r="BP9" s="225" t="n">
        <f aca="false">BO9</f>
        <v>0.0192</v>
      </c>
    </row>
    <row r="10" customFormat="false" ht="15" hidden="false" customHeight="false" outlineLevel="0" collapsed="false">
      <c r="C10" s="0" t="s">
        <v>927</v>
      </c>
      <c r="D10" s="0" t="s">
        <v>486</v>
      </c>
      <c r="E10" s="0" t="s">
        <v>928</v>
      </c>
      <c r="F10" s="0" t="s">
        <v>926</v>
      </c>
      <c r="H10" s="227" t="n">
        <v>0.01891</v>
      </c>
      <c r="I10" s="227" t="n">
        <v>0.0188532</v>
      </c>
      <c r="J10" s="227" t="n">
        <v>0.0187946</v>
      </c>
      <c r="K10" s="227" t="n">
        <v>0.0187431</v>
      </c>
      <c r="L10" s="227" t="n">
        <v>0.0186996</v>
      </c>
      <c r="M10" s="227" t="n">
        <v>0.0186559</v>
      </c>
      <c r="N10" s="227" t="n">
        <v>0.0186267</v>
      </c>
      <c r="O10" s="227" t="n">
        <v>0.0186046</v>
      </c>
      <c r="P10" s="227" t="n">
        <v>0.0185936</v>
      </c>
      <c r="Q10" s="227" t="n">
        <v>0.0185946</v>
      </c>
      <c r="R10" s="227" t="n">
        <v>0.0186079</v>
      </c>
      <c r="S10" s="227" t="n">
        <v>0.0186343</v>
      </c>
      <c r="T10" s="227" t="n">
        <v>0.018673</v>
      </c>
      <c r="U10" s="227" t="n">
        <v>0.018725</v>
      </c>
      <c r="V10" s="227" t="n">
        <v>0.0187935</v>
      </c>
      <c r="W10" s="227" t="n">
        <v>0.0188776</v>
      </c>
      <c r="X10" s="227" t="n">
        <v>0.0189673</v>
      </c>
      <c r="Y10" s="227" t="n">
        <v>0.0190866</v>
      </c>
      <c r="Z10" s="227" t="n">
        <v>0.0192105</v>
      </c>
      <c r="AA10" s="227" t="n">
        <v>0.0192105</v>
      </c>
      <c r="AB10" s="227" t="n">
        <v>0.0192105</v>
      </c>
      <c r="AC10" s="227" t="n">
        <v>0.0192105</v>
      </c>
      <c r="AD10" s="227" t="n">
        <v>0.0192105</v>
      </c>
      <c r="AE10" s="227" t="n">
        <v>0.0192105</v>
      </c>
      <c r="AF10" s="227" t="n">
        <v>0.0192105</v>
      </c>
      <c r="AG10" s="227" t="n">
        <v>0.0192105</v>
      </c>
      <c r="AH10" s="227" t="n">
        <v>0.0192105</v>
      </c>
      <c r="AI10" s="227" t="n">
        <v>0.0192105</v>
      </c>
      <c r="AJ10" s="227" t="n">
        <v>0.0192105</v>
      </c>
      <c r="AK10" s="227" t="n">
        <v>0.0192105</v>
      </c>
      <c r="AL10" s="227" t="n">
        <v>0.0192105</v>
      </c>
      <c r="AM10" s="227" t="n">
        <v>0.0192105</v>
      </c>
      <c r="AN10" s="227" t="n">
        <v>0.0192105</v>
      </c>
      <c r="AO10" s="227" t="n">
        <v>0.0192105</v>
      </c>
      <c r="AP10" s="227" t="n">
        <v>0.0192105</v>
      </c>
      <c r="AQ10" s="227" t="n">
        <v>0.0192105</v>
      </c>
      <c r="AR10" s="227" t="n">
        <v>0.0192105</v>
      </c>
      <c r="AS10" s="227" t="n">
        <v>0.0192105</v>
      </c>
      <c r="AT10" s="227" t="n">
        <v>0.0192105</v>
      </c>
      <c r="AU10" s="227" t="n">
        <v>0.0192105</v>
      </c>
      <c r="AV10" s="227" t="n">
        <v>0.0192105</v>
      </c>
      <c r="AW10" s="227" t="n">
        <v>0.0192105</v>
      </c>
      <c r="AX10" s="227" t="n">
        <v>0.0192105</v>
      </c>
      <c r="AY10" s="227" t="n">
        <v>0.0192105</v>
      </c>
      <c r="AZ10" s="227" t="n">
        <v>0.0192105</v>
      </c>
      <c r="BA10" s="227" t="n">
        <v>0.0192105</v>
      </c>
      <c r="BB10" s="227" t="n">
        <v>0.0192105</v>
      </c>
      <c r="BC10" s="227" t="n">
        <v>0.0192105</v>
      </c>
      <c r="BD10" s="227" t="n">
        <v>0.0192105</v>
      </c>
      <c r="BE10" s="227" t="n">
        <v>0.0192105</v>
      </c>
      <c r="BF10" s="227" t="n">
        <v>0.0192105</v>
      </c>
      <c r="BG10" s="227" t="n">
        <v>0.0192105</v>
      </c>
      <c r="BH10" s="227" t="n">
        <v>0.0192105</v>
      </c>
      <c r="BI10" s="227" t="n">
        <v>0.0192105</v>
      </c>
      <c r="BJ10" s="227" t="n">
        <v>0.0192105</v>
      </c>
      <c r="BK10" s="225" t="n">
        <f aca="false">BJ10</f>
        <v>0.0192105</v>
      </c>
      <c r="BL10" s="225" t="n">
        <f aca="false">BK10</f>
        <v>0.0192105</v>
      </c>
      <c r="BM10" s="225" t="n">
        <f aca="false">BL10</f>
        <v>0.0192105</v>
      </c>
      <c r="BN10" s="225" t="n">
        <f aca="false">BM10</f>
        <v>0.0192105</v>
      </c>
      <c r="BO10" s="225" t="n">
        <f aca="false">BN10</f>
        <v>0.0192105</v>
      </c>
      <c r="BP10" s="225" t="n">
        <f aca="false">BO10</f>
        <v>0.0192105</v>
      </c>
    </row>
    <row r="11" customFormat="false" ht="15" hidden="false" customHeight="false" outlineLevel="0" collapsed="false">
      <c r="C11" s="0" t="s">
        <v>579</v>
      </c>
      <c r="D11" s="0" t="s">
        <v>486</v>
      </c>
      <c r="E11" s="0" t="s">
        <v>929</v>
      </c>
      <c r="F11" s="0" t="s">
        <v>926</v>
      </c>
      <c r="H11" s="227" t="n">
        <v>0.02204</v>
      </c>
      <c r="I11" s="227" t="n">
        <v>0.0230337</v>
      </c>
      <c r="J11" s="227" t="n">
        <v>0.0239429</v>
      </c>
      <c r="K11" s="227" t="n">
        <v>0.0248091</v>
      </c>
      <c r="L11" s="227" t="n">
        <v>0.0256369</v>
      </c>
      <c r="M11" s="227" t="n">
        <v>0.0263515</v>
      </c>
      <c r="N11" s="227" t="n">
        <v>0.0270143</v>
      </c>
      <c r="O11" s="227" t="n">
        <v>0.0274756</v>
      </c>
      <c r="P11" s="227" t="n">
        <v>0.0278202</v>
      </c>
      <c r="Q11" s="227" t="n">
        <v>0.0280983</v>
      </c>
      <c r="R11" s="227" t="n">
        <v>0.0282812</v>
      </c>
      <c r="S11" s="227" t="n">
        <v>0.0283804</v>
      </c>
      <c r="T11" s="227" t="n">
        <v>0.0284156</v>
      </c>
      <c r="U11" s="227" t="n">
        <v>0.0283978</v>
      </c>
      <c r="V11" s="227" t="n">
        <v>0.0283387</v>
      </c>
      <c r="W11" s="227" t="n">
        <v>0.0282487</v>
      </c>
      <c r="X11" s="227" t="n">
        <v>0.0281543</v>
      </c>
      <c r="Y11" s="227" t="n">
        <v>0.028056</v>
      </c>
      <c r="Z11" s="227" t="n">
        <v>0.0279639</v>
      </c>
      <c r="AA11" s="227" t="n">
        <v>0.0278951</v>
      </c>
      <c r="AB11" s="227" t="n">
        <v>0.0278436</v>
      </c>
      <c r="AC11" s="227" t="n">
        <v>0.0278026</v>
      </c>
      <c r="AD11" s="227" t="n">
        <v>0.0277784</v>
      </c>
      <c r="AE11" s="227" t="n">
        <v>0.027765</v>
      </c>
      <c r="AF11" s="227" t="n">
        <v>0.0277628</v>
      </c>
      <c r="AG11" s="227" t="n">
        <v>0.0277702</v>
      </c>
      <c r="AH11" s="227" t="n">
        <v>0.0277875</v>
      </c>
      <c r="AI11" s="227" t="n">
        <v>0.0278085</v>
      </c>
      <c r="AJ11" s="227" t="n">
        <v>0.0278372</v>
      </c>
      <c r="AK11" s="227" t="n">
        <v>0.0278735</v>
      </c>
      <c r="AL11" s="227" t="n">
        <v>0.0278735</v>
      </c>
      <c r="AM11" s="227" t="n">
        <v>0.0278735</v>
      </c>
      <c r="AN11" s="227" t="n">
        <v>0.0278735</v>
      </c>
      <c r="AO11" s="227" t="n">
        <v>0.0278735</v>
      </c>
      <c r="AP11" s="227" t="n">
        <v>0.0278735</v>
      </c>
      <c r="AQ11" s="227" t="n">
        <v>0.0278735</v>
      </c>
      <c r="AR11" s="227" t="n">
        <v>0.0278735</v>
      </c>
      <c r="AS11" s="227" t="n">
        <v>0.0278735</v>
      </c>
      <c r="AT11" s="227" t="n">
        <v>0.0278735</v>
      </c>
      <c r="AU11" s="227" t="n">
        <v>0.0278735</v>
      </c>
      <c r="AV11" s="227" t="n">
        <v>0.0278735</v>
      </c>
      <c r="AW11" s="227" t="n">
        <v>0.0278735</v>
      </c>
      <c r="AX11" s="227" t="n">
        <v>0.0278735</v>
      </c>
      <c r="AY11" s="227" t="n">
        <v>0.0278735</v>
      </c>
      <c r="AZ11" s="227" t="n">
        <v>0.0278735</v>
      </c>
      <c r="BA11" s="227" t="n">
        <v>0.0278735</v>
      </c>
      <c r="BB11" s="227" t="n">
        <v>0.0278735</v>
      </c>
      <c r="BC11" s="227" t="n">
        <v>0.0278735</v>
      </c>
      <c r="BD11" s="227" t="n">
        <v>0.0278735</v>
      </c>
      <c r="BE11" s="227" t="n">
        <v>0.0278735</v>
      </c>
      <c r="BF11" s="227" t="n">
        <v>0.0278735</v>
      </c>
      <c r="BG11" s="227" t="n">
        <v>0.0278735</v>
      </c>
      <c r="BH11" s="227" t="n">
        <v>0.0278735</v>
      </c>
      <c r="BI11" s="227" t="n">
        <v>0.0278735</v>
      </c>
      <c r="BJ11" s="227" t="n">
        <v>0.0278735</v>
      </c>
      <c r="BK11" s="225" t="n">
        <f aca="false">BJ11</f>
        <v>0.0278735</v>
      </c>
      <c r="BL11" s="225" t="n">
        <f aca="false">BK11</f>
        <v>0.0278735</v>
      </c>
      <c r="BM11" s="225" t="n">
        <f aca="false">BL11</f>
        <v>0.0278735</v>
      </c>
      <c r="BN11" s="225" t="n">
        <f aca="false">BM11</f>
        <v>0.0278735</v>
      </c>
      <c r="BO11" s="225" t="n">
        <f aca="false">BN11</f>
        <v>0.0278735</v>
      </c>
      <c r="BP11" s="225" t="n">
        <f aca="false">BO11</f>
        <v>0.0278735</v>
      </c>
    </row>
    <row r="14" customFormat="false" ht="15" hidden="false" customHeight="false" outlineLevel="0" collapsed="false">
      <c r="B14" s="0" t="s">
        <v>7</v>
      </c>
      <c r="C14" s="136" t="s">
        <v>930</v>
      </c>
      <c r="D14" s="222"/>
      <c r="E14" s="222"/>
      <c r="F14" s="222"/>
      <c r="G14" s="222"/>
      <c r="H14" s="222"/>
      <c r="I14" s="222"/>
      <c r="J14" s="222"/>
      <c r="K14" s="222"/>
      <c r="L14" s="222"/>
      <c r="M14" s="222"/>
      <c r="N14" s="222"/>
      <c r="O14" s="222"/>
      <c r="P14" s="222"/>
    </row>
    <row r="15" customFormat="false" ht="15" hidden="false" customHeight="false" outlineLevel="0" collapsed="false">
      <c r="C15" s="130" t="s">
        <v>931</v>
      </c>
    </row>
    <row r="16" customFormat="false" ht="15" hidden="false" customHeight="false" outlineLevel="0" collapsed="false">
      <c r="C16" s="0" t="s">
        <v>932</v>
      </c>
      <c r="D16" s="0" t="s">
        <v>421</v>
      </c>
      <c r="E16" s="228" t="n">
        <f aca="false">Inputs!E201</f>
        <v>2</v>
      </c>
      <c r="F16" s="133" t="s">
        <v>933</v>
      </c>
    </row>
    <row r="17" customFormat="false" ht="15" hidden="false" customHeight="false" outlineLevel="0" collapsed="false">
      <c r="C17" s="0" t="s">
        <v>934</v>
      </c>
      <c r="D17" s="0" t="s">
        <v>407</v>
      </c>
      <c r="E17" s="229" t="s">
        <v>935</v>
      </c>
      <c r="F17" s="133" t="s">
        <v>936</v>
      </c>
    </row>
    <row r="18" customFormat="false" ht="15" hidden="false" customHeight="false" outlineLevel="0" collapsed="false">
      <c r="C18" s="0" t="s">
        <v>937</v>
      </c>
      <c r="D18" s="0" t="s">
        <v>407</v>
      </c>
      <c r="E18" s="229" t="s">
        <v>938</v>
      </c>
      <c r="F18" s="133" t="s">
        <v>939</v>
      </c>
    </row>
    <row r="19" customFormat="false" ht="15" hidden="false" customHeight="false" outlineLevel="0" collapsed="false">
      <c r="C19" s="0" t="s">
        <v>940</v>
      </c>
      <c r="D19" s="0" t="s">
        <v>486</v>
      </c>
      <c r="E19" s="230" t="n">
        <v>0.02</v>
      </c>
      <c r="F19" s="133" t="s">
        <v>941</v>
      </c>
      <c r="G19" s="231" t="n">
        <v>2025</v>
      </c>
    </row>
    <row r="20" customFormat="false" ht="45" hidden="false" customHeight="true" outlineLevel="0" collapsed="false">
      <c r="C20" s="131" t="s">
        <v>5</v>
      </c>
      <c r="D20" s="131" t="s">
        <v>942</v>
      </c>
      <c r="E20" s="131" t="s">
        <v>943</v>
      </c>
      <c r="F20" s="131" t="s">
        <v>944</v>
      </c>
      <c r="G20" s="131" t="s">
        <v>945</v>
      </c>
      <c r="H20" s="131" t="s">
        <v>946</v>
      </c>
      <c r="I20" s="131" t="s">
        <v>947</v>
      </c>
      <c r="J20" s="131" t="s">
        <v>948</v>
      </c>
      <c r="K20" s="131" t="s">
        <v>949</v>
      </c>
      <c r="L20" s="131" t="s">
        <v>950</v>
      </c>
      <c r="M20" s="232" t="s">
        <v>951</v>
      </c>
      <c r="N20" s="232" t="s">
        <v>952</v>
      </c>
      <c r="O20" s="232" t="s">
        <v>953</v>
      </c>
      <c r="P20" s="232" t="s">
        <v>954</v>
      </c>
      <c r="Q20" s="232" t="s">
        <v>955</v>
      </c>
      <c r="R20" s="232" t="s">
        <v>956</v>
      </c>
    </row>
    <row r="21" customFormat="false" ht="15" hidden="false" customHeight="false" outlineLevel="0" collapsed="false">
      <c r="C21" s="233"/>
      <c r="D21" s="233" t="s">
        <v>253</v>
      </c>
      <c r="E21" s="233" t="s">
        <v>253</v>
      </c>
      <c r="F21" s="233" t="s">
        <v>253</v>
      </c>
      <c r="G21" s="233" t="s">
        <v>253</v>
      </c>
      <c r="H21" s="233" t="s">
        <v>253</v>
      </c>
      <c r="I21" s="233" t="s">
        <v>253</v>
      </c>
      <c r="J21" s="233" t="s">
        <v>957</v>
      </c>
      <c r="K21" s="233" t="s">
        <v>957</v>
      </c>
      <c r="L21" s="233" t="s">
        <v>51</v>
      </c>
      <c r="M21" s="233" t="s">
        <v>958</v>
      </c>
      <c r="N21" s="233" t="s">
        <v>958</v>
      </c>
      <c r="O21" s="233" t="s">
        <v>958</v>
      </c>
      <c r="P21" s="233" t="s">
        <v>959</v>
      </c>
      <c r="Q21" s="233" t="s">
        <v>959</v>
      </c>
      <c r="R21" s="233" t="s">
        <v>959</v>
      </c>
    </row>
    <row r="22" customFormat="false" ht="15" hidden="false" customHeight="false" outlineLevel="0" collapsed="false">
      <c r="C22" s="0" t="n">
        <v>2027</v>
      </c>
      <c r="D22" s="234" t="n">
        <v>73.88</v>
      </c>
      <c r="E22" s="234" t="n">
        <v>119.34</v>
      </c>
      <c r="F22" s="234" t="n">
        <v>184.66</v>
      </c>
      <c r="G22" s="234" t="n">
        <v>76.68</v>
      </c>
      <c r="H22" s="234" t="n">
        <v>124.38</v>
      </c>
      <c r="I22" s="234" t="n">
        <v>190.39</v>
      </c>
      <c r="J22" s="189" t="n">
        <f aca="false" t="array" ref="J22:J22">IF(INDEX(D22:F22,$E$16)="","",INDEX(D22:F22,$E$16)*(1+$E$19)^($C22-$G$19))</f>
        <v>124.161336</v>
      </c>
      <c r="K22" s="189" t="n">
        <f aca="false" t="array" ref="K22:K22">IF(INDEX(G22:I22,$E$16)="","",INDEX(G22:I22,$E$16)*(1+$E$19)^($C22-$G$19))</f>
        <v>129.404952</v>
      </c>
      <c r="L22" s="141" t="n">
        <f aca="false">IF(OR(J22="",K22="",J22=0),"",K22/J22)</f>
        <v>1.0422322775264</v>
      </c>
      <c r="M22" s="230" t="n">
        <v>0.048</v>
      </c>
      <c r="N22" s="230" t="n">
        <v>0.039</v>
      </c>
      <c r="O22" s="230" t="n">
        <v>0.015</v>
      </c>
      <c r="P22" s="234" t="n">
        <v>80.72</v>
      </c>
      <c r="Q22" s="234" t="n">
        <v>129.58</v>
      </c>
      <c r="R22" s="234" t="n">
        <v>193.34</v>
      </c>
    </row>
    <row r="23" customFormat="false" ht="15" hidden="false" customHeight="false" outlineLevel="0" collapsed="false">
      <c r="C23" s="0" t="n">
        <v>2028</v>
      </c>
      <c r="D23" s="234" t="n">
        <v>70.4</v>
      </c>
      <c r="E23" s="234" t="n">
        <v>110</v>
      </c>
      <c r="F23" s="234" t="n">
        <v>160.02</v>
      </c>
      <c r="G23" s="234" t="n">
        <v>75.08</v>
      </c>
      <c r="H23" s="234" t="n">
        <v>114.23</v>
      </c>
      <c r="I23" s="234" t="n">
        <v>164.62</v>
      </c>
      <c r="J23" s="189" t="n">
        <f aca="false" t="array" ref="J23:J23">IF(INDEX(D23:F23,$E$16)="","",INDEX(D23:F23,$E$16)*(1+$E$19)^($C23-$G$19))</f>
        <v>116.73288</v>
      </c>
      <c r="K23" s="189" t="n">
        <f aca="false" t="array" ref="K23:K23">IF(INDEX(G23:I23,$E$16)="","",INDEX(G23:I23,$E$16)*(1+$E$19)^($C23-$G$19))</f>
        <v>121.22178984</v>
      </c>
      <c r="L23" s="141" t="n">
        <f aca="false">IF(OR(J23="",K23="",J23=0),"",K23/J23)</f>
        <v>1.03845454545455</v>
      </c>
      <c r="M23" s="230" t="n">
        <v>0.035</v>
      </c>
      <c r="N23" s="230" t="n">
        <v>0.034</v>
      </c>
      <c r="O23" s="230" t="n">
        <v>0.014</v>
      </c>
      <c r="P23" s="234" t="n">
        <v>78</v>
      </c>
      <c r="Q23" s="234" t="n">
        <v>118.43</v>
      </c>
      <c r="R23" s="234" t="n">
        <v>166.96</v>
      </c>
    </row>
    <row r="24" customFormat="false" ht="15" hidden="false" customHeight="false" outlineLevel="0" collapsed="false">
      <c r="C24" s="0" t="n">
        <v>2029</v>
      </c>
      <c r="D24" s="234" t="n">
        <v>67.2</v>
      </c>
      <c r="E24" s="234" t="n">
        <v>103.08</v>
      </c>
      <c r="F24" s="234" t="n">
        <v>147.54</v>
      </c>
      <c r="G24" s="234" t="n">
        <v>69.52</v>
      </c>
      <c r="H24" s="234" t="n">
        <v>105.66</v>
      </c>
      <c r="I24" s="234" t="n">
        <v>150.51</v>
      </c>
      <c r="J24" s="189" t="n">
        <f aca="false" t="array" ref="J24:J24">IF(INDEX(D24:F24,$E$16)="","",INDEX(D24:F24,$E$16)*(1+$E$19)^($C24-$G$19))</f>
        <v>111.5771070528</v>
      </c>
      <c r="K24" s="189" t="n">
        <f aca="false" t="array" ref="K24:K24">IF(INDEX(G24:I24,$E$16)="","",INDEX(G24:I24,$E$16)*(1+$E$19)^($C24-$G$19))</f>
        <v>114.3697820256</v>
      </c>
      <c r="L24" s="141" t="n">
        <f aca="false">IF(OR(J24="",K24="",J24=0),"",K24/J24)</f>
        <v>1.02502910360885</v>
      </c>
      <c r="M24" s="230" t="n">
        <v>0.03</v>
      </c>
      <c r="N24" s="230" t="n">
        <v>0.032</v>
      </c>
      <c r="O24" s="230" t="n">
        <v>0.01</v>
      </c>
      <c r="P24" s="234" t="n">
        <v>71.91</v>
      </c>
      <c r="Q24" s="234" t="n">
        <v>109.41</v>
      </c>
      <c r="R24" s="234" t="n">
        <v>152.07</v>
      </c>
    </row>
    <row r="25" customFormat="false" ht="15" hidden="false" customHeight="false" outlineLevel="0" collapsed="false">
      <c r="C25" s="0" t="n">
        <v>2030</v>
      </c>
      <c r="D25" s="234" t="n">
        <v>67.66</v>
      </c>
      <c r="E25" s="234" t="n">
        <v>94.89</v>
      </c>
      <c r="F25" s="234" t="n">
        <v>131.78</v>
      </c>
      <c r="G25" s="234" t="n">
        <v>69.45</v>
      </c>
      <c r="H25" s="234" t="n">
        <v>97.72</v>
      </c>
      <c r="I25" s="234" t="n">
        <v>135.02</v>
      </c>
      <c r="J25" s="189" t="n">
        <f aca="false" t="array" ref="J25:J25">IF(INDEX(D25:F25,$E$16)="","",INDEX(D25:F25,$E$16)*(1+$E$19)^($C25-$G$19))</f>
        <v>104.766227415648</v>
      </c>
      <c r="K25" s="189" t="n">
        <f aca="false" t="array" ref="K25:K25">IF(INDEX(G25:I25,$E$16)="","",INDEX(G25:I25,$E$16)*(1+$E$19)^($C25-$G$19))</f>
        <v>107.890776088704</v>
      </c>
      <c r="L25" s="141" t="n">
        <f aca="false">IF(OR(J25="",K25="",J25=0),"",K25/J25)</f>
        <v>1.02982400674465</v>
      </c>
      <c r="M25" s="230" t="n">
        <v>0.027</v>
      </c>
      <c r="N25" s="230" t="n">
        <v>0.021</v>
      </c>
      <c r="O25" s="230" t="n">
        <v>0.006</v>
      </c>
      <c r="P25" s="234" t="n">
        <v>71.57</v>
      </c>
      <c r="Q25" s="234" t="n">
        <v>99.99</v>
      </c>
      <c r="R25" s="234" t="n">
        <v>135.96</v>
      </c>
    </row>
    <row r="26" customFormat="false" ht="15" hidden="false" customHeight="false" outlineLevel="0" collapsed="false">
      <c r="C26" s="0" t="n">
        <v>2031</v>
      </c>
      <c r="D26" s="234" t="n">
        <v>68.83</v>
      </c>
      <c r="E26" s="234" t="n">
        <v>98.51</v>
      </c>
      <c r="F26" s="234" t="n">
        <v>132.57</v>
      </c>
      <c r="G26" s="234" t="n">
        <v>71.22</v>
      </c>
      <c r="H26" s="234" t="n">
        <v>102.77</v>
      </c>
      <c r="I26" s="234" t="n">
        <v>135.86</v>
      </c>
      <c r="J26" s="189" t="n">
        <f aca="false" t="array" ref="J26:J26">IF(INDEX(D26:F26,$E$16)="","",INDEX(D26:F26,$E$16)*(1+$E$19)^($C26-$G$19))</f>
        <v>110.938259921697</v>
      </c>
      <c r="K26" s="189" t="n">
        <f aca="false" t="array" ref="K26:K26">IF(INDEX(G26:I26,$E$16)="","",INDEX(G26:I26,$E$16)*(1+$E$19)^($C26-$G$19))</f>
        <v>115.735711827761</v>
      </c>
      <c r="L26" s="141" t="n">
        <f aca="false">IF(OR(J26="",K26="",J26=0),"",K26/J26)</f>
        <v>1.04324434067607</v>
      </c>
      <c r="M26" s="230" t="n">
        <v>0.015</v>
      </c>
      <c r="N26" s="230" t="n">
        <v>0.026</v>
      </c>
      <c r="O26" s="230" t="n">
        <v>0.005</v>
      </c>
      <c r="P26" s="234" t="n">
        <v>72.37</v>
      </c>
      <c r="Q26" s="234" t="n">
        <v>105.75</v>
      </c>
      <c r="R26" s="234" t="n">
        <v>136.51</v>
      </c>
    </row>
    <row r="27" customFormat="false" ht="15" hidden="false" customHeight="false" outlineLevel="0" collapsed="false">
      <c r="C27" s="0" t="n">
        <v>2032</v>
      </c>
      <c r="D27" s="234" t="n">
        <v>66.42</v>
      </c>
      <c r="E27" s="234" t="n">
        <v>96.1</v>
      </c>
      <c r="F27" s="234" t="n">
        <v>123.49</v>
      </c>
      <c r="G27" s="234" t="n">
        <v>68.56</v>
      </c>
      <c r="H27" s="234" t="n">
        <v>99.64</v>
      </c>
      <c r="I27" s="234" t="n">
        <v>126.56</v>
      </c>
      <c r="J27" s="189" t="n">
        <f aca="false" t="array" ref="J27:J27">IF(INDEX(D27:F27,$E$16)="","",INDEX(D27:F27,$E$16)*(1+$E$19)^($C27-$G$19))</f>
        <v>110.388692661096</v>
      </c>
      <c r="K27" s="189" t="n">
        <f aca="false" t="array" ref="K27:K27">IF(INDEX(G27:I27,$E$16)="","",INDEX(G27:I27,$E$16)*(1+$E$19)^($C27-$G$19))</f>
        <v>114.455039924574</v>
      </c>
      <c r="L27" s="141" t="n">
        <f aca="false">IF(OR(J27="",K27="",J27=0),"",K27/J27)</f>
        <v>1.03683662851197</v>
      </c>
      <c r="M27" s="230" t="n">
        <v>0.005</v>
      </c>
      <c r="N27" s="230" t="n">
        <v>0.014</v>
      </c>
      <c r="O27" s="230" t="n">
        <v>0.005</v>
      </c>
      <c r="P27" s="234" t="n">
        <v>68.92</v>
      </c>
      <c r="Q27" s="234" t="n">
        <v>101.17</v>
      </c>
      <c r="R27" s="234" t="n">
        <v>127.15</v>
      </c>
    </row>
    <row r="28" customFormat="false" ht="15" hidden="false" customHeight="false" outlineLevel="0" collapsed="false">
      <c r="C28" s="0" t="n">
        <v>2033</v>
      </c>
      <c r="D28" s="234" t="n">
        <v>66.19</v>
      </c>
      <c r="E28" s="234" t="n">
        <v>96.72</v>
      </c>
      <c r="F28" s="234" t="n">
        <v>122.89</v>
      </c>
      <c r="G28" s="234" t="n">
        <v>68.19</v>
      </c>
      <c r="H28" s="234" t="n">
        <v>100.09</v>
      </c>
      <c r="I28" s="234" t="n">
        <v>126.03</v>
      </c>
      <c r="J28" s="189" t="n">
        <f aca="false" t="array" ref="J28:J28">IF(INDEX(D28:F28,$E$16)="","",INDEX(D28:F28,$E$16)*(1+$E$19)^($C28-$G$19))</f>
        <v>113.322895330539</v>
      </c>
      <c r="K28" s="189" t="n">
        <f aca="false" t="array" ref="K28:K28">IF(INDEX(G28:I28,$E$16)="","",INDEX(G28:I28,$E$16)*(1+$E$19)^($C28-$G$19))</f>
        <v>117.271387444517</v>
      </c>
      <c r="L28" s="141" t="n">
        <f aca="false">IF(OR(J28="",K28="",J28=0),"",K28/J28)</f>
        <v>1.03484284532672</v>
      </c>
      <c r="M28" s="230" t="n">
        <v>0.004</v>
      </c>
      <c r="N28" s="230" t="n">
        <v>0.017</v>
      </c>
      <c r="O28" s="230" t="n">
        <v>0.002</v>
      </c>
      <c r="P28" s="234" t="n">
        <v>68.45</v>
      </c>
      <c r="Q28" s="234" t="n">
        <v>101.91</v>
      </c>
      <c r="R28" s="234" t="n">
        <v>126.36</v>
      </c>
    </row>
    <row r="29" customFormat="false" ht="15" hidden="false" customHeight="false" outlineLevel="0" collapsed="false">
      <c r="C29" s="0" t="n">
        <v>2034</v>
      </c>
      <c r="D29" s="234" t="n">
        <v>62.4</v>
      </c>
      <c r="E29" s="234" t="n">
        <v>93.13</v>
      </c>
      <c r="F29" s="234" t="n">
        <v>116.85</v>
      </c>
      <c r="G29" s="234" t="n">
        <v>64.51</v>
      </c>
      <c r="H29" s="234" t="n">
        <v>96.3</v>
      </c>
      <c r="I29" s="234" t="n">
        <v>119.86</v>
      </c>
      <c r="J29" s="189" t="n">
        <f aca="false" t="array" ref="J29:J29">IF(INDEX(D29:F29,$E$16)="","",INDEX(D29:F29,$E$16)*(1+$E$19)^($C29-$G$19))</f>
        <v>111.298970915796</v>
      </c>
      <c r="K29" s="189" t="n">
        <f aca="false" t="array" ref="K29:K29">IF(INDEX(G29:I29,$E$16)="","",INDEX(G29:I29,$E$16)*(1+$E$19)^($C29-$G$19))</f>
        <v>115.087414358329</v>
      </c>
      <c r="L29" s="141" t="n">
        <f aca="false">IF(OR(J29="",K29="",J29=0),"",K29/J29)</f>
        <v>1.03403844088908</v>
      </c>
      <c r="M29" s="230" t="n">
        <v>0.002</v>
      </c>
      <c r="N29" s="230" t="n">
        <v>0.004</v>
      </c>
      <c r="O29" s="230" t="n">
        <v>0.001</v>
      </c>
      <c r="P29" s="234" t="n">
        <v>64.65</v>
      </c>
      <c r="Q29" s="234" t="n">
        <v>96.69</v>
      </c>
      <c r="R29" s="234" t="n">
        <v>119.95</v>
      </c>
    </row>
    <row r="30" customFormat="false" ht="15" hidden="false" customHeight="false" outlineLevel="0" collapsed="false">
      <c r="C30" s="0" t="n">
        <v>2035</v>
      </c>
      <c r="D30" s="234" t="n">
        <v>61.87</v>
      </c>
      <c r="E30" s="234" t="n">
        <v>92.97</v>
      </c>
      <c r="F30" s="234" t="n">
        <v>115.61</v>
      </c>
      <c r="G30" s="234" t="n">
        <v>63.86</v>
      </c>
      <c r="H30" s="234" t="n">
        <v>96.08</v>
      </c>
      <c r="I30" s="234" t="n">
        <v>118.57</v>
      </c>
      <c r="J30" s="189" t="n">
        <f aca="false" t="array" ref="J30:J30">IF(INDEX(D30:F30,$E$16)="","",INDEX(D30:F30,$E$16)*(1+$E$19)^($C30-$G$19))</f>
        <v>113.329911226913</v>
      </c>
      <c r="K30" s="189" t="n">
        <f aca="false" t="array" ref="K30:K30">IF(INDEX(G30:I30,$E$16)="","",INDEX(G30:I30,$E$16)*(1+$E$19)^($C30-$G$19))</f>
        <v>117.120983873096</v>
      </c>
      <c r="L30" s="141" t="n">
        <f aca="false">IF(OR(J30="",K30="",J30=0),"",K30/J30)</f>
        <v>1.03345165107024</v>
      </c>
      <c r="M30" s="230" t="n">
        <v>0.003</v>
      </c>
      <c r="N30" s="230" t="n">
        <v>0.001</v>
      </c>
      <c r="O30" s="230" t="n">
        <v>0.001</v>
      </c>
      <c r="P30" s="234" t="n">
        <v>64.06</v>
      </c>
      <c r="Q30" s="234" t="n">
        <v>96.21</v>
      </c>
      <c r="R30" s="234" t="n">
        <v>118.67</v>
      </c>
    </row>
    <row r="31" customFormat="false" ht="15" hidden="false" customHeight="false" outlineLevel="0" collapsed="false">
      <c r="C31" s="0" t="n">
        <v>2036</v>
      </c>
      <c r="D31" s="234" t="n">
        <v>62.29</v>
      </c>
      <c r="E31" s="234" t="n">
        <v>93.04</v>
      </c>
      <c r="F31" s="234" t="n">
        <v>116.98</v>
      </c>
      <c r="G31" s="234" t="n">
        <v>64.21</v>
      </c>
      <c r="H31" s="234" t="n">
        <v>96.19</v>
      </c>
      <c r="I31" s="234" t="n">
        <v>120.17</v>
      </c>
      <c r="J31" s="189" t="n">
        <f aca="false" t="array" ref="J31:J31">IF(INDEX(D31:F31,$E$16)="","",INDEX(D31:F31,$E$16)*(1+$E$19)^($C31-$G$19))</f>
        <v>115.683545653038</v>
      </c>
      <c r="K31" s="189" t="n">
        <f aca="false" t="array" ref="K31:K31">IF(INDEX(G31:I31,$E$16)="","",INDEX(G31:I31,$E$16)*(1+$E$19)^($C31-$G$19))</f>
        <v>119.600174724482</v>
      </c>
      <c r="L31" s="141" t="n">
        <f aca="false">IF(OR(J31="",K31="",J31=0),"",K31/J31)</f>
        <v>1.03385640584695</v>
      </c>
      <c r="M31" s="230" t="n">
        <v>0</v>
      </c>
      <c r="N31" s="230" t="n">
        <v>0.001</v>
      </c>
      <c r="O31" s="230" t="n">
        <v>0</v>
      </c>
      <c r="P31" s="234" t="n">
        <v>64.21</v>
      </c>
      <c r="Q31" s="234" t="n">
        <v>96.26</v>
      </c>
      <c r="R31" s="234" t="n">
        <v>120.17</v>
      </c>
    </row>
    <row r="32" customFormat="false" ht="15" hidden="false" customHeight="false" outlineLevel="0" collapsed="false">
      <c r="C32" s="0" t="n">
        <v>2037</v>
      </c>
      <c r="D32" s="234" t="n">
        <v>64.78</v>
      </c>
      <c r="E32" s="234" t="n">
        <v>96.63</v>
      </c>
      <c r="F32" s="234" t="n">
        <v>121.54</v>
      </c>
      <c r="G32" s="234" t="n">
        <v>66.78</v>
      </c>
      <c r="H32" s="234" t="n">
        <v>99.52</v>
      </c>
      <c r="I32" s="234" t="n">
        <v>124.51</v>
      </c>
      <c r="J32" s="189" t="n">
        <f aca="false" t="array" ref="J32:J32">IF(INDEX(D32:F32,$E$16)="","",INDEX(D32:F32,$E$16)*(1+$E$19)^($C32-$G$19))</f>
        <v>122.550204608579</v>
      </c>
      <c r="K32" s="189" t="n">
        <f aca="false" t="array" ref="K32:K32">IF(INDEX(G32:I32,$E$16)="","",INDEX(G32:I32,$E$16)*(1+$E$19)^($C32-$G$19))</f>
        <v>126.215423394865</v>
      </c>
      <c r="L32" s="141" t="n">
        <f aca="false">IF(OR(J32="",K32="",J32=0),"",K32/J32)</f>
        <v>1.02990789609852</v>
      </c>
      <c r="M32" s="230" t="n">
        <v>0</v>
      </c>
      <c r="N32" s="230" t="n">
        <v>0.001</v>
      </c>
      <c r="O32" s="230" t="n">
        <v>0</v>
      </c>
      <c r="P32" s="234" t="n">
        <v>66.78</v>
      </c>
      <c r="Q32" s="234" t="n">
        <v>99.59</v>
      </c>
      <c r="R32" s="234" t="n">
        <v>124.51</v>
      </c>
    </row>
    <row r="33" customFormat="false" ht="15" hidden="false" customHeight="false" outlineLevel="0" collapsed="false">
      <c r="C33" s="0" t="n">
        <v>2038</v>
      </c>
      <c r="D33" s="234" t="n">
        <v>64.13</v>
      </c>
      <c r="E33" s="234" t="n">
        <v>95.76</v>
      </c>
      <c r="F33" s="234" t="n">
        <v>121.06</v>
      </c>
      <c r="G33" s="234" t="n">
        <v>66.1</v>
      </c>
      <c r="H33" s="234" t="n">
        <v>98.19</v>
      </c>
      <c r="I33" s="234" t="n">
        <v>123.84</v>
      </c>
      <c r="J33" s="189" t="n">
        <f aca="false" t="array" ref="J33:J33">IF(INDEX(D33:F33,$E$16)="","",INDEX(D33:F33,$E$16)*(1+$E$19)^($C33-$G$19))</f>
        <v>123.875770932256</v>
      </c>
      <c r="K33" s="189" t="n">
        <f aca="false" t="array" ref="K33:K33">IF(INDEX(G33:I33,$E$16)="","",INDEX(G33:I33,$E$16)*(1+$E$19)^($C33-$G$19))</f>
        <v>127.019235044258</v>
      </c>
      <c r="L33" s="141" t="n">
        <f aca="false">IF(OR(J33="",K33="",J33=0),"",K33/J33)</f>
        <v>1.02537593984962</v>
      </c>
      <c r="M33" s="230" t="n">
        <v>0</v>
      </c>
      <c r="N33" s="230" t="n">
        <v>0</v>
      </c>
      <c r="O33" s="230" t="n">
        <v>0</v>
      </c>
      <c r="P33" s="234" t="n">
        <v>66.1</v>
      </c>
      <c r="Q33" s="234" t="n">
        <v>98.22</v>
      </c>
      <c r="R33" s="234" t="n">
        <v>123.84</v>
      </c>
    </row>
    <row r="34" customFormat="false" ht="15" hidden="false" customHeight="false" outlineLevel="0" collapsed="false">
      <c r="C34" s="0" t="n">
        <v>2039</v>
      </c>
      <c r="D34" s="234" t="n">
        <v>63.62</v>
      </c>
      <c r="E34" s="234" t="n">
        <v>95.26</v>
      </c>
      <c r="F34" s="234" t="n">
        <v>120.23</v>
      </c>
      <c r="G34" s="234" t="n">
        <v>65.57</v>
      </c>
      <c r="H34" s="234" t="n">
        <v>97.68</v>
      </c>
      <c r="I34" s="234" t="n">
        <v>123.04</v>
      </c>
      <c r="J34" s="189" t="n">
        <f aca="false" t="array" ref="J34:J34">IF(INDEX(D34:F34,$E$16)="","",INDEX(D34:F34,$E$16)*(1+$E$19)^($C34-$G$19))</f>
        <v>125.693546969369</v>
      </c>
      <c r="K34" s="189" t="n">
        <f aca="false" t="array" ref="K34:K34">IF(INDEX(G34:I34,$E$16)="","",INDEX(G34:I34,$E$16)*(1+$E$19)^($C34-$G$19))</f>
        <v>128.886685575981</v>
      </c>
      <c r="L34" s="141" t="n">
        <f aca="false">IF(OR(J34="",K34="",J34=0),"",K34/J34)</f>
        <v>1.02540415704388</v>
      </c>
      <c r="M34" s="230" t="n">
        <v>0</v>
      </c>
      <c r="N34" s="230" t="n">
        <v>0.001</v>
      </c>
      <c r="O34" s="230" t="n">
        <v>0</v>
      </c>
      <c r="P34" s="234" t="n">
        <v>65.57</v>
      </c>
      <c r="Q34" s="234" t="n">
        <v>97.76</v>
      </c>
      <c r="R34" s="234" t="n">
        <v>123.06</v>
      </c>
    </row>
    <row r="35" customFormat="false" ht="15" hidden="false" customHeight="false" outlineLevel="0" collapsed="false">
      <c r="C35" s="0" t="n">
        <v>2040</v>
      </c>
      <c r="D35" s="234" t="n">
        <v>62.43</v>
      </c>
      <c r="E35" s="234" t="n">
        <v>93.94</v>
      </c>
      <c r="F35" s="234" t="n">
        <v>118.78</v>
      </c>
      <c r="G35" s="234" t="n">
        <v>64.41</v>
      </c>
      <c r="H35" s="234" t="n">
        <v>96.54</v>
      </c>
      <c r="I35" s="234" t="n">
        <v>121.65</v>
      </c>
      <c r="J35" s="189" t="n">
        <f aca="false" t="array" ref="J35:J35">IF(INDEX(D35:F35,$E$16)="","",INDEX(D35:F35,$E$16)*(1+$E$19)^($C35-$G$19))</f>
        <v>126.430871702169</v>
      </c>
      <c r="K35" s="189" t="n">
        <f aca="false" t="array" ref="K35:K35">IF(INDEX(G35:I35,$E$16)="","",INDEX(G35:I35,$E$16)*(1+$E$19)^($C35-$G$19))</f>
        <v>129.930129381812</v>
      </c>
      <c r="L35" s="141" t="n">
        <f aca="false">IF(OR(J35="",K35="",J35=0),"",K35/J35)</f>
        <v>1.027677240792</v>
      </c>
      <c r="M35" s="230" t="n">
        <v>0</v>
      </c>
      <c r="N35" s="230" t="n">
        <v>0.001</v>
      </c>
      <c r="O35" s="230" t="n">
        <v>0</v>
      </c>
      <c r="P35" s="234" t="n">
        <v>64.43</v>
      </c>
      <c r="Q35" s="234" t="n">
        <v>96.61</v>
      </c>
      <c r="R35" s="234" t="n">
        <v>121.65</v>
      </c>
    </row>
    <row r="36" customFormat="false" ht="15" hidden="false" customHeight="false" outlineLevel="0" collapsed="false">
      <c r="C36" s="0" t="n">
        <v>2041</v>
      </c>
      <c r="D36" s="234" t="n">
        <v>61.25</v>
      </c>
      <c r="E36" s="234" t="n">
        <v>92.79</v>
      </c>
      <c r="F36" s="234" t="n">
        <v>116.93</v>
      </c>
      <c r="G36" s="234" t="n">
        <v>63.39</v>
      </c>
      <c r="H36" s="234" t="n">
        <v>95.35</v>
      </c>
      <c r="I36" s="234" t="n">
        <v>119.59</v>
      </c>
      <c r="J36" s="189" t="n">
        <f aca="false" t="array" ref="J36:J36">IF(INDEX(D36:F36,$E$16)="","",INDEX(D36:F36,$E$16)*(1+$E$19)^($C36-$G$19))</f>
        <v>127.380785575358</v>
      </c>
      <c r="K36" s="189" t="n">
        <f aca="false" t="array" ref="K36:K36">IF(INDEX(G36:I36,$E$16)="","",INDEX(G36:I36,$E$16)*(1+$E$19)^($C36-$G$19))</f>
        <v>130.89511698039</v>
      </c>
      <c r="L36" s="141" t="n">
        <f aca="false">IF(OR(J36="",K36="",J36=0),"",K36/J36)</f>
        <v>1.02758917986852</v>
      </c>
      <c r="M36" s="230" t="n">
        <v>0</v>
      </c>
      <c r="N36" s="230" t="n">
        <v>0</v>
      </c>
      <c r="O36" s="230" t="n">
        <v>0</v>
      </c>
      <c r="P36" s="234" t="n">
        <v>63.4</v>
      </c>
      <c r="Q36" s="234" t="n">
        <v>95.39</v>
      </c>
      <c r="R36" s="234" t="n">
        <v>119.59</v>
      </c>
    </row>
    <row r="37" customFormat="false" ht="15" hidden="false" customHeight="false" outlineLevel="0" collapsed="false">
      <c r="C37" s="0" t="n">
        <v>2042</v>
      </c>
      <c r="D37" s="234" t="n">
        <v>61.49</v>
      </c>
      <c r="E37" s="234" t="n">
        <v>93.62</v>
      </c>
      <c r="F37" s="234" t="n">
        <v>118.97</v>
      </c>
      <c r="G37" s="234" t="n">
        <v>63.61</v>
      </c>
      <c r="H37" s="234" t="n">
        <v>96.15</v>
      </c>
      <c r="I37" s="234" t="n">
        <v>121.62</v>
      </c>
      <c r="J37" s="189" t="n">
        <f aca="false" t="array" ref="J37:J37">IF(INDEX(D37:F37,$E$16)="","",INDEX(D37:F37,$E$16)*(1+$E$19)^($C37-$G$19))</f>
        <v>131.090601664795</v>
      </c>
      <c r="K37" s="189" t="n">
        <f aca="false" t="array" ref="K37:K37">IF(INDEX(G37:I37,$E$16)="","",INDEX(G37:I37,$E$16)*(1+$E$19)^($C37-$G$19))</f>
        <v>134.633212455352</v>
      </c>
      <c r="L37" s="141" t="n">
        <f aca="false">IF(OR(J37="",K37="",J37=0),"",K37/J37)</f>
        <v>1.027024140141</v>
      </c>
      <c r="M37" s="230" t="n">
        <v>0</v>
      </c>
      <c r="N37" s="230" t="n">
        <v>0.001</v>
      </c>
      <c r="O37" s="230" t="n">
        <v>0</v>
      </c>
      <c r="P37" s="234" t="n">
        <v>63.61</v>
      </c>
      <c r="Q37" s="234" t="n">
        <v>96.21</v>
      </c>
      <c r="R37" s="234" t="n">
        <v>121.65</v>
      </c>
    </row>
    <row r="38" customFormat="false" ht="15" hidden="false" customHeight="false" outlineLevel="0" collapsed="false">
      <c r="C38" s="0" t="n">
        <v>2043</v>
      </c>
      <c r="D38" s="234" t="n">
        <v>61.04</v>
      </c>
      <c r="E38" s="234" t="n">
        <v>93.93</v>
      </c>
      <c r="F38" s="234" t="n">
        <v>119.85</v>
      </c>
      <c r="G38" s="234" t="n">
        <v>63.2</v>
      </c>
      <c r="H38" s="234" t="n">
        <v>96.35</v>
      </c>
      <c r="I38" s="234" t="n">
        <v>122.31</v>
      </c>
      <c r="J38" s="189" t="n">
        <f aca="false" t="array" ref="J38:J38">IF(INDEX(D38:F38,$E$16)="","",INDEX(D38:F38,$E$16)*(1+$E$19)^($C38-$G$19))</f>
        <v>134.155170034839</v>
      </c>
      <c r="K38" s="189" t="n">
        <f aca="false" t="array" ref="K38:K38">IF(INDEX(G38:I38,$E$16)="","",INDEX(G38:I38,$E$16)*(1+$E$19)^($C38-$G$19))</f>
        <v>137.611525953974</v>
      </c>
      <c r="L38" s="141" t="n">
        <f aca="false">IF(OR(J38="",K38="",J38=0),"",K38/J38)</f>
        <v>1.02576386670925</v>
      </c>
      <c r="M38" s="230" t="n">
        <v>0</v>
      </c>
      <c r="N38" s="230" t="n">
        <v>0.001</v>
      </c>
      <c r="O38" s="230" t="n">
        <v>0</v>
      </c>
      <c r="P38" s="234" t="n">
        <v>63.21</v>
      </c>
      <c r="Q38" s="234" t="n">
        <v>96.47</v>
      </c>
      <c r="R38" s="234" t="n">
        <v>122.31</v>
      </c>
    </row>
    <row r="39" customFormat="false" ht="15" hidden="false" customHeight="false" outlineLevel="0" collapsed="false">
      <c r="C39" s="0" t="n">
        <v>2044</v>
      </c>
      <c r="D39" s="234" t="n">
        <v>60.1</v>
      </c>
      <c r="E39" s="234" t="n">
        <v>93.16</v>
      </c>
      <c r="F39" s="234" t="n">
        <v>119.77</v>
      </c>
      <c r="G39" s="234" t="n">
        <v>62.18</v>
      </c>
      <c r="H39" s="234" t="n">
        <v>95.6</v>
      </c>
      <c r="I39" s="234" t="n">
        <v>121.66</v>
      </c>
      <c r="J39" s="189" t="n">
        <f aca="false" t="array" ref="J39:J39">IF(INDEX(D39:F39,$E$16)="","",INDEX(D39:F39,$E$16)*(1+$E$19)^($C39-$G$19))</f>
        <v>135.71652883269</v>
      </c>
      <c r="K39" s="189" t="n">
        <f aca="false" t="array" ref="K39:K39">IF(INDEX(G39:I39,$E$16)="","",INDEX(G39:I39,$E$16)*(1+$E$19)^($C39-$G$19))</f>
        <v>139.271148093658</v>
      </c>
      <c r="L39" s="141" t="n">
        <f aca="false">IF(OR(J39="",K39="",J39=0),"",K39/J39)</f>
        <v>1.02619149849721</v>
      </c>
      <c r="M39" s="230" t="n">
        <v>0</v>
      </c>
      <c r="N39" s="230" t="n">
        <v>0</v>
      </c>
      <c r="O39" s="230" t="n">
        <v>0</v>
      </c>
      <c r="P39" s="234" t="n">
        <v>62.21</v>
      </c>
      <c r="Q39" s="234" t="n">
        <v>95.65</v>
      </c>
      <c r="R39" s="234" t="n">
        <v>121.66</v>
      </c>
    </row>
    <row r="40" customFormat="false" ht="15" hidden="false" customHeight="false" outlineLevel="0" collapsed="false">
      <c r="C40" s="0" t="n">
        <v>2045</v>
      </c>
      <c r="D40" s="234" t="n">
        <v>60.8</v>
      </c>
      <c r="E40" s="234" t="n">
        <v>94.99</v>
      </c>
      <c r="F40" s="234" t="n">
        <v>123.03</v>
      </c>
      <c r="G40" s="234" t="n">
        <v>62.87</v>
      </c>
      <c r="H40" s="234" t="n">
        <v>97.18</v>
      </c>
      <c r="I40" s="234" t="n">
        <v>124.23</v>
      </c>
      <c r="J40" s="189" t="n">
        <f aca="false" t="array" ref="J40:J40">IF(INDEX(D40:F40,$E$16)="","",INDEX(D40:F40,$E$16)*(1+$E$19)^($C40-$G$19))</f>
        <v>141.150143143984</v>
      </c>
      <c r="K40" s="189" t="n">
        <f aca="false" t="array" ref="K40:K40">IF(INDEX(G40:I40,$E$16)="","",INDEX(G40:I40,$E$16)*(1+$E$19)^($C40-$G$19))</f>
        <v>144.404367941177</v>
      </c>
      <c r="L40" s="141" t="n">
        <f aca="false">IF(OR(J40="",K40="",J40=0),"",K40/J40)</f>
        <v>1.0230550584272</v>
      </c>
      <c r="M40" s="230" t="n">
        <v>0</v>
      </c>
      <c r="N40" s="230" t="n">
        <v>0</v>
      </c>
      <c r="O40" s="230" t="n">
        <v>0</v>
      </c>
      <c r="P40" s="234" t="n">
        <v>62.87</v>
      </c>
      <c r="Q40" s="234" t="n">
        <v>97.21</v>
      </c>
      <c r="R40" s="234" t="n">
        <v>124.23</v>
      </c>
    </row>
    <row r="41" customFormat="false" ht="15" hidden="false" customHeight="false" outlineLevel="0" collapsed="false">
      <c r="C41" s="0" t="n">
        <v>2046</v>
      </c>
      <c r="D41" s="234" t="n">
        <v>60.04</v>
      </c>
      <c r="E41" s="234" t="n">
        <v>95.37</v>
      </c>
      <c r="F41" s="234" t="n">
        <v>123.78</v>
      </c>
      <c r="G41" s="234" t="n">
        <v>61.93</v>
      </c>
      <c r="H41" s="234" t="n">
        <v>97.34</v>
      </c>
      <c r="I41" s="234" t="n">
        <v>124.08</v>
      </c>
      <c r="J41" s="189" t="n">
        <f aca="false" t="array" ref="J41:J41">IF(INDEX(D41:F41,$E$16)="","",INDEX(D41:F41,$E$16)*(1+$E$19)^($C41-$G$19))</f>
        <v>144.549099217545</v>
      </c>
      <c r="K41" s="189" t="n">
        <f aca="false" t="array" ref="K41:K41">IF(INDEX(G41:I41,$E$16)="","",INDEX(G41:I41,$E$16)*(1+$E$19)^($C41-$G$19))</f>
        <v>147.534961915024</v>
      </c>
      <c r="L41" s="141" t="n">
        <f aca="false">IF(OR(J41="",K41="",J41=0),"",K41/J41)</f>
        <v>1.02065639089861</v>
      </c>
      <c r="M41" s="230" t="n">
        <v>0</v>
      </c>
      <c r="N41" s="230" t="n">
        <v>0</v>
      </c>
      <c r="O41" s="230" t="n">
        <v>0</v>
      </c>
      <c r="P41" s="234" t="n">
        <v>61.93</v>
      </c>
      <c r="Q41" s="234" t="n">
        <v>97.34</v>
      </c>
      <c r="R41" s="234" t="n">
        <v>124.08</v>
      </c>
    </row>
    <row r="42" customFormat="false" ht="15" hidden="false" customHeight="false" outlineLevel="0" collapsed="false">
      <c r="C42" s="0" t="n">
        <v>2047</v>
      </c>
      <c r="D42" s="234" t="n">
        <v>59.52</v>
      </c>
      <c r="E42" s="234" t="n">
        <v>95.19</v>
      </c>
      <c r="F42" s="234" t="n">
        <v>124.41</v>
      </c>
      <c r="G42" s="234" t="n">
        <v>61.33</v>
      </c>
      <c r="H42" s="234" t="n">
        <v>97.12</v>
      </c>
      <c r="I42" s="234" t="n">
        <v>124.15</v>
      </c>
      <c r="J42" s="189" t="n">
        <f aca="false" t="array" ref="J42:J42">IF(INDEX(D42:F42,$E$16)="","",INDEX(D42:F42,$E$16)*(1+$E$19)^($C42-$G$19))</f>
        <v>147.161804861156</v>
      </c>
      <c r="K42" s="189" t="n">
        <f aca="false" t="array" ref="K42:K42">IF(INDEX(G42:I42,$E$16)="","",INDEX(G42:I42,$E$16)*(1+$E$19)^($C42-$G$19))</f>
        <v>150.145545625754</v>
      </c>
      <c r="L42" s="141" t="n">
        <f aca="false">IF(OR(J42="",K42="",J42=0),"",K42/J42)</f>
        <v>1.02027523899569</v>
      </c>
      <c r="M42" s="230" t="n">
        <v>0</v>
      </c>
      <c r="N42" s="230" t="n">
        <v>0</v>
      </c>
      <c r="O42" s="230" t="n">
        <v>0</v>
      </c>
      <c r="P42" s="234" t="n">
        <v>61.33</v>
      </c>
      <c r="Q42" s="234" t="n">
        <v>97.12</v>
      </c>
      <c r="R42" s="234" t="n">
        <v>124.15</v>
      </c>
    </row>
    <row r="43" customFormat="false" ht="15" hidden="false" customHeight="false" outlineLevel="0" collapsed="false">
      <c r="C43" s="0" t="n">
        <v>2048</v>
      </c>
      <c r="D43" s="234" t="n">
        <v>58.44</v>
      </c>
      <c r="E43" s="234" t="n">
        <v>93.3</v>
      </c>
      <c r="F43" s="234" t="n">
        <v>123.24</v>
      </c>
      <c r="G43" s="234" t="n">
        <v>60.24</v>
      </c>
      <c r="H43" s="234" t="n">
        <v>95.36</v>
      </c>
      <c r="I43" s="234" t="n">
        <v>122.51</v>
      </c>
      <c r="J43" s="189" t="n">
        <f aca="false" t="array" ref="J43:J43">IF(INDEX(D43:F43,$E$16)="","",INDEX(D43:F43,$E$16)*(1+$E$19)^($C43-$G$19))</f>
        <v>147.124701349057</v>
      </c>
      <c r="K43" s="189" t="n">
        <f aca="false" t="array" ref="K43:K43">IF(INDEX(G43:I43,$E$16)="","",INDEX(G43:I43,$E$16)*(1+$E$19)^($C43-$G$19))</f>
        <v>150.373113833292</v>
      </c>
      <c r="L43" s="141" t="n">
        <f aca="false">IF(OR(J43="",K43="",J43=0),"",K43/J43)</f>
        <v>1.02207931404073</v>
      </c>
      <c r="M43" s="230" t="n">
        <v>0</v>
      </c>
      <c r="N43" s="230" t="n">
        <v>0</v>
      </c>
      <c r="O43" s="230" t="n">
        <v>0</v>
      </c>
      <c r="P43" s="234" t="n">
        <v>60.24</v>
      </c>
      <c r="Q43" s="234" t="n">
        <v>95.36</v>
      </c>
      <c r="R43" s="234" t="n">
        <v>122.51</v>
      </c>
    </row>
    <row r="44" customFormat="false" ht="15" hidden="false" customHeight="false" outlineLevel="0" collapsed="false">
      <c r="C44" s="0" t="n">
        <v>2049</v>
      </c>
      <c r="D44" s="234" t="n">
        <v>57.91</v>
      </c>
      <c r="E44" s="234" t="n">
        <v>93.51</v>
      </c>
      <c r="F44" s="234" t="n">
        <v>124.49</v>
      </c>
      <c r="G44" s="234" t="n">
        <v>59.59</v>
      </c>
      <c r="H44" s="234" t="n">
        <v>95.45</v>
      </c>
      <c r="I44" s="234" t="n">
        <v>122.99</v>
      </c>
      <c r="J44" s="189" t="n">
        <f aca="false" t="array" ref="J44:J44">IF(INDEX(D44:F44,$E$16)="","",INDEX(D44:F44,$E$16)*(1+$E$19)^($C44-$G$19))</f>
        <v>150.404967198428</v>
      </c>
      <c r="K44" s="189" t="n">
        <f aca="false" t="array" ref="K44:K44">IF(INDEX(G44:I44,$E$16)="","",INDEX(G44:I44,$E$16)*(1+$E$19)^($C44-$G$19))</f>
        <v>153.52533546241</v>
      </c>
      <c r="L44" s="141" t="n">
        <f aca="false">IF(OR(J44="",K44="",J44=0),"",K44/J44)</f>
        <v>1.02074644423056</v>
      </c>
      <c r="M44" s="230" t="n">
        <v>0</v>
      </c>
      <c r="N44" s="230" t="n">
        <v>0</v>
      </c>
      <c r="O44" s="230" t="n">
        <v>0</v>
      </c>
      <c r="P44" s="234" t="n">
        <v>59.59</v>
      </c>
      <c r="Q44" s="234" t="n">
        <v>95.45</v>
      </c>
      <c r="R44" s="234" t="n">
        <v>122.99</v>
      </c>
    </row>
    <row r="45" customFormat="false" ht="15" hidden="false" customHeight="false" outlineLevel="0" collapsed="false">
      <c r="C45" s="0" t="n">
        <v>2050</v>
      </c>
      <c r="D45" s="234" t="n">
        <v>56.56</v>
      </c>
      <c r="E45" s="234" t="n">
        <v>92.38</v>
      </c>
      <c r="F45" s="234" t="n">
        <v>122.91</v>
      </c>
      <c r="G45" s="234" t="n">
        <v>58.15</v>
      </c>
      <c r="H45" s="234" t="n">
        <v>94.24</v>
      </c>
      <c r="I45" s="234" t="n">
        <v>120.71</v>
      </c>
      <c r="J45" s="189" t="n">
        <f aca="false" t="array" ref="J45:J45">IF(INDEX(D45:F45,$E$16)="","",INDEX(D45:F45,$E$16)*(1+$E$19)^($C45-$G$19))</f>
        <v>151.559181768652</v>
      </c>
      <c r="K45" s="189" t="n">
        <f aca="false" t="array" ref="K45:K45">IF(INDEX(G45:I45,$E$16)="","",INDEX(G45:I45,$E$16)*(1+$E$19)^($C45-$G$19))</f>
        <v>154.610708918356</v>
      </c>
      <c r="L45" s="141" t="n">
        <f aca="false">IF(OR(J45="",K45="",J45=0),"",K45/J45)</f>
        <v>1.02013422818792</v>
      </c>
      <c r="M45" s="230" t="n">
        <v>0</v>
      </c>
      <c r="N45" s="230" t="n">
        <v>0</v>
      </c>
      <c r="O45" s="230" t="n">
        <v>0</v>
      </c>
      <c r="P45" s="234" t="n">
        <v>58.15</v>
      </c>
      <c r="Q45" s="234" t="n">
        <v>94.24</v>
      </c>
      <c r="R45" s="234" t="n">
        <v>120.71</v>
      </c>
    </row>
    <row r="46" customFormat="false" ht="15" hidden="false" customHeight="false" outlineLevel="0" collapsed="false">
      <c r="C46" s="0" t="n">
        <v>2051</v>
      </c>
      <c r="D46" s="234" t="n">
        <v>56.08</v>
      </c>
      <c r="E46" s="234" t="n">
        <v>91.45</v>
      </c>
      <c r="F46" s="234" t="n">
        <v>119.47</v>
      </c>
      <c r="G46" s="234" t="n">
        <v>57.56</v>
      </c>
      <c r="H46" s="234" t="n">
        <v>93.24</v>
      </c>
      <c r="I46" s="234" t="n">
        <v>116.32</v>
      </c>
      <c r="J46" s="189" t="n">
        <f aca="false" t="array" ref="J46:J46">IF(INDEX(D46:F46,$E$16)="","",INDEX(D46:F46,$E$16)*(1+$E$19)^($C46-$G$19))</f>
        <v>153.034086557676</v>
      </c>
      <c r="K46" s="189" t="n">
        <f aca="false" t="array" ref="K46:K46">IF(INDEX(G46:I46,$E$16)="","",INDEX(G46:I46,$E$16)*(1+$E$19)^($C46-$G$19))</f>
        <v>156.029504982369</v>
      </c>
      <c r="L46" s="141" t="n">
        <f aca="false">IF(OR(J46="",K46="",J46=0),"",K46/J46)</f>
        <v>1.01957353745216</v>
      </c>
      <c r="M46" s="230" t="n">
        <v>0</v>
      </c>
      <c r="N46" s="230" t="n">
        <v>0</v>
      </c>
      <c r="O46" s="230" t="n">
        <v>0</v>
      </c>
      <c r="P46" s="234" t="n">
        <v>57.56</v>
      </c>
      <c r="Q46" s="234" t="n">
        <v>93.24</v>
      </c>
      <c r="R46" s="234" t="n">
        <v>116.32</v>
      </c>
    </row>
    <row r="47" customFormat="false" ht="15" hidden="false" customHeight="false" outlineLevel="0" collapsed="false">
      <c r="C47" s="0" t="n">
        <v>2052</v>
      </c>
      <c r="D47" s="234" t="n">
        <v>55.19</v>
      </c>
      <c r="E47" s="234" t="n">
        <v>89.7</v>
      </c>
      <c r="F47" s="234" t="n">
        <v>114.97</v>
      </c>
      <c r="G47" s="234" t="n">
        <v>56.62</v>
      </c>
      <c r="H47" s="234" t="n">
        <v>91.63</v>
      </c>
      <c r="I47" s="234" t="n">
        <v>111.42</v>
      </c>
      <c r="J47" s="189" t="n">
        <f aca="false" t="array" ref="J47:J47">IF(INDEX(D47:F47,$E$16)="","",INDEX(D47:F47,$E$16)*(1+$E$19)^($C47-$G$19))</f>
        <v>153.107716954707</v>
      </c>
      <c r="K47" s="189" t="n">
        <f aca="false" t="array" ref="K47:K47">IF(INDEX(G47:I47,$E$16)="","",INDEX(G47:I47,$E$16)*(1+$E$19)^($C47-$G$19))</f>
        <v>156.402007854625</v>
      </c>
      <c r="L47" s="141" t="n">
        <f aca="false">IF(OR(J47="",K47="",J47=0),"",K47/J47)</f>
        <v>1.02151616499443</v>
      </c>
      <c r="M47" s="230" t="n">
        <v>0</v>
      </c>
      <c r="N47" s="230" t="n">
        <v>0</v>
      </c>
      <c r="O47" s="230" t="n">
        <v>0</v>
      </c>
      <c r="P47" s="234" t="n">
        <v>56.62</v>
      </c>
      <c r="Q47" s="234" t="n">
        <v>91.63</v>
      </c>
      <c r="R47" s="234" t="n">
        <v>111.42</v>
      </c>
    </row>
    <row r="48" customFormat="false" ht="15" hidden="false" customHeight="false" outlineLevel="0" collapsed="false">
      <c r="C48" s="0" t="n">
        <v>2053</v>
      </c>
      <c r="D48" s="234" t="n">
        <v>55.76</v>
      </c>
      <c r="E48" s="234" t="n">
        <v>90.71</v>
      </c>
      <c r="F48" s="234" t="n">
        <v>114.94</v>
      </c>
      <c r="G48" s="234" t="n">
        <v>57.05</v>
      </c>
      <c r="H48" s="234" t="n">
        <v>92.47</v>
      </c>
      <c r="I48" s="234" t="n">
        <v>110.46</v>
      </c>
      <c r="J48" s="189" t="n">
        <f aca="false" t="array" ref="J48:J48">IF(INDEX(D48:F48,$E$16)="","",INDEX(D48:F48,$E$16)*(1+$E$19)^($C48-$G$19))</f>
        <v>157.928305742037</v>
      </c>
      <c r="K48" s="189" t="n">
        <f aca="false" t="array" ref="K48:K48">IF(INDEX(G48:I48,$E$16)="","",INDEX(G48:I48,$E$16)*(1+$E$19)^($C48-$G$19))</f>
        <v>160.992508344903</v>
      </c>
      <c r="L48" s="141" t="n">
        <f aca="false">IF(OR(J48="",K48="",J48=0),"",K48/J48)</f>
        <v>1.01940249145629</v>
      </c>
      <c r="M48" s="230" t="n">
        <v>0</v>
      </c>
      <c r="N48" s="230" t="n">
        <v>0</v>
      </c>
      <c r="O48" s="230" t="n">
        <v>0</v>
      </c>
      <c r="P48" s="234" t="n">
        <v>57.05</v>
      </c>
      <c r="Q48" s="234" t="n">
        <v>92.47</v>
      </c>
      <c r="R48" s="234" t="n">
        <v>110.46</v>
      </c>
    </row>
    <row r="49" customFormat="false" ht="15" hidden="false" customHeight="false" outlineLevel="0" collapsed="false">
      <c r="C49" s="0" t="n">
        <v>2054</v>
      </c>
      <c r="D49" s="234" t="n">
        <v>56.35</v>
      </c>
      <c r="E49" s="234" t="n">
        <v>90.37</v>
      </c>
      <c r="F49" s="234" t="n">
        <v>113.41</v>
      </c>
      <c r="G49" s="234" t="n">
        <v>57.42</v>
      </c>
      <c r="H49" s="234" t="n">
        <v>92</v>
      </c>
      <c r="I49" s="234" t="n">
        <v>108.05</v>
      </c>
      <c r="J49" s="189" t="n">
        <f aca="false" t="array" ref="J49:J49">IF(INDEX(D49:F49,$E$16)="","",INDEX(D49:F49,$E$16)*(1+$E$19)^($C49-$G$19))</f>
        <v>160.483084662177</v>
      </c>
      <c r="K49" s="189" t="n">
        <f aca="false" t="array" ref="K49:K49">IF(INDEX(G49:I49,$E$16)="","",INDEX(G49:I49,$E$16)*(1+$E$19)^($C49-$G$19))</f>
        <v>163.377711507361</v>
      </c>
      <c r="L49" s="141" t="n">
        <f aca="false">IF(OR(J49="",K49="",J49=0),"",K49/J49)</f>
        <v>1.01803695916787</v>
      </c>
      <c r="M49" s="230" t="n">
        <v>0</v>
      </c>
      <c r="N49" s="230" t="n">
        <v>0</v>
      </c>
      <c r="O49" s="230" t="n">
        <v>0</v>
      </c>
      <c r="P49" s="234" t="n">
        <v>57.42</v>
      </c>
      <c r="Q49" s="234" t="n">
        <v>92</v>
      </c>
      <c r="R49" s="234" t="n">
        <v>108.05</v>
      </c>
    </row>
    <row r="50" customFormat="false" ht="15" hidden="false" customHeight="false" outlineLevel="0" collapsed="false">
      <c r="C50" s="0" t="n">
        <v>2055</v>
      </c>
      <c r="D50" s="234" t="n">
        <v>56.08</v>
      </c>
      <c r="E50" s="234" t="n">
        <v>90.08</v>
      </c>
      <c r="F50" s="234" t="n">
        <v>112.26</v>
      </c>
      <c r="G50" s="234" t="n">
        <v>57.1</v>
      </c>
      <c r="H50" s="234" t="n">
        <v>91.57</v>
      </c>
      <c r="I50" s="234" t="n">
        <v>105.99</v>
      </c>
      <c r="J50" s="189" t="n">
        <f aca="false" t="array" ref="J50:J50">IF(INDEX(D50:F50,$E$16)="","",INDEX(D50:F50,$E$16)*(1+$E$19)^($C50-$G$19))</f>
        <v>163.16745149603</v>
      </c>
      <c r="K50" s="189" t="n">
        <f aca="false" t="array" ref="K50:K50">IF(INDEX(G50:I50,$E$16)="","",INDEX(G50:I50,$E$16)*(1+$E$19)^($C50-$G$19))</f>
        <v>165.866380256344</v>
      </c>
      <c r="L50" s="141" t="n">
        <f aca="false">IF(OR(J50="",K50="",J50=0),"",K50/J50)</f>
        <v>1.01654085257549</v>
      </c>
      <c r="M50" s="230" t="n">
        <v>0</v>
      </c>
      <c r="N50" s="230" t="n">
        <v>0</v>
      </c>
      <c r="O50" s="230" t="n">
        <v>0</v>
      </c>
      <c r="P50" s="234" t="n">
        <v>57.1</v>
      </c>
      <c r="Q50" s="234" t="n">
        <v>91.57</v>
      </c>
      <c r="R50" s="234" t="n">
        <v>105.99</v>
      </c>
    </row>
    <row r="51" customFormat="false" ht="15" hidden="false" customHeight="false" outlineLevel="0" collapsed="false">
      <c r="C51" s="0" t="n">
        <v>2056</v>
      </c>
      <c r="D51" s="234" t="n">
        <v>55.72</v>
      </c>
      <c r="E51" s="234" t="n">
        <v>88.97</v>
      </c>
      <c r="F51" s="234" t="n">
        <v>110.84</v>
      </c>
      <c r="G51" s="234" t="n">
        <v>56.66</v>
      </c>
      <c r="H51" s="234" t="n">
        <v>90.42</v>
      </c>
      <c r="I51" s="234" t="n">
        <v>104.33</v>
      </c>
      <c r="J51" s="189" t="n">
        <f aca="false" t="array" ref="J51:J51">IF(INDEX(D51:F51,$E$16)="","",INDEX(D51:F51,$E$16)*(1+$E$19)^($C51-$G$19))</f>
        <v>164.379976940429</v>
      </c>
      <c r="K51" s="189" t="n">
        <f aca="false" t="array" ref="K51:K51">IF(INDEX(G51:I51,$E$16)="","",INDEX(G51:I51,$E$16)*(1+$E$19)^($C51-$G$19))</f>
        <v>167.058980723318</v>
      </c>
      <c r="L51" s="141" t="n">
        <f aca="false">IF(OR(J51="",K51="",J51=0),"",K51/J51)</f>
        <v>1.01629762841407</v>
      </c>
      <c r="M51" s="230" t="n">
        <v>0</v>
      </c>
      <c r="N51" s="230" t="n">
        <v>0</v>
      </c>
      <c r="O51" s="230" t="n">
        <v>0</v>
      </c>
      <c r="P51" s="234" t="n">
        <v>56.66</v>
      </c>
      <c r="Q51" s="234" t="n">
        <v>90.42</v>
      </c>
      <c r="R51" s="234" t="n">
        <v>104.33</v>
      </c>
    </row>
    <row r="52" customFormat="false" ht="15" hidden="false" customHeight="false" outlineLevel="0" collapsed="false">
      <c r="C52" s="0" t="n">
        <v>2057</v>
      </c>
      <c r="D52" s="234" t="n">
        <v>56.33</v>
      </c>
      <c r="E52" s="234" t="n">
        <v>89.89</v>
      </c>
      <c r="F52" s="234" t="n">
        <v>111.7</v>
      </c>
      <c r="G52" s="234" t="n">
        <v>57.09</v>
      </c>
      <c r="H52" s="234" t="n">
        <v>91.11</v>
      </c>
      <c r="I52" s="234" t="n">
        <v>104.42</v>
      </c>
      <c r="J52" s="189" t="n">
        <f aca="false" t="array" ref="J52:J52">IF(INDEX(D52:F52,$E$16)="","",INDEX(D52:F52,$E$16)*(1+$E$19)^($C52-$G$19))</f>
        <v>169.401353823971</v>
      </c>
      <c r="K52" s="189" t="n">
        <f aca="false" t="array" ref="K52:K52">IF(INDEX(G52:I52,$E$16)="","",INDEX(G52:I52,$E$16)*(1+$E$19)^($C52-$G$19))</f>
        <v>171.700493346334</v>
      </c>
      <c r="L52" s="141" t="n">
        <f aca="false">IF(OR(J52="",K52="",J52=0),"",K52/J52)</f>
        <v>1.01357214373123</v>
      </c>
      <c r="M52" s="230" t="n">
        <v>0</v>
      </c>
      <c r="N52" s="230" t="n">
        <v>0</v>
      </c>
      <c r="O52" s="230" t="n">
        <v>0</v>
      </c>
      <c r="P52" s="234" t="n">
        <v>57.09</v>
      </c>
      <c r="Q52" s="234" t="n">
        <v>91.11</v>
      </c>
      <c r="R52" s="234" t="n">
        <v>104.42</v>
      </c>
    </row>
    <row r="53" customFormat="false" ht="15" hidden="false" customHeight="false" outlineLevel="0" collapsed="false">
      <c r="C53" s="0" t="n">
        <v>2058</v>
      </c>
      <c r="D53" s="234" t="n">
        <v>58.04</v>
      </c>
      <c r="E53" s="234" t="n">
        <v>92.13</v>
      </c>
      <c r="F53" s="234" t="n">
        <v>112.88</v>
      </c>
      <c r="G53" s="234" t="n">
        <v>58.6</v>
      </c>
      <c r="H53" s="234" t="n">
        <v>92.89</v>
      </c>
      <c r="I53" s="234" t="n">
        <v>104.37</v>
      </c>
      <c r="J53" s="189" t="n">
        <f aca="false" t="array" ref="J53:J53">IF(INDEX(D53:F53,$E$16)="","",INDEX(D53:F53,$E$16)*(1+$E$19)^($C53-$G$19))</f>
        <v>177.095179245283</v>
      </c>
      <c r="K53" s="189" t="n">
        <f aca="false" t="array" ref="K53:K53">IF(INDEX(G53:I53,$E$16)="","",INDEX(G53:I53,$E$16)*(1+$E$19)^($C53-$G$19))</f>
        <v>178.556075112279</v>
      </c>
      <c r="L53" s="141" t="n">
        <f aca="false">IF(OR(J53="",K53="",J53=0),"",K53/J53)</f>
        <v>1.00824921306849</v>
      </c>
      <c r="M53" s="230" t="n">
        <v>0</v>
      </c>
      <c r="N53" s="230" t="n">
        <v>0</v>
      </c>
      <c r="O53" s="230" t="n">
        <v>0</v>
      </c>
      <c r="P53" s="234" t="n">
        <v>58.6</v>
      </c>
      <c r="Q53" s="234" t="n">
        <v>92.89</v>
      </c>
      <c r="R53" s="234" t="n">
        <v>104.37</v>
      </c>
    </row>
    <row r="54" customFormat="false" ht="15" hidden="false" customHeight="false" outlineLevel="0" collapsed="false">
      <c r="C54" s="0" t="n">
        <v>2059</v>
      </c>
      <c r="D54" s="234" t="n">
        <v>58.19</v>
      </c>
      <c r="E54" s="234" t="n">
        <v>93.73</v>
      </c>
      <c r="F54" s="234" t="n">
        <v>112.93</v>
      </c>
      <c r="G54" s="234" t="n">
        <v>58.71</v>
      </c>
      <c r="H54" s="234" t="n">
        <v>94.29</v>
      </c>
      <c r="I54" s="234" t="n">
        <v>104.57</v>
      </c>
      <c r="J54" s="189" t="n">
        <f aca="false" t="array" ref="J54:J54">IF(INDEX(D54:F54,$E$16)="","",INDEX(D54:F54,$E$16)*(1+$E$19)^($C54-$G$19))</f>
        <v>183.774164481424</v>
      </c>
      <c r="K54" s="189" t="n">
        <f aca="false" t="array" ref="K54:K54">IF(INDEX(G54:I54,$E$16)="","",INDEX(G54:I54,$E$16)*(1+$E$19)^($C54-$G$19))</f>
        <v>184.872143059356</v>
      </c>
      <c r="L54" s="141" t="n">
        <f aca="false">IF(OR(J54="",K54="",J54=0),"",K54/J54)</f>
        <v>1.00597460791636</v>
      </c>
      <c r="M54" s="230" t="n">
        <v>0</v>
      </c>
      <c r="N54" s="230" t="n">
        <v>0</v>
      </c>
      <c r="O54" s="230" t="n">
        <v>0</v>
      </c>
      <c r="P54" s="234" t="n">
        <v>58.71</v>
      </c>
      <c r="Q54" s="234" t="n">
        <v>94.29</v>
      </c>
      <c r="R54" s="234" t="n">
        <v>104.57</v>
      </c>
    </row>
    <row r="55" customFormat="false" ht="15" hidden="false" customHeight="false" outlineLevel="0" collapsed="false">
      <c r="C55" s="0" t="n">
        <v>2060</v>
      </c>
      <c r="D55" s="234" t="n">
        <v>57.56</v>
      </c>
      <c r="E55" s="234" t="n">
        <v>92.71</v>
      </c>
      <c r="F55" s="234" t="n">
        <v>111.08</v>
      </c>
      <c r="G55" s="234" t="n">
        <v>58.1</v>
      </c>
      <c r="H55" s="234" t="n">
        <v>93.36</v>
      </c>
      <c r="I55" s="234" t="n">
        <v>103</v>
      </c>
      <c r="J55" s="189" t="n">
        <f aca="false" t="array" ref="J55:J55">IF(INDEX(D55:F55,$E$16)="","",INDEX(D55:F55,$E$16)*(1+$E$19)^($C55-$G$19))</f>
        <v>185.409760427336</v>
      </c>
      <c r="K55" s="189" t="n">
        <f aca="false" t="array" ref="K55:K55">IF(INDEX(G55:I55,$E$16)="","",INDEX(G55:I55,$E$16)*(1+$E$19)^($C55-$G$19))</f>
        <v>186.709688636567</v>
      </c>
      <c r="L55" s="141" t="n">
        <f aca="false">IF(OR(J55="",K55="",J55=0),"",K55/J55)</f>
        <v>1.00701110991263</v>
      </c>
      <c r="M55" s="230" t="n">
        <v>0</v>
      </c>
      <c r="N55" s="230" t="n">
        <v>0</v>
      </c>
      <c r="O55" s="230" t="n">
        <v>0</v>
      </c>
      <c r="P55" s="234" t="n">
        <v>58.1</v>
      </c>
      <c r="Q55" s="234" t="n">
        <v>93.36</v>
      </c>
      <c r="R55" s="234" t="n">
        <v>103</v>
      </c>
    </row>
    <row r="56" customFormat="false" ht="15" hidden="false" customHeight="false" outlineLevel="0" collapsed="false">
      <c r="C56" s="0" t="n">
        <v>2061</v>
      </c>
      <c r="D56" s="234"/>
      <c r="E56" s="234"/>
      <c r="F56" s="234"/>
      <c r="G56" s="234"/>
      <c r="H56" s="234"/>
      <c r="I56" s="234"/>
      <c r="J56" s="189" t="str">
        <f aca="false" t="array" ref="J56:J56">IF(INDEX(D56:F56,$E$16)="","",INDEX(D56:F56,$E$16)*(1+$E$19)^($C56-$G$19))</f>
        <v/>
      </c>
      <c r="K56" s="189" t="str">
        <f aca="false" t="array" ref="K56:K56">IF(INDEX(G56:I56,$E$16)="","",INDEX(G56:I56,$E$16)*(1+$E$19)^($C56-$G$19))</f>
        <v/>
      </c>
      <c r="L56" s="141" t="str">
        <f aca="false">IF(OR(J56="",K56="",J56=0),"",K56/J56)</f>
        <v/>
      </c>
      <c r="M56" s="230"/>
      <c r="N56" s="230"/>
      <c r="O56" s="230"/>
      <c r="P56" s="234"/>
      <c r="Q56" s="234"/>
      <c r="R56" s="234"/>
    </row>
    <row r="57" customFormat="false" ht="15" hidden="false" customHeight="false" outlineLevel="0" collapsed="false">
      <c r="C57" s="0" t="n">
        <v>2062</v>
      </c>
      <c r="D57" s="234"/>
      <c r="E57" s="234"/>
      <c r="F57" s="234"/>
      <c r="G57" s="234"/>
      <c r="H57" s="234"/>
      <c r="I57" s="234"/>
      <c r="J57" s="189" t="str">
        <f aca="false" t="array" ref="J57:J57">IF(INDEX(D57:F57,$E$16)="","",INDEX(D57:F57,$E$16)*(1+$E$19)^($C57-$G$19))</f>
        <v/>
      </c>
      <c r="K57" s="189" t="str">
        <f aca="false" t="array" ref="K57:K57">IF(INDEX(G57:I57,$E$16)="","",INDEX(G57:I57,$E$16)*(1+$E$19)^($C57-$G$19))</f>
        <v/>
      </c>
      <c r="L57" s="141" t="str">
        <f aca="false">IF(OR(J57="",K57="",J57=0),"",K57/J57)</f>
        <v/>
      </c>
      <c r="M57" s="230"/>
      <c r="N57" s="230"/>
      <c r="O57" s="230"/>
      <c r="P57" s="234"/>
      <c r="Q57" s="234"/>
      <c r="R57" s="234"/>
    </row>
    <row r="58" customFormat="false" ht="15" hidden="false" customHeight="false" outlineLevel="0" collapsed="false">
      <c r="C58" s="0" t="n">
        <v>2063</v>
      </c>
      <c r="D58" s="234"/>
      <c r="E58" s="234"/>
      <c r="F58" s="234"/>
      <c r="G58" s="234"/>
      <c r="H58" s="234"/>
      <c r="I58" s="234"/>
      <c r="J58" s="189" t="str">
        <f aca="false" t="array" ref="J58:J58">IF(INDEX(D58:F58,$E$16)="","",INDEX(D58:F58,$E$16)*(1+$E$19)^($C58-$G$19))</f>
        <v/>
      </c>
      <c r="K58" s="189" t="str">
        <f aca="false" t="array" ref="K58:K58">IF(INDEX(G58:I58,$E$16)="","",INDEX(G58:I58,$E$16)*(1+$E$19)^($C58-$G$19))</f>
        <v/>
      </c>
      <c r="L58" s="141" t="str">
        <f aca="false">IF(OR(J58="",K58="",J58=0),"",K58/J58)</f>
        <v/>
      </c>
      <c r="M58" s="230"/>
      <c r="N58" s="230"/>
      <c r="O58" s="230"/>
      <c r="P58" s="234"/>
      <c r="Q58" s="234"/>
      <c r="R58" s="234"/>
    </row>
    <row r="59" customFormat="false" ht="15" hidden="false" customHeight="false" outlineLevel="0" collapsed="false">
      <c r="C59" s="0" t="n">
        <v>2064</v>
      </c>
      <c r="D59" s="234"/>
      <c r="E59" s="234"/>
      <c r="F59" s="234"/>
      <c r="G59" s="234"/>
      <c r="H59" s="234"/>
      <c r="I59" s="234"/>
      <c r="J59" s="189" t="str">
        <f aca="false" t="array" ref="J59:J59">IF(INDEX(D59:F59,$E$16)="","",INDEX(D59:F59,$E$16)*(1+$E$19)^($C59-$G$19))</f>
        <v/>
      </c>
      <c r="K59" s="189" t="str">
        <f aca="false" t="array" ref="K59:K59">IF(INDEX(G59:I59,$E$16)="","",INDEX(G59:I59,$E$16)*(1+$E$19)^($C59-$G$19))</f>
        <v/>
      </c>
      <c r="L59" s="141" t="str">
        <f aca="false">IF(OR(J59="",K59="",J59=0),"",K59/J59)</f>
        <v/>
      </c>
      <c r="M59" s="230"/>
      <c r="N59" s="230"/>
      <c r="O59" s="230"/>
      <c r="P59" s="234"/>
      <c r="Q59" s="234"/>
      <c r="R59" s="234"/>
    </row>
    <row r="60" customFormat="false" ht="15" hidden="false" customHeight="false" outlineLevel="0" collapsed="false">
      <c r="C60" s="0" t="n">
        <v>2065</v>
      </c>
      <c r="D60" s="234"/>
      <c r="E60" s="234"/>
      <c r="F60" s="234"/>
      <c r="G60" s="234"/>
      <c r="H60" s="234"/>
      <c r="I60" s="234"/>
      <c r="J60" s="189" t="str">
        <f aca="false" t="array" ref="J60:J60">IF(INDEX(D60:F60,$E$16)="","",INDEX(D60:F60,$E$16)*(1+$E$19)^($C60-$G$19))</f>
        <v/>
      </c>
      <c r="K60" s="189" t="str">
        <f aca="false" t="array" ref="K60:K60">IF(INDEX(G60:I60,$E$16)="","",INDEX(G60:I60,$E$16)*(1+$E$19)^($C60-$G$19))</f>
        <v/>
      </c>
      <c r="L60" s="141" t="str">
        <f aca="false">IF(OR(J60="",K60="",J60=0),"",K60/J60)</f>
        <v/>
      </c>
      <c r="M60" s="230"/>
      <c r="N60" s="230"/>
      <c r="O60" s="230"/>
      <c r="P60" s="234"/>
      <c r="Q60" s="234"/>
      <c r="R60" s="234"/>
    </row>
    <row r="61" customFormat="false" ht="15" hidden="false" customHeight="false" outlineLevel="0" collapsed="false">
      <c r="C61" s="0" t="n">
        <v>2066</v>
      </c>
      <c r="D61" s="234"/>
      <c r="E61" s="234"/>
      <c r="F61" s="234"/>
      <c r="G61" s="234"/>
      <c r="H61" s="234"/>
      <c r="I61" s="234"/>
      <c r="J61" s="189" t="str">
        <f aca="false" t="array" ref="J61:J61">IF(INDEX(D61:F61,$E$16)="","",INDEX(D61:F61,$E$16)*(1+$E$19)^($C61-$G$19))</f>
        <v/>
      </c>
      <c r="K61" s="189" t="str">
        <f aca="false" t="array" ref="K61:K61">IF(INDEX(G61:I61,$E$16)="","",INDEX(G61:I61,$E$16)*(1+$E$19)^($C61-$G$19))</f>
        <v/>
      </c>
      <c r="L61" s="141" t="str">
        <f aca="false">IF(OR(J61="",K61="",J61=0),"",K61/J61)</f>
        <v/>
      </c>
      <c r="M61" s="230"/>
      <c r="N61" s="230"/>
      <c r="O61" s="230"/>
      <c r="P61" s="234"/>
      <c r="Q61" s="234"/>
      <c r="R61" s="234"/>
    </row>
    <row r="62" customFormat="false" ht="15" hidden="false" customHeight="false" outlineLevel="0" collapsed="false">
      <c r="C62" s="0" t="n">
        <v>2067</v>
      </c>
      <c r="D62" s="234"/>
      <c r="E62" s="234"/>
      <c r="F62" s="234"/>
      <c r="G62" s="234"/>
      <c r="H62" s="234"/>
      <c r="I62" s="234"/>
      <c r="J62" s="189" t="str">
        <f aca="false" t="array" ref="J62:J62">IF(INDEX(D62:F62,$E$16)="","",INDEX(D62:F62,$E$16)*(1+$E$19)^($C62-$G$19))</f>
        <v/>
      </c>
      <c r="K62" s="189" t="str">
        <f aca="false" t="array" ref="K62:K62">IF(INDEX(G62:I62,$E$16)="","",INDEX(G62:I62,$E$16)*(1+$E$19)^($C62-$G$19))</f>
        <v/>
      </c>
      <c r="L62" s="141" t="str">
        <f aca="false">IF(OR(J62="",K62="",J62=0),"",K62/J62)</f>
        <v/>
      </c>
      <c r="M62" s="230"/>
      <c r="N62" s="230"/>
      <c r="O62" s="230"/>
      <c r="P62" s="234"/>
      <c r="Q62" s="234"/>
      <c r="R62" s="234"/>
    </row>
    <row r="63" customFormat="false" ht="15" hidden="false" customHeight="false" outlineLevel="0" collapsed="false">
      <c r="C63" s="0" t="n">
        <v>2068</v>
      </c>
      <c r="D63" s="234"/>
      <c r="E63" s="234"/>
      <c r="F63" s="234"/>
      <c r="G63" s="234"/>
      <c r="H63" s="234"/>
      <c r="I63" s="234"/>
      <c r="J63" s="189" t="str">
        <f aca="false" t="array" ref="J63:J63">IF(INDEX(D63:F63,$E$16)="","",INDEX(D63:F63,$E$16)*(1+$E$19)^($C63-$G$19))</f>
        <v/>
      </c>
      <c r="K63" s="189" t="str">
        <f aca="false" t="array" ref="K63:K63">IF(INDEX(G63:I63,$E$16)="","",INDEX(G63:I63,$E$16)*(1+$E$19)^($C63-$G$19))</f>
        <v/>
      </c>
      <c r="L63" s="141" t="str">
        <f aca="false">IF(OR(J63="",K63="",J63=0),"",K63/J63)</f>
        <v/>
      </c>
      <c r="M63" s="230"/>
      <c r="N63" s="230"/>
      <c r="O63" s="230"/>
      <c r="P63" s="234"/>
      <c r="Q63" s="234"/>
      <c r="R63" s="234"/>
    </row>
    <row r="64" customFormat="false" ht="15" hidden="false" customHeight="false" outlineLevel="0" collapsed="false">
      <c r="C64" s="0" t="n">
        <v>2069</v>
      </c>
      <c r="D64" s="234"/>
      <c r="E64" s="234"/>
      <c r="F64" s="234"/>
      <c r="G64" s="234"/>
      <c r="H64" s="234"/>
      <c r="I64" s="234"/>
      <c r="J64" s="189" t="str">
        <f aca="false" t="array" ref="J64:J64">IF(INDEX(D64:F64,$E$16)="","",INDEX(D64:F64,$E$16)*(1+$E$19)^($C64-$G$19))</f>
        <v/>
      </c>
      <c r="K64" s="189" t="str">
        <f aca="false" t="array" ref="K64:K64">IF(INDEX(G64:I64,$E$16)="","",INDEX(G64:I64,$E$16)*(1+$E$19)^($C64-$G$19))</f>
        <v/>
      </c>
      <c r="L64" s="141" t="str">
        <f aca="false">IF(OR(J64="",K64="",J64=0),"",K64/J64)</f>
        <v/>
      </c>
      <c r="M64" s="230"/>
      <c r="N64" s="230"/>
      <c r="O64" s="230"/>
      <c r="P64" s="234"/>
      <c r="Q64" s="234"/>
      <c r="R64" s="234"/>
    </row>
    <row r="65" customFormat="false" ht="15" hidden="false" customHeight="false" outlineLevel="0" collapsed="false">
      <c r="C65" s="0" t="n">
        <v>2070</v>
      </c>
      <c r="D65" s="234"/>
      <c r="E65" s="234"/>
      <c r="F65" s="234"/>
      <c r="G65" s="234"/>
      <c r="H65" s="234"/>
      <c r="I65" s="234"/>
      <c r="J65" s="189" t="str">
        <f aca="false" t="array" ref="J65:J65">IF(INDEX(D65:F65,$E$16)="","",INDEX(D65:F65,$E$16)*(1+$E$19)^($C65-$G$19))</f>
        <v/>
      </c>
      <c r="K65" s="189" t="str">
        <f aca="false" t="array" ref="K65:K65">IF(INDEX(G65:I65,$E$16)="","",INDEX(G65:I65,$E$16)*(1+$E$19)^($C65-$G$19))</f>
        <v/>
      </c>
      <c r="L65" s="141" t="str">
        <f aca="false">IF(OR(J65="",K65="",J65=0),"",K65/J65)</f>
        <v/>
      </c>
      <c r="M65" s="230"/>
      <c r="N65" s="230"/>
      <c r="O65" s="230"/>
      <c r="P65" s="234"/>
      <c r="Q65" s="234"/>
      <c r="R65" s="234"/>
    </row>
    <row r="66" customFormat="false" ht="15" hidden="false" customHeight="false" outlineLevel="0" collapsed="false">
      <c r="C66" s="0" t="n">
        <v>2071</v>
      </c>
      <c r="D66" s="234"/>
      <c r="E66" s="234"/>
      <c r="F66" s="234"/>
      <c r="G66" s="234"/>
      <c r="H66" s="234"/>
      <c r="I66" s="234"/>
      <c r="J66" s="189" t="str">
        <f aca="false" t="array" ref="J66:J66">IF(INDEX(D66:F66,$E$16)="","",INDEX(D66:F66,$E$16)*(1+$E$19)^($C66-$G$19))</f>
        <v/>
      </c>
      <c r="K66" s="189" t="str">
        <f aca="false" t="array" ref="K66:K66">IF(INDEX(G66:I66,$E$16)="","",INDEX(G66:I66,$E$16)*(1+$E$19)^($C66-$G$19))</f>
        <v/>
      </c>
      <c r="L66" s="141" t="str">
        <f aca="false">IF(OR(J66="",K66="",J66=0),"",K66/J66)</f>
        <v/>
      </c>
      <c r="M66" s="230"/>
      <c r="N66" s="230"/>
      <c r="O66" s="230"/>
      <c r="P66" s="234"/>
      <c r="Q66" s="234"/>
      <c r="R66" s="234"/>
    </row>
    <row r="68" customFormat="false" ht="15" hidden="false" customHeight="false" outlineLevel="0" collapsed="false">
      <c r="C68" s="136" t="s">
        <v>960</v>
      </c>
      <c r="D68" s="222"/>
      <c r="E68" s="222"/>
      <c r="F68" s="222"/>
      <c r="G68" s="222"/>
      <c r="H68" s="222"/>
      <c r="I68" s="222"/>
      <c r="J68" s="222"/>
      <c r="K68" s="222"/>
      <c r="L68" s="222"/>
      <c r="M68" s="222"/>
    </row>
    <row r="69" customFormat="false" ht="15" hidden="false" customHeight="false" outlineLevel="0" collapsed="false">
      <c r="C69" s="0" t="s">
        <v>961</v>
      </c>
      <c r="D69" s="0" t="s">
        <v>5</v>
      </c>
      <c r="E69" s="0" t="n">
        <f aca="false">YEAR(Inputs!E101)+1</f>
        <v>2031</v>
      </c>
    </row>
    <row r="70" customFormat="false" ht="15" hidden="false" customHeight="false" outlineLevel="0" collapsed="false">
      <c r="C70" s="0" t="s">
        <v>962</v>
      </c>
      <c r="D70" s="0" t="s">
        <v>253</v>
      </c>
      <c r="E70" s="189" t="n">
        <f aca="false">IFERROR(IF(INDEX($J$22:$J$66,MATCH(E69,$C$22:$C$66,0))="","",INDEX($J$22:$J$66,MATCH(E69,$C$22:$C$66,0))),"")</f>
        <v>110.938259921697</v>
      </c>
    </row>
    <row r="71" customFormat="false" ht="15" hidden="false" customHeight="false" outlineLevel="0" collapsed="false">
      <c r="C71" s="0" t="s">
        <v>963</v>
      </c>
      <c r="D71" s="0" t="s">
        <v>253</v>
      </c>
      <c r="E71" s="189" t="n">
        <f aca="false">IFERROR(IF(INDEX($K$22:$K$66,MATCH(E69,$C$22:$C$66,0))="","",INDEX($K$22:$K$66,MATCH(E69,$C$22:$C$66,0))),"")</f>
        <v>115.735711827761</v>
      </c>
    </row>
    <row r="72" customFormat="false" ht="15" hidden="false" customHeight="false" outlineLevel="0" collapsed="false">
      <c r="C72" s="0" t="s">
        <v>964</v>
      </c>
      <c r="D72" s="0" t="s">
        <v>51</v>
      </c>
      <c r="E72" s="141" t="n">
        <f aca="false">IF(COUNT($L$22:$L$66)=0,"",AVERAGE($L$22:$L$66))</f>
        <v>1.02470192788603</v>
      </c>
    </row>
    <row r="73" customFormat="false" ht="15" hidden="false" customHeight="false" outlineLevel="0" collapsed="false">
      <c r="C73" s="0" t="s">
        <v>965</v>
      </c>
      <c r="D73" s="0" t="s">
        <v>486</v>
      </c>
      <c r="E73" s="141" t="n">
        <f aca="false" t="array" ref="E73:E73">IF(COUNT($J$22:$J$66)&lt;2,"",(LOOKUP(9.99E+307,$J$22:$J$66)/INDEX($J$22:$J$66,MATCH(TRUE(),INDEX($J$22:$J$66&lt;&gt;"",0),0)))^(1/(COUNT($J$22:$J$66)-1))-1)</f>
        <v>0.0122252300733212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Y35"/>
  <sheetViews>
    <sheetView showFormulas="false" showGridLines="false" showRowColHeaders="true" showZeros="true" rightToLeft="false" tabSelected="false" showOutlineSymbols="true" defaultGridColor="true" view="normal" topLeftCell="D1" colorId="64" zoomScale="100" zoomScaleNormal="100" zoomScalePageLayoutView="100" workbookViewId="0">
      <selection pane="topLeft" activeCell="F18" activeCellId="0" sqref="F18"/>
    </sheetView>
  </sheetViews>
  <sheetFormatPr defaultColWidth="8.5703125" defaultRowHeight="15" zeroHeight="false" outlineLevelRow="0" outlineLevelCol="0"/>
  <cols>
    <col collapsed="false" customWidth="true" hidden="false" outlineLevel="0" max="2" min="1" style="0" width="2.57"/>
    <col collapsed="false" customWidth="true" hidden="false" outlineLevel="0" max="3" min="3" style="0" width="57.14"/>
    <col collapsed="false" customWidth="true" hidden="false" outlineLevel="0" max="4" min="4" style="0" width="41.86"/>
    <col collapsed="false" customWidth="true" hidden="false" outlineLevel="0" max="5" min="5" style="0" width="28.57"/>
    <col collapsed="false" customWidth="true" hidden="false" outlineLevel="0" max="6" min="6" style="0" width="19.42"/>
    <col collapsed="false" customWidth="true" hidden="false" outlineLevel="0" max="20" min="7" style="0" width="18.14"/>
    <col collapsed="false" customWidth="true" hidden="false" outlineLevel="0" max="23" min="23" style="0" width="28.57"/>
    <col collapsed="false" customWidth="true" hidden="false" outlineLevel="0" max="25" min="24" style="0" width="18.14"/>
  </cols>
  <sheetData>
    <row r="1" customFormat="false" ht="18.75" hidden="false" customHeight="true" outlineLevel="0" collapsed="false">
      <c r="A1" s="129" t="s">
        <v>915</v>
      </c>
    </row>
    <row r="2" customFormat="false" ht="15" hidden="false" customHeight="false" outlineLevel="0" collapsed="false">
      <c r="A2" s="130" t="s">
        <v>966</v>
      </c>
    </row>
    <row r="3" customFormat="false" ht="15" hidden="false" customHeight="false" outlineLevel="0" collapsed="false">
      <c r="A3" s="130" t="s">
        <v>967</v>
      </c>
    </row>
    <row r="5" customFormat="false" ht="45" hidden="false" customHeight="true" outlineLevel="0" collapsed="false">
      <c r="C5" s="232" t="s">
        <v>968</v>
      </c>
      <c r="D5" s="232" t="s">
        <v>969</v>
      </c>
      <c r="E5" s="232" t="s">
        <v>970</v>
      </c>
      <c r="F5" s="232" t="s">
        <v>971</v>
      </c>
      <c r="G5" s="232" t="s">
        <v>972</v>
      </c>
      <c r="H5" s="232" t="s">
        <v>973</v>
      </c>
      <c r="I5" s="232" t="s">
        <v>974</v>
      </c>
      <c r="J5" s="232" t="s">
        <v>975</v>
      </c>
      <c r="K5" s="232" t="s">
        <v>976</v>
      </c>
      <c r="L5" s="232" t="s">
        <v>977</v>
      </c>
      <c r="M5" s="232" t="s">
        <v>975</v>
      </c>
      <c r="N5" s="232" t="s">
        <v>978</v>
      </c>
      <c r="O5" s="232" t="s">
        <v>979</v>
      </c>
      <c r="P5" s="232" t="s">
        <v>980</v>
      </c>
      <c r="Q5" s="232" t="s">
        <v>981</v>
      </c>
      <c r="R5" s="232" t="s">
        <v>982</v>
      </c>
      <c r="S5" s="232" t="s">
        <v>983</v>
      </c>
      <c r="T5" s="232" t="s">
        <v>984</v>
      </c>
      <c r="U5" s="232" t="s">
        <v>985</v>
      </c>
      <c r="W5" s="232" t="s">
        <v>986</v>
      </c>
      <c r="X5" s="232" t="s">
        <v>987</v>
      </c>
      <c r="Y5" s="232" t="s">
        <v>988</v>
      </c>
    </row>
    <row r="6" customFormat="false" ht="15" hidden="false" customHeight="false" outlineLevel="0" collapsed="false">
      <c r="C6" s="233"/>
      <c r="D6" s="233"/>
      <c r="E6" s="233"/>
      <c r="F6" s="233" t="s">
        <v>989</v>
      </c>
      <c r="G6" s="233" t="s">
        <v>84</v>
      </c>
      <c r="H6" s="233" t="s">
        <v>169</v>
      </c>
      <c r="I6" s="233" t="s">
        <v>169</v>
      </c>
      <c r="J6" s="233" t="s">
        <v>169</v>
      </c>
      <c r="K6" s="233" t="s">
        <v>269</v>
      </c>
      <c r="L6" s="233" t="s">
        <v>29</v>
      </c>
      <c r="M6" s="233" t="s">
        <v>125</v>
      </c>
      <c r="N6" s="233" t="s">
        <v>990</v>
      </c>
      <c r="O6" s="233" t="s">
        <v>125</v>
      </c>
      <c r="P6" s="233" t="s">
        <v>421</v>
      </c>
      <c r="Q6" s="233" t="s">
        <v>51</v>
      </c>
      <c r="R6" s="233"/>
      <c r="S6" s="233" t="s">
        <v>169</v>
      </c>
      <c r="T6" s="233" t="s">
        <v>169</v>
      </c>
      <c r="U6" s="233" t="s">
        <v>51</v>
      </c>
      <c r="W6" s="233" t="s">
        <v>51</v>
      </c>
      <c r="X6" s="233" t="s">
        <v>7</v>
      </c>
      <c r="Y6" s="233" t="s">
        <v>125</v>
      </c>
    </row>
    <row r="7" customFormat="false" ht="15" hidden="false" customHeight="false" outlineLevel="0" collapsed="false">
      <c r="C7" s="235" t="s">
        <v>585</v>
      </c>
      <c r="D7" s="235" t="s">
        <v>168</v>
      </c>
      <c r="E7" s="235" t="s">
        <v>991</v>
      </c>
      <c r="F7" s="236" t="n">
        <f aca="false">Inputs!$E$81</f>
        <v>3</v>
      </c>
      <c r="G7" s="210" t="n">
        <f aca="false">In_Bids</f>
        <v>1</v>
      </c>
      <c r="H7" s="237" t="n">
        <f aca="false">F7*G7</f>
        <v>3</v>
      </c>
      <c r="I7" s="237" t="n">
        <v>0</v>
      </c>
      <c r="J7" s="237" t="n">
        <f aca="false">H7+I7</f>
        <v>3</v>
      </c>
      <c r="K7" s="238" t="n">
        <f aca="false">Inputs!$E$95</f>
        <v>46325</v>
      </c>
      <c r="L7" s="168" t="n">
        <f aca="false">IF(K7="","",(YEAR(K7)-YEAR(Inputs!$E$27))*12+MONTH(K7)-MONTH(Inputs!$E$27))</f>
        <v>3</v>
      </c>
      <c r="M7" s="237" t="n">
        <f aca="false">J7*1000/Inputs!$E$11</f>
        <v>8.21917808219178</v>
      </c>
      <c r="N7" s="168" t="n">
        <f aca="false">IF(L7="",0,IF(L7&gt;Inputs!$E$57,1,0))</f>
        <v>0</v>
      </c>
      <c r="O7" s="237" t="n">
        <f aca="false">M7*IF(N7=1,Inputs!$E$109,1)</f>
        <v>8.21917808219178</v>
      </c>
      <c r="P7" s="239" t="n">
        <f aca="false">Inputs!$E$117</f>
        <v>1</v>
      </c>
      <c r="Q7" s="240" t="n">
        <f aca="false">Inputs!$E$129</f>
        <v>0</v>
      </c>
      <c r="R7" s="241" t="s">
        <v>992</v>
      </c>
      <c r="S7" s="242" t="n">
        <v>0</v>
      </c>
      <c r="T7" s="158" t="n">
        <v>0</v>
      </c>
      <c r="U7" s="240" t="n">
        <f aca="false">Inputs!$E$258</f>
        <v>0</v>
      </c>
      <c r="W7" s="141" t="n">
        <f aca="false">IF(P7=1,Inputs!$E$61,Inputs!$E$65)</f>
        <v>0.12</v>
      </c>
      <c r="X7" s="217" t="n">
        <f aca="false">IF(K7&gt;Inputs!$E$64,1,(1+W7*(DATE(YEAR(K7),12,31)-K7+1)/365)*(1+W7)^(YEAR(Inputs!$E$64)-YEAR(K7)-1)*(1+W7*(Inputs!$E$64-DATE(YEAR(Inputs!$E$64),1,1)+1)/365))</f>
        <v>1.35657301688182</v>
      </c>
      <c r="Y7" s="158" t="n">
        <f aca="false">O7*(X7-1)</f>
        <v>2.93073712505603</v>
      </c>
    </row>
    <row r="8" customFormat="false" ht="15" hidden="false" customHeight="false" outlineLevel="0" collapsed="false">
      <c r="C8" s="235" t="s">
        <v>587</v>
      </c>
      <c r="D8" s="235" t="s">
        <v>993</v>
      </c>
      <c r="E8" s="235" t="s">
        <v>994</v>
      </c>
      <c r="F8" s="243" t="n">
        <f aca="false">Inputs!$E$76</f>
        <v>0.005</v>
      </c>
      <c r="G8" s="210" t="n">
        <f aca="false">Inputs!$E$91</f>
        <v>85306</v>
      </c>
      <c r="H8" s="237" t="n">
        <f aca="false">F8*G8</f>
        <v>426.53</v>
      </c>
      <c r="I8" s="237" t="n">
        <v>0</v>
      </c>
      <c r="J8" s="237" t="n">
        <f aca="false">H8+I8</f>
        <v>426.53</v>
      </c>
      <c r="K8" s="238" t="n">
        <f aca="false">Inputs!$E$95</f>
        <v>46325</v>
      </c>
      <c r="L8" s="168" t="n">
        <f aca="false">IF(K8="","",(YEAR(K8)-YEAR(Inputs!$E$27))*12+MONTH(K8)-MONTH(Inputs!$E$27))</f>
        <v>3</v>
      </c>
      <c r="M8" s="237" t="n">
        <f aca="false">J8*1000/Inputs!$E$11</f>
        <v>1168.57534246575</v>
      </c>
      <c r="N8" s="168" t="n">
        <f aca="false">IF(L8="",0,IF(L8&gt;Inputs!$E$57,1,0))</f>
        <v>0</v>
      </c>
      <c r="O8" s="237" t="n">
        <f aca="false">M8*IF(N8=1,Inputs!$E$109,1)</f>
        <v>1168.57534246575</v>
      </c>
      <c r="P8" s="239" t="n">
        <f aca="false">Inputs!$E$118</f>
        <v>0</v>
      </c>
      <c r="Q8" s="240" t="n">
        <f aca="false">Inputs!$E$130</f>
        <v>1</v>
      </c>
      <c r="R8" s="241" t="s">
        <v>995</v>
      </c>
      <c r="S8" s="158" t="n">
        <f aca="false">J8</f>
        <v>426.53</v>
      </c>
      <c r="T8" s="158" t="n">
        <f aca="false">J8</f>
        <v>426.53</v>
      </c>
      <c r="U8" s="240" t="n">
        <f aca="false">Inputs!$E$259</f>
        <v>0</v>
      </c>
      <c r="W8" s="141" t="n">
        <f aca="false">IF(P8=1,Inputs!$E$61,Inputs!$E$65)</f>
        <v>0.06</v>
      </c>
      <c r="X8" s="217" t="n">
        <f aca="false">IF(K8&gt;Inputs!$E$64,1,(1+W8*(DATE(YEAR(K8),12,31)-K8+1)/365)*(1+W8)^(YEAR(Inputs!$E$64)-YEAR(K8)-1)*(1+W8*(Inputs!$E$64-DATE(YEAR(Inputs!$E$64),1,1)+1)/365))</f>
        <v>1.16901335063899</v>
      </c>
      <c r="Y8" s="158" t="n">
        <f aca="false">O8*(X8-1)</f>
        <v>197.504834104247</v>
      </c>
    </row>
    <row r="9" customFormat="false" ht="15" hidden="false" customHeight="false" outlineLevel="0" collapsed="false">
      <c r="C9" s="235" t="s">
        <v>996</v>
      </c>
      <c r="D9" s="235" t="s">
        <v>997</v>
      </c>
      <c r="E9" s="235" t="s">
        <v>998</v>
      </c>
      <c r="F9" s="243" t="n">
        <f aca="false">F8</f>
        <v>0.005</v>
      </c>
      <c r="G9" s="210" t="n">
        <f aca="false">Inputs!$E$19*Inputs!$E$75</f>
        <v>0</v>
      </c>
      <c r="H9" s="237" t="n">
        <f aca="false">-F9*G9*Inputs!$E$110</f>
        <v>-0</v>
      </c>
      <c r="I9" s="237" t="n">
        <v>0</v>
      </c>
      <c r="J9" s="237" t="n">
        <f aca="false">H9+I9</f>
        <v>0</v>
      </c>
      <c r="K9" s="244" t="n">
        <f aca="false">Inputs!$E$96</f>
        <v>46369</v>
      </c>
      <c r="L9" s="168" t="n">
        <f aca="false">IF(K9="","",(YEAR(K9)-YEAR(Inputs!$E$27))*12+MONTH(K9)-MONTH(Inputs!$E$27))</f>
        <v>5</v>
      </c>
      <c r="M9" s="237" t="n">
        <f aca="false">J9*1000/Inputs!$E$11</f>
        <v>0</v>
      </c>
      <c r="N9" s="168" t="n">
        <f aca="false">IF(L9="",0,IF(L9&gt;Inputs!$E$57,1,0))</f>
        <v>0</v>
      </c>
      <c r="O9" s="237" t="n">
        <f aca="false">M9*IF(N9=1,Inputs!$E$109,1)</f>
        <v>0</v>
      </c>
      <c r="P9" s="239" t="n">
        <f aca="false">P8</f>
        <v>0</v>
      </c>
      <c r="Q9" s="240" t="n">
        <f aca="false">Q8</f>
        <v>1</v>
      </c>
      <c r="R9" s="241" t="s">
        <v>999</v>
      </c>
      <c r="S9" s="158" t="n">
        <f aca="false">J9</f>
        <v>0</v>
      </c>
      <c r="T9" s="158" t="n">
        <f aca="false">J9</f>
        <v>0</v>
      </c>
      <c r="U9" s="240" t="n">
        <f aca="false">U8</f>
        <v>0</v>
      </c>
      <c r="W9" s="141" t="n">
        <f aca="false">IF(P9=1,Inputs!$E$61,Inputs!$E$65)</f>
        <v>0.06</v>
      </c>
      <c r="X9" s="217" t="n">
        <f aca="false">IF(K9&gt;Inputs!$E$64,1,(1+W9*(DATE(YEAR(K9),12,31)-K9+1)/365)*(1+W9)^(YEAR(Inputs!$E$64)-YEAR(K9)-1)*(1+W9*(Inputs!$E$64-DATE(YEAR(Inputs!$E$64),1,1)+1)/365))</f>
        <v>1.16064468844016</v>
      </c>
      <c r="Y9" s="158" t="n">
        <f aca="false">O9*(X9-1)</f>
        <v>0</v>
      </c>
    </row>
    <row r="10" customFormat="false" ht="15" hidden="false" customHeight="false" outlineLevel="0" collapsed="false">
      <c r="C10" s="235" t="s">
        <v>588</v>
      </c>
      <c r="D10" s="235" t="s">
        <v>1000</v>
      </c>
      <c r="E10" s="235" t="s">
        <v>1001</v>
      </c>
      <c r="F10" s="243" t="n">
        <f aca="false">Inputs!$E$77*Inputs!$E$90</f>
        <v>0.025</v>
      </c>
      <c r="G10" s="210" t="n">
        <f aca="false">Inputs!$E$92</f>
        <v>85306</v>
      </c>
      <c r="H10" s="237" t="n">
        <f aca="false">F10*G10</f>
        <v>2132.65</v>
      </c>
      <c r="I10" s="237" t="n">
        <f aca="false">-$H$8*Inputs!$E$107</f>
        <v>-426.53</v>
      </c>
      <c r="J10" s="237" t="n">
        <f aca="false">H10+I10</f>
        <v>1706.12</v>
      </c>
      <c r="K10" s="244" t="n">
        <f aca="false">Inputs!$E$96+Inputs!$E$102</f>
        <v>46386</v>
      </c>
      <c r="L10" s="168" t="n">
        <f aca="false">IF(K10="","",(YEAR(K10)-YEAR(Inputs!$E$27))*12+MONTH(K10)-MONTH(Inputs!$E$27))</f>
        <v>5</v>
      </c>
      <c r="M10" s="237" t="n">
        <f aca="false">J10*1000/Inputs!$E$11</f>
        <v>4674.30136986302</v>
      </c>
      <c r="N10" s="168" t="n">
        <f aca="false">IF(L10="",0,IF(L10&gt;Inputs!$E$57,1,0))</f>
        <v>0</v>
      </c>
      <c r="O10" s="237" t="n">
        <f aca="false">M10*IF(N10=1,Inputs!$E$109,1)</f>
        <v>4674.30136986302</v>
      </c>
      <c r="P10" s="239" t="n">
        <f aca="false">Inputs!$E$119</f>
        <v>0</v>
      </c>
      <c r="Q10" s="240" t="n">
        <f aca="false">Inputs!$E$131</f>
        <v>1</v>
      </c>
      <c r="R10" s="241" t="s">
        <v>995</v>
      </c>
      <c r="S10" s="158" t="n">
        <f aca="false">J10+J8</f>
        <v>2132.65</v>
      </c>
      <c r="T10" s="158" t="n">
        <f aca="false">J10</f>
        <v>1706.12</v>
      </c>
      <c r="U10" s="240" t="n">
        <f aca="false">Inputs!$E$260</f>
        <v>0</v>
      </c>
      <c r="W10" s="141" t="n">
        <f aca="false">IF(P10=1,Inputs!$E$61,Inputs!$E$65)</f>
        <v>0.06</v>
      </c>
      <c r="X10" s="217" t="n">
        <f aca="false">IF(K10&gt;Inputs!$E$64,1,(1+W10*(DATE(YEAR(K10),12,31)-K10+1)/365)*(1+W10)^(YEAR(Inputs!$E$64)-YEAR(K10)-1)*(1+W10*(Inputs!$E$64-DATE(YEAR(Inputs!$E$64),1,1)+1)/365))</f>
        <v>1.15741134168152</v>
      </c>
      <c r="Y10" s="158" t="n">
        <f aca="false">O10*(X10-1)</f>
        <v>735.788050053887</v>
      </c>
    </row>
    <row r="11" customFormat="false" ht="15" hidden="false" customHeight="false" outlineLevel="0" collapsed="false">
      <c r="C11" s="235" t="s">
        <v>589</v>
      </c>
      <c r="D11" s="235" t="s">
        <v>1002</v>
      </c>
      <c r="E11" s="235" t="s">
        <v>1003</v>
      </c>
      <c r="F11" s="236" t="n">
        <f aca="false">Inputs!$E$83</f>
        <v>4.5</v>
      </c>
      <c r="G11" s="210" t="n">
        <f aca="false">Dash_MVA*Inputs!$E$17</f>
        <v>100</v>
      </c>
      <c r="H11" s="237" t="n">
        <f aca="false">F11*G11</f>
        <v>450</v>
      </c>
      <c r="I11" s="237" t="n">
        <v>0</v>
      </c>
      <c r="J11" s="237" t="n">
        <f aca="false">H11+I11</f>
        <v>450</v>
      </c>
      <c r="K11" s="244" t="n">
        <f aca="false">Inputs!$E$97</f>
        <v>46386</v>
      </c>
      <c r="L11" s="168" t="n">
        <f aca="false">IF(K11="","",(YEAR(K11)-YEAR(Inputs!$E$27))*12+MONTH(K11)-MONTH(Inputs!$E$27))</f>
        <v>5</v>
      </c>
      <c r="M11" s="237" t="n">
        <f aca="false">J11*1000/Inputs!$E$11</f>
        <v>1232.87671232877</v>
      </c>
      <c r="N11" s="168" t="n">
        <f aca="false">IF(L11="",0,IF(L11&gt;Inputs!$E$57,1,0))</f>
        <v>0</v>
      </c>
      <c r="O11" s="237" t="n">
        <f aca="false">M11*IF(N11=1,Inputs!$E$109,1)</f>
        <v>1232.87671232877</v>
      </c>
      <c r="P11" s="239" t="n">
        <f aca="false">Inputs!$E$120</f>
        <v>1</v>
      </c>
      <c r="Q11" s="240" t="n">
        <f aca="false">Inputs!$E$132</f>
        <v>1</v>
      </c>
      <c r="R11" s="241" t="s">
        <v>995</v>
      </c>
      <c r="S11" s="158" t="n">
        <f aca="false">J11</f>
        <v>450</v>
      </c>
      <c r="T11" s="158" t="n">
        <f aca="false">J11</f>
        <v>450</v>
      </c>
      <c r="U11" s="240" t="n">
        <f aca="false">Inputs!$E$261</f>
        <v>1</v>
      </c>
      <c r="W11" s="141" t="n">
        <f aca="false">IF(P11=1,Inputs!$E$61,Inputs!$E$65)</f>
        <v>0.12</v>
      </c>
      <c r="X11" s="217" t="n">
        <f aca="false">IF(K11&gt;Inputs!$E$64,1,(1+W11*(DATE(YEAR(K11),12,31)-K11+1)/365)*(1+W11)^(YEAR(Inputs!$E$64)-YEAR(K11)-1)*(1+W11*(Inputs!$E$64-DATE(YEAR(Inputs!$E$64),1,1)+1)/365))</f>
        <v>1.32991928464117</v>
      </c>
      <c r="Y11" s="158" t="n">
        <f aca="false">O11*(X11-1)</f>
        <v>406.749802982266</v>
      </c>
    </row>
    <row r="12" customFormat="false" ht="15" hidden="false" customHeight="false" outlineLevel="0" collapsed="false">
      <c r="C12" s="235" t="s">
        <v>590</v>
      </c>
      <c r="D12" s="235" t="s">
        <v>1004</v>
      </c>
      <c r="E12" s="235" t="s">
        <v>1005</v>
      </c>
      <c r="F12" s="236" t="n">
        <f aca="false">Inputs!$E$84</f>
        <v>2.54172902</v>
      </c>
      <c r="G12" s="210" t="n">
        <f aca="false">Dash_MVA*Inputs!$E$17</f>
        <v>100</v>
      </c>
      <c r="H12" s="237" t="n">
        <f aca="false">F12*G12</f>
        <v>254.172902</v>
      </c>
      <c r="I12" s="237" t="n">
        <v>0</v>
      </c>
      <c r="J12" s="237" t="n">
        <f aca="false">H12+I12</f>
        <v>254.172902</v>
      </c>
      <c r="K12" s="244" t="n">
        <f aca="false">Inputs!$E$99</f>
        <v>47126</v>
      </c>
      <c r="L12" s="168" t="n">
        <f aca="false">IF(K12="","",(YEAR(K12)-YEAR(Inputs!$E$27))*12+MONTH(K12)-MONTH(Inputs!$E$27))</f>
        <v>30</v>
      </c>
      <c r="M12" s="237" t="n">
        <f aca="false">J12*1000/Inputs!$E$11</f>
        <v>696.364115068493</v>
      </c>
      <c r="N12" s="168" t="n">
        <f aca="false">IF(L12="",0,IF(L12&gt;Inputs!$E$57,1,0))</f>
        <v>0</v>
      </c>
      <c r="O12" s="237" t="n">
        <f aca="false">M12*IF(N12=1,Inputs!$E$109,1)</f>
        <v>696.364115068493</v>
      </c>
      <c r="P12" s="239" t="n">
        <f aca="false">Inputs!$E$121</f>
        <v>1</v>
      </c>
      <c r="Q12" s="240" t="n">
        <f aca="false">Inputs!$E$133</f>
        <v>1</v>
      </c>
      <c r="R12" s="241" t="s">
        <v>1006</v>
      </c>
      <c r="S12" s="158" t="n">
        <f aca="false">J12</f>
        <v>254.172902</v>
      </c>
      <c r="T12" s="158" t="n">
        <f aca="false">J12</f>
        <v>254.172902</v>
      </c>
      <c r="U12" s="240" t="n">
        <f aca="false">Inputs!$E$262</f>
        <v>1</v>
      </c>
      <c r="W12" s="141" t="n">
        <f aca="false">IF(P12=1,Inputs!$E$61,Inputs!$E$65)</f>
        <v>0.12</v>
      </c>
      <c r="X12" s="217" t="n">
        <f aca="false">IF(K12&gt;Inputs!$E$64,1,(1+W12*(DATE(YEAR(K12),12,31)-K12+1)/365)*(1+W12)^(YEAR(Inputs!$E$64)-YEAR(K12)-1)*(1+W12*(Inputs!$E$64-DATE(YEAR(Inputs!$E$64),1,1)+1)/365))</f>
        <v>1.05732978044661</v>
      </c>
      <c r="Y12" s="158" t="n">
        <f aca="false">O12*(X12-1)</f>
        <v>39.9224018277764</v>
      </c>
    </row>
    <row r="13" customFormat="false" ht="15" hidden="false" customHeight="false" outlineLevel="0" collapsed="false">
      <c r="C13" s="235" t="s">
        <v>591</v>
      </c>
      <c r="D13" s="235" t="s">
        <v>1007</v>
      </c>
      <c r="E13" s="235" t="s">
        <v>1003</v>
      </c>
      <c r="F13" s="236" t="n">
        <f aca="false">Inputs!$E$75*Inputs!$E$78*Inputs!$E$79</f>
        <v>0</v>
      </c>
      <c r="G13" s="210" t="n">
        <f aca="false">Inputs!$E$18</f>
        <v>151</v>
      </c>
      <c r="H13" s="237" t="n">
        <f aca="false">F13*G13</f>
        <v>0</v>
      </c>
      <c r="I13" s="237" t="n">
        <f aca="false">-H13*Inputs!$E$108*(K13&gt;Inputs!$E$100)</f>
        <v>-0</v>
      </c>
      <c r="J13" s="237" t="n">
        <f aca="false">H13+I13</f>
        <v>0</v>
      </c>
      <c r="K13" s="244" t="n">
        <f aca="false">Inputs!$E$104</f>
        <v>46500</v>
      </c>
      <c r="L13" s="168" t="n">
        <f aca="false">IF(K13="","",(YEAR(K13)-YEAR(Inputs!$E$27))*12+MONTH(K13)-MONTH(Inputs!$E$27))</f>
        <v>9</v>
      </c>
      <c r="M13" s="237" t="n">
        <f aca="false">J13*1000/Inputs!$E$11</f>
        <v>0</v>
      </c>
      <c r="N13" s="168" t="n">
        <f aca="false">IF(L13="",0,IF(L13&gt;Inputs!$E$57,1,0))</f>
        <v>0</v>
      </c>
      <c r="O13" s="237" t="n">
        <f aca="false">M13*IF(N13=1,Inputs!$E$109,1)</f>
        <v>0</v>
      </c>
      <c r="P13" s="239" t="n">
        <f aca="false">Inputs!$E$122</f>
        <v>0</v>
      </c>
      <c r="Q13" s="240" t="n">
        <f aca="false">Inputs!$E$134</f>
        <v>1</v>
      </c>
      <c r="R13" s="241" t="s">
        <v>995</v>
      </c>
      <c r="S13" s="158" t="n">
        <f aca="false">J13</f>
        <v>0</v>
      </c>
      <c r="T13" s="158" t="n">
        <f aca="false">J13</f>
        <v>0</v>
      </c>
      <c r="U13" s="240" t="n">
        <f aca="false">Inputs!$E$263</f>
        <v>1</v>
      </c>
      <c r="W13" s="141" t="n">
        <f aca="false">IF(P13=1,Inputs!$E$61,Inputs!$E$65)</f>
        <v>0.06</v>
      </c>
      <c r="X13" s="217" t="n">
        <f aca="false">IF(K13&gt;Inputs!$E$64,1,(1+W13*(DATE(YEAR(K13),12,31)-K13+1)/365)*(1+W13)^(YEAR(Inputs!$E$64)-YEAR(K13)-1)*(1+W13*(Inputs!$E$64-DATE(YEAR(Inputs!$E$64),1,1)+1)/365))</f>
        <v>1.13693467508351</v>
      </c>
      <c r="Y13" s="158" t="n">
        <f aca="false">O13*(X13-1)</f>
        <v>0</v>
      </c>
    </row>
    <row r="14" customFormat="false" ht="15" hidden="false" customHeight="false" outlineLevel="0" collapsed="false">
      <c r="C14" s="235" t="s">
        <v>592</v>
      </c>
      <c r="D14" s="235" t="s">
        <v>1008</v>
      </c>
      <c r="E14" s="235" t="s">
        <v>1003</v>
      </c>
      <c r="F14" s="236" t="n">
        <f aca="false">Inputs!$E$75*Inputs!$E$78*Inputs!$E$80</f>
        <v>0</v>
      </c>
      <c r="G14" s="210" t="n">
        <f aca="false">Inputs!$E$18</f>
        <v>151</v>
      </c>
      <c r="H14" s="237" t="n">
        <f aca="false">F14*G14</f>
        <v>0</v>
      </c>
      <c r="I14" s="237" t="n">
        <f aca="false">-H14*Inputs!$E$108*(K14&gt;Inputs!$E$100)</f>
        <v>-0</v>
      </c>
      <c r="J14" s="237" t="n">
        <f aca="false">H14+I14</f>
        <v>0</v>
      </c>
      <c r="K14" s="244" t="n">
        <f aca="false">EDATE(Inputs!$E$104,12)</f>
        <v>46866</v>
      </c>
      <c r="L14" s="168" t="n">
        <f aca="false">IF(K14="","",(YEAR(K14)-YEAR(Inputs!$E$27))*12+MONTH(K14)-MONTH(Inputs!$E$27))</f>
        <v>21</v>
      </c>
      <c r="M14" s="237" t="n">
        <f aca="false">J14*1000/Inputs!$E$11</f>
        <v>0</v>
      </c>
      <c r="N14" s="168" t="n">
        <f aca="false">IF(L14="",0,IF(L14&gt;Inputs!$E$57,1,0))</f>
        <v>0</v>
      </c>
      <c r="O14" s="237" t="n">
        <f aca="false">M14*IF(N14=1,Inputs!$E$109,1)</f>
        <v>0</v>
      </c>
      <c r="P14" s="239" t="n">
        <f aca="false">Inputs!$E$123</f>
        <v>0</v>
      </c>
      <c r="Q14" s="240" t="n">
        <f aca="false">Inputs!$E$135</f>
        <v>1</v>
      </c>
      <c r="R14" s="241" t="s">
        <v>995</v>
      </c>
      <c r="S14" s="158" t="n">
        <f aca="false">J14</f>
        <v>0</v>
      </c>
      <c r="T14" s="158" t="n">
        <f aca="false">J14</f>
        <v>0</v>
      </c>
      <c r="U14" s="240" t="n">
        <f aca="false">Inputs!$E$264</f>
        <v>1</v>
      </c>
      <c r="W14" s="141" t="n">
        <f aca="false">IF(P14=1,Inputs!$E$61,Inputs!$E$65)</f>
        <v>0.06</v>
      </c>
      <c r="X14" s="217" t="n">
        <f aca="false">IF(K14&gt;Inputs!$E$64,1,(1+W14*(DATE(YEAR(K14),12,31)-K14+1)/365)*(1+W14)^(YEAR(Inputs!$E$64)-YEAR(K14)-1)*(1+W14*(Inputs!$E$64-DATE(YEAR(Inputs!$E$64),1,1)+1)/365))</f>
        <v>1.07257988215425</v>
      </c>
      <c r="Y14" s="158" t="n">
        <f aca="false">O14*(X14-1)</f>
        <v>0</v>
      </c>
    </row>
    <row r="15" customFormat="false" ht="15" hidden="false" customHeight="false" outlineLevel="0" collapsed="false">
      <c r="C15" s="235" t="s">
        <v>1009</v>
      </c>
      <c r="D15" s="235" t="s">
        <v>1010</v>
      </c>
      <c r="E15" s="235" t="s">
        <v>1011</v>
      </c>
      <c r="F15" s="236"/>
      <c r="G15" s="210"/>
      <c r="H15" s="237" t="n">
        <v>0</v>
      </c>
      <c r="I15" s="237" t="n">
        <f aca="false">-Inputs!$E$108*((K13&lt;=Inputs!$E$100)*J13+(K14&lt;=Inputs!$E$100)*J14+(K16&lt;=Inputs!$E$100)*J16+(K17&lt;=Inputs!$E$100)*J17)</f>
        <v>-0</v>
      </c>
      <c r="J15" s="237" t="n">
        <f aca="false">H15+I15</f>
        <v>0</v>
      </c>
      <c r="K15" s="244" t="n">
        <f aca="false">Inputs!$E$100</f>
        <v>46825</v>
      </c>
      <c r="L15" s="168" t="n">
        <f aca="false">IF(K15="","",(YEAR(K15)-YEAR(Inputs!$E$27))*12+MONTH(K15)-MONTH(Inputs!$E$27))</f>
        <v>20</v>
      </c>
      <c r="M15" s="237" t="n">
        <f aca="false">J15*1000/Inputs!$E$11</f>
        <v>0</v>
      </c>
      <c r="N15" s="168" t="n">
        <f aca="false">IF(L15="",0,IF(L15&gt;Inputs!$E$57,1,0))</f>
        <v>0</v>
      </c>
      <c r="O15" s="237" t="n">
        <f aca="false">M15*IF(N15=1,Inputs!$E$109,1)</f>
        <v>0</v>
      </c>
      <c r="P15" s="239" t="n">
        <f aca="false">P13</f>
        <v>0</v>
      </c>
      <c r="Q15" s="240" t="n">
        <f aca="false">Q13</f>
        <v>1</v>
      </c>
      <c r="R15" s="241" t="s">
        <v>999</v>
      </c>
      <c r="S15" s="158" t="n">
        <f aca="false">J15</f>
        <v>0</v>
      </c>
      <c r="T15" s="158" t="n">
        <f aca="false">J15</f>
        <v>0</v>
      </c>
      <c r="U15" s="240" t="n">
        <f aca="false">U13</f>
        <v>1</v>
      </c>
      <c r="W15" s="141" t="n">
        <f aca="false">IF(P15=1,Inputs!$E$61,Inputs!$E$65)</f>
        <v>0.06</v>
      </c>
      <c r="X15" s="217" t="n">
        <f aca="false">IF(K15&gt;Inputs!$E$64,1,(1+W15*(DATE(YEAR(K15),12,31)-K15+1)/365)*(1+W15)^(YEAR(Inputs!$E$64)-YEAR(K15)-1)*(1+W15*(Inputs!$E$64-DATE(YEAR(Inputs!$E$64),1,1)+1)/365))</f>
        <v>1.07952013811222</v>
      </c>
      <c r="Y15" s="158" t="n">
        <f aca="false">O15*(X15-1)</f>
        <v>0</v>
      </c>
    </row>
    <row r="16" customFormat="false" ht="15" hidden="false" customHeight="false" outlineLevel="0" collapsed="false">
      <c r="C16" s="235" t="s">
        <v>593</v>
      </c>
      <c r="D16" s="235" t="s">
        <v>1012</v>
      </c>
      <c r="E16" s="235" t="s">
        <v>1003</v>
      </c>
      <c r="F16" s="236" t="n">
        <f aca="false">Inputs!$E$75*Inputs!$E$78*Inputs!$E$80</f>
        <v>0</v>
      </c>
      <c r="G16" s="210" t="n">
        <f aca="false">Inputs!$E$18</f>
        <v>151</v>
      </c>
      <c r="H16" s="237" t="n">
        <f aca="false">F16*G16</f>
        <v>0</v>
      </c>
      <c r="I16" s="237" t="n">
        <f aca="false">-H16*Inputs!$E$108*(K16&gt;Inputs!$E$100)</f>
        <v>-0</v>
      </c>
      <c r="J16" s="237" t="n">
        <f aca="false">H16+I16</f>
        <v>0</v>
      </c>
      <c r="K16" s="244" t="n">
        <f aca="false">EDATE(Inputs!$E$104,24)</f>
        <v>47231</v>
      </c>
      <c r="L16" s="168" t="n">
        <f aca="false">IF(K16="","",(YEAR(K16)-YEAR(Inputs!$E$27))*12+MONTH(K16)-MONTH(Inputs!$E$27))</f>
        <v>33</v>
      </c>
      <c r="M16" s="237" t="n">
        <f aca="false">J16*1000/Inputs!$E$11</f>
        <v>0</v>
      </c>
      <c r="N16" s="168" t="n">
        <f aca="false">IF(L16="",0,IF(L16&gt;Inputs!$E$57,1,0))</f>
        <v>0</v>
      </c>
      <c r="O16" s="237" t="n">
        <f aca="false">M16*IF(N16=1,Inputs!$E$109,1)</f>
        <v>0</v>
      </c>
      <c r="P16" s="239" t="n">
        <f aca="false">Inputs!$E$124</f>
        <v>0</v>
      </c>
      <c r="Q16" s="240" t="n">
        <f aca="false">Inputs!$E$136</f>
        <v>1</v>
      </c>
      <c r="R16" s="241" t="s">
        <v>995</v>
      </c>
      <c r="S16" s="158" t="n">
        <f aca="false">J16</f>
        <v>0</v>
      </c>
      <c r="T16" s="158" t="n">
        <f aca="false">J16</f>
        <v>0</v>
      </c>
      <c r="U16" s="240" t="n">
        <f aca="false">Inputs!$E$265</f>
        <v>1</v>
      </c>
      <c r="W16" s="141" t="n">
        <f aca="false">IF(P16=1,Inputs!$E$61,Inputs!$E$65)</f>
        <v>0.06</v>
      </c>
      <c r="X16" s="217" t="n">
        <f aca="false">IF(K16&gt;Inputs!$E$64,1,(1+W16*(DATE(YEAR(K16),12,31)-K16+1)/365)*(1+W16)^(YEAR(Inputs!$E$64)-YEAR(K16)-1)*(1+W16*(Inputs!$E$64-DATE(YEAR(Inputs!$E$64),1,1)+1)/365))</f>
        <v>1.01186781335307</v>
      </c>
      <c r="Y16" s="158" t="n">
        <f aca="false">O16*(X16-1)</f>
        <v>0</v>
      </c>
    </row>
    <row r="17" customFormat="false" ht="15" hidden="false" customHeight="false" outlineLevel="0" collapsed="false">
      <c r="C17" s="235" t="s">
        <v>594</v>
      </c>
      <c r="D17" s="235" t="s">
        <v>1013</v>
      </c>
      <c r="E17" s="235" t="s">
        <v>1003</v>
      </c>
      <c r="F17" s="236" t="n">
        <f aca="false">Inputs!$E$75*Inputs!$E$78*Inputs!$E$80</f>
        <v>0</v>
      </c>
      <c r="G17" s="210" t="n">
        <f aca="false">Inputs!$E$18</f>
        <v>151</v>
      </c>
      <c r="H17" s="237" t="n">
        <f aca="false">F17*G17</f>
        <v>0</v>
      </c>
      <c r="I17" s="237" t="n">
        <f aca="false">-H17*Inputs!$E$108*(K17&gt;Inputs!$E$100)</f>
        <v>-0</v>
      </c>
      <c r="J17" s="237" t="n">
        <f aca="false">H17+I17</f>
        <v>0</v>
      </c>
      <c r="K17" s="244" t="n">
        <f aca="false">EDATE(Inputs!$E$104,36)</f>
        <v>47596</v>
      </c>
      <c r="L17" s="168" t="n">
        <f aca="false">IF(K17="","",(YEAR(K17)-YEAR(Inputs!$E$27))*12+MONTH(K17)-MONTH(Inputs!$E$27))</f>
        <v>45</v>
      </c>
      <c r="M17" s="237" t="n">
        <f aca="false">J17*1000/Inputs!$E$11</f>
        <v>0</v>
      </c>
      <c r="N17" s="168" t="n">
        <f aca="false">IF(L17="",0,IF(L17&gt;Inputs!$E$57,1,0))</f>
        <v>1</v>
      </c>
      <c r="O17" s="237" t="n">
        <f aca="false">M17*IF(N17=1,Inputs!$E$109,1)</f>
        <v>0</v>
      </c>
      <c r="P17" s="239" t="n">
        <f aca="false">Inputs!$E$125</f>
        <v>0</v>
      </c>
      <c r="Q17" s="240" t="n">
        <f aca="false">Inputs!$E$137</f>
        <v>1</v>
      </c>
      <c r="R17" s="241" t="s">
        <v>995</v>
      </c>
      <c r="S17" s="158" t="n">
        <v>0</v>
      </c>
      <c r="T17" s="158" t="n">
        <v>0</v>
      </c>
      <c r="U17" s="240" t="n">
        <f aca="false">Inputs!$E$266</f>
        <v>1</v>
      </c>
      <c r="W17" s="141" t="n">
        <f aca="false">IF(P17=1,Inputs!$E$61,Inputs!$E$65)</f>
        <v>0.06</v>
      </c>
      <c r="X17" s="217" t="n">
        <f aca="false">IF(K17&gt;Inputs!$E$64,1,(1+W17*(DATE(YEAR(K17),12,31)-K17+1)/365)*(1+W17)^(YEAR(Inputs!$E$64)-YEAR(K17)-1)*(1+W17*(Inputs!$E$64-DATE(YEAR(Inputs!$E$64),1,1)+1)/365))</f>
        <v>1</v>
      </c>
      <c r="Y17" s="158" t="n">
        <f aca="false">O17*(X17-1)</f>
        <v>0</v>
      </c>
    </row>
    <row r="18" customFormat="false" ht="15" hidden="false" customHeight="false" outlineLevel="0" collapsed="false">
      <c r="C18" s="235" t="s">
        <v>1014</v>
      </c>
      <c r="D18" s="235" t="s">
        <v>1015</v>
      </c>
      <c r="E18" s="235" t="s">
        <v>1003</v>
      </c>
      <c r="F18" s="236" t="n">
        <f aca="false">Inputs!$E$85</f>
        <v>73.071306</v>
      </c>
      <c r="G18" s="210" t="n">
        <f aca="false">Dash_MVA*Inputs!$E$17</f>
        <v>100</v>
      </c>
      <c r="H18" s="237" t="n">
        <f aca="false">F18*G18</f>
        <v>7307.1306</v>
      </c>
      <c r="I18" s="237" t="n">
        <f aca="false">-J11</f>
        <v>-450</v>
      </c>
      <c r="J18" s="237" t="n">
        <f aca="false">H18+I18</f>
        <v>6857.1306</v>
      </c>
      <c r="K18" s="244" t="n">
        <f aca="false">Inputs!$E$99</f>
        <v>47126</v>
      </c>
      <c r="L18" s="168" t="n">
        <f aca="false">IF(K18="","",(YEAR(K18)-YEAR(Inputs!$E$27))*12+MONTH(K18)-MONTH(Inputs!$E$27))</f>
        <v>30</v>
      </c>
      <c r="M18" s="237" t="n">
        <f aca="false">J18*1000/Inputs!$E$11</f>
        <v>18786.6591780822</v>
      </c>
      <c r="N18" s="168" t="n">
        <f aca="false">IF(L18="",0,IF(L18&gt;Inputs!$E$57,1,0))</f>
        <v>0</v>
      </c>
      <c r="O18" s="237" t="n">
        <f aca="false">M18*IF(N18=1,Inputs!$E$109,1)</f>
        <v>18786.6591780822</v>
      </c>
      <c r="P18" s="239" t="n">
        <f aca="false">Inputs!$E$126</f>
        <v>1</v>
      </c>
      <c r="Q18" s="240" t="n">
        <f aca="false">Inputs!$E$138</f>
        <v>1</v>
      </c>
      <c r="R18" s="241" t="s">
        <v>1006</v>
      </c>
      <c r="S18" s="158" t="n">
        <f aca="false">J18+J11</f>
        <v>7307.1306</v>
      </c>
      <c r="T18" s="158" t="n">
        <f aca="false">J18</f>
        <v>6857.1306</v>
      </c>
      <c r="U18" s="240" t="n">
        <f aca="false">Inputs!$E$267</f>
        <v>1</v>
      </c>
      <c r="W18" s="141" t="n">
        <f aca="false">IF(P18=1,Inputs!$E$61,Inputs!$E$65)</f>
        <v>0.12</v>
      </c>
      <c r="X18" s="217" t="n">
        <f aca="false">IF(K18&gt;Inputs!$E$64,1,(1+W18*(DATE(YEAR(K18),12,31)-K18+1)/365)*(1+W18)^(YEAR(Inputs!$E$64)-YEAR(K18)-1)*(1+W18*(Inputs!$E$64-DATE(YEAR(Inputs!$E$64),1,1)+1)/365))</f>
        <v>1.05732978044661</v>
      </c>
      <c r="Y18" s="158" t="n">
        <f aca="false">O18*(X18-1)</f>
        <v>1077.03504600479</v>
      </c>
    </row>
    <row r="19" customFormat="false" ht="15" hidden="false" customHeight="false" outlineLevel="0" collapsed="false">
      <c r="C19" s="245" t="s">
        <v>299</v>
      </c>
      <c r="D19" s="245"/>
      <c r="E19" s="245"/>
      <c r="F19" s="246"/>
      <c r="G19" s="246"/>
      <c r="H19" s="247" t="n">
        <f aca="false">SUM(H7:H18)</f>
        <v>10573.483502</v>
      </c>
      <c r="I19" s="247" t="n">
        <f aca="false">SUM(I7:I18)</f>
        <v>-876.53</v>
      </c>
      <c r="J19" s="247" t="n">
        <f aca="false">SUM(J7:J18)</f>
        <v>9696.953502</v>
      </c>
      <c r="K19" s="248"/>
      <c r="L19" s="249"/>
      <c r="M19" s="247" t="n">
        <f aca="false">SUM(M7:M18)</f>
        <v>26566.9958958904</v>
      </c>
      <c r="N19" s="249"/>
      <c r="O19" s="247" t="n">
        <f aca="false">SUM(O7:O18)</f>
        <v>26566.9958958904</v>
      </c>
      <c r="P19" s="249"/>
      <c r="Q19" s="250"/>
      <c r="R19" s="245"/>
      <c r="S19" s="247" t="n">
        <f aca="false">SUM(S7:S18)</f>
        <v>10570.483502</v>
      </c>
      <c r="T19" s="247" t="n">
        <f aca="false">SUM(T7:T18)</f>
        <v>9693.953502</v>
      </c>
      <c r="U19" s="250"/>
      <c r="Y19" s="251" t="n">
        <f aca="false">SUM(Y7:Y18)</f>
        <v>2459.93087209803</v>
      </c>
    </row>
    <row r="21" customFormat="false" ht="15" hidden="false" customHeight="false" outlineLevel="0" collapsed="false">
      <c r="B21" s="0" t="s">
        <v>7</v>
      </c>
      <c r="C21" s="252" t="s">
        <v>1016</v>
      </c>
      <c r="D21" s="222"/>
      <c r="E21" s="222"/>
      <c r="F21" s="222"/>
      <c r="G21" s="222"/>
      <c r="H21" s="222"/>
      <c r="I21" s="222"/>
      <c r="J21" s="222"/>
      <c r="K21" s="222"/>
      <c r="L21" s="222"/>
      <c r="M21" s="222"/>
      <c r="N21" s="222"/>
      <c r="O21" s="222"/>
      <c r="P21" s="222"/>
      <c r="Q21" s="222"/>
      <c r="R21" s="222"/>
      <c r="S21" s="222"/>
      <c r="T21" s="222"/>
      <c r="W21" s="205" t="s">
        <v>1017</v>
      </c>
    </row>
    <row r="22" customFormat="false" ht="15" hidden="false" customHeight="false" outlineLevel="0" collapsed="false">
      <c r="C22" s="0" t="s">
        <v>1018</v>
      </c>
      <c r="D22" s="0" t="s">
        <v>169</v>
      </c>
      <c r="E22" s="158" t="n">
        <f aca="false">H19</f>
        <v>10573.483502</v>
      </c>
      <c r="W22" s="133" t="s">
        <v>1019</v>
      </c>
      <c r="Y22" s="158" t="n">
        <f aca="false">SUMIFS(Y7:Y18,P7:P18,0)</f>
        <v>933.292884158135</v>
      </c>
    </row>
    <row r="23" customFormat="false" ht="15" hidden="false" customHeight="false" outlineLevel="0" collapsed="false">
      <c r="C23" s="0" t="s">
        <v>1020</v>
      </c>
      <c r="D23" s="0" t="s">
        <v>169</v>
      </c>
      <c r="E23" s="158" t="n">
        <f aca="false">J19</f>
        <v>9696.953502</v>
      </c>
      <c r="W23" s="133" t="s">
        <v>1021</v>
      </c>
      <c r="Y23" s="158" t="n">
        <f aca="false">SUMIFS(Y7:Y18,P7:P18,1,R7:R18,"&lt;&gt;Fee")</f>
        <v>1523.70725081483</v>
      </c>
    </row>
    <row r="24" customFormat="false" ht="15" hidden="false" customHeight="false" outlineLevel="0" collapsed="false">
      <c r="C24" s="0" t="s">
        <v>1020</v>
      </c>
      <c r="D24" s="0" t="s">
        <v>125</v>
      </c>
      <c r="E24" s="180" t="n">
        <f aca="false">M19</f>
        <v>26566.9958958904</v>
      </c>
      <c r="W24" s="133" t="s">
        <v>1022</v>
      </c>
      <c r="Y24" s="158" t="n">
        <f aca="false">SUMIFS(Y7:Y18,R7:R18,"Fee")</f>
        <v>2.93073712505603</v>
      </c>
    </row>
    <row r="25" customFormat="false" ht="15" hidden="false" customHeight="false" outlineLevel="0" collapsed="false">
      <c r="C25" s="0" t="s">
        <v>1023</v>
      </c>
      <c r="D25" s="0" t="s">
        <v>125</v>
      </c>
      <c r="E25" s="180" t="n">
        <f aca="false">O19</f>
        <v>26566.9958958904</v>
      </c>
    </row>
    <row r="26" customFormat="false" ht="15" hidden="false" customHeight="false" outlineLevel="0" collapsed="false">
      <c r="C26" s="0" t="s">
        <v>1024</v>
      </c>
      <c r="D26" s="0" t="s">
        <v>125</v>
      </c>
      <c r="E26" s="180" t="n">
        <f aca="false">SUMPRODUCT(O7:O18,P7:P18)</f>
        <v>20724.1191835617</v>
      </c>
    </row>
    <row r="27" customFormat="false" ht="15" hidden="false" customHeight="false" outlineLevel="0" collapsed="false">
      <c r="C27" s="0" t="s">
        <v>1025</v>
      </c>
      <c r="D27" s="0" t="s">
        <v>125</v>
      </c>
      <c r="E27" s="180" t="n">
        <f aca="false" t="array" ref="E27:E27">SUMPRODUCT(O7:O18,1-P7:P18)</f>
        <v>5842.87671232877</v>
      </c>
    </row>
    <row r="28" customFormat="false" ht="15" hidden="false" customHeight="false" outlineLevel="0" collapsed="false">
      <c r="C28" s="0" t="s">
        <v>1026</v>
      </c>
      <c r="D28" s="0" t="s">
        <v>169</v>
      </c>
      <c r="E28" s="158" t="n">
        <f aca="false">H19</f>
        <v>10573.483502</v>
      </c>
    </row>
    <row r="29" customFormat="false" ht="15" hidden="false" customHeight="false" outlineLevel="0" collapsed="false">
      <c r="C29" s="0" t="s">
        <v>1027</v>
      </c>
      <c r="D29" s="0" t="s">
        <v>169</v>
      </c>
      <c r="E29" s="158" t="n">
        <f aca="false">SUM(H7:H18)</f>
        <v>10573.483502</v>
      </c>
    </row>
    <row r="30" customFormat="false" ht="15" hidden="false" customHeight="false" outlineLevel="0" collapsed="false">
      <c r="C30" s="0" t="s">
        <v>1028</v>
      </c>
      <c r="D30" s="0" t="s">
        <v>169</v>
      </c>
      <c r="E30" s="158" t="n">
        <f aca="false">E28-E29</f>
        <v>0</v>
      </c>
    </row>
    <row r="31" customFormat="false" ht="15" hidden="false" customHeight="false" outlineLevel="0" collapsed="false">
      <c r="C31" s="0" t="s">
        <v>1029</v>
      </c>
      <c r="D31" s="0" t="s">
        <v>125</v>
      </c>
      <c r="E31" s="158" t="n">
        <f aca="false">O19</f>
        <v>26566.9958958904</v>
      </c>
    </row>
    <row r="32" customFormat="false" ht="15" hidden="false" customHeight="false" outlineLevel="0" collapsed="false">
      <c r="C32" s="0" t="s">
        <v>1030</v>
      </c>
      <c r="D32" s="0" t="s">
        <v>125</v>
      </c>
      <c r="E32" s="158" t="n">
        <f aca="false">MOIC!$G$40</f>
        <v>26566.9958958904</v>
      </c>
    </row>
    <row r="33" customFormat="false" ht="15" hidden="false" customHeight="false" outlineLevel="0" collapsed="false">
      <c r="C33" s="0" t="s">
        <v>1031</v>
      </c>
      <c r="D33" s="0" t="s">
        <v>125</v>
      </c>
      <c r="E33" s="158" t="n">
        <f aca="false">E31-E32</f>
        <v>0</v>
      </c>
    </row>
    <row r="34" customFormat="false" ht="15" hidden="false" customHeight="false" outlineLevel="0" collapsed="false">
      <c r="C34" s="205" t="s">
        <v>1032</v>
      </c>
      <c r="D34" s="205" t="s">
        <v>194</v>
      </c>
      <c r="E34" s="205" t="str">
        <f aca="false">IF(AND(ABS(E30)&lt;0.01,ABS(E33)&lt;0.01),"OK","FAIL")</f>
        <v>OK</v>
      </c>
    </row>
    <row r="35" customFormat="false" ht="15" hidden="false" customHeight="false" outlineLevel="0" collapsed="false">
      <c r="C35" s="130" t="s">
        <v>1033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BP27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7" ySplit="9" topLeftCell="H22" activePane="bottomRight" state="frozen"/>
      <selection pane="topLeft" activeCell="A1" activeCellId="0" sqref="A1"/>
      <selection pane="topRight" activeCell="H1" activeCellId="0" sqref="H1"/>
      <selection pane="bottomLeft" activeCell="A22" activeCellId="0" sqref="A22"/>
      <selection pane="bottomRight" activeCell="G186" activeCellId="0" sqref="G186"/>
    </sheetView>
  </sheetViews>
  <sheetFormatPr defaultColWidth="8.5703125" defaultRowHeight="15" zeroHeight="false" outlineLevelRow="1" outlineLevelCol="0"/>
  <cols>
    <col collapsed="false" customWidth="true" hidden="false" outlineLevel="0" max="2" min="1" style="0" width="2.57"/>
    <col collapsed="false" customWidth="true" hidden="false" outlineLevel="0" max="3" min="3" style="0" width="62.86"/>
    <col collapsed="false" customWidth="true" hidden="false" outlineLevel="0" max="4" min="4" style="0" width="10.42"/>
    <col collapsed="false" customWidth="true" hidden="false" outlineLevel="0" max="6" min="5" style="0" width="13.42"/>
    <col collapsed="false" customWidth="true" hidden="false" outlineLevel="0" max="7" min="7" style="0" width="18.14"/>
    <col collapsed="false" customWidth="true" hidden="false" outlineLevel="0" max="68" min="8" style="0" width="13"/>
  </cols>
  <sheetData>
    <row r="1" customFormat="false" ht="18.75" hidden="false" customHeight="true" outlineLevel="0" collapsed="false">
      <c r="A1" s="129" t="str">
        <f aca="false">Inputs!A1</f>
        <v>HUN Onshore Wind – MOIC model v5</v>
      </c>
    </row>
    <row r="2" customFormat="false" ht="15" hidden="false" customHeight="false" outlineLevel="0" collapsed="false">
      <c r="A2" s="130" t="s">
        <v>1034</v>
      </c>
    </row>
    <row r="3" customFormat="false" ht="15" hidden="false" customHeight="false" outlineLevel="0" collapsed="false">
      <c r="A3" s="130" t="s">
        <v>1035</v>
      </c>
    </row>
    <row r="4" customFormat="false" ht="15" hidden="false" customHeight="false" outlineLevel="0" collapsed="false">
      <c r="C4" s="253" t="s">
        <v>918</v>
      </c>
      <c r="D4" s="253" t="s">
        <v>29</v>
      </c>
      <c r="E4" s="253"/>
      <c r="F4" s="253"/>
      <c r="G4" s="253"/>
      <c r="H4" s="254" t="n">
        <v>0</v>
      </c>
      <c r="I4" s="254" t="n">
        <f aca="false">H4+1</f>
        <v>1</v>
      </c>
      <c r="J4" s="254" t="n">
        <f aca="false">I4+1</f>
        <v>2</v>
      </c>
      <c r="K4" s="254" t="n">
        <f aca="false">J4+1</f>
        <v>3</v>
      </c>
      <c r="L4" s="254" t="n">
        <f aca="false">K4+1</f>
        <v>4</v>
      </c>
      <c r="M4" s="254" t="n">
        <f aca="false">L4+1</f>
        <v>5</v>
      </c>
      <c r="N4" s="254" t="n">
        <f aca="false">M4+1</f>
        <v>6</v>
      </c>
      <c r="O4" s="254" t="n">
        <f aca="false">N4+1</f>
        <v>7</v>
      </c>
      <c r="P4" s="254" t="n">
        <f aca="false">O4+1</f>
        <v>8</v>
      </c>
      <c r="Q4" s="254" t="n">
        <f aca="false">P4+1</f>
        <v>9</v>
      </c>
      <c r="R4" s="254" t="n">
        <f aca="false">Q4+1</f>
        <v>10</v>
      </c>
      <c r="S4" s="254" t="n">
        <f aca="false">R4+1</f>
        <v>11</v>
      </c>
      <c r="T4" s="254" t="n">
        <f aca="false">S4+1</f>
        <v>12</v>
      </c>
      <c r="U4" s="254" t="n">
        <f aca="false">T4+1</f>
        <v>13</v>
      </c>
      <c r="V4" s="254" t="n">
        <f aca="false">U4+1</f>
        <v>14</v>
      </c>
      <c r="W4" s="254" t="n">
        <f aca="false">V4+1</f>
        <v>15</v>
      </c>
      <c r="X4" s="254" t="n">
        <f aca="false">W4+1</f>
        <v>16</v>
      </c>
      <c r="Y4" s="254" t="n">
        <f aca="false">X4+1</f>
        <v>17</v>
      </c>
      <c r="Z4" s="254" t="n">
        <f aca="false">Y4+1</f>
        <v>18</v>
      </c>
      <c r="AA4" s="254" t="n">
        <f aca="false">Z4+1</f>
        <v>19</v>
      </c>
      <c r="AB4" s="254" t="n">
        <f aca="false">AA4+1</f>
        <v>20</v>
      </c>
      <c r="AC4" s="254" t="n">
        <f aca="false">AB4+1</f>
        <v>21</v>
      </c>
      <c r="AD4" s="254" t="n">
        <f aca="false">AC4+1</f>
        <v>22</v>
      </c>
      <c r="AE4" s="254" t="n">
        <f aca="false">AD4+1</f>
        <v>23</v>
      </c>
      <c r="AF4" s="254" t="n">
        <f aca="false">AE4+1</f>
        <v>24</v>
      </c>
      <c r="AG4" s="254" t="n">
        <f aca="false">AF4+1</f>
        <v>25</v>
      </c>
      <c r="AH4" s="254" t="n">
        <f aca="false">AG4+1</f>
        <v>26</v>
      </c>
      <c r="AI4" s="254" t="n">
        <f aca="false">AH4+1</f>
        <v>27</v>
      </c>
      <c r="AJ4" s="254" t="n">
        <f aca="false">AI4+1</f>
        <v>28</v>
      </c>
      <c r="AK4" s="254" t="n">
        <f aca="false">AJ4+1</f>
        <v>29</v>
      </c>
      <c r="AL4" s="254" t="n">
        <f aca="false">AK4+1</f>
        <v>30</v>
      </c>
      <c r="AM4" s="254" t="n">
        <f aca="false">AL4+1</f>
        <v>31</v>
      </c>
      <c r="AN4" s="254" t="n">
        <f aca="false">AM4+1</f>
        <v>32</v>
      </c>
      <c r="AO4" s="254" t="n">
        <f aca="false">AN4+1</f>
        <v>33</v>
      </c>
      <c r="AP4" s="254" t="n">
        <f aca="false">AO4+1</f>
        <v>34</v>
      </c>
      <c r="AQ4" s="254" t="n">
        <f aca="false">AP4+1</f>
        <v>35</v>
      </c>
      <c r="AR4" s="254" t="n">
        <f aca="false">AQ4+1</f>
        <v>36</v>
      </c>
      <c r="AS4" s="254" t="n">
        <f aca="false">AR4+1</f>
        <v>37</v>
      </c>
      <c r="AT4" s="254" t="n">
        <f aca="false">AS4+1</f>
        <v>38</v>
      </c>
      <c r="AU4" s="254" t="n">
        <f aca="false">AT4+1</f>
        <v>39</v>
      </c>
      <c r="AV4" s="254" t="n">
        <f aca="false">AU4+1</f>
        <v>40</v>
      </c>
      <c r="AW4" s="254" t="n">
        <f aca="false">AV4+1</f>
        <v>41</v>
      </c>
      <c r="AX4" s="254" t="n">
        <f aca="false">AW4+1</f>
        <v>42</v>
      </c>
      <c r="AY4" s="254" t="n">
        <f aca="false">AX4+1</f>
        <v>43</v>
      </c>
      <c r="AZ4" s="254" t="n">
        <f aca="false">AY4+1</f>
        <v>44</v>
      </c>
      <c r="BA4" s="254" t="n">
        <f aca="false">AZ4+1</f>
        <v>45</v>
      </c>
      <c r="BB4" s="254" t="n">
        <f aca="false">BA4+1</f>
        <v>46</v>
      </c>
      <c r="BC4" s="254" t="n">
        <f aca="false">BB4+1</f>
        <v>47</v>
      </c>
      <c r="BD4" s="254" t="n">
        <f aca="false">BC4+1</f>
        <v>48</v>
      </c>
      <c r="BE4" s="254" t="n">
        <f aca="false">BD4+1</f>
        <v>49</v>
      </c>
      <c r="BF4" s="254" t="n">
        <f aca="false">BE4+1</f>
        <v>50</v>
      </c>
      <c r="BG4" s="254" t="n">
        <f aca="false">BF4+1</f>
        <v>51</v>
      </c>
      <c r="BH4" s="254" t="n">
        <f aca="false">BG4+1</f>
        <v>52</v>
      </c>
      <c r="BI4" s="254" t="n">
        <f aca="false">BH4+1</f>
        <v>53</v>
      </c>
      <c r="BJ4" s="254" t="n">
        <f aca="false">BI4+1</f>
        <v>54</v>
      </c>
      <c r="BK4" s="254" t="n">
        <f aca="false">BJ4+1</f>
        <v>55</v>
      </c>
      <c r="BL4" s="254" t="n">
        <f aca="false">BK4+1</f>
        <v>56</v>
      </c>
      <c r="BM4" s="254" t="n">
        <f aca="false">BL4+1</f>
        <v>57</v>
      </c>
      <c r="BN4" s="254" t="n">
        <f aca="false">BM4+1</f>
        <v>58</v>
      </c>
      <c r="BO4" s="254" t="n">
        <f aca="false">BN4+1</f>
        <v>59</v>
      </c>
      <c r="BP4" s="254" t="n">
        <f aca="false">BO4+1</f>
        <v>60</v>
      </c>
    </row>
    <row r="5" customFormat="false" ht="15" hidden="false" customHeight="false" outlineLevel="0" collapsed="false">
      <c r="C5" s="253" t="s">
        <v>920</v>
      </c>
      <c r="D5" s="253" t="s">
        <v>269</v>
      </c>
      <c r="E5" s="253"/>
      <c r="F5" s="253"/>
      <c r="G5" s="253"/>
      <c r="H5" s="255" t="n">
        <f aca="false">Inputs!$E$27</f>
        <v>46234</v>
      </c>
      <c r="I5" s="256" t="n">
        <f aca="false">EOMONTH(H5,1)</f>
        <v>46265</v>
      </c>
      <c r="J5" s="256" t="n">
        <f aca="false">EOMONTH(I5,1)</f>
        <v>46295</v>
      </c>
      <c r="K5" s="256" t="n">
        <f aca="false">EOMONTH(J5,1)</f>
        <v>46326</v>
      </c>
      <c r="L5" s="256" t="n">
        <f aca="false">EOMONTH(K5,1)</f>
        <v>46356</v>
      </c>
      <c r="M5" s="256" t="n">
        <f aca="false">EOMONTH(L5,1)</f>
        <v>46387</v>
      </c>
      <c r="N5" s="256" t="n">
        <f aca="false">EOMONTH(M5,1)</f>
        <v>46418</v>
      </c>
      <c r="O5" s="256" t="n">
        <f aca="false">EOMONTH(N5,1)</f>
        <v>46446</v>
      </c>
      <c r="P5" s="256" t="n">
        <f aca="false">EOMONTH(O5,1)</f>
        <v>46477</v>
      </c>
      <c r="Q5" s="256" t="n">
        <f aca="false">EOMONTH(P5,1)</f>
        <v>46507</v>
      </c>
      <c r="R5" s="256" t="n">
        <f aca="false">EOMONTH(Q5,1)</f>
        <v>46538</v>
      </c>
      <c r="S5" s="256" t="n">
        <f aca="false">EOMONTH(R5,1)</f>
        <v>46568</v>
      </c>
      <c r="T5" s="256" t="n">
        <f aca="false">EOMONTH(S5,1)</f>
        <v>46599</v>
      </c>
      <c r="U5" s="256" t="n">
        <f aca="false">EOMONTH(T5,1)</f>
        <v>46630</v>
      </c>
      <c r="V5" s="256" t="n">
        <f aca="false">EOMONTH(U5,1)</f>
        <v>46660</v>
      </c>
      <c r="W5" s="256" t="n">
        <f aca="false">EOMONTH(V5,1)</f>
        <v>46691</v>
      </c>
      <c r="X5" s="256" t="n">
        <f aca="false">EOMONTH(W5,1)</f>
        <v>46721</v>
      </c>
      <c r="Y5" s="256" t="n">
        <f aca="false">EOMONTH(X5,1)</f>
        <v>46752</v>
      </c>
      <c r="Z5" s="256" t="n">
        <f aca="false">EOMONTH(Y5,1)</f>
        <v>46783</v>
      </c>
      <c r="AA5" s="256" t="n">
        <f aca="false">EOMONTH(Z5,1)</f>
        <v>46812</v>
      </c>
      <c r="AB5" s="256" t="n">
        <f aca="false">EOMONTH(AA5,1)</f>
        <v>46843</v>
      </c>
      <c r="AC5" s="256" t="n">
        <f aca="false">EOMONTH(AB5,1)</f>
        <v>46873</v>
      </c>
      <c r="AD5" s="256" t="n">
        <f aca="false">EOMONTH(AC5,1)</f>
        <v>46904</v>
      </c>
      <c r="AE5" s="256" t="n">
        <f aca="false">EOMONTH(AD5,1)</f>
        <v>46934</v>
      </c>
      <c r="AF5" s="256" t="n">
        <f aca="false">EOMONTH(AE5,1)</f>
        <v>46965</v>
      </c>
      <c r="AG5" s="256" t="n">
        <f aca="false">EOMONTH(AF5,1)</f>
        <v>46996</v>
      </c>
      <c r="AH5" s="256" t="n">
        <f aca="false">EOMONTH(AG5,1)</f>
        <v>47026</v>
      </c>
      <c r="AI5" s="256" t="n">
        <f aca="false">EOMONTH(AH5,1)</f>
        <v>47057</v>
      </c>
      <c r="AJ5" s="256" t="n">
        <f aca="false">EOMONTH(AI5,1)</f>
        <v>47087</v>
      </c>
      <c r="AK5" s="256" t="n">
        <f aca="false">EOMONTH(AJ5,1)</f>
        <v>47118</v>
      </c>
      <c r="AL5" s="256" t="n">
        <f aca="false">EOMONTH(AK5,1)</f>
        <v>47149</v>
      </c>
      <c r="AM5" s="256" t="n">
        <f aca="false">EOMONTH(AL5,1)</f>
        <v>47177</v>
      </c>
      <c r="AN5" s="256" t="n">
        <f aca="false">EOMONTH(AM5,1)</f>
        <v>47208</v>
      </c>
      <c r="AO5" s="256" t="n">
        <f aca="false">EOMONTH(AN5,1)</f>
        <v>47238</v>
      </c>
      <c r="AP5" s="256" t="n">
        <f aca="false">EOMONTH(AO5,1)</f>
        <v>47269</v>
      </c>
      <c r="AQ5" s="256" t="n">
        <f aca="false">EOMONTH(AP5,1)</f>
        <v>47299</v>
      </c>
      <c r="AR5" s="256" t="n">
        <f aca="false">EOMONTH(AQ5,1)</f>
        <v>47330</v>
      </c>
      <c r="AS5" s="256" t="n">
        <f aca="false">EOMONTH(AR5,1)</f>
        <v>47361</v>
      </c>
      <c r="AT5" s="256" t="n">
        <f aca="false">EOMONTH(AS5,1)</f>
        <v>47391</v>
      </c>
      <c r="AU5" s="256" t="n">
        <f aca="false">EOMONTH(AT5,1)</f>
        <v>47422</v>
      </c>
      <c r="AV5" s="256" t="n">
        <f aca="false">EOMONTH(AU5,1)</f>
        <v>47452</v>
      </c>
      <c r="AW5" s="256" t="n">
        <f aca="false">EOMONTH(AV5,1)</f>
        <v>47483</v>
      </c>
      <c r="AX5" s="256" t="n">
        <f aca="false">EOMONTH(AW5,1)</f>
        <v>47514</v>
      </c>
      <c r="AY5" s="256" t="n">
        <f aca="false">EOMONTH(AX5,1)</f>
        <v>47542</v>
      </c>
      <c r="AZ5" s="256" t="n">
        <f aca="false">EOMONTH(AY5,1)</f>
        <v>47573</v>
      </c>
      <c r="BA5" s="256" t="n">
        <f aca="false">EOMONTH(AZ5,1)</f>
        <v>47603</v>
      </c>
      <c r="BB5" s="256" t="n">
        <f aca="false">EOMONTH(BA5,1)</f>
        <v>47634</v>
      </c>
      <c r="BC5" s="256" t="n">
        <f aca="false">EOMONTH(BB5,1)</f>
        <v>47664</v>
      </c>
      <c r="BD5" s="256" t="n">
        <f aca="false">EOMONTH(BC5,1)</f>
        <v>47695</v>
      </c>
      <c r="BE5" s="256" t="n">
        <f aca="false">EOMONTH(BD5,1)</f>
        <v>47726</v>
      </c>
      <c r="BF5" s="256" t="n">
        <f aca="false">EOMONTH(BE5,1)</f>
        <v>47756</v>
      </c>
      <c r="BG5" s="256" t="n">
        <f aca="false">EOMONTH(BF5,1)</f>
        <v>47787</v>
      </c>
      <c r="BH5" s="256" t="n">
        <f aca="false">EOMONTH(BG5,1)</f>
        <v>47817</v>
      </c>
      <c r="BI5" s="256" t="n">
        <f aca="false">EOMONTH(BH5,1)</f>
        <v>47848</v>
      </c>
      <c r="BJ5" s="256" t="n">
        <f aca="false">EOMONTH(BI5,1)</f>
        <v>47879</v>
      </c>
      <c r="BK5" s="256" t="n">
        <f aca="false">EOMONTH(BJ5,1)</f>
        <v>47907</v>
      </c>
      <c r="BL5" s="256" t="n">
        <f aca="false">EOMONTH(BK5,1)</f>
        <v>47938</v>
      </c>
      <c r="BM5" s="256" t="n">
        <f aca="false">EOMONTH(BL5,1)</f>
        <v>47968</v>
      </c>
      <c r="BN5" s="256" t="n">
        <f aca="false">EOMONTH(BM5,1)</f>
        <v>47999</v>
      </c>
      <c r="BO5" s="256" t="n">
        <f aca="false">EOMONTH(BN5,1)</f>
        <v>48029</v>
      </c>
      <c r="BP5" s="256" t="n">
        <f aca="false">EOMONTH(BO5,1)</f>
        <v>48060</v>
      </c>
    </row>
    <row r="6" customFormat="false" ht="15" hidden="false" customHeight="false" outlineLevel="0" collapsed="false">
      <c r="C6" s="257" t="s">
        <v>1036</v>
      </c>
      <c r="D6" s="257" t="s">
        <v>990</v>
      </c>
      <c r="E6" s="257"/>
      <c r="F6" s="257"/>
      <c r="G6" s="257"/>
      <c r="H6" s="258" t="n">
        <f aca="false">N(H$4=Inputs!$E$55)</f>
        <v>0</v>
      </c>
      <c r="I6" s="258" t="n">
        <f aca="false">N(I$4=Inputs!$E$55)</f>
        <v>0</v>
      </c>
      <c r="J6" s="258" t="n">
        <f aca="false">N(J$4=Inputs!$E$55)</f>
        <v>0</v>
      </c>
      <c r="K6" s="258" t="n">
        <f aca="false">N(K$4=Inputs!$E$55)</f>
        <v>0</v>
      </c>
      <c r="L6" s="258" t="n">
        <f aca="false">N(L$4=Inputs!$E$55)</f>
        <v>0</v>
      </c>
      <c r="M6" s="258" t="n">
        <f aca="false">N(M$4=Inputs!$E$55)</f>
        <v>0</v>
      </c>
      <c r="N6" s="258" t="n">
        <f aca="false">N(N$4=Inputs!$E$55)</f>
        <v>0</v>
      </c>
      <c r="O6" s="258" t="n">
        <f aca="false">N(O$4=Inputs!$E$55)</f>
        <v>0</v>
      </c>
      <c r="P6" s="258" t="n">
        <f aca="false">N(P$4=Inputs!$E$55)</f>
        <v>0</v>
      </c>
      <c r="Q6" s="258" t="n">
        <f aca="false">N(Q$4=Inputs!$E$55)</f>
        <v>0</v>
      </c>
      <c r="R6" s="258" t="n">
        <f aca="false">N(R$4=Inputs!$E$55)</f>
        <v>0</v>
      </c>
      <c r="S6" s="258" t="n">
        <f aca="false">N(S$4=Inputs!$E$55)</f>
        <v>0</v>
      </c>
      <c r="T6" s="258" t="n">
        <f aca="false">N(T$4=Inputs!$E$55)</f>
        <v>0</v>
      </c>
      <c r="U6" s="258" t="n">
        <f aca="false">N(U$4=Inputs!$E$55)</f>
        <v>0</v>
      </c>
      <c r="V6" s="258" t="n">
        <f aca="false">N(V$4=Inputs!$E$55)</f>
        <v>0</v>
      </c>
      <c r="W6" s="258" t="n">
        <f aca="false">N(W$4=Inputs!$E$55)</f>
        <v>0</v>
      </c>
      <c r="X6" s="258" t="n">
        <f aca="false">N(X$4=Inputs!$E$55)</f>
        <v>0</v>
      </c>
      <c r="Y6" s="258" t="n">
        <f aca="false">N(Y$4=Inputs!$E$55)</f>
        <v>0</v>
      </c>
      <c r="Z6" s="258" t="n">
        <f aca="false">N(Z$4=Inputs!$E$55)</f>
        <v>0</v>
      </c>
      <c r="AA6" s="258" t="n">
        <f aca="false">N(AA$4=Inputs!$E$55)</f>
        <v>0</v>
      </c>
      <c r="AB6" s="258" t="n">
        <f aca="false">N(AB$4=Inputs!$E$55)</f>
        <v>0</v>
      </c>
      <c r="AC6" s="258" t="n">
        <f aca="false">N(AC$4=Inputs!$E$55)</f>
        <v>0</v>
      </c>
      <c r="AD6" s="258" t="n">
        <f aca="false">N(AD$4=Inputs!$E$55)</f>
        <v>0</v>
      </c>
      <c r="AE6" s="258" t="n">
        <f aca="false">N(AE$4=Inputs!$E$55)</f>
        <v>0</v>
      </c>
      <c r="AF6" s="258" t="n">
        <f aca="false">N(AF$4=Inputs!$E$55)</f>
        <v>0</v>
      </c>
      <c r="AG6" s="258" t="n">
        <f aca="false">N(AG$4=Inputs!$E$55)</f>
        <v>0</v>
      </c>
      <c r="AH6" s="258" t="n">
        <f aca="false">N(AH$4=Inputs!$E$55)</f>
        <v>0</v>
      </c>
      <c r="AI6" s="258" t="n">
        <f aca="false">N(AI$4=Inputs!$E$55)</f>
        <v>0</v>
      </c>
      <c r="AJ6" s="258" t="n">
        <f aca="false">N(AJ$4=Inputs!$E$55)</f>
        <v>0</v>
      </c>
      <c r="AK6" s="258" t="n">
        <f aca="false">N(AK$4=Inputs!$E$55)</f>
        <v>0</v>
      </c>
      <c r="AL6" s="258" t="n">
        <f aca="false">N(AL$4=Inputs!$E$55)</f>
        <v>0</v>
      </c>
      <c r="AM6" s="258" t="n">
        <f aca="false">N(AM$4=Inputs!$E$55)</f>
        <v>0</v>
      </c>
      <c r="AN6" s="258" t="n">
        <f aca="false">N(AN$4=Inputs!$E$55)</f>
        <v>1</v>
      </c>
      <c r="AO6" s="258" t="n">
        <f aca="false">N(AO$4=Inputs!$E$55)</f>
        <v>0</v>
      </c>
      <c r="AP6" s="258" t="n">
        <f aca="false">N(AP$4=Inputs!$E$55)</f>
        <v>0</v>
      </c>
      <c r="AQ6" s="258" t="n">
        <f aca="false">N(AQ$4=Inputs!$E$55)</f>
        <v>0</v>
      </c>
      <c r="AR6" s="258" t="n">
        <f aca="false">N(AR$4=Inputs!$E$55)</f>
        <v>0</v>
      </c>
      <c r="AS6" s="258" t="n">
        <f aca="false">N(AS$4=Inputs!$E$55)</f>
        <v>0</v>
      </c>
      <c r="AT6" s="258" t="n">
        <f aca="false">N(AT$4=Inputs!$E$55)</f>
        <v>0</v>
      </c>
      <c r="AU6" s="258" t="n">
        <f aca="false">N(AU$4=Inputs!$E$55)</f>
        <v>0</v>
      </c>
      <c r="AV6" s="258" t="n">
        <f aca="false">N(AV$4=Inputs!$E$55)</f>
        <v>0</v>
      </c>
      <c r="AW6" s="258" t="n">
        <f aca="false">N(AW$4=Inputs!$E$55)</f>
        <v>0</v>
      </c>
      <c r="AX6" s="258" t="n">
        <f aca="false">N(AX$4=Inputs!$E$55)</f>
        <v>0</v>
      </c>
      <c r="AY6" s="258" t="n">
        <f aca="false">N(AY$4=Inputs!$E$55)</f>
        <v>0</v>
      </c>
      <c r="AZ6" s="258" t="n">
        <f aca="false">N(AZ$4=Inputs!$E$55)</f>
        <v>0</v>
      </c>
      <c r="BA6" s="258" t="n">
        <f aca="false">N(BA$4=Inputs!$E$55)</f>
        <v>0</v>
      </c>
      <c r="BB6" s="258" t="n">
        <f aca="false">N(BB$4=Inputs!$E$55)</f>
        <v>0</v>
      </c>
      <c r="BC6" s="258" t="n">
        <f aca="false">N(BC$4=Inputs!$E$55)</f>
        <v>0</v>
      </c>
      <c r="BD6" s="258" t="n">
        <f aca="false">N(BD$4=Inputs!$E$55)</f>
        <v>0</v>
      </c>
      <c r="BE6" s="258" t="n">
        <f aca="false">N(BE$4=Inputs!$E$55)</f>
        <v>0</v>
      </c>
      <c r="BF6" s="258" t="n">
        <f aca="false">N(BF$4=Inputs!$E$55)</f>
        <v>0</v>
      </c>
      <c r="BG6" s="258" t="n">
        <f aca="false">N(BG$4=Inputs!$E$55)</f>
        <v>0</v>
      </c>
      <c r="BH6" s="258" t="n">
        <f aca="false">N(BH$4=Inputs!$E$55)</f>
        <v>0</v>
      </c>
      <c r="BI6" s="258" t="n">
        <f aca="false">N(BI$4=Inputs!$E$55)</f>
        <v>0</v>
      </c>
      <c r="BJ6" s="258" t="n">
        <f aca="false">N(BJ$4=Inputs!$E$55)</f>
        <v>0</v>
      </c>
      <c r="BK6" s="258" t="n">
        <f aca="false">N(BK$4=Inputs!$E$55)</f>
        <v>0</v>
      </c>
      <c r="BL6" s="258" t="n">
        <f aca="false">N(BL$4=Inputs!$E$55)</f>
        <v>0</v>
      </c>
      <c r="BM6" s="258" t="n">
        <f aca="false">N(BM$4=Inputs!$E$55)</f>
        <v>0</v>
      </c>
      <c r="BN6" s="258" t="n">
        <f aca="false">N(BN$4=Inputs!$E$55)</f>
        <v>0</v>
      </c>
      <c r="BO6" s="258" t="n">
        <f aca="false">N(BO$4=Inputs!$E$55)</f>
        <v>0</v>
      </c>
      <c r="BP6" s="258" t="n">
        <f aca="false">N(BP$4=Inputs!$E$55)</f>
        <v>0</v>
      </c>
    </row>
    <row r="7" customFormat="false" ht="15" hidden="false" customHeight="false" outlineLevel="0" collapsed="false">
      <c r="C7" s="257" t="s">
        <v>1037</v>
      </c>
      <c r="D7" s="257" t="s">
        <v>990</v>
      </c>
      <c r="E7" s="257"/>
      <c r="F7" s="257"/>
      <c r="G7" s="257"/>
      <c r="H7" s="258" t="n">
        <f aca="false">N(H$4=Inputs!$E$57)</f>
        <v>0</v>
      </c>
      <c r="I7" s="258" t="n">
        <f aca="false">N(I$4=Inputs!$E$57)</f>
        <v>0</v>
      </c>
      <c r="J7" s="258" t="n">
        <f aca="false">N(J$4=Inputs!$E$57)</f>
        <v>0</v>
      </c>
      <c r="K7" s="258" t="n">
        <f aca="false">N(K$4=Inputs!$E$57)</f>
        <v>0</v>
      </c>
      <c r="L7" s="258" t="n">
        <f aca="false">N(L$4=Inputs!$E$57)</f>
        <v>0</v>
      </c>
      <c r="M7" s="258" t="n">
        <f aca="false">N(M$4=Inputs!$E$57)</f>
        <v>0</v>
      </c>
      <c r="N7" s="258" t="n">
        <f aca="false">N(N$4=Inputs!$E$57)</f>
        <v>0</v>
      </c>
      <c r="O7" s="258" t="n">
        <f aca="false">N(O$4=Inputs!$E$57)</f>
        <v>0</v>
      </c>
      <c r="P7" s="258" t="n">
        <f aca="false">N(P$4=Inputs!$E$57)</f>
        <v>0</v>
      </c>
      <c r="Q7" s="258" t="n">
        <f aca="false">N(Q$4=Inputs!$E$57)</f>
        <v>0</v>
      </c>
      <c r="R7" s="258" t="n">
        <f aca="false">N(R$4=Inputs!$E$57)</f>
        <v>0</v>
      </c>
      <c r="S7" s="258" t="n">
        <f aca="false">N(S$4=Inputs!$E$57)</f>
        <v>0</v>
      </c>
      <c r="T7" s="258" t="n">
        <f aca="false">N(T$4=Inputs!$E$57)</f>
        <v>0</v>
      </c>
      <c r="U7" s="258" t="n">
        <f aca="false">N(U$4=Inputs!$E$57)</f>
        <v>0</v>
      </c>
      <c r="V7" s="258" t="n">
        <f aca="false">N(V$4=Inputs!$E$57)</f>
        <v>0</v>
      </c>
      <c r="W7" s="258" t="n">
        <f aca="false">N(W$4=Inputs!$E$57)</f>
        <v>0</v>
      </c>
      <c r="X7" s="258" t="n">
        <f aca="false">N(X$4=Inputs!$E$57)</f>
        <v>0</v>
      </c>
      <c r="Y7" s="258" t="n">
        <f aca="false">N(Y$4=Inputs!$E$57)</f>
        <v>0</v>
      </c>
      <c r="Z7" s="258" t="n">
        <f aca="false">N(Z$4=Inputs!$E$57)</f>
        <v>0</v>
      </c>
      <c r="AA7" s="258" t="n">
        <f aca="false">N(AA$4=Inputs!$E$57)</f>
        <v>0</v>
      </c>
      <c r="AB7" s="258" t="n">
        <f aca="false">N(AB$4=Inputs!$E$57)</f>
        <v>0</v>
      </c>
      <c r="AC7" s="258" t="n">
        <f aca="false">N(AC$4=Inputs!$E$57)</f>
        <v>0</v>
      </c>
      <c r="AD7" s="258" t="n">
        <f aca="false">N(AD$4=Inputs!$E$57)</f>
        <v>0</v>
      </c>
      <c r="AE7" s="258" t="n">
        <f aca="false">N(AE$4=Inputs!$E$57)</f>
        <v>0</v>
      </c>
      <c r="AF7" s="258" t="n">
        <f aca="false">N(AF$4=Inputs!$E$57)</f>
        <v>0</v>
      </c>
      <c r="AG7" s="258" t="n">
        <f aca="false">N(AG$4=Inputs!$E$57)</f>
        <v>0</v>
      </c>
      <c r="AH7" s="258" t="n">
        <f aca="false">N(AH$4=Inputs!$E$57)</f>
        <v>0</v>
      </c>
      <c r="AI7" s="258" t="n">
        <f aca="false">N(AI$4=Inputs!$E$57)</f>
        <v>0</v>
      </c>
      <c r="AJ7" s="258" t="n">
        <f aca="false">N(AJ$4=Inputs!$E$57)</f>
        <v>0</v>
      </c>
      <c r="AK7" s="258" t="n">
        <f aca="false">N(AK$4=Inputs!$E$57)</f>
        <v>0</v>
      </c>
      <c r="AL7" s="258" t="n">
        <f aca="false">N(AL$4=Inputs!$E$57)</f>
        <v>0</v>
      </c>
      <c r="AM7" s="258" t="n">
        <f aca="false">N(AM$4=Inputs!$E$57)</f>
        <v>0</v>
      </c>
      <c r="AN7" s="258" t="n">
        <f aca="false">N(AN$4=Inputs!$E$57)</f>
        <v>0</v>
      </c>
      <c r="AO7" s="258" t="n">
        <f aca="false">N(AO$4=Inputs!$E$57)</f>
        <v>0</v>
      </c>
      <c r="AP7" s="258" t="n">
        <f aca="false">N(AP$4=Inputs!$E$57)</f>
        <v>0</v>
      </c>
      <c r="AQ7" s="258" t="n">
        <f aca="false">N(AQ$4=Inputs!$E$57)</f>
        <v>0</v>
      </c>
      <c r="AR7" s="258" t="n">
        <f aca="false">N(AR$4=Inputs!$E$57)</f>
        <v>0</v>
      </c>
      <c r="AS7" s="258" t="n">
        <f aca="false">N(AS$4=Inputs!$E$57)</f>
        <v>0</v>
      </c>
      <c r="AT7" s="258" t="n">
        <f aca="false">N(AT$4=Inputs!$E$57)</f>
        <v>1</v>
      </c>
      <c r="AU7" s="258" t="n">
        <f aca="false">N(AU$4=Inputs!$E$57)</f>
        <v>0</v>
      </c>
      <c r="AV7" s="258" t="n">
        <f aca="false">N(AV$4=Inputs!$E$57)</f>
        <v>0</v>
      </c>
      <c r="AW7" s="258" t="n">
        <f aca="false">N(AW$4=Inputs!$E$57)</f>
        <v>0</v>
      </c>
      <c r="AX7" s="258" t="n">
        <f aca="false">N(AX$4=Inputs!$E$57)</f>
        <v>0</v>
      </c>
      <c r="AY7" s="258" t="n">
        <f aca="false">N(AY$4=Inputs!$E$57)</f>
        <v>0</v>
      </c>
      <c r="AZ7" s="258" t="n">
        <f aca="false">N(AZ$4=Inputs!$E$57)</f>
        <v>0</v>
      </c>
      <c r="BA7" s="258" t="n">
        <f aca="false">N(BA$4=Inputs!$E$57)</f>
        <v>0</v>
      </c>
      <c r="BB7" s="258" t="n">
        <f aca="false">N(BB$4=Inputs!$E$57)</f>
        <v>0</v>
      </c>
      <c r="BC7" s="258" t="n">
        <f aca="false">N(BC$4=Inputs!$E$57)</f>
        <v>0</v>
      </c>
      <c r="BD7" s="258" t="n">
        <f aca="false">N(BD$4=Inputs!$E$57)</f>
        <v>0</v>
      </c>
      <c r="BE7" s="258" t="n">
        <f aca="false">N(BE$4=Inputs!$E$57)</f>
        <v>0</v>
      </c>
      <c r="BF7" s="258" t="n">
        <f aca="false">N(BF$4=Inputs!$E$57)</f>
        <v>0</v>
      </c>
      <c r="BG7" s="258" t="n">
        <f aca="false">N(BG$4=Inputs!$E$57)</f>
        <v>0</v>
      </c>
      <c r="BH7" s="258" t="n">
        <f aca="false">N(BH$4=Inputs!$E$57)</f>
        <v>0</v>
      </c>
      <c r="BI7" s="258" t="n">
        <f aca="false">N(BI$4=Inputs!$E$57)</f>
        <v>0</v>
      </c>
      <c r="BJ7" s="258" t="n">
        <f aca="false">N(BJ$4=Inputs!$E$57)</f>
        <v>0</v>
      </c>
      <c r="BK7" s="258" t="n">
        <f aca="false">N(BK$4=Inputs!$E$57)</f>
        <v>0</v>
      </c>
      <c r="BL7" s="258" t="n">
        <f aca="false">N(BL$4=Inputs!$E$57)</f>
        <v>0</v>
      </c>
      <c r="BM7" s="258" t="n">
        <f aca="false">N(BM$4=Inputs!$E$57)</f>
        <v>0</v>
      </c>
      <c r="BN7" s="258" t="n">
        <f aca="false">N(BN$4=Inputs!$E$57)</f>
        <v>0</v>
      </c>
      <c r="BO7" s="258" t="n">
        <f aca="false">N(BO$4=Inputs!$E$57)</f>
        <v>0</v>
      </c>
      <c r="BP7" s="258" t="n">
        <f aca="false">N(BP$4=Inputs!$E$57)</f>
        <v>0</v>
      </c>
    </row>
    <row r="8" customFormat="false" ht="15" hidden="false" customHeight="false" outlineLevel="0" collapsed="false">
      <c r="C8" s="257" t="s">
        <v>1038</v>
      </c>
      <c r="D8" s="257" t="s">
        <v>990</v>
      </c>
      <c r="E8" s="257"/>
      <c r="F8" s="257"/>
      <c r="G8" s="257"/>
      <c r="H8" s="258" t="n">
        <f aca="false">N(H$4&lt;=Inputs!$E$55)</f>
        <v>1</v>
      </c>
      <c r="I8" s="258" t="n">
        <f aca="false">N(I$4&lt;=Inputs!$E$55)</f>
        <v>1</v>
      </c>
      <c r="J8" s="258" t="n">
        <f aca="false">N(J$4&lt;=Inputs!$E$55)</f>
        <v>1</v>
      </c>
      <c r="K8" s="258" t="n">
        <f aca="false">N(K$4&lt;=Inputs!$E$55)</f>
        <v>1</v>
      </c>
      <c r="L8" s="258" t="n">
        <f aca="false">N(L$4&lt;=Inputs!$E$55)</f>
        <v>1</v>
      </c>
      <c r="M8" s="258" t="n">
        <f aca="false">N(M$4&lt;=Inputs!$E$55)</f>
        <v>1</v>
      </c>
      <c r="N8" s="258" t="n">
        <f aca="false">N(N$4&lt;=Inputs!$E$55)</f>
        <v>1</v>
      </c>
      <c r="O8" s="258" t="n">
        <f aca="false">N(O$4&lt;=Inputs!$E$55)</f>
        <v>1</v>
      </c>
      <c r="P8" s="258" t="n">
        <f aca="false">N(P$4&lt;=Inputs!$E$55)</f>
        <v>1</v>
      </c>
      <c r="Q8" s="258" t="n">
        <f aca="false">N(Q$4&lt;=Inputs!$E$55)</f>
        <v>1</v>
      </c>
      <c r="R8" s="258" t="n">
        <f aca="false">N(R$4&lt;=Inputs!$E$55)</f>
        <v>1</v>
      </c>
      <c r="S8" s="258" t="n">
        <f aca="false">N(S$4&lt;=Inputs!$E$55)</f>
        <v>1</v>
      </c>
      <c r="T8" s="258" t="n">
        <f aca="false">N(T$4&lt;=Inputs!$E$55)</f>
        <v>1</v>
      </c>
      <c r="U8" s="258" t="n">
        <f aca="false">N(U$4&lt;=Inputs!$E$55)</f>
        <v>1</v>
      </c>
      <c r="V8" s="258" t="n">
        <f aca="false">N(V$4&lt;=Inputs!$E$55)</f>
        <v>1</v>
      </c>
      <c r="W8" s="258" t="n">
        <f aca="false">N(W$4&lt;=Inputs!$E$55)</f>
        <v>1</v>
      </c>
      <c r="X8" s="258" t="n">
        <f aca="false">N(X$4&lt;=Inputs!$E$55)</f>
        <v>1</v>
      </c>
      <c r="Y8" s="258" t="n">
        <f aca="false">N(Y$4&lt;=Inputs!$E$55)</f>
        <v>1</v>
      </c>
      <c r="Z8" s="258" t="n">
        <f aca="false">N(Z$4&lt;=Inputs!$E$55)</f>
        <v>1</v>
      </c>
      <c r="AA8" s="258" t="n">
        <f aca="false">N(AA$4&lt;=Inputs!$E$55)</f>
        <v>1</v>
      </c>
      <c r="AB8" s="258" t="n">
        <f aca="false">N(AB$4&lt;=Inputs!$E$55)</f>
        <v>1</v>
      </c>
      <c r="AC8" s="258" t="n">
        <f aca="false">N(AC$4&lt;=Inputs!$E$55)</f>
        <v>1</v>
      </c>
      <c r="AD8" s="258" t="n">
        <f aca="false">N(AD$4&lt;=Inputs!$E$55)</f>
        <v>1</v>
      </c>
      <c r="AE8" s="258" t="n">
        <f aca="false">N(AE$4&lt;=Inputs!$E$55)</f>
        <v>1</v>
      </c>
      <c r="AF8" s="258" t="n">
        <f aca="false">N(AF$4&lt;=Inputs!$E$55)</f>
        <v>1</v>
      </c>
      <c r="AG8" s="258" t="n">
        <f aca="false">N(AG$4&lt;=Inputs!$E$55)</f>
        <v>1</v>
      </c>
      <c r="AH8" s="258" t="n">
        <f aca="false">N(AH$4&lt;=Inputs!$E$55)</f>
        <v>1</v>
      </c>
      <c r="AI8" s="258" t="n">
        <f aca="false">N(AI$4&lt;=Inputs!$E$55)</f>
        <v>1</v>
      </c>
      <c r="AJ8" s="258" t="n">
        <f aca="false">N(AJ$4&lt;=Inputs!$E$55)</f>
        <v>1</v>
      </c>
      <c r="AK8" s="258" t="n">
        <f aca="false">N(AK$4&lt;=Inputs!$E$55)</f>
        <v>1</v>
      </c>
      <c r="AL8" s="258" t="n">
        <f aca="false">N(AL$4&lt;=Inputs!$E$55)</f>
        <v>1</v>
      </c>
      <c r="AM8" s="258" t="n">
        <f aca="false">N(AM$4&lt;=Inputs!$E$55)</f>
        <v>1</v>
      </c>
      <c r="AN8" s="258" t="n">
        <f aca="false">N(AN$4&lt;=Inputs!$E$55)</f>
        <v>1</v>
      </c>
      <c r="AO8" s="258" t="n">
        <f aca="false">N(AO$4&lt;=Inputs!$E$55)</f>
        <v>0</v>
      </c>
      <c r="AP8" s="258" t="n">
        <f aca="false">N(AP$4&lt;=Inputs!$E$55)</f>
        <v>0</v>
      </c>
      <c r="AQ8" s="258" t="n">
        <f aca="false">N(AQ$4&lt;=Inputs!$E$55)</f>
        <v>0</v>
      </c>
      <c r="AR8" s="258" t="n">
        <f aca="false">N(AR$4&lt;=Inputs!$E$55)</f>
        <v>0</v>
      </c>
      <c r="AS8" s="258" t="n">
        <f aca="false">N(AS$4&lt;=Inputs!$E$55)</f>
        <v>0</v>
      </c>
      <c r="AT8" s="258" t="n">
        <f aca="false">N(AT$4&lt;=Inputs!$E$55)</f>
        <v>0</v>
      </c>
      <c r="AU8" s="258" t="n">
        <f aca="false">N(AU$4&lt;=Inputs!$E$55)</f>
        <v>0</v>
      </c>
      <c r="AV8" s="258" t="n">
        <f aca="false">N(AV$4&lt;=Inputs!$E$55)</f>
        <v>0</v>
      </c>
      <c r="AW8" s="258" t="n">
        <f aca="false">N(AW$4&lt;=Inputs!$E$55)</f>
        <v>0</v>
      </c>
      <c r="AX8" s="258" t="n">
        <f aca="false">N(AX$4&lt;=Inputs!$E$55)</f>
        <v>0</v>
      </c>
      <c r="AY8" s="258" t="n">
        <f aca="false">N(AY$4&lt;=Inputs!$E$55)</f>
        <v>0</v>
      </c>
      <c r="AZ8" s="258" t="n">
        <f aca="false">N(AZ$4&lt;=Inputs!$E$55)</f>
        <v>0</v>
      </c>
      <c r="BA8" s="258" t="n">
        <f aca="false">N(BA$4&lt;=Inputs!$E$55)</f>
        <v>0</v>
      </c>
      <c r="BB8" s="258" t="n">
        <f aca="false">N(BB$4&lt;=Inputs!$E$55)</f>
        <v>0</v>
      </c>
      <c r="BC8" s="258" t="n">
        <f aca="false">N(BC$4&lt;=Inputs!$E$55)</f>
        <v>0</v>
      </c>
      <c r="BD8" s="258" t="n">
        <f aca="false">N(BD$4&lt;=Inputs!$E$55)</f>
        <v>0</v>
      </c>
      <c r="BE8" s="258" t="n">
        <f aca="false">N(BE$4&lt;=Inputs!$E$55)</f>
        <v>0</v>
      </c>
      <c r="BF8" s="258" t="n">
        <f aca="false">N(BF$4&lt;=Inputs!$E$55)</f>
        <v>0</v>
      </c>
      <c r="BG8" s="258" t="n">
        <f aca="false">N(BG$4&lt;=Inputs!$E$55)</f>
        <v>0</v>
      </c>
      <c r="BH8" s="258" t="n">
        <f aca="false">N(BH$4&lt;=Inputs!$E$55)</f>
        <v>0</v>
      </c>
      <c r="BI8" s="258" t="n">
        <f aca="false">N(BI$4&lt;=Inputs!$E$55)</f>
        <v>0</v>
      </c>
      <c r="BJ8" s="258" t="n">
        <f aca="false">N(BJ$4&lt;=Inputs!$E$55)</f>
        <v>0</v>
      </c>
      <c r="BK8" s="258" t="n">
        <f aca="false">N(BK$4&lt;=Inputs!$E$55)</f>
        <v>0</v>
      </c>
      <c r="BL8" s="258" t="n">
        <f aca="false">N(BL$4&lt;=Inputs!$E$55)</f>
        <v>0</v>
      </c>
      <c r="BM8" s="258" t="n">
        <f aca="false">N(BM$4&lt;=Inputs!$E$55)</f>
        <v>0</v>
      </c>
      <c r="BN8" s="258" t="n">
        <f aca="false">N(BN$4&lt;=Inputs!$E$55)</f>
        <v>0</v>
      </c>
      <c r="BO8" s="258" t="n">
        <f aca="false">N(BO$4&lt;=Inputs!$E$55)</f>
        <v>0</v>
      </c>
      <c r="BP8" s="258" t="n">
        <f aca="false">N(BP$4&lt;=Inputs!$E$55)</f>
        <v>0</v>
      </c>
    </row>
    <row r="9" customFormat="false" ht="15" hidden="false" customHeight="false" outlineLevel="0" collapsed="false">
      <c r="C9" s="257" t="s">
        <v>1039</v>
      </c>
      <c r="D9" s="257" t="s">
        <v>990</v>
      </c>
      <c r="E9" s="257"/>
      <c r="F9" s="257"/>
      <c r="G9" s="257"/>
      <c r="H9" s="258" t="n">
        <f aca="false">N(H$4&lt;=Inputs!$E$57)</f>
        <v>1</v>
      </c>
      <c r="I9" s="258" t="n">
        <f aca="false">N(I$4&lt;=Inputs!$E$57)</f>
        <v>1</v>
      </c>
      <c r="J9" s="258" t="n">
        <f aca="false">N(J$4&lt;=Inputs!$E$57)</f>
        <v>1</v>
      </c>
      <c r="K9" s="258" t="n">
        <f aca="false">N(K$4&lt;=Inputs!$E$57)</f>
        <v>1</v>
      </c>
      <c r="L9" s="258" t="n">
        <f aca="false">N(L$4&lt;=Inputs!$E$57)</f>
        <v>1</v>
      </c>
      <c r="M9" s="258" t="n">
        <f aca="false">N(M$4&lt;=Inputs!$E$57)</f>
        <v>1</v>
      </c>
      <c r="N9" s="258" t="n">
        <f aca="false">N(N$4&lt;=Inputs!$E$57)</f>
        <v>1</v>
      </c>
      <c r="O9" s="258" t="n">
        <f aca="false">N(O$4&lt;=Inputs!$E$57)</f>
        <v>1</v>
      </c>
      <c r="P9" s="258" t="n">
        <f aca="false">N(P$4&lt;=Inputs!$E$57)</f>
        <v>1</v>
      </c>
      <c r="Q9" s="258" t="n">
        <f aca="false">N(Q$4&lt;=Inputs!$E$57)</f>
        <v>1</v>
      </c>
      <c r="R9" s="258" t="n">
        <f aca="false">N(R$4&lt;=Inputs!$E$57)</f>
        <v>1</v>
      </c>
      <c r="S9" s="258" t="n">
        <f aca="false">N(S$4&lt;=Inputs!$E$57)</f>
        <v>1</v>
      </c>
      <c r="T9" s="258" t="n">
        <f aca="false">N(T$4&lt;=Inputs!$E$57)</f>
        <v>1</v>
      </c>
      <c r="U9" s="258" t="n">
        <f aca="false">N(U$4&lt;=Inputs!$E$57)</f>
        <v>1</v>
      </c>
      <c r="V9" s="258" t="n">
        <f aca="false">N(V$4&lt;=Inputs!$E$57)</f>
        <v>1</v>
      </c>
      <c r="W9" s="258" t="n">
        <f aca="false">N(W$4&lt;=Inputs!$E$57)</f>
        <v>1</v>
      </c>
      <c r="X9" s="258" t="n">
        <f aca="false">N(X$4&lt;=Inputs!$E$57)</f>
        <v>1</v>
      </c>
      <c r="Y9" s="258" t="n">
        <f aca="false">N(Y$4&lt;=Inputs!$E$57)</f>
        <v>1</v>
      </c>
      <c r="Z9" s="258" t="n">
        <f aca="false">N(Z$4&lt;=Inputs!$E$57)</f>
        <v>1</v>
      </c>
      <c r="AA9" s="258" t="n">
        <f aca="false">N(AA$4&lt;=Inputs!$E$57)</f>
        <v>1</v>
      </c>
      <c r="AB9" s="258" t="n">
        <f aca="false">N(AB$4&lt;=Inputs!$E$57)</f>
        <v>1</v>
      </c>
      <c r="AC9" s="258" t="n">
        <f aca="false">N(AC$4&lt;=Inputs!$E$57)</f>
        <v>1</v>
      </c>
      <c r="AD9" s="258" t="n">
        <f aca="false">N(AD$4&lt;=Inputs!$E$57)</f>
        <v>1</v>
      </c>
      <c r="AE9" s="258" t="n">
        <f aca="false">N(AE$4&lt;=Inputs!$E$57)</f>
        <v>1</v>
      </c>
      <c r="AF9" s="258" t="n">
        <f aca="false">N(AF$4&lt;=Inputs!$E$57)</f>
        <v>1</v>
      </c>
      <c r="AG9" s="258" t="n">
        <f aca="false">N(AG$4&lt;=Inputs!$E$57)</f>
        <v>1</v>
      </c>
      <c r="AH9" s="258" t="n">
        <f aca="false">N(AH$4&lt;=Inputs!$E$57)</f>
        <v>1</v>
      </c>
      <c r="AI9" s="258" t="n">
        <f aca="false">N(AI$4&lt;=Inputs!$E$57)</f>
        <v>1</v>
      </c>
      <c r="AJ9" s="258" t="n">
        <f aca="false">N(AJ$4&lt;=Inputs!$E$57)</f>
        <v>1</v>
      </c>
      <c r="AK9" s="258" t="n">
        <f aca="false">N(AK$4&lt;=Inputs!$E$57)</f>
        <v>1</v>
      </c>
      <c r="AL9" s="258" t="n">
        <f aca="false">N(AL$4&lt;=Inputs!$E$57)</f>
        <v>1</v>
      </c>
      <c r="AM9" s="258" t="n">
        <f aca="false">N(AM$4&lt;=Inputs!$E$57)</f>
        <v>1</v>
      </c>
      <c r="AN9" s="258" t="n">
        <f aca="false">N(AN$4&lt;=Inputs!$E$57)</f>
        <v>1</v>
      </c>
      <c r="AO9" s="258" t="n">
        <f aca="false">N(AO$4&lt;=Inputs!$E$57)</f>
        <v>1</v>
      </c>
      <c r="AP9" s="258" t="n">
        <f aca="false">N(AP$4&lt;=Inputs!$E$57)</f>
        <v>1</v>
      </c>
      <c r="AQ9" s="258" t="n">
        <f aca="false">N(AQ$4&lt;=Inputs!$E$57)</f>
        <v>1</v>
      </c>
      <c r="AR9" s="258" t="n">
        <f aca="false">N(AR$4&lt;=Inputs!$E$57)</f>
        <v>1</v>
      </c>
      <c r="AS9" s="258" t="n">
        <f aca="false">N(AS$4&lt;=Inputs!$E$57)</f>
        <v>1</v>
      </c>
      <c r="AT9" s="258" t="n">
        <f aca="false">N(AT$4&lt;=Inputs!$E$57)</f>
        <v>1</v>
      </c>
      <c r="AU9" s="258" t="n">
        <f aca="false">N(AU$4&lt;=Inputs!$E$57)</f>
        <v>0</v>
      </c>
      <c r="AV9" s="258" t="n">
        <f aca="false">N(AV$4&lt;=Inputs!$E$57)</f>
        <v>0</v>
      </c>
      <c r="AW9" s="258" t="n">
        <f aca="false">N(AW$4&lt;=Inputs!$E$57)</f>
        <v>0</v>
      </c>
      <c r="AX9" s="258" t="n">
        <f aca="false">N(AX$4&lt;=Inputs!$E$57)</f>
        <v>0</v>
      </c>
      <c r="AY9" s="258" t="n">
        <f aca="false">N(AY$4&lt;=Inputs!$E$57)</f>
        <v>0</v>
      </c>
      <c r="AZ9" s="258" t="n">
        <f aca="false">N(AZ$4&lt;=Inputs!$E$57)</f>
        <v>0</v>
      </c>
      <c r="BA9" s="258" t="n">
        <f aca="false">N(BA$4&lt;=Inputs!$E$57)</f>
        <v>0</v>
      </c>
      <c r="BB9" s="258" t="n">
        <f aca="false">N(BB$4&lt;=Inputs!$E$57)</f>
        <v>0</v>
      </c>
      <c r="BC9" s="258" t="n">
        <f aca="false">N(BC$4&lt;=Inputs!$E$57)</f>
        <v>0</v>
      </c>
      <c r="BD9" s="258" t="n">
        <f aca="false">N(BD$4&lt;=Inputs!$E$57)</f>
        <v>0</v>
      </c>
      <c r="BE9" s="258" t="n">
        <f aca="false">N(BE$4&lt;=Inputs!$E$57)</f>
        <v>0</v>
      </c>
      <c r="BF9" s="258" t="n">
        <f aca="false">N(BF$4&lt;=Inputs!$E$57)</f>
        <v>0</v>
      </c>
      <c r="BG9" s="258" t="n">
        <f aca="false">N(BG$4&lt;=Inputs!$E$57)</f>
        <v>0</v>
      </c>
      <c r="BH9" s="258" t="n">
        <f aca="false">N(BH$4&lt;=Inputs!$E$57)</f>
        <v>0</v>
      </c>
      <c r="BI9" s="258" t="n">
        <f aca="false">N(BI$4&lt;=Inputs!$E$57)</f>
        <v>0</v>
      </c>
      <c r="BJ9" s="258" t="n">
        <f aca="false">N(BJ$4&lt;=Inputs!$E$57)</f>
        <v>0</v>
      </c>
      <c r="BK9" s="258" t="n">
        <f aca="false">N(BK$4&lt;=Inputs!$E$57)</f>
        <v>0</v>
      </c>
      <c r="BL9" s="258" t="n">
        <f aca="false">N(BL$4&lt;=Inputs!$E$57)</f>
        <v>0</v>
      </c>
      <c r="BM9" s="258" t="n">
        <f aca="false">N(BM$4&lt;=Inputs!$E$57)</f>
        <v>0</v>
      </c>
      <c r="BN9" s="258" t="n">
        <f aca="false">N(BN$4&lt;=Inputs!$E$57)</f>
        <v>0</v>
      </c>
      <c r="BO9" s="258" t="n">
        <f aca="false">N(BO$4&lt;=Inputs!$E$57)</f>
        <v>0</v>
      </c>
      <c r="BP9" s="258" t="n">
        <f aca="false">N(BP$4&lt;=Inputs!$E$57)</f>
        <v>0</v>
      </c>
    </row>
    <row r="10" customFormat="false" ht="15" hidden="false" customHeight="false" outlineLevel="0" collapsed="false">
      <c r="C10" s="257" t="s">
        <v>1040</v>
      </c>
      <c r="D10" s="257" t="s">
        <v>990</v>
      </c>
      <c r="E10" s="257"/>
      <c r="F10" s="257"/>
      <c r="G10" s="257"/>
      <c r="H10" s="258" t="n">
        <f aca="false">N(H$5&lt;=Inputs!$E$64)</f>
        <v>1</v>
      </c>
      <c r="I10" s="258" t="n">
        <f aca="false">N(I$5&lt;=Inputs!$E$64)</f>
        <v>1</v>
      </c>
      <c r="J10" s="258" t="n">
        <f aca="false">N(J$5&lt;=Inputs!$E$64)</f>
        <v>1</v>
      </c>
      <c r="K10" s="258" t="n">
        <f aca="false">N(K$5&lt;=Inputs!$E$64)</f>
        <v>1</v>
      </c>
      <c r="L10" s="258" t="n">
        <f aca="false">N(L$5&lt;=Inputs!$E$64)</f>
        <v>1</v>
      </c>
      <c r="M10" s="258" t="n">
        <f aca="false">N(M$5&lt;=Inputs!$E$64)</f>
        <v>1</v>
      </c>
      <c r="N10" s="258" t="n">
        <f aca="false">N(N$5&lt;=Inputs!$E$64)</f>
        <v>1</v>
      </c>
      <c r="O10" s="258" t="n">
        <f aca="false">N(O$5&lt;=Inputs!$E$64)</f>
        <v>1</v>
      </c>
      <c r="P10" s="258" t="n">
        <f aca="false">N(P$5&lt;=Inputs!$E$64)</f>
        <v>1</v>
      </c>
      <c r="Q10" s="258" t="n">
        <f aca="false">N(Q$5&lt;=Inputs!$E$64)</f>
        <v>1</v>
      </c>
      <c r="R10" s="258" t="n">
        <f aca="false">N(R$5&lt;=Inputs!$E$64)</f>
        <v>1</v>
      </c>
      <c r="S10" s="258" t="n">
        <f aca="false">N(S$5&lt;=Inputs!$E$64)</f>
        <v>1</v>
      </c>
      <c r="T10" s="258" t="n">
        <f aca="false">N(T$5&lt;=Inputs!$E$64)</f>
        <v>1</v>
      </c>
      <c r="U10" s="258" t="n">
        <f aca="false">N(U$5&lt;=Inputs!$E$64)</f>
        <v>1</v>
      </c>
      <c r="V10" s="258" t="n">
        <f aca="false">N(V$5&lt;=Inputs!$E$64)</f>
        <v>1</v>
      </c>
      <c r="W10" s="258" t="n">
        <f aca="false">N(W$5&lt;=Inputs!$E$64)</f>
        <v>1</v>
      </c>
      <c r="X10" s="258" t="n">
        <f aca="false">N(X$5&lt;=Inputs!$E$64)</f>
        <v>1</v>
      </c>
      <c r="Y10" s="258" t="n">
        <f aca="false">N(Y$5&lt;=Inputs!$E$64)</f>
        <v>1</v>
      </c>
      <c r="Z10" s="258" t="n">
        <f aca="false">N(Z$5&lt;=Inputs!$E$64)</f>
        <v>1</v>
      </c>
      <c r="AA10" s="258" t="n">
        <f aca="false">N(AA$5&lt;=Inputs!$E$64)</f>
        <v>1</v>
      </c>
      <c r="AB10" s="258" t="n">
        <f aca="false">N(AB$5&lt;=Inputs!$E$64)</f>
        <v>1</v>
      </c>
      <c r="AC10" s="258" t="n">
        <f aca="false">N(AC$5&lt;=Inputs!$E$64)</f>
        <v>1</v>
      </c>
      <c r="AD10" s="258" t="n">
        <f aca="false">N(AD$5&lt;=Inputs!$E$64)</f>
        <v>1</v>
      </c>
      <c r="AE10" s="258" t="n">
        <f aca="false">N(AE$5&lt;=Inputs!$E$64)</f>
        <v>1</v>
      </c>
      <c r="AF10" s="258" t="n">
        <f aca="false">N(AF$5&lt;=Inputs!$E$64)</f>
        <v>1</v>
      </c>
      <c r="AG10" s="258" t="n">
        <f aca="false">N(AG$5&lt;=Inputs!$E$64)</f>
        <v>1</v>
      </c>
      <c r="AH10" s="258" t="n">
        <f aca="false">N(AH$5&lt;=Inputs!$E$64)</f>
        <v>1</v>
      </c>
      <c r="AI10" s="258" t="n">
        <f aca="false">N(AI$5&lt;=Inputs!$E$64)</f>
        <v>1</v>
      </c>
      <c r="AJ10" s="258" t="n">
        <f aca="false">N(AJ$5&lt;=Inputs!$E$64)</f>
        <v>1</v>
      </c>
      <c r="AK10" s="258" t="n">
        <f aca="false">N(AK$5&lt;=Inputs!$E$64)</f>
        <v>1</v>
      </c>
      <c r="AL10" s="258" t="n">
        <f aca="false">N(AL$5&lt;=Inputs!$E$64)</f>
        <v>1</v>
      </c>
      <c r="AM10" s="258" t="n">
        <f aca="false">N(AM$5&lt;=Inputs!$E$64)</f>
        <v>1</v>
      </c>
      <c r="AN10" s="258" t="n">
        <f aca="false">N(AN$5&lt;=Inputs!$E$64)</f>
        <v>1</v>
      </c>
      <c r="AO10" s="258" t="n">
        <f aca="false">N(AO$5&lt;=Inputs!$E$64)</f>
        <v>1</v>
      </c>
      <c r="AP10" s="258" t="n">
        <f aca="false">N(AP$5&lt;=Inputs!$E$64)</f>
        <v>1</v>
      </c>
      <c r="AQ10" s="258" t="n">
        <f aca="false">N(AQ$5&lt;=Inputs!$E$64)</f>
        <v>1</v>
      </c>
      <c r="AR10" s="258" t="n">
        <f aca="false">N(AR$5&lt;=Inputs!$E$64)</f>
        <v>0</v>
      </c>
      <c r="AS10" s="258" t="n">
        <f aca="false">N(AS$5&lt;=Inputs!$E$64)</f>
        <v>0</v>
      </c>
      <c r="AT10" s="258" t="n">
        <f aca="false">N(AT$5&lt;=Inputs!$E$64)</f>
        <v>0</v>
      </c>
      <c r="AU10" s="258" t="n">
        <f aca="false">N(AU$5&lt;=Inputs!$E$64)</f>
        <v>0</v>
      </c>
      <c r="AV10" s="258" t="n">
        <f aca="false">N(AV$5&lt;=Inputs!$E$64)</f>
        <v>0</v>
      </c>
      <c r="AW10" s="258" t="n">
        <f aca="false">N(AW$5&lt;=Inputs!$E$64)</f>
        <v>0</v>
      </c>
      <c r="AX10" s="258" t="n">
        <f aca="false">N(AX$5&lt;=Inputs!$E$64)</f>
        <v>0</v>
      </c>
      <c r="AY10" s="258" t="n">
        <f aca="false">N(AY$5&lt;=Inputs!$E$64)</f>
        <v>0</v>
      </c>
      <c r="AZ10" s="258" t="n">
        <f aca="false">N(AZ$5&lt;=Inputs!$E$64)</f>
        <v>0</v>
      </c>
      <c r="BA10" s="258" t="n">
        <f aca="false">N(BA$5&lt;=Inputs!$E$64)</f>
        <v>0</v>
      </c>
      <c r="BB10" s="258" t="n">
        <f aca="false">N(BB$5&lt;=Inputs!$E$64)</f>
        <v>0</v>
      </c>
      <c r="BC10" s="258" t="n">
        <f aca="false">N(BC$5&lt;=Inputs!$E$64)</f>
        <v>0</v>
      </c>
      <c r="BD10" s="258" t="n">
        <f aca="false">N(BD$5&lt;=Inputs!$E$64)</f>
        <v>0</v>
      </c>
      <c r="BE10" s="258" t="n">
        <f aca="false">N(BE$5&lt;=Inputs!$E$64)</f>
        <v>0</v>
      </c>
      <c r="BF10" s="258" t="n">
        <f aca="false">N(BF$5&lt;=Inputs!$E$64)</f>
        <v>0</v>
      </c>
      <c r="BG10" s="258" t="n">
        <f aca="false">N(BG$5&lt;=Inputs!$E$64)</f>
        <v>0</v>
      </c>
      <c r="BH10" s="258" t="n">
        <f aca="false">N(BH$5&lt;=Inputs!$E$64)</f>
        <v>0</v>
      </c>
      <c r="BI10" s="258" t="n">
        <f aca="false">N(BI$5&lt;=Inputs!$E$64)</f>
        <v>0</v>
      </c>
      <c r="BJ10" s="258" t="n">
        <f aca="false">N(BJ$5&lt;=Inputs!$E$64)</f>
        <v>0</v>
      </c>
      <c r="BK10" s="258" t="n">
        <f aca="false">N(BK$5&lt;=Inputs!$E$64)</f>
        <v>0</v>
      </c>
      <c r="BL10" s="258" t="n">
        <f aca="false">N(BL$5&lt;=Inputs!$E$64)</f>
        <v>0</v>
      </c>
      <c r="BM10" s="258" t="n">
        <f aca="false">N(BM$5&lt;=Inputs!$E$64)</f>
        <v>0</v>
      </c>
      <c r="BN10" s="258" t="n">
        <f aca="false">N(BN$5&lt;=Inputs!$E$64)</f>
        <v>0</v>
      </c>
      <c r="BO10" s="258" t="n">
        <f aca="false">N(BO$5&lt;=Inputs!$E$64)</f>
        <v>0</v>
      </c>
      <c r="BP10" s="258" t="n">
        <f aca="false">N(BP$5&lt;=Inputs!$E$64)</f>
        <v>0</v>
      </c>
    </row>
    <row r="11" customFormat="false" ht="15" hidden="false" customHeight="false" outlineLevel="0" collapsed="false">
      <c r="C11" s="136" t="s">
        <v>1041</v>
      </c>
      <c r="D11" s="136"/>
      <c r="E11" s="136" t="s">
        <v>1042</v>
      </c>
      <c r="F11" s="136" t="s">
        <v>1043</v>
      </c>
      <c r="G11" s="136" t="s">
        <v>299</v>
      </c>
      <c r="H11" s="136"/>
      <c r="I11" s="136"/>
      <c r="J11" s="136"/>
      <c r="K11" s="136"/>
      <c r="L11" s="136"/>
      <c r="M11" s="136"/>
      <c r="N11" s="136"/>
      <c r="O11" s="136"/>
      <c r="P11" s="136"/>
      <c r="Q11" s="136"/>
      <c r="R11" s="136"/>
      <c r="S11" s="136"/>
      <c r="T11" s="136"/>
      <c r="U11" s="136"/>
      <c r="V11" s="136"/>
      <c r="W11" s="136"/>
      <c r="X11" s="136"/>
      <c r="Y11" s="136"/>
      <c r="Z11" s="136"/>
      <c r="AA11" s="136"/>
      <c r="AB11" s="136"/>
      <c r="AC11" s="136"/>
      <c r="AD11" s="136"/>
      <c r="AE11" s="136"/>
      <c r="AF11" s="136"/>
      <c r="AG11" s="136"/>
      <c r="AH11" s="136"/>
      <c r="AI11" s="136"/>
      <c r="AJ11" s="136"/>
      <c r="AK11" s="136"/>
      <c r="AL11" s="136"/>
      <c r="AM11" s="136"/>
      <c r="AN11" s="136"/>
      <c r="AO11" s="136"/>
      <c r="AP11" s="136"/>
      <c r="AQ11" s="136"/>
      <c r="AR11" s="136"/>
      <c r="AS11" s="136"/>
      <c r="AT11" s="136"/>
      <c r="AU11" s="136"/>
      <c r="AV11" s="136"/>
      <c r="AW11" s="136"/>
      <c r="AX11" s="136"/>
      <c r="AY11" s="136"/>
      <c r="AZ11" s="136"/>
      <c r="BA11" s="136"/>
      <c r="BB11" s="136"/>
      <c r="BC11" s="136"/>
      <c r="BD11" s="136"/>
      <c r="BE11" s="136"/>
      <c r="BF11" s="136"/>
      <c r="BG11" s="136"/>
      <c r="BH11" s="136"/>
      <c r="BI11" s="136"/>
      <c r="BJ11" s="136"/>
      <c r="BK11" s="136"/>
      <c r="BL11" s="136"/>
      <c r="BM11" s="136"/>
      <c r="BN11" s="136"/>
      <c r="BO11" s="136"/>
      <c r="BP11" s="136"/>
    </row>
    <row r="12" customFormat="false" ht="15" hidden="false" customHeight="false" outlineLevel="1" collapsed="false">
      <c r="C12" s="224" t="str">
        <f aca="false">Inputs!C41</f>
        <v>Milestone 1 devex</v>
      </c>
      <c r="D12" s="133" t="s">
        <v>125</v>
      </c>
      <c r="E12" s="153" t="n">
        <f aca="false">Inputs!E49</f>
        <v>0</v>
      </c>
      <c r="F12" s="158" t="n">
        <f aca="false">Inputs!E41*Inputs!$E$16</f>
        <v>0</v>
      </c>
      <c r="G12" s="158" t="n">
        <f aca="false">SUM(H12:BP12)</f>
        <v>0</v>
      </c>
      <c r="H12" s="158" t="n">
        <f aca="false">IF(H$4=$E12,$F12,0)</f>
        <v>0</v>
      </c>
      <c r="I12" s="158" t="n">
        <f aca="false">IF(I$4=$E12,$F12,0)</f>
        <v>0</v>
      </c>
      <c r="J12" s="158" t="n">
        <f aca="false">IF(J$4=$E12,$F12,0)</f>
        <v>0</v>
      </c>
      <c r="K12" s="158" t="n">
        <f aca="false">IF(K$4=$E12,$F12,0)</f>
        <v>0</v>
      </c>
      <c r="L12" s="158" t="n">
        <f aca="false">IF(L$4=$E12,$F12,0)</f>
        <v>0</v>
      </c>
      <c r="M12" s="158" t="n">
        <f aca="false">IF(M$4=$E12,$F12,0)</f>
        <v>0</v>
      </c>
      <c r="N12" s="158" t="n">
        <f aca="false">IF(N$4=$E12,$F12,0)</f>
        <v>0</v>
      </c>
      <c r="O12" s="158" t="n">
        <f aca="false">IF(O$4=$E12,$F12,0)</f>
        <v>0</v>
      </c>
      <c r="P12" s="158" t="n">
        <f aca="false">IF(P$4=$E12,$F12,0)</f>
        <v>0</v>
      </c>
      <c r="Q12" s="158" t="n">
        <f aca="false">IF(Q$4=$E12,$F12,0)</f>
        <v>0</v>
      </c>
      <c r="R12" s="158" t="n">
        <f aca="false">IF(R$4=$E12,$F12,0)</f>
        <v>0</v>
      </c>
      <c r="S12" s="158" t="n">
        <f aca="false">IF(S$4=$E12,$F12,0)</f>
        <v>0</v>
      </c>
      <c r="T12" s="158" t="n">
        <f aca="false">IF(T$4=$E12,$F12,0)</f>
        <v>0</v>
      </c>
      <c r="U12" s="158" t="n">
        <f aca="false">IF(U$4=$E12,$F12,0)</f>
        <v>0</v>
      </c>
      <c r="V12" s="158" t="n">
        <f aca="false">IF(V$4=$E12,$F12,0)</f>
        <v>0</v>
      </c>
      <c r="W12" s="158" t="n">
        <f aca="false">IF(W$4=$E12,$F12,0)</f>
        <v>0</v>
      </c>
      <c r="X12" s="158" t="n">
        <f aca="false">IF(X$4=$E12,$F12,0)</f>
        <v>0</v>
      </c>
      <c r="Y12" s="158" t="n">
        <f aca="false">IF(Y$4=$E12,$F12,0)</f>
        <v>0</v>
      </c>
      <c r="Z12" s="158" t="n">
        <f aca="false">IF(Z$4=$E12,$F12,0)</f>
        <v>0</v>
      </c>
      <c r="AA12" s="158" t="n">
        <f aca="false">IF(AA$4=$E12,$F12,0)</f>
        <v>0</v>
      </c>
      <c r="AB12" s="158" t="n">
        <f aca="false">IF(AB$4=$E12,$F12,0)</f>
        <v>0</v>
      </c>
      <c r="AC12" s="158" t="n">
        <f aca="false">IF(AC$4=$E12,$F12,0)</f>
        <v>0</v>
      </c>
      <c r="AD12" s="158" t="n">
        <f aca="false">IF(AD$4=$E12,$F12,0)</f>
        <v>0</v>
      </c>
      <c r="AE12" s="158" t="n">
        <f aca="false">IF(AE$4=$E12,$F12,0)</f>
        <v>0</v>
      </c>
      <c r="AF12" s="158" t="n">
        <f aca="false">IF(AF$4=$E12,$F12,0)</f>
        <v>0</v>
      </c>
      <c r="AG12" s="158" t="n">
        <f aca="false">IF(AG$4=$E12,$F12,0)</f>
        <v>0</v>
      </c>
      <c r="AH12" s="158" t="n">
        <f aca="false">IF(AH$4=$E12,$F12,0)</f>
        <v>0</v>
      </c>
      <c r="AI12" s="158" t="n">
        <f aca="false">IF(AI$4=$E12,$F12,0)</f>
        <v>0</v>
      </c>
      <c r="AJ12" s="158" t="n">
        <f aca="false">IF(AJ$4=$E12,$F12,0)</f>
        <v>0</v>
      </c>
      <c r="AK12" s="158" t="n">
        <f aca="false">IF(AK$4=$E12,$F12,0)</f>
        <v>0</v>
      </c>
      <c r="AL12" s="158" t="n">
        <f aca="false">IF(AL$4=$E12,$F12,0)</f>
        <v>0</v>
      </c>
      <c r="AM12" s="158" t="n">
        <f aca="false">IF(AM$4=$E12,$F12,0)</f>
        <v>0</v>
      </c>
      <c r="AN12" s="158" t="n">
        <f aca="false">IF(AN$4=$E12,$F12,0)</f>
        <v>0</v>
      </c>
      <c r="AO12" s="158" t="n">
        <f aca="false">IF(AO$4=$E12,$F12,0)</f>
        <v>0</v>
      </c>
      <c r="AP12" s="158" t="n">
        <f aca="false">IF(AP$4=$E12,$F12,0)</f>
        <v>0</v>
      </c>
      <c r="AQ12" s="158" t="n">
        <f aca="false">IF(AQ$4=$E12,$F12,0)</f>
        <v>0</v>
      </c>
      <c r="AR12" s="158" t="n">
        <f aca="false">IF(AR$4=$E12,$F12,0)</f>
        <v>0</v>
      </c>
      <c r="AS12" s="158" t="n">
        <f aca="false">IF(AS$4=$E12,$F12,0)</f>
        <v>0</v>
      </c>
      <c r="AT12" s="158" t="n">
        <f aca="false">IF(AT$4=$E12,$F12,0)</f>
        <v>0</v>
      </c>
      <c r="AU12" s="158" t="n">
        <f aca="false">IF(AU$4=$E12,$F12,0)</f>
        <v>0</v>
      </c>
      <c r="AV12" s="158" t="n">
        <f aca="false">IF(AV$4=$E12,$F12,0)</f>
        <v>0</v>
      </c>
      <c r="AW12" s="158" t="n">
        <f aca="false">IF(AW$4=$E12,$F12,0)</f>
        <v>0</v>
      </c>
      <c r="AX12" s="158" t="n">
        <f aca="false">IF(AX$4=$E12,$F12,0)</f>
        <v>0</v>
      </c>
      <c r="AY12" s="158" t="n">
        <f aca="false">IF(AY$4=$E12,$F12,0)</f>
        <v>0</v>
      </c>
      <c r="AZ12" s="158" t="n">
        <f aca="false">IF(AZ$4=$E12,$F12,0)</f>
        <v>0</v>
      </c>
      <c r="BA12" s="158" t="n">
        <f aca="false">IF(BA$4=$E12,$F12,0)</f>
        <v>0</v>
      </c>
      <c r="BB12" s="158" t="n">
        <f aca="false">IF(BB$4=$E12,$F12,0)</f>
        <v>0</v>
      </c>
      <c r="BC12" s="158" t="n">
        <f aca="false">IF(BC$4=$E12,$F12,0)</f>
        <v>0</v>
      </c>
      <c r="BD12" s="158" t="n">
        <f aca="false">IF(BD$4=$E12,$F12,0)</f>
        <v>0</v>
      </c>
      <c r="BE12" s="158" t="n">
        <f aca="false">IF(BE$4=$E12,$F12,0)</f>
        <v>0</v>
      </c>
      <c r="BF12" s="158" t="n">
        <f aca="false">IF(BF$4=$E12,$F12,0)</f>
        <v>0</v>
      </c>
      <c r="BG12" s="158" t="n">
        <f aca="false">IF(BG$4=$E12,$F12,0)</f>
        <v>0</v>
      </c>
      <c r="BH12" s="158" t="n">
        <f aca="false">IF(BH$4=$E12,$F12,0)</f>
        <v>0</v>
      </c>
      <c r="BI12" s="158" t="n">
        <f aca="false">IF(BI$4=$E12,$F12,0)</f>
        <v>0</v>
      </c>
      <c r="BJ12" s="158" t="n">
        <f aca="false">IF(BJ$4=$E12,$F12,0)</f>
        <v>0</v>
      </c>
      <c r="BK12" s="158" t="n">
        <f aca="false">IF(BK$4=$E12,$F12,0)</f>
        <v>0</v>
      </c>
      <c r="BL12" s="158" t="n">
        <f aca="false">IF(BL$4=$E12,$F12,0)</f>
        <v>0</v>
      </c>
      <c r="BM12" s="158" t="n">
        <f aca="false">IF(BM$4=$E12,$F12,0)</f>
        <v>0</v>
      </c>
      <c r="BN12" s="158" t="n">
        <f aca="false">IF(BN$4=$E12,$F12,0)</f>
        <v>0</v>
      </c>
      <c r="BO12" s="158" t="n">
        <f aca="false">IF(BO$4=$E12,$F12,0)</f>
        <v>0</v>
      </c>
      <c r="BP12" s="158" t="n">
        <f aca="false">IF(BP$4=$E12,$F12,0)</f>
        <v>0</v>
      </c>
    </row>
    <row r="13" customFormat="false" ht="15" hidden="false" customHeight="false" outlineLevel="1" collapsed="false">
      <c r="C13" s="224" t="str">
        <f aca="false">Inputs!C42</f>
        <v>Milestone 2 devex</v>
      </c>
      <c r="D13" s="133" t="s">
        <v>125</v>
      </c>
      <c r="E13" s="153" t="n">
        <f aca="false">E12+Inputs!E50</f>
        <v>6</v>
      </c>
      <c r="F13" s="158" t="n">
        <f aca="false">Inputs!E42*Inputs!$E$16</f>
        <v>0</v>
      </c>
      <c r="G13" s="158" t="n">
        <f aca="false">SUM(H13:BP13)</f>
        <v>0</v>
      </c>
      <c r="H13" s="158" t="n">
        <f aca="false">IF(H$4=$E13,$F13,0)</f>
        <v>0</v>
      </c>
      <c r="I13" s="158" t="n">
        <f aca="false">IF(I$4=$E13,$F13,0)</f>
        <v>0</v>
      </c>
      <c r="J13" s="158" t="n">
        <f aca="false">IF(J$4=$E13,$F13,0)</f>
        <v>0</v>
      </c>
      <c r="K13" s="158" t="n">
        <f aca="false">IF(K$4=$E13,$F13,0)</f>
        <v>0</v>
      </c>
      <c r="L13" s="158" t="n">
        <f aca="false">IF(L$4=$E13,$F13,0)</f>
        <v>0</v>
      </c>
      <c r="M13" s="158" t="n">
        <f aca="false">IF(M$4=$E13,$F13,0)</f>
        <v>0</v>
      </c>
      <c r="N13" s="158" t="n">
        <f aca="false">IF(N$4=$E13,$F13,0)</f>
        <v>0</v>
      </c>
      <c r="O13" s="158" t="n">
        <f aca="false">IF(O$4=$E13,$F13,0)</f>
        <v>0</v>
      </c>
      <c r="P13" s="158" t="n">
        <f aca="false">IF(P$4=$E13,$F13,0)</f>
        <v>0</v>
      </c>
      <c r="Q13" s="158" t="n">
        <f aca="false">IF(Q$4=$E13,$F13,0)</f>
        <v>0</v>
      </c>
      <c r="R13" s="158" t="n">
        <f aca="false">IF(R$4=$E13,$F13,0)</f>
        <v>0</v>
      </c>
      <c r="S13" s="158" t="n">
        <f aca="false">IF(S$4=$E13,$F13,0)</f>
        <v>0</v>
      </c>
      <c r="T13" s="158" t="n">
        <f aca="false">IF(T$4=$E13,$F13,0)</f>
        <v>0</v>
      </c>
      <c r="U13" s="158" t="n">
        <f aca="false">IF(U$4=$E13,$F13,0)</f>
        <v>0</v>
      </c>
      <c r="V13" s="158" t="n">
        <f aca="false">IF(V$4=$E13,$F13,0)</f>
        <v>0</v>
      </c>
      <c r="W13" s="158" t="n">
        <f aca="false">IF(W$4=$E13,$F13,0)</f>
        <v>0</v>
      </c>
      <c r="X13" s="158" t="n">
        <f aca="false">IF(X$4=$E13,$F13,0)</f>
        <v>0</v>
      </c>
      <c r="Y13" s="158" t="n">
        <f aca="false">IF(Y$4=$E13,$F13,0)</f>
        <v>0</v>
      </c>
      <c r="Z13" s="158" t="n">
        <f aca="false">IF(Z$4=$E13,$F13,0)</f>
        <v>0</v>
      </c>
      <c r="AA13" s="158" t="n">
        <f aca="false">IF(AA$4=$E13,$F13,0)</f>
        <v>0</v>
      </c>
      <c r="AB13" s="158" t="n">
        <f aca="false">IF(AB$4=$E13,$F13,0)</f>
        <v>0</v>
      </c>
      <c r="AC13" s="158" t="n">
        <f aca="false">IF(AC$4=$E13,$F13,0)</f>
        <v>0</v>
      </c>
      <c r="AD13" s="158" t="n">
        <f aca="false">IF(AD$4=$E13,$F13,0)</f>
        <v>0</v>
      </c>
      <c r="AE13" s="158" t="n">
        <f aca="false">IF(AE$4=$E13,$F13,0)</f>
        <v>0</v>
      </c>
      <c r="AF13" s="158" t="n">
        <f aca="false">IF(AF$4=$E13,$F13,0)</f>
        <v>0</v>
      </c>
      <c r="AG13" s="158" t="n">
        <f aca="false">IF(AG$4=$E13,$F13,0)</f>
        <v>0</v>
      </c>
      <c r="AH13" s="158" t="n">
        <f aca="false">IF(AH$4=$E13,$F13,0)</f>
        <v>0</v>
      </c>
      <c r="AI13" s="158" t="n">
        <f aca="false">IF(AI$4=$E13,$F13,0)</f>
        <v>0</v>
      </c>
      <c r="AJ13" s="158" t="n">
        <f aca="false">IF(AJ$4=$E13,$F13,0)</f>
        <v>0</v>
      </c>
      <c r="AK13" s="158" t="n">
        <f aca="false">IF(AK$4=$E13,$F13,0)</f>
        <v>0</v>
      </c>
      <c r="AL13" s="158" t="n">
        <f aca="false">IF(AL$4=$E13,$F13,0)</f>
        <v>0</v>
      </c>
      <c r="AM13" s="158" t="n">
        <f aca="false">IF(AM$4=$E13,$F13,0)</f>
        <v>0</v>
      </c>
      <c r="AN13" s="158" t="n">
        <f aca="false">IF(AN$4=$E13,$F13,0)</f>
        <v>0</v>
      </c>
      <c r="AO13" s="158" t="n">
        <f aca="false">IF(AO$4=$E13,$F13,0)</f>
        <v>0</v>
      </c>
      <c r="AP13" s="158" t="n">
        <f aca="false">IF(AP$4=$E13,$F13,0)</f>
        <v>0</v>
      </c>
      <c r="AQ13" s="158" t="n">
        <f aca="false">IF(AQ$4=$E13,$F13,0)</f>
        <v>0</v>
      </c>
      <c r="AR13" s="158" t="n">
        <f aca="false">IF(AR$4=$E13,$F13,0)</f>
        <v>0</v>
      </c>
      <c r="AS13" s="158" t="n">
        <f aca="false">IF(AS$4=$E13,$F13,0)</f>
        <v>0</v>
      </c>
      <c r="AT13" s="158" t="n">
        <f aca="false">IF(AT$4=$E13,$F13,0)</f>
        <v>0</v>
      </c>
      <c r="AU13" s="158" t="n">
        <f aca="false">IF(AU$4=$E13,$F13,0)</f>
        <v>0</v>
      </c>
      <c r="AV13" s="158" t="n">
        <f aca="false">IF(AV$4=$E13,$F13,0)</f>
        <v>0</v>
      </c>
      <c r="AW13" s="158" t="n">
        <f aca="false">IF(AW$4=$E13,$F13,0)</f>
        <v>0</v>
      </c>
      <c r="AX13" s="158" t="n">
        <f aca="false">IF(AX$4=$E13,$F13,0)</f>
        <v>0</v>
      </c>
      <c r="AY13" s="158" t="n">
        <f aca="false">IF(AY$4=$E13,$F13,0)</f>
        <v>0</v>
      </c>
      <c r="AZ13" s="158" t="n">
        <f aca="false">IF(AZ$4=$E13,$F13,0)</f>
        <v>0</v>
      </c>
      <c r="BA13" s="158" t="n">
        <f aca="false">IF(BA$4=$E13,$F13,0)</f>
        <v>0</v>
      </c>
      <c r="BB13" s="158" t="n">
        <f aca="false">IF(BB$4=$E13,$F13,0)</f>
        <v>0</v>
      </c>
      <c r="BC13" s="158" t="n">
        <f aca="false">IF(BC$4=$E13,$F13,0)</f>
        <v>0</v>
      </c>
      <c r="BD13" s="158" t="n">
        <f aca="false">IF(BD$4=$E13,$F13,0)</f>
        <v>0</v>
      </c>
      <c r="BE13" s="158" t="n">
        <f aca="false">IF(BE$4=$E13,$F13,0)</f>
        <v>0</v>
      </c>
      <c r="BF13" s="158" t="n">
        <f aca="false">IF(BF$4=$E13,$F13,0)</f>
        <v>0</v>
      </c>
      <c r="BG13" s="158" t="n">
        <f aca="false">IF(BG$4=$E13,$F13,0)</f>
        <v>0</v>
      </c>
      <c r="BH13" s="158" t="n">
        <f aca="false">IF(BH$4=$E13,$F13,0)</f>
        <v>0</v>
      </c>
      <c r="BI13" s="158" t="n">
        <f aca="false">IF(BI$4=$E13,$F13,0)</f>
        <v>0</v>
      </c>
      <c r="BJ13" s="158" t="n">
        <f aca="false">IF(BJ$4=$E13,$F13,0)</f>
        <v>0</v>
      </c>
      <c r="BK13" s="158" t="n">
        <f aca="false">IF(BK$4=$E13,$F13,0)</f>
        <v>0</v>
      </c>
      <c r="BL13" s="158" t="n">
        <f aca="false">IF(BL$4=$E13,$F13,0)</f>
        <v>0</v>
      </c>
      <c r="BM13" s="158" t="n">
        <f aca="false">IF(BM$4=$E13,$F13,0)</f>
        <v>0</v>
      </c>
      <c r="BN13" s="158" t="n">
        <f aca="false">IF(BN$4=$E13,$F13,0)</f>
        <v>0</v>
      </c>
      <c r="BO13" s="158" t="n">
        <f aca="false">IF(BO$4=$E13,$F13,0)</f>
        <v>0</v>
      </c>
      <c r="BP13" s="158" t="n">
        <f aca="false">IF(BP$4=$E13,$F13,0)</f>
        <v>0</v>
      </c>
    </row>
    <row r="14" customFormat="false" ht="15" hidden="false" customHeight="false" outlineLevel="1" collapsed="false">
      <c r="C14" s="224" t="str">
        <f aca="false">Inputs!C43</f>
        <v>Milestone 3 devex</v>
      </c>
      <c r="D14" s="133" t="s">
        <v>125</v>
      </c>
      <c r="E14" s="153" t="n">
        <f aca="false">E13+Inputs!E51</f>
        <v>12</v>
      </c>
      <c r="F14" s="158" t="n">
        <f aca="false">Inputs!E43*Inputs!$E$16</f>
        <v>0</v>
      </c>
      <c r="G14" s="158" t="n">
        <f aca="false">SUM(H14:BP14)</f>
        <v>0</v>
      </c>
      <c r="H14" s="158" t="n">
        <f aca="false">IF(H$4=$E14,$F14,0)</f>
        <v>0</v>
      </c>
      <c r="I14" s="158" t="n">
        <f aca="false">IF(I$4=$E14,$F14,0)</f>
        <v>0</v>
      </c>
      <c r="J14" s="158" t="n">
        <f aca="false">IF(J$4=$E14,$F14,0)</f>
        <v>0</v>
      </c>
      <c r="K14" s="158" t="n">
        <f aca="false">IF(K$4=$E14,$F14,0)</f>
        <v>0</v>
      </c>
      <c r="L14" s="158" t="n">
        <f aca="false">IF(L$4=$E14,$F14,0)</f>
        <v>0</v>
      </c>
      <c r="M14" s="158" t="n">
        <f aca="false">IF(M$4=$E14,$F14,0)</f>
        <v>0</v>
      </c>
      <c r="N14" s="158" t="n">
        <f aca="false">IF(N$4=$E14,$F14,0)</f>
        <v>0</v>
      </c>
      <c r="O14" s="158" t="n">
        <f aca="false">IF(O$4=$E14,$F14,0)</f>
        <v>0</v>
      </c>
      <c r="P14" s="158" t="n">
        <f aca="false">IF(P$4=$E14,$F14,0)</f>
        <v>0</v>
      </c>
      <c r="Q14" s="158" t="n">
        <f aca="false">IF(Q$4=$E14,$F14,0)</f>
        <v>0</v>
      </c>
      <c r="R14" s="158" t="n">
        <f aca="false">IF(R$4=$E14,$F14,0)</f>
        <v>0</v>
      </c>
      <c r="S14" s="158" t="n">
        <f aca="false">IF(S$4=$E14,$F14,0)</f>
        <v>0</v>
      </c>
      <c r="T14" s="158" t="n">
        <f aca="false">IF(T$4=$E14,$F14,0)</f>
        <v>0</v>
      </c>
      <c r="U14" s="158" t="n">
        <f aca="false">IF(U$4=$E14,$F14,0)</f>
        <v>0</v>
      </c>
      <c r="V14" s="158" t="n">
        <f aca="false">IF(V$4=$E14,$F14,0)</f>
        <v>0</v>
      </c>
      <c r="W14" s="158" t="n">
        <f aca="false">IF(W$4=$E14,$F14,0)</f>
        <v>0</v>
      </c>
      <c r="X14" s="158" t="n">
        <f aca="false">IF(X$4=$E14,$F14,0)</f>
        <v>0</v>
      </c>
      <c r="Y14" s="158" t="n">
        <f aca="false">IF(Y$4=$E14,$F14,0)</f>
        <v>0</v>
      </c>
      <c r="Z14" s="158" t="n">
        <f aca="false">IF(Z$4=$E14,$F14,0)</f>
        <v>0</v>
      </c>
      <c r="AA14" s="158" t="n">
        <f aca="false">IF(AA$4=$E14,$F14,0)</f>
        <v>0</v>
      </c>
      <c r="AB14" s="158" t="n">
        <f aca="false">IF(AB$4=$E14,$F14,0)</f>
        <v>0</v>
      </c>
      <c r="AC14" s="158" t="n">
        <f aca="false">IF(AC$4=$E14,$F14,0)</f>
        <v>0</v>
      </c>
      <c r="AD14" s="158" t="n">
        <f aca="false">IF(AD$4=$E14,$F14,0)</f>
        <v>0</v>
      </c>
      <c r="AE14" s="158" t="n">
        <f aca="false">IF(AE$4=$E14,$F14,0)</f>
        <v>0</v>
      </c>
      <c r="AF14" s="158" t="n">
        <f aca="false">IF(AF$4=$E14,$F14,0)</f>
        <v>0</v>
      </c>
      <c r="AG14" s="158" t="n">
        <f aca="false">IF(AG$4=$E14,$F14,0)</f>
        <v>0</v>
      </c>
      <c r="AH14" s="158" t="n">
        <f aca="false">IF(AH$4=$E14,$F14,0)</f>
        <v>0</v>
      </c>
      <c r="AI14" s="158" t="n">
        <f aca="false">IF(AI$4=$E14,$F14,0)</f>
        <v>0</v>
      </c>
      <c r="AJ14" s="158" t="n">
        <f aca="false">IF(AJ$4=$E14,$F14,0)</f>
        <v>0</v>
      </c>
      <c r="AK14" s="158" t="n">
        <f aca="false">IF(AK$4=$E14,$F14,0)</f>
        <v>0</v>
      </c>
      <c r="AL14" s="158" t="n">
        <f aca="false">IF(AL$4=$E14,$F14,0)</f>
        <v>0</v>
      </c>
      <c r="AM14" s="158" t="n">
        <f aca="false">IF(AM$4=$E14,$F14,0)</f>
        <v>0</v>
      </c>
      <c r="AN14" s="158" t="n">
        <f aca="false">IF(AN$4=$E14,$F14,0)</f>
        <v>0</v>
      </c>
      <c r="AO14" s="158" t="n">
        <f aca="false">IF(AO$4=$E14,$F14,0)</f>
        <v>0</v>
      </c>
      <c r="AP14" s="158" t="n">
        <f aca="false">IF(AP$4=$E14,$F14,0)</f>
        <v>0</v>
      </c>
      <c r="AQ14" s="158" t="n">
        <f aca="false">IF(AQ$4=$E14,$F14,0)</f>
        <v>0</v>
      </c>
      <c r="AR14" s="158" t="n">
        <f aca="false">IF(AR$4=$E14,$F14,0)</f>
        <v>0</v>
      </c>
      <c r="AS14" s="158" t="n">
        <f aca="false">IF(AS$4=$E14,$F14,0)</f>
        <v>0</v>
      </c>
      <c r="AT14" s="158" t="n">
        <f aca="false">IF(AT$4=$E14,$F14,0)</f>
        <v>0</v>
      </c>
      <c r="AU14" s="158" t="n">
        <f aca="false">IF(AU$4=$E14,$F14,0)</f>
        <v>0</v>
      </c>
      <c r="AV14" s="158" t="n">
        <f aca="false">IF(AV$4=$E14,$F14,0)</f>
        <v>0</v>
      </c>
      <c r="AW14" s="158" t="n">
        <f aca="false">IF(AW$4=$E14,$F14,0)</f>
        <v>0</v>
      </c>
      <c r="AX14" s="158" t="n">
        <f aca="false">IF(AX$4=$E14,$F14,0)</f>
        <v>0</v>
      </c>
      <c r="AY14" s="158" t="n">
        <f aca="false">IF(AY$4=$E14,$F14,0)</f>
        <v>0</v>
      </c>
      <c r="AZ14" s="158" t="n">
        <f aca="false">IF(AZ$4=$E14,$F14,0)</f>
        <v>0</v>
      </c>
      <c r="BA14" s="158" t="n">
        <f aca="false">IF(BA$4=$E14,$F14,0)</f>
        <v>0</v>
      </c>
      <c r="BB14" s="158" t="n">
        <f aca="false">IF(BB$4=$E14,$F14,0)</f>
        <v>0</v>
      </c>
      <c r="BC14" s="158" t="n">
        <f aca="false">IF(BC$4=$E14,$F14,0)</f>
        <v>0</v>
      </c>
      <c r="BD14" s="158" t="n">
        <f aca="false">IF(BD$4=$E14,$F14,0)</f>
        <v>0</v>
      </c>
      <c r="BE14" s="158" t="n">
        <f aca="false">IF(BE$4=$E14,$F14,0)</f>
        <v>0</v>
      </c>
      <c r="BF14" s="158" t="n">
        <f aca="false">IF(BF$4=$E14,$F14,0)</f>
        <v>0</v>
      </c>
      <c r="BG14" s="158" t="n">
        <f aca="false">IF(BG$4=$E14,$F14,0)</f>
        <v>0</v>
      </c>
      <c r="BH14" s="158" t="n">
        <f aca="false">IF(BH$4=$E14,$F14,0)</f>
        <v>0</v>
      </c>
      <c r="BI14" s="158" t="n">
        <f aca="false">IF(BI$4=$E14,$F14,0)</f>
        <v>0</v>
      </c>
      <c r="BJ14" s="158" t="n">
        <f aca="false">IF(BJ$4=$E14,$F14,0)</f>
        <v>0</v>
      </c>
      <c r="BK14" s="158" t="n">
        <f aca="false">IF(BK$4=$E14,$F14,0)</f>
        <v>0</v>
      </c>
      <c r="BL14" s="158" t="n">
        <f aca="false">IF(BL$4=$E14,$F14,0)</f>
        <v>0</v>
      </c>
      <c r="BM14" s="158" t="n">
        <f aca="false">IF(BM$4=$E14,$F14,0)</f>
        <v>0</v>
      </c>
      <c r="BN14" s="158" t="n">
        <f aca="false">IF(BN$4=$E14,$F14,0)</f>
        <v>0</v>
      </c>
      <c r="BO14" s="158" t="n">
        <f aca="false">IF(BO$4=$E14,$F14,0)</f>
        <v>0</v>
      </c>
      <c r="BP14" s="158" t="n">
        <f aca="false">IF(BP$4=$E14,$F14,0)</f>
        <v>0</v>
      </c>
    </row>
    <row r="15" customFormat="false" ht="15" hidden="false" customHeight="false" outlineLevel="1" collapsed="false">
      <c r="C15" s="224" t="str">
        <f aca="false">Inputs!C44</f>
        <v>Milestone 4 devex</v>
      </c>
      <c r="D15" s="133" t="s">
        <v>125</v>
      </c>
      <c r="E15" s="153" t="n">
        <f aca="false">E14+Inputs!E52</f>
        <v>18</v>
      </c>
      <c r="F15" s="158" t="n">
        <f aca="false">Inputs!E44*Inputs!$E$16</f>
        <v>0</v>
      </c>
      <c r="G15" s="158" t="n">
        <f aca="false">SUM(H15:BP15)</f>
        <v>0</v>
      </c>
      <c r="H15" s="158" t="n">
        <f aca="false">IF(H$4=$E15,$F15,0)</f>
        <v>0</v>
      </c>
      <c r="I15" s="158" t="n">
        <f aca="false">IF(I$4=$E15,$F15,0)</f>
        <v>0</v>
      </c>
      <c r="J15" s="158" t="n">
        <f aca="false">IF(J$4=$E15,$F15,0)</f>
        <v>0</v>
      </c>
      <c r="K15" s="158" t="n">
        <f aca="false">IF(K$4=$E15,$F15,0)</f>
        <v>0</v>
      </c>
      <c r="L15" s="158" t="n">
        <f aca="false">IF(L$4=$E15,$F15,0)</f>
        <v>0</v>
      </c>
      <c r="M15" s="158" t="n">
        <f aca="false">IF(M$4=$E15,$F15,0)</f>
        <v>0</v>
      </c>
      <c r="N15" s="158" t="n">
        <f aca="false">IF(N$4=$E15,$F15,0)</f>
        <v>0</v>
      </c>
      <c r="O15" s="158" t="n">
        <f aca="false">IF(O$4=$E15,$F15,0)</f>
        <v>0</v>
      </c>
      <c r="P15" s="158" t="n">
        <f aca="false">IF(P$4=$E15,$F15,0)</f>
        <v>0</v>
      </c>
      <c r="Q15" s="158" t="n">
        <f aca="false">IF(Q$4=$E15,$F15,0)</f>
        <v>0</v>
      </c>
      <c r="R15" s="158" t="n">
        <f aca="false">IF(R$4=$E15,$F15,0)</f>
        <v>0</v>
      </c>
      <c r="S15" s="158" t="n">
        <f aca="false">IF(S$4=$E15,$F15,0)</f>
        <v>0</v>
      </c>
      <c r="T15" s="158" t="n">
        <f aca="false">IF(T$4=$E15,$F15,0)</f>
        <v>0</v>
      </c>
      <c r="U15" s="158" t="n">
        <f aca="false">IF(U$4=$E15,$F15,0)</f>
        <v>0</v>
      </c>
      <c r="V15" s="158" t="n">
        <f aca="false">IF(V$4=$E15,$F15,0)</f>
        <v>0</v>
      </c>
      <c r="W15" s="158" t="n">
        <f aca="false">IF(W$4=$E15,$F15,0)</f>
        <v>0</v>
      </c>
      <c r="X15" s="158" t="n">
        <f aca="false">IF(X$4=$E15,$F15,0)</f>
        <v>0</v>
      </c>
      <c r="Y15" s="158" t="n">
        <f aca="false">IF(Y$4=$E15,$F15,0)</f>
        <v>0</v>
      </c>
      <c r="Z15" s="158" t="n">
        <f aca="false">IF(Z$4=$E15,$F15,0)</f>
        <v>0</v>
      </c>
      <c r="AA15" s="158" t="n">
        <f aca="false">IF(AA$4=$E15,$F15,0)</f>
        <v>0</v>
      </c>
      <c r="AB15" s="158" t="n">
        <f aca="false">IF(AB$4=$E15,$F15,0)</f>
        <v>0</v>
      </c>
      <c r="AC15" s="158" t="n">
        <f aca="false">IF(AC$4=$E15,$F15,0)</f>
        <v>0</v>
      </c>
      <c r="AD15" s="158" t="n">
        <f aca="false">IF(AD$4=$E15,$F15,0)</f>
        <v>0</v>
      </c>
      <c r="AE15" s="158" t="n">
        <f aca="false">IF(AE$4=$E15,$F15,0)</f>
        <v>0</v>
      </c>
      <c r="AF15" s="158" t="n">
        <f aca="false">IF(AF$4=$E15,$F15,0)</f>
        <v>0</v>
      </c>
      <c r="AG15" s="158" t="n">
        <f aca="false">IF(AG$4=$E15,$F15,0)</f>
        <v>0</v>
      </c>
      <c r="AH15" s="158" t="n">
        <f aca="false">IF(AH$4=$E15,$F15,0)</f>
        <v>0</v>
      </c>
      <c r="AI15" s="158" t="n">
        <f aca="false">IF(AI$4=$E15,$F15,0)</f>
        <v>0</v>
      </c>
      <c r="AJ15" s="158" t="n">
        <f aca="false">IF(AJ$4=$E15,$F15,0)</f>
        <v>0</v>
      </c>
      <c r="AK15" s="158" t="n">
        <f aca="false">IF(AK$4=$E15,$F15,0)</f>
        <v>0</v>
      </c>
      <c r="AL15" s="158" t="n">
        <f aca="false">IF(AL$4=$E15,$F15,0)</f>
        <v>0</v>
      </c>
      <c r="AM15" s="158" t="n">
        <f aca="false">IF(AM$4=$E15,$F15,0)</f>
        <v>0</v>
      </c>
      <c r="AN15" s="158" t="n">
        <f aca="false">IF(AN$4=$E15,$F15,0)</f>
        <v>0</v>
      </c>
      <c r="AO15" s="158" t="n">
        <f aca="false">IF(AO$4=$E15,$F15,0)</f>
        <v>0</v>
      </c>
      <c r="AP15" s="158" t="n">
        <f aca="false">IF(AP$4=$E15,$F15,0)</f>
        <v>0</v>
      </c>
      <c r="AQ15" s="158" t="n">
        <f aca="false">IF(AQ$4=$E15,$F15,0)</f>
        <v>0</v>
      </c>
      <c r="AR15" s="158" t="n">
        <f aca="false">IF(AR$4=$E15,$F15,0)</f>
        <v>0</v>
      </c>
      <c r="AS15" s="158" t="n">
        <f aca="false">IF(AS$4=$E15,$F15,0)</f>
        <v>0</v>
      </c>
      <c r="AT15" s="158" t="n">
        <f aca="false">IF(AT$4=$E15,$F15,0)</f>
        <v>0</v>
      </c>
      <c r="AU15" s="158" t="n">
        <f aca="false">IF(AU$4=$E15,$F15,0)</f>
        <v>0</v>
      </c>
      <c r="AV15" s="158" t="n">
        <f aca="false">IF(AV$4=$E15,$F15,0)</f>
        <v>0</v>
      </c>
      <c r="AW15" s="158" t="n">
        <f aca="false">IF(AW$4=$E15,$F15,0)</f>
        <v>0</v>
      </c>
      <c r="AX15" s="158" t="n">
        <f aca="false">IF(AX$4=$E15,$F15,0)</f>
        <v>0</v>
      </c>
      <c r="AY15" s="158" t="n">
        <f aca="false">IF(AY$4=$E15,$F15,0)</f>
        <v>0</v>
      </c>
      <c r="AZ15" s="158" t="n">
        <f aca="false">IF(AZ$4=$E15,$F15,0)</f>
        <v>0</v>
      </c>
      <c r="BA15" s="158" t="n">
        <f aca="false">IF(BA$4=$E15,$F15,0)</f>
        <v>0</v>
      </c>
      <c r="BB15" s="158" t="n">
        <f aca="false">IF(BB$4=$E15,$F15,0)</f>
        <v>0</v>
      </c>
      <c r="BC15" s="158" t="n">
        <f aca="false">IF(BC$4=$E15,$F15,0)</f>
        <v>0</v>
      </c>
      <c r="BD15" s="158" t="n">
        <f aca="false">IF(BD$4=$E15,$F15,0)</f>
        <v>0</v>
      </c>
      <c r="BE15" s="158" t="n">
        <f aca="false">IF(BE$4=$E15,$F15,0)</f>
        <v>0</v>
      </c>
      <c r="BF15" s="158" t="n">
        <f aca="false">IF(BF$4=$E15,$F15,0)</f>
        <v>0</v>
      </c>
      <c r="BG15" s="158" t="n">
        <f aca="false">IF(BG$4=$E15,$F15,0)</f>
        <v>0</v>
      </c>
      <c r="BH15" s="158" t="n">
        <f aca="false">IF(BH$4=$E15,$F15,0)</f>
        <v>0</v>
      </c>
      <c r="BI15" s="158" t="n">
        <f aca="false">IF(BI$4=$E15,$F15,0)</f>
        <v>0</v>
      </c>
      <c r="BJ15" s="158" t="n">
        <f aca="false">IF(BJ$4=$E15,$F15,0)</f>
        <v>0</v>
      </c>
      <c r="BK15" s="158" t="n">
        <f aca="false">IF(BK$4=$E15,$F15,0)</f>
        <v>0</v>
      </c>
      <c r="BL15" s="158" t="n">
        <f aca="false">IF(BL$4=$E15,$F15,0)</f>
        <v>0</v>
      </c>
      <c r="BM15" s="158" t="n">
        <f aca="false">IF(BM$4=$E15,$F15,0)</f>
        <v>0</v>
      </c>
      <c r="BN15" s="158" t="n">
        <f aca="false">IF(BN$4=$E15,$F15,0)</f>
        <v>0</v>
      </c>
      <c r="BO15" s="158" t="n">
        <f aca="false">IF(BO$4=$E15,$F15,0)</f>
        <v>0</v>
      </c>
      <c r="BP15" s="158" t="n">
        <f aca="false">IF(BP$4=$E15,$F15,0)</f>
        <v>0</v>
      </c>
    </row>
    <row r="16" customFormat="false" ht="15" hidden="false" customHeight="false" outlineLevel="1" collapsed="false">
      <c r="C16" s="224" t="str">
        <f aca="false">Inputs!C45</f>
        <v>Milestone 5 devex</v>
      </c>
      <c r="D16" s="133" t="s">
        <v>125</v>
      </c>
      <c r="E16" s="153" t="n">
        <f aca="false">E15+Inputs!E53</f>
        <v>25</v>
      </c>
      <c r="F16" s="158" t="n">
        <f aca="false">Inputs!E45*Inputs!$E$16</f>
        <v>0</v>
      </c>
      <c r="G16" s="158" t="n">
        <f aca="false">SUM(H16:BP16)</f>
        <v>0</v>
      </c>
      <c r="H16" s="158" t="n">
        <f aca="false">IF(H$4=$E16,$F16,0)</f>
        <v>0</v>
      </c>
      <c r="I16" s="158" t="n">
        <f aca="false">IF(I$4=$E16,$F16,0)</f>
        <v>0</v>
      </c>
      <c r="J16" s="158" t="n">
        <f aca="false">IF(J$4=$E16,$F16,0)</f>
        <v>0</v>
      </c>
      <c r="K16" s="158" t="n">
        <f aca="false">IF(K$4=$E16,$F16,0)</f>
        <v>0</v>
      </c>
      <c r="L16" s="158" t="n">
        <f aca="false">IF(L$4=$E16,$F16,0)</f>
        <v>0</v>
      </c>
      <c r="M16" s="158" t="n">
        <f aca="false">IF(M$4=$E16,$F16,0)</f>
        <v>0</v>
      </c>
      <c r="N16" s="158" t="n">
        <f aca="false">IF(N$4=$E16,$F16,0)</f>
        <v>0</v>
      </c>
      <c r="O16" s="158" t="n">
        <f aca="false">IF(O$4=$E16,$F16,0)</f>
        <v>0</v>
      </c>
      <c r="P16" s="158" t="n">
        <f aca="false">IF(P$4=$E16,$F16,0)</f>
        <v>0</v>
      </c>
      <c r="Q16" s="158" t="n">
        <f aca="false">IF(Q$4=$E16,$F16,0)</f>
        <v>0</v>
      </c>
      <c r="R16" s="158" t="n">
        <f aca="false">IF(R$4=$E16,$F16,0)</f>
        <v>0</v>
      </c>
      <c r="S16" s="158" t="n">
        <f aca="false">IF(S$4=$E16,$F16,0)</f>
        <v>0</v>
      </c>
      <c r="T16" s="158" t="n">
        <f aca="false">IF(T$4=$E16,$F16,0)</f>
        <v>0</v>
      </c>
      <c r="U16" s="158" t="n">
        <f aca="false">IF(U$4=$E16,$F16,0)</f>
        <v>0</v>
      </c>
      <c r="V16" s="158" t="n">
        <f aca="false">IF(V$4=$E16,$F16,0)</f>
        <v>0</v>
      </c>
      <c r="W16" s="158" t="n">
        <f aca="false">IF(W$4=$E16,$F16,0)</f>
        <v>0</v>
      </c>
      <c r="X16" s="158" t="n">
        <f aca="false">IF(X$4=$E16,$F16,0)</f>
        <v>0</v>
      </c>
      <c r="Y16" s="158" t="n">
        <f aca="false">IF(Y$4=$E16,$F16,0)</f>
        <v>0</v>
      </c>
      <c r="Z16" s="158" t="n">
        <f aca="false">IF(Z$4=$E16,$F16,0)</f>
        <v>0</v>
      </c>
      <c r="AA16" s="158" t="n">
        <f aca="false">IF(AA$4=$E16,$F16,0)</f>
        <v>0</v>
      </c>
      <c r="AB16" s="158" t="n">
        <f aca="false">IF(AB$4=$E16,$F16,0)</f>
        <v>0</v>
      </c>
      <c r="AC16" s="158" t="n">
        <f aca="false">IF(AC$4=$E16,$F16,0)</f>
        <v>0</v>
      </c>
      <c r="AD16" s="158" t="n">
        <f aca="false">IF(AD$4=$E16,$F16,0)</f>
        <v>0</v>
      </c>
      <c r="AE16" s="158" t="n">
        <f aca="false">IF(AE$4=$E16,$F16,0)</f>
        <v>0</v>
      </c>
      <c r="AF16" s="158" t="n">
        <f aca="false">IF(AF$4=$E16,$F16,0)</f>
        <v>0</v>
      </c>
      <c r="AG16" s="158" t="n">
        <f aca="false">IF(AG$4=$E16,$F16,0)</f>
        <v>0</v>
      </c>
      <c r="AH16" s="158" t="n">
        <f aca="false">IF(AH$4=$E16,$F16,0)</f>
        <v>0</v>
      </c>
      <c r="AI16" s="158" t="n">
        <f aca="false">IF(AI$4=$E16,$F16,0)</f>
        <v>0</v>
      </c>
      <c r="AJ16" s="158" t="n">
        <f aca="false">IF(AJ$4=$E16,$F16,0)</f>
        <v>0</v>
      </c>
      <c r="AK16" s="158" t="n">
        <f aca="false">IF(AK$4=$E16,$F16,0)</f>
        <v>0</v>
      </c>
      <c r="AL16" s="158" t="n">
        <f aca="false">IF(AL$4=$E16,$F16,0)</f>
        <v>0</v>
      </c>
      <c r="AM16" s="158" t="n">
        <f aca="false">IF(AM$4=$E16,$F16,0)</f>
        <v>0</v>
      </c>
      <c r="AN16" s="158" t="n">
        <f aca="false">IF(AN$4=$E16,$F16,0)</f>
        <v>0</v>
      </c>
      <c r="AO16" s="158" t="n">
        <f aca="false">IF(AO$4=$E16,$F16,0)</f>
        <v>0</v>
      </c>
      <c r="AP16" s="158" t="n">
        <f aca="false">IF(AP$4=$E16,$F16,0)</f>
        <v>0</v>
      </c>
      <c r="AQ16" s="158" t="n">
        <f aca="false">IF(AQ$4=$E16,$F16,0)</f>
        <v>0</v>
      </c>
      <c r="AR16" s="158" t="n">
        <f aca="false">IF(AR$4=$E16,$F16,0)</f>
        <v>0</v>
      </c>
      <c r="AS16" s="158" t="n">
        <f aca="false">IF(AS$4=$E16,$F16,0)</f>
        <v>0</v>
      </c>
      <c r="AT16" s="158" t="n">
        <f aca="false">IF(AT$4=$E16,$F16,0)</f>
        <v>0</v>
      </c>
      <c r="AU16" s="158" t="n">
        <f aca="false">IF(AU$4=$E16,$F16,0)</f>
        <v>0</v>
      </c>
      <c r="AV16" s="158" t="n">
        <f aca="false">IF(AV$4=$E16,$F16,0)</f>
        <v>0</v>
      </c>
      <c r="AW16" s="158" t="n">
        <f aca="false">IF(AW$4=$E16,$F16,0)</f>
        <v>0</v>
      </c>
      <c r="AX16" s="158" t="n">
        <f aca="false">IF(AX$4=$E16,$F16,0)</f>
        <v>0</v>
      </c>
      <c r="AY16" s="158" t="n">
        <f aca="false">IF(AY$4=$E16,$F16,0)</f>
        <v>0</v>
      </c>
      <c r="AZ16" s="158" t="n">
        <f aca="false">IF(AZ$4=$E16,$F16,0)</f>
        <v>0</v>
      </c>
      <c r="BA16" s="158" t="n">
        <f aca="false">IF(BA$4=$E16,$F16,0)</f>
        <v>0</v>
      </c>
      <c r="BB16" s="158" t="n">
        <f aca="false">IF(BB$4=$E16,$F16,0)</f>
        <v>0</v>
      </c>
      <c r="BC16" s="158" t="n">
        <f aca="false">IF(BC$4=$E16,$F16,0)</f>
        <v>0</v>
      </c>
      <c r="BD16" s="158" t="n">
        <f aca="false">IF(BD$4=$E16,$F16,0)</f>
        <v>0</v>
      </c>
      <c r="BE16" s="158" t="n">
        <f aca="false">IF(BE$4=$E16,$F16,0)</f>
        <v>0</v>
      </c>
      <c r="BF16" s="158" t="n">
        <f aca="false">IF(BF$4=$E16,$F16,0)</f>
        <v>0</v>
      </c>
      <c r="BG16" s="158" t="n">
        <f aca="false">IF(BG$4=$E16,$F16,0)</f>
        <v>0</v>
      </c>
      <c r="BH16" s="158" t="n">
        <f aca="false">IF(BH$4=$E16,$F16,0)</f>
        <v>0</v>
      </c>
      <c r="BI16" s="158" t="n">
        <f aca="false">IF(BI$4=$E16,$F16,0)</f>
        <v>0</v>
      </c>
      <c r="BJ16" s="158" t="n">
        <f aca="false">IF(BJ$4=$E16,$F16,0)</f>
        <v>0</v>
      </c>
      <c r="BK16" s="158" t="n">
        <f aca="false">IF(BK$4=$E16,$F16,0)</f>
        <v>0</v>
      </c>
      <c r="BL16" s="158" t="n">
        <f aca="false">IF(BL$4=$E16,$F16,0)</f>
        <v>0</v>
      </c>
      <c r="BM16" s="158" t="n">
        <f aca="false">IF(BM$4=$E16,$F16,0)</f>
        <v>0</v>
      </c>
      <c r="BN16" s="158" t="n">
        <f aca="false">IF(BN$4=$E16,$F16,0)</f>
        <v>0</v>
      </c>
      <c r="BO16" s="158" t="n">
        <f aca="false">IF(BO$4=$E16,$F16,0)</f>
        <v>0</v>
      </c>
      <c r="BP16" s="158" t="n">
        <f aca="false">IF(BP$4=$E16,$F16,0)</f>
        <v>0</v>
      </c>
    </row>
    <row r="17" customFormat="false" ht="15" hidden="false" customHeight="false" outlineLevel="1" collapsed="false">
      <c r="C17" s="224" t="str">
        <f aca="false">Inputs!C46</f>
        <v>Milestone 6 devex</v>
      </c>
      <c r="D17" s="133" t="s">
        <v>125</v>
      </c>
      <c r="E17" s="153" t="n">
        <f aca="false">E16+Inputs!E54</f>
        <v>32</v>
      </c>
      <c r="F17" s="158" t="n">
        <f aca="false">Inputs!E46*Inputs!$E$16</f>
        <v>0</v>
      </c>
      <c r="G17" s="158" t="n">
        <f aca="false">SUM(H17:BP17)</f>
        <v>0</v>
      </c>
      <c r="H17" s="158" t="n">
        <f aca="false">IF(H$4=$E17,$F17,0)</f>
        <v>0</v>
      </c>
      <c r="I17" s="158" t="n">
        <f aca="false">IF(I$4=$E17,$F17,0)</f>
        <v>0</v>
      </c>
      <c r="J17" s="158" t="n">
        <f aca="false">IF(J$4=$E17,$F17,0)</f>
        <v>0</v>
      </c>
      <c r="K17" s="158" t="n">
        <f aca="false">IF(K$4=$E17,$F17,0)</f>
        <v>0</v>
      </c>
      <c r="L17" s="158" t="n">
        <f aca="false">IF(L$4=$E17,$F17,0)</f>
        <v>0</v>
      </c>
      <c r="M17" s="158" t="n">
        <f aca="false">IF(M$4=$E17,$F17,0)</f>
        <v>0</v>
      </c>
      <c r="N17" s="158" t="n">
        <f aca="false">IF(N$4=$E17,$F17,0)</f>
        <v>0</v>
      </c>
      <c r="O17" s="158" t="n">
        <f aca="false">IF(O$4=$E17,$F17,0)</f>
        <v>0</v>
      </c>
      <c r="P17" s="158" t="n">
        <f aca="false">IF(P$4=$E17,$F17,0)</f>
        <v>0</v>
      </c>
      <c r="Q17" s="158" t="n">
        <f aca="false">IF(Q$4=$E17,$F17,0)</f>
        <v>0</v>
      </c>
      <c r="R17" s="158" t="n">
        <f aca="false">IF(R$4=$E17,$F17,0)</f>
        <v>0</v>
      </c>
      <c r="S17" s="158" t="n">
        <f aca="false">IF(S$4=$E17,$F17,0)</f>
        <v>0</v>
      </c>
      <c r="T17" s="158" t="n">
        <f aca="false">IF(T$4=$E17,$F17,0)</f>
        <v>0</v>
      </c>
      <c r="U17" s="158" t="n">
        <f aca="false">IF(U$4=$E17,$F17,0)</f>
        <v>0</v>
      </c>
      <c r="V17" s="158" t="n">
        <f aca="false">IF(V$4=$E17,$F17,0)</f>
        <v>0</v>
      </c>
      <c r="W17" s="158" t="n">
        <f aca="false">IF(W$4=$E17,$F17,0)</f>
        <v>0</v>
      </c>
      <c r="X17" s="158" t="n">
        <f aca="false">IF(X$4=$E17,$F17,0)</f>
        <v>0</v>
      </c>
      <c r="Y17" s="158" t="n">
        <f aca="false">IF(Y$4=$E17,$F17,0)</f>
        <v>0</v>
      </c>
      <c r="Z17" s="158" t="n">
        <f aca="false">IF(Z$4=$E17,$F17,0)</f>
        <v>0</v>
      </c>
      <c r="AA17" s="158" t="n">
        <f aca="false">IF(AA$4=$E17,$F17,0)</f>
        <v>0</v>
      </c>
      <c r="AB17" s="158" t="n">
        <f aca="false">IF(AB$4=$E17,$F17,0)</f>
        <v>0</v>
      </c>
      <c r="AC17" s="158" t="n">
        <f aca="false">IF(AC$4=$E17,$F17,0)</f>
        <v>0</v>
      </c>
      <c r="AD17" s="158" t="n">
        <f aca="false">IF(AD$4=$E17,$F17,0)</f>
        <v>0</v>
      </c>
      <c r="AE17" s="158" t="n">
        <f aca="false">IF(AE$4=$E17,$F17,0)</f>
        <v>0</v>
      </c>
      <c r="AF17" s="158" t="n">
        <f aca="false">IF(AF$4=$E17,$F17,0)</f>
        <v>0</v>
      </c>
      <c r="AG17" s="158" t="n">
        <f aca="false">IF(AG$4=$E17,$F17,0)</f>
        <v>0</v>
      </c>
      <c r="AH17" s="158" t="n">
        <f aca="false">IF(AH$4=$E17,$F17,0)</f>
        <v>0</v>
      </c>
      <c r="AI17" s="158" t="n">
        <f aca="false">IF(AI$4=$E17,$F17,0)</f>
        <v>0</v>
      </c>
      <c r="AJ17" s="158" t="n">
        <f aca="false">IF(AJ$4=$E17,$F17,0)</f>
        <v>0</v>
      </c>
      <c r="AK17" s="158" t="n">
        <f aca="false">IF(AK$4=$E17,$F17,0)</f>
        <v>0</v>
      </c>
      <c r="AL17" s="158" t="n">
        <f aca="false">IF(AL$4=$E17,$F17,0)</f>
        <v>0</v>
      </c>
      <c r="AM17" s="158" t="n">
        <f aca="false">IF(AM$4=$E17,$F17,0)</f>
        <v>0</v>
      </c>
      <c r="AN17" s="158" t="n">
        <f aca="false">IF(AN$4=$E17,$F17,0)</f>
        <v>0</v>
      </c>
      <c r="AO17" s="158" t="n">
        <f aca="false">IF(AO$4=$E17,$F17,0)</f>
        <v>0</v>
      </c>
      <c r="AP17" s="158" t="n">
        <f aca="false">IF(AP$4=$E17,$F17,0)</f>
        <v>0</v>
      </c>
      <c r="AQ17" s="158" t="n">
        <f aca="false">IF(AQ$4=$E17,$F17,0)</f>
        <v>0</v>
      </c>
      <c r="AR17" s="158" t="n">
        <f aca="false">IF(AR$4=$E17,$F17,0)</f>
        <v>0</v>
      </c>
      <c r="AS17" s="158" t="n">
        <f aca="false">IF(AS$4=$E17,$F17,0)</f>
        <v>0</v>
      </c>
      <c r="AT17" s="158" t="n">
        <f aca="false">IF(AT$4=$E17,$F17,0)</f>
        <v>0</v>
      </c>
      <c r="AU17" s="158" t="n">
        <f aca="false">IF(AU$4=$E17,$F17,0)</f>
        <v>0</v>
      </c>
      <c r="AV17" s="158" t="n">
        <f aca="false">IF(AV$4=$E17,$F17,0)</f>
        <v>0</v>
      </c>
      <c r="AW17" s="158" t="n">
        <f aca="false">IF(AW$4=$E17,$F17,0)</f>
        <v>0</v>
      </c>
      <c r="AX17" s="158" t="n">
        <f aca="false">IF(AX$4=$E17,$F17,0)</f>
        <v>0</v>
      </c>
      <c r="AY17" s="158" t="n">
        <f aca="false">IF(AY$4=$E17,$F17,0)</f>
        <v>0</v>
      </c>
      <c r="AZ17" s="158" t="n">
        <f aca="false">IF(AZ$4=$E17,$F17,0)</f>
        <v>0</v>
      </c>
      <c r="BA17" s="158" t="n">
        <f aca="false">IF(BA$4=$E17,$F17,0)</f>
        <v>0</v>
      </c>
      <c r="BB17" s="158" t="n">
        <f aca="false">IF(BB$4=$E17,$F17,0)</f>
        <v>0</v>
      </c>
      <c r="BC17" s="158" t="n">
        <f aca="false">IF(BC$4=$E17,$F17,0)</f>
        <v>0</v>
      </c>
      <c r="BD17" s="158" t="n">
        <f aca="false">IF(BD$4=$E17,$F17,0)</f>
        <v>0</v>
      </c>
      <c r="BE17" s="158" t="n">
        <f aca="false">IF(BE$4=$E17,$F17,0)</f>
        <v>0</v>
      </c>
      <c r="BF17" s="158" t="n">
        <f aca="false">IF(BF$4=$E17,$F17,0)</f>
        <v>0</v>
      </c>
      <c r="BG17" s="158" t="n">
        <f aca="false">IF(BG$4=$E17,$F17,0)</f>
        <v>0</v>
      </c>
      <c r="BH17" s="158" t="n">
        <f aca="false">IF(BH$4=$E17,$F17,0)</f>
        <v>0</v>
      </c>
      <c r="BI17" s="158" t="n">
        <f aca="false">IF(BI$4=$E17,$F17,0)</f>
        <v>0</v>
      </c>
      <c r="BJ17" s="158" t="n">
        <f aca="false">IF(BJ$4=$E17,$F17,0)</f>
        <v>0</v>
      </c>
      <c r="BK17" s="158" t="n">
        <f aca="false">IF(BK$4=$E17,$F17,0)</f>
        <v>0</v>
      </c>
      <c r="BL17" s="158" t="n">
        <f aca="false">IF(BL$4=$E17,$F17,0)</f>
        <v>0</v>
      </c>
      <c r="BM17" s="158" t="n">
        <f aca="false">IF(BM$4=$E17,$F17,0)</f>
        <v>0</v>
      </c>
      <c r="BN17" s="158" t="n">
        <f aca="false">IF(BN$4=$E17,$F17,0)</f>
        <v>0</v>
      </c>
      <c r="BO17" s="158" t="n">
        <f aca="false">IF(BO$4=$E17,$F17,0)</f>
        <v>0</v>
      </c>
      <c r="BP17" s="158" t="n">
        <f aca="false">IF(BP$4=$E17,$F17,0)</f>
        <v>0</v>
      </c>
    </row>
    <row r="18" customFormat="false" ht="15" hidden="false" customHeight="false" outlineLevel="0" collapsed="false">
      <c r="C18" s="205" t="s">
        <v>1044</v>
      </c>
      <c r="D18" s="205" t="s">
        <v>125</v>
      </c>
      <c r="E18" s="251"/>
      <c r="F18" s="251"/>
      <c r="G18" s="251" t="n">
        <f aca="false">SUM(H18:BP18)</f>
        <v>1331.23309601009</v>
      </c>
      <c r="H18" s="251" t="n">
        <f aca="false">SUMIFS(Devex_FEP!$H$5:$H$38,Devex_FEP!$I$5:$I$38,H$4)</f>
        <v>0</v>
      </c>
      <c r="I18" s="251" t="n">
        <f aca="false">SUMIFS(Devex_FEP!$H$5:$H$38,Devex_FEP!$I$5:$I$38,I$4)</f>
        <v>0</v>
      </c>
      <c r="J18" s="251" t="n">
        <f aca="false">SUMIFS(Devex_FEP!$H$5:$H$38,Devex_FEP!$I$5:$I$38,J$4)</f>
        <v>0</v>
      </c>
      <c r="K18" s="251" t="n">
        <f aca="false">SUMIFS(Devex_FEP!$H$5:$H$38,Devex_FEP!$I$5:$I$38,K$4)</f>
        <v>88.6216216216216</v>
      </c>
      <c r="L18" s="251" t="n">
        <f aca="false">SUMIFS(Devex_FEP!$H$5:$H$38,Devex_FEP!$I$5:$I$38,L$4)</f>
        <v>0</v>
      </c>
      <c r="M18" s="251" t="n">
        <f aca="false">SUMIFS(Devex_FEP!$H$5:$H$38,Devex_FEP!$I$5:$I$38,M$4)</f>
        <v>0</v>
      </c>
      <c r="N18" s="251" t="n">
        <f aca="false">SUMIFS(Devex_FEP!$H$5:$H$38,Devex_FEP!$I$5:$I$38,N$4)</f>
        <v>4.86486486486487</v>
      </c>
      <c r="O18" s="251" t="n">
        <f aca="false">SUMIFS(Devex_FEP!$H$5:$H$38,Devex_FEP!$I$5:$I$38,O$4)</f>
        <v>0</v>
      </c>
      <c r="P18" s="251" t="n">
        <f aca="false">SUMIFS(Devex_FEP!$H$5:$H$38,Devex_FEP!$I$5:$I$38,P$4)</f>
        <v>199</v>
      </c>
      <c r="Q18" s="251" t="n">
        <f aca="false">SUMIFS(Devex_FEP!$H$5:$H$38,Devex_FEP!$I$5:$I$38,Q$4)</f>
        <v>0</v>
      </c>
      <c r="R18" s="251" t="n">
        <f aca="false">SUMIFS(Devex_FEP!$H$5:$H$38,Devex_FEP!$I$5:$I$38,R$4)</f>
        <v>0</v>
      </c>
      <c r="S18" s="251" t="n">
        <f aca="false">SUMIFS(Devex_FEP!$H$5:$H$38,Devex_FEP!$I$5:$I$38,S$4)</f>
        <v>21.6216216216216</v>
      </c>
      <c r="T18" s="251" t="n">
        <f aca="false">SUMIFS(Devex_FEP!$H$5:$H$38,Devex_FEP!$I$5:$I$38,T$4)</f>
        <v>21.6216216216216</v>
      </c>
      <c r="U18" s="251" t="n">
        <f aca="false">SUMIFS(Devex_FEP!$H$5:$H$38,Devex_FEP!$I$5:$I$38,U$4)</f>
        <v>0</v>
      </c>
      <c r="V18" s="251" t="n">
        <f aca="false">SUMIFS(Devex_FEP!$H$5:$H$38,Devex_FEP!$I$5:$I$38,V$4)</f>
        <v>0</v>
      </c>
      <c r="W18" s="251" t="n">
        <f aca="false">SUMIFS(Devex_FEP!$H$5:$H$38,Devex_FEP!$I$5:$I$38,W$4)</f>
        <v>0</v>
      </c>
      <c r="X18" s="251" t="n">
        <f aca="false">SUMIFS(Devex_FEP!$H$5:$H$38,Devex_FEP!$I$5:$I$38,X$4)</f>
        <v>20.2702702702703</v>
      </c>
      <c r="Y18" s="251" t="n">
        <f aca="false">SUMIFS(Devex_FEP!$H$5:$H$38,Devex_FEP!$I$5:$I$38,Y$4)</f>
        <v>71.3405405405405</v>
      </c>
      <c r="Z18" s="251" t="n">
        <f aca="false">SUMIFS(Devex_FEP!$H$5:$H$38,Devex_FEP!$I$5:$I$38,Z$4)</f>
        <v>477.371966354109</v>
      </c>
      <c r="AA18" s="251" t="n">
        <f aca="false">SUMIFS(Devex_FEP!$H$5:$H$38,Devex_FEP!$I$5:$I$38,AA$4)</f>
        <v>114.864864864865</v>
      </c>
      <c r="AB18" s="251" t="n">
        <f aca="false">SUMIFS(Devex_FEP!$H$5:$H$38,Devex_FEP!$I$5:$I$38,AB$4)</f>
        <v>44.0675675675676</v>
      </c>
      <c r="AC18" s="251" t="n">
        <f aca="false">SUMIFS(Devex_FEP!$H$5:$H$38,Devex_FEP!$I$5:$I$38,AC$4)</f>
        <v>0.0540540540540541</v>
      </c>
      <c r="AD18" s="251" t="n">
        <f aca="false">SUMIFS(Devex_FEP!$H$5:$H$38,Devex_FEP!$I$5:$I$38,AD$4)</f>
        <v>0</v>
      </c>
      <c r="AE18" s="251" t="n">
        <f aca="false">SUMIFS(Devex_FEP!$H$5:$H$38,Devex_FEP!$I$5:$I$38,AE$4)</f>
        <v>2.25</v>
      </c>
      <c r="AF18" s="251" t="n">
        <f aca="false">SUMIFS(Devex_FEP!$H$5:$H$38,Devex_FEP!$I$5:$I$38,AF$4)</f>
        <v>0</v>
      </c>
      <c r="AG18" s="251" t="n">
        <f aca="false">SUMIFS(Devex_FEP!$H$5:$H$38,Devex_FEP!$I$5:$I$38,AG$4)</f>
        <v>80.9370285714286</v>
      </c>
      <c r="AH18" s="251" t="n">
        <f aca="false">SUMIFS(Devex_FEP!$H$5:$H$38,Devex_FEP!$I$5:$I$38,AH$4)</f>
        <v>0</v>
      </c>
      <c r="AI18" s="251" t="n">
        <f aca="false">SUMIFS(Devex_FEP!$H$5:$H$38,Devex_FEP!$I$5:$I$38,AI$4)</f>
        <v>0</v>
      </c>
      <c r="AJ18" s="251" t="n">
        <f aca="false">SUMIFS(Devex_FEP!$H$5:$H$38,Devex_FEP!$I$5:$I$38,AJ$4)</f>
        <v>16.2162162162162</v>
      </c>
      <c r="AK18" s="251" t="n">
        <f aca="false">SUMIFS(Devex_FEP!$H$5:$H$38,Devex_FEP!$I$5:$I$38,AK$4)</f>
        <v>141.103830814286</v>
      </c>
      <c r="AL18" s="251" t="n">
        <f aca="false">SUMIFS(Devex_FEP!$H$5:$H$38,Devex_FEP!$I$5:$I$38,AL$4)</f>
        <v>27.027027027027</v>
      </c>
      <c r="AM18" s="251" t="n">
        <f aca="false">SUMIFS(Devex_FEP!$H$5:$H$38,Devex_FEP!$I$5:$I$38,AM$4)</f>
        <v>0</v>
      </c>
      <c r="AN18" s="251" t="n">
        <f aca="false">SUMIFS(Devex_FEP!$H$5:$H$38,Devex_FEP!$I$5:$I$38,AN$4)</f>
        <v>0</v>
      </c>
      <c r="AO18" s="251" t="n">
        <f aca="false">SUMIFS(Devex_FEP!$H$5:$H$38,Devex_FEP!$I$5:$I$38,AO$4)</f>
        <v>0</v>
      </c>
      <c r="AP18" s="251" t="n">
        <f aca="false">SUMIFS(Devex_FEP!$H$5:$H$38,Devex_FEP!$I$5:$I$38,AP$4)</f>
        <v>0</v>
      </c>
      <c r="AQ18" s="251" t="n">
        <f aca="false">SUMIFS(Devex_FEP!$H$5:$H$38,Devex_FEP!$I$5:$I$38,AQ$4)</f>
        <v>0</v>
      </c>
      <c r="AR18" s="251" t="n">
        <f aca="false">SUMIFS(Devex_FEP!$H$5:$H$38,Devex_FEP!$I$5:$I$38,AR$4)</f>
        <v>0</v>
      </c>
      <c r="AS18" s="251" t="n">
        <f aca="false">SUMIFS(Devex_FEP!$H$5:$H$38,Devex_FEP!$I$5:$I$38,AS$4)</f>
        <v>0</v>
      </c>
      <c r="AT18" s="251" t="n">
        <f aca="false">SUMIFS(Devex_FEP!$H$5:$H$38,Devex_FEP!$I$5:$I$38,AT$4)</f>
        <v>0</v>
      </c>
      <c r="AU18" s="251" t="n">
        <f aca="false">SUMIFS(Devex_FEP!$H$5:$H$38,Devex_FEP!$I$5:$I$38,AU$4)</f>
        <v>0</v>
      </c>
      <c r="AV18" s="251" t="n">
        <f aca="false">SUMIFS(Devex_FEP!$H$5:$H$38,Devex_FEP!$I$5:$I$38,AV$4)</f>
        <v>0</v>
      </c>
      <c r="AW18" s="251" t="n">
        <f aca="false">SUMIFS(Devex_FEP!$H$5:$H$38,Devex_FEP!$I$5:$I$38,AW$4)</f>
        <v>0</v>
      </c>
      <c r="AX18" s="251" t="n">
        <f aca="false">SUMIFS(Devex_FEP!$H$5:$H$38,Devex_FEP!$I$5:$I$38,AX$4)</f>
        <v>0</v>
      </c>
      <c r="AY18" s="251" t="n">
        <f aca="false">SUMIFS(Devex_FEP!$H$5:$H$38,Devex_FEP!$I$5:$I$38,AY$4)</f>
        <v>0</v>
      </c>
      <c r="AZ18" s="251" t="n">
        <f aca="false">SUMIFS(Devex_FEP!$H$5:$H$38,Devex_FEP!$I$5:$I$38,AZ$4)</f>
        <v>0</v>
      </c>
      <c r="BA18" s="251" t="n">
        <f aca="false">SUMIFS(Devex_FEP!$H$5:$H$38,Devex_FEP!$I$5:$I$38,BA$4)</f>
        <v>0</v>
      </c>
      <c r="BB18" s="251" t="n">
        <f aca="false">SUMIFS(Devex_FEP!$H$5:$H$38,Devex_FEP!$I$5:$I$38,BB$4)</f>
        <v>0</v>
      </c>
      <c r="BC18" s="251" t="n">
        <f aca="false">SUMIFS(Devex_FEP!$H$5:$H$38,Devex_FEP!$I$5:$I$38,BC$4)</f>
        <v>0</v>
      </c>
      <c r="BD18" s="251" t="n">
        <f aca="false">SUMIFS(Devex_FEP!$H$5:$H$38,Devex_FEP!$I$5:$I$38,BD$4)</f>
        <v>0</v>
      </c>
      <c r="BE18" s="251" t="n">
        <f aca="false">SUMIFS(Devex_FEP!$H$5:$H$38,Devex_FEP!$I$5:$I$38,BE$4)</f>
        <v>0</v>
      </c>
      <c r="BF18" s="251" t="n">
        <f aca="false">SUMIFS(Devex_FEP!$H$5:$H$38,Devex_FEP!$I$5:$I$38,BF$4)</f>
        <v>0</v>
      </c>
      <c r="BG18" s="251" t="n">
        <f aca="false">SUMIFS(Devex_FEP!$H$5:$H$38,Devex_FEP!$I$5:$I$38,BG$4)</f>
        <v>0</v>
      </c>
      <c r="BH18" s="251" t="n">
        <f aca="false">SUMIFS(Devex_FEP!$H$5:$H$38,Devex_FEP!$I$5:$I$38,BH$4)</f>
        <v>0</v>
      </c>
      <c r="BI18" s="251" t="n">
        <f aca="false">SUMIFS(Devex_FEP!$H$5:$H$38,Devex_FEP!$I$5:$I$38,BI$4)</f>
        <v>0</v>
      </c>
      <c r="BJ18" s="251" t="n">
        <f aca="false">SUMIFS(Devex_FEP!$H$5:$H$38,Devex_FEP!$I$5:$I$38,BJ$4)</f>
        <v>0</v>
      </c>
      <c r="BK18" s="251" t="n">
        <f aca="false">SUMIFS(Devex_FEP!$H$5:$H$38,Devex_FEP!$I$5:$I$38,BK$4)</f>
        <v>0</v>
      </c>
      <c r="BL18" s="251" t="n">
        <f aca="false">SUMIFS(Devex_FEP!$H$5:$H$38,Devex_FEP!$I$5:$I$38,BL$4)</f>
        <v>0</v>
      </c>
      <c r="BM18" s="251" t="n">
        <f aca="false">SUMIFS(Devex_FEP!$H$5:$H$38,Devex_FEP!$I$5:$I$38,BM$4)</f>
        <v>0</v>
      </c>
      <c r="BN18" s="251" t="n">
        <f aca="false">SUMIFS(Devex_FEP!$H$5:$H$38,Devex_FEP!$I$5:$I$38,BN$4)</f>
        <v>0</v>
      </c>
      <c r="BO18" s="251" t="n">
        <f aca="false">SUMIFS(Devex_FEP!$H$5:$H$38,Devex_FEP!$I$5:$I$38,BO$4)</f>
        <v>0</v>
      </c>
      <c r="BP18" s="251" t="n">
        <f aca="false">SUMIFS(Devex_FEP!$H$5:$H$38,Devex_FEP!$I$5:$I$38,BP$4)</f>
        <v>0</v>
      </c>
    </row>
    <row r="19" customFormat="false" ht="15" hidden="false" customHeight="false" outlineLevel="0" collapsed="false">
      <c r="C19" s="0" t="s">
        <v>1045</v>
      </c>
      <c r="D19" s="0" t="s">
        <v>125</v>
      </c>
      <c r="E19" s="158"/>
      <c r="F19" s="158"/>
      <c r="G19" s="158"/>
      <c r="H19" s="158" t="n">
        <f aca="false">H18</f>
        <v>0</v>
      </c>
      <c r="I19" s="158" t="n">
        <f aca="false">H19+I18</f>
        <v>0</v>
      </c>
      <c r="J19" s="158" t="n">
        <f aca="false">I19+J18</f>
        <v>0</v>
      </c>
      <c r="K19" s="158" t="n">
        <f aca="false">J19+K18</f>
        <v>88.6216216216216</v>
      </c>
      <c r="L19" s="158" t="n">
        <f aca="false">K19+L18</f>
        <v>88.6216216216216</v>
      </c>
      <c r="M19" s="158" t="n">
        <f aca="false">L19+M18</f>
        <v>88.6216216216216</v>
      </c>
      <c r="N19" s="158" t="n">
        <f aca="false">M19+N18</f>
        <v>93.4864864864865</v>
      </c>
      <c r="O19" s="158" t="n">
        <f aca="false">N19+O18</f>
        <v>93.4864864864865</v>
      </c>
      <c r="P19" s="158" t="n">
        <f aca="false">O19+P18</f>
        <v>292.486486486487</v>
      </c>
      <c r="Q19" s="158" t="n">
        <f aca="false">P19+Q18</f>
        <v>292.486486486487</v>
      </c>
      <c r="R19" s="158" t="n">
        <f aca="false">Q19+R18</f>
        <v>292.486486486487</v>
      </c>
      <c r="S19" s="158" t="n">
        <f aca="false">R19+S18</f>
        <v>314.108108108108</v>
      </c>
      <c r="T19" s="158" t="n">
        <f aca="false">S19+T18</f>
        <v>335.72972972973</v>
      </c>
      <c r="U19" s="158" t="n">
        <f aca="false">T19+U18</f>
        <v>335.72972972973</v>
      </c>
      <c r="V19" s="158" t="n">
        <f aca="false">U19+V18</f>
        <v>335.72972972973</v>
      </c>
      <c r="W19" s="158" t="n">
        <f aca="false">V19+W18</f>
        <v>335.72972972973</v>
      </c>
      <c r="X19" s="158" t="n">
        <f aca="false">W19+X18</f>
        <v>356</v>
      </c>
      <c r="Y19" s="158" t="n">
        <f aca="false">X19+Y18</f>
        <v>427.340540540541</v>
      </c>
      <c r="Z19" s="158" t="n">
        <f aca="false">Y19+Z18</f>
        <v>904.71250689465</v>
      </c>
      <c r="AA19" s="158" t="n">
        <f aca="false">Z19+AA18</f>
        <v>1019.57737175951</v>
      </c>
      <c r="AB19" s="158" t="n">
        <f aca="false">AA19+AB18</f>
        <v>1063.64493932708</v>
      </c>
      <c r="AC19" s="158" t="n">
        <f aca="false">AB19+AC18</f>
        <v>1063.69899338114</v>
      </c>
      <c r="AD19" s="158" t="n">
        <f aca="false">AC19+AD18</f>
        <v>1063.69899338114</v>
      </c>
      <c r="AE19" s="158" t="n">
        <f aca="false">AD19+AE18</f>
        <v>1065.94899338114</v>
      </c>
      <c r="AF19" s="158" t="n">
        <f aca="false">AE19+AF18</f>
        <v>1065.94899338114</v>
      </c>
      <c r="AG19" s="158" t="n">
        <f aca="false">AF19+AG18</f>
        <v>1146.88602195256</v>
      </c>
      <c r="AH19" s="158" t="n">
        <f aca="false">AG19+AH18</f>
        <v>1146.88602195256</v>
      </c>
      <c r="AI19" s="158" t="n">
        <f aca="false">AH19+AI18</f>
        <v>1146.88602195256</v>
      </c>
      <c r="AJ19" s="158" t="n">
        <f aca="false">AI19+AJ18</f>
        <v>1163.10223816878</v>
      </c>
      <c r="AK19" s="158" t="n">
        <f aca="false">AJ19+AK18</f>
        <v>1304.20606898307</v>
      </c>
      <c r="AL19" s="158" t="n">
        <f aca="false">AK19+AL18</f>
        <v>1331.23309601009</v>
      </c>
      <c r="AM19" s="158" t="n">
        <f aca="false">AL19+AM18</f>
        <v>1331.23309601009</v>
      </c>
      <c r="AN19" s="158" t="n">
        <f aca="false">AM19+AN18</f>
        <v>1331.23309601009</v>
      </c>
      <c r="AO19" s="158" t="n">
        <f aca="false">AN19+AO18</f>
        <v>1331.23309601009</v>
      </c>
      <c r="AP19" s="158" t="n">
        <f aca="false">AO19+AP18</f>
        <v>1331.23309601009</v>
      </c>
      <c r="AQ19" s="158" t="n">
        <f aca="false">AP19+AQ18</f>
        <v>1331.23309601009</v>
      </c>
      <c r="AR19" s="158" t="n">
        <f aca="false">AQ19+AR18</f>
        <v>1331.23309601009</v>
      </c>
      <c r="AS19" s="158" t="n">
        <f aca="false">AR19+AS18</f>
        <v>1331.23309601009</v>
      </c>
      <c r="AT19" s="158" t="n">
        <f aca="false">AS19+AT18</f>
        <v>1331.23309601009</v>
      </c>
      <c r="AU19" s="158" t="n">
        <f aca="false">AT19+AU18</f>
        <v>1331.23309601009</v>
      </c>
      <c r="AV19" s="158" t="n">
        <f aca="false">AU19+AV18</f>
        <v>1331.23309601009</v>
      </c>
      <c r="AW19" s="158" t="n">
        <f aca="false">AV19+AW18</f>
        <v>1331.23309601009</v>
      </c>
      <c r="AX19" s="158" t="n">
        <f aca="false">AW19+AX18</f>
        <v>1331.23309601009</v>
      </c>
      <c r="AY19" s="158" t="n">
        <f aca="false">AX19+AY18</f>
        <v>1331.23309601009</v>
      </c>
      <c r="AZ19" s="158" t="n">
        <f aca="false">AY19+AZ18</f>
        <v>1331.23309601009</v>
      </c>
      <c r="BA19" s="158" t="n">
        <f aca="false">AZ19+BA18</f>
        <v>1331.23309601009</v>
      </c>
      <c r="BB19" s="158" t="n">
        <f aca="false">BA19+BB18</f>
        <v>1331.23309601009</v>
      </c>
      <c r="BC19" s="158" t="n">
        <f aca="false">BB19+BC18</f>
        <v>1331.23309601009</v>
      </c>
      <c r="BD19" s="158" t="n">
        <f aca="false">BC19+BD18</f>
        <v>1331.23309601009</v>
      </c>
      <c r="BE19" s="158" t="n">
        <f aca="false">BD19+BE18</f>
        <v>1331.23309601009</v>
      </c>
      <c r="BF19" s="158" t="n">
        <f aca="false">BE19+BF18</f>
        <v>1331.23309601009</v>
      </c>
      <c r="BG19" s="158" t="n">
        <f aca="false">BF19+BG18</f>
        <v>1331.23309601009</v>
      </c>
      <c r="BH19" s="158" t="n">
        <f aca="false">BG19+BH18</f>
        <v>1331.23309601009</v>
      </c>
      <c r="BI19" s="158" t="n">
        <f aca="false">BH19+BI18</f>
        <v>1331.23309601009</v>
      </c>
      <c r="BJ19" s="158" t="n">
        <f aca="false">BI19+BJ18</f>
        <v>1331.23309601009</v>
      </c>
      <c r="BK19" s="158" t="n">
        <f aca="false">BJ19+BK18</f>
        <v>1331.23309601009</v>
      </c>
      <c r="BL19" s="158" t="n">
        <f aca="false">BK19+BL18</f>
        <v>1331.23309601009</v>
      </c>
      <c r="BM19" s="158" t="n">
        <f aca="false">BL19+BM18</f>
        <v>1331.23309601009</v>
      </c>
      <c r="BN19" s="158" t="n">
        <f aca="false">BM19+BN18</f>
        <v>1331.23309601009</v>
      </c>
      <c r="BO19" s="158" t="n">
        <f aca="false">BN19+BO18</f>
        <v>1331.23309601009</v>
      </c>
      <c r="BP19" s="158" t="n">
        <f aca="false">BO19+BP18</f>
        <v>1331.23309601009</v>
      </c>
    </row>
    <row r="20" customFormat="false" ht="15" hidden="false" customHeight="false" outlineLevel="0" collapsed="false">
      <c r="C20" s="205" t="s">
        <v>1046</v>
      </c>
      <c r="D20" s="205" t="s">
        <v>125</v>
      </c>
      <c r="E20" s="251"/>
      <c r="F20" s="251"/>
      <c r="G20" s="251" t="n">
        <f aca="false">SUM(H20:BP20)</f>
        <v>212.689864864865</v>
      </c>
      <c r="H20" s="251" t="n">
        <f aca="false">IF(Inputs!$E$67=1,SUMIFS(Devex_FEP!$K$5:$K$38,Devex_FEP!$I$5:$I$38,H$4),0)</f>
        <v>0</v>
      </c>
      <c r="I20" s="251" t="n">
        <f aca="false">IF(Inputs!$E$67=1,SUMIFS(Devex_FEP!$K$5:$K$38,Devex_FEP!$I$5:$I$38,I$4),0)</f>
        <v>0</v>
      </c>
      <c r="J20" s="251" t="n">
        <f aca="false">IF(Inputs!$E$67=1,SUMIFS(Devex_FEP!$K$5:$K$38,Devex_FEP!$I$5:$I$38,J$4),0)</f>
        <v>0</v>
      </c>
      <c r="K20" s="251" t="n">
        <f aca="false">IF(Inputs!$E$67=1,SUMIFS(Devex_FEP!$K$5:$K$38,Devex_FEP!$I$5:$I$38,K$4),0)</f>
        <v>0</v>
      </c>
      <c r="L20" s="251" t="n">
        <f aca="false">IF(Inputs!$E$67=1,SUMIFS(Devex_FEP!$K$5:$K$38,Devex_FEP!$I$5:$I$38,L$4),0)</f>
        <v>0</v>
      </c>
      <c r="M20" s="251" t="n">
        <f aca="false">IF(Inputs!$E$67=1,SUMIFS(Devex_FEP!$K$5:$K$38,Devex_FEP!$I$5:$I$38,M$4),0)</f>
        <v>0</v>
      </c>
      <c r="N20" s="251" t="n">
        <f aca="false">IF(Inputs!$E$67=1,SUMIFS(Devex_FEP!$K$5:$K$38,Devex_FEP!$I$5:$I$38,N$4),0)</f>
        <v>0</v>
      </c>
      <c r="O20" s="251" t="n">
        <f aca="false">IF(Inputs!$E$67=1,SUMIFS(Devex_FEP!$K$5:$K$38,Devex_FEP!$I$5:$I$38,O$4),0)</f>
        <v>89.4466216216216</v>
      </c>
      <c r="P20" s="251" t="n">
        <f aca="false">IF(Inputs!$E$67=1,SUMIFS(Devex_FEP!$K$5:$K$38,Devex_FEP!$I$5:$I$38,P$4),0)</f>
        <v>0</v>
      </c>
      <c r="Q20" s="251" t="n">
        <f aca="false">IF(Inputs!$E$67=1,SUMIFS(Devex_FEP!$K$5:$K$38,Devex_FEP!$I$5:$I$38,Q$4),0)</f>
        <v>0</v>
      </c>
      <c r="R20" s="251" t="n">
        <f aca="false">IF(Inputs!$E$67=1,SUMIFS(Devex_FEP!$K$5:$K$38,Devex_FEP!$I$5:$I$38,R$4),0)</f>
        <v>0</v>
      </c>
      <c r="S20" s="251" t="n">
        <f aca="false">IF(Inputs!$E$67=1,SUMIFS(Devex_FEP!$K$5:$K$38,Devex_FEP!$I$5:$I$38,S$4),0)</f>
        <v>0</v>
      </c>
      <c r="T20" s="251" t="n">
        <f aca="false">IF(Inputs!$E$67=1,SUMIFS(Devex_FEP!$K$5:$K$38,Devex_FEP!$I$5:$I$38,T$4),0)</f>
        <v>0</v>
      </c>
      <c r="U20" s="251" t="n">
        <f aca="false">IF(Inputs!$E$67=1,SUMIFS(Devex_FEP!$K$5:$K$38,Devex_FEP!$I$5:$I$38,U$4),0)</f>
        <v>0</v>
      </c>
      <c r="V20" s="251" t="n">
        <f aca="false">IF(Inputs!$E$67=1,SUMIFS(Devex_FEP!$K$5:$K$38,Devex_FEP!$I$5:$I$38,V$4),0)</f>
        <v>0</v>
      </c>
      <c r="W20" s="251" t="n">
        <f aca="false">IF(Inputs!$E$67=1,SUMIFS(Devex_FEP!$K$5:$K$38,Devex_FEP!$I$5:$I$38,W$4),0)</f>
        <v>0</v>
      </c>
      <c r="X20" s="251" t="n">
        <f aca="false">IF(Inputs!$E$67=1,SUMIFS(Devex_FEP!$K$5:$K$38,Devex_FEP!$I$5:$I$38,X$4),0)</f>
        <v>0</v>
      </c>
      <c r="Y20" s="251" t="n">
        <f aca="false">IF(Inputs!$E$67=1,SUMIFS(Devex_FEP!$K$5:$K$38,Devex_FEP!$I$5:$I$38,Y$4),0)</f>
        <v>0</v>
      </c>
      <c r="Z20" s="251" t="n">
        <f aca="false">IF(Inputs!$E$67=1,SUMIFS(Devex_FEP!$K$5:$K$38,Devex_FEP!$I$5:$I$38,Z$4),0)</f>
        <v>0</v>
      </c>
      <c r="AA20" s="251" t="n">
        <f aca="false">IF(Inputs!$E$67=1,SUMIFS(Devex_FEP!$K$5:$K$38,Devex_FEP!$I$5:$I$38,AA$4),0)</f>
        <v>0</v>
      </c>
      <c r="AB20" s="251" t="n">
        <f aca="false">IF(Inputs!$E$67=1,SUMIFS(Devex_FEP!$K$5:$K$38,Devex_FEP!$I$5:$I$38,AB$4),0)</f>
        <v>0</v>
      </c>
      <c r="AC20" s="251" t="n">
        <f aca="false">IF(Inputs!$E$67=1,SUMIFS(Devex_FEP!$K$5:$K$38,Devex_FEP!$I$5:$I$38,AC$4),0)</f>
        <v>0</v>
      </c>
      <c r="AD20" s="251" t="n">
        <f aca="false">IF(Inputs!$E$67=1,SUMIFS(Devex_FEP!$K$5:$K$38,Devex_FEP!$I$5:$I$38,AD$4),0)</f>
        <v>0</v>
      </c>
      <c r="AE20" s="251" t="n">
        <f aca="false">IF(Inputs!$E$67=1,SUMIFS(Devex_FEP!$K$5:$K$38,Devex_FEP!$I$5:$I$38,AE$4),0)</f>
        <v>0</v>
      </c>
      <c r="AF20" s="251" t="n">
        <f aca="false">IF(Inputs!$E$67=1,SUMIFS(Devex_FEP!$K$5:$K$38,Devex_FEP!$I$5:$I$38,AF$4),0)</f>
        <v>0</v>
      </c>
      <c r="AG20" s="251" t="n">
        <f aca="false">IF(Inputs!$E$67=1,SUMIFS(Devex_FEP!$K$5:$K$38,Devex_FEP!$I$5:$I$38,AG$4),0)</f>
        <v>0</v>
      </c>
      <c r="AH20" s="251" t="n">
        <f aca="false">IF(Inputs!$E$67=1,SUMIFS(Devex_FEP!$K$5:$K$38,Devex_FEP!$I$5:$I$38,AH$4),0)</f>
        <v>0</v>
      </c>
      <c r="AI20" s="251" t="n">
        <f aca="false">IF(Inputs!$E$67=1,SUMIFS(Devex_FEP!$K$5:$K$38,Devex_FEP!$I$5:$I$38,AI$4),0)</f>
        <v>0</v>
      </c>
      <c r="AJ20" s="251" t="n">
        <f aca="false">IF(Inputs!$E$67=1,SUMIFS(Devex_FEP!$K$5:$K$38,Devex_FEP!$I$5:$I$38,AJ$4),0)</f>
        <v>0</v>
      </c>
      <c r="AK20" s="251" t="n">
        <f aca="false">IF(Inputs!$E$67=1,SUMIFS(Devex_FEP!$K$5:$K$38,Devex_FEP!$I$5:$I$38,AK$4),0)</f>
        <v>0</v>
      </c>
      <c r="AL20" s="251" t="n">
        <f aca="false">IF(Inputs!$E$67=1,SUMIFS(Devex_FEP!$K$5:$K$38,Devex_FEP!$I$5:$I$38,AL$4),0)</f>
        <v>0</v>
      </c>
      <c r="AM20" s="251" t="n">
        <f aca="false">IF(Inputs!$E$67=1,SUMIFS(Devex_FEP!$K$5:$K$38,Devex_FEP!$I$5:$I$38,AM$4),0)</f>
        <v>0</v>
      </c>
      <c r="AN20" s="251" t="n">
        <f aca="false">IF(Inputs!$E$67=1,SUMIFS(Devex_FEP!$K$5:$K$38,Devex_FEP!$I$5:$I$38,AN$4),0)</f>
        <v>123.243243243243</v>
      </c>
      <c r="AO20" s="251" t="n">
        <f aca="false">IF(Inputs!$E$67=1,SUMIFS(Devex_FEP!$K$5:$K$38,Devex_FEP!$I$5:$I$38,AO$4),0)</f>
        <v>0</v>
      </c>
      <c r="AP20" s="251" t="n">
        <f aca="false">IF(Inputs!$E$67=1,SUMIFS(Devex_FEP!$K$5:$K$38,Devex_FEP!$I$5:$I$38,AP$4),0)</f>
        <v>0</v>
      </c>
      <c r="AQ20" s="251" t="n">
        <f aca="false">IF(Inputs!$E$67=1,SUMIFS(Devex_FEP!$K$5:$K$38,Devex_FEP!$I$5:$I$38,AQ$4),0)</f>
        <v>0</v>
      </c>
      <c r="AR20" s="251" t="n">
        <f aca="false">IF(Inputs!$E$67=1,SUMIFS(Devex_FEP!$K$5:$K$38,Devex_FEP!$I$5:$I$38,AR$4),0)</f>
        <v>0</v>
      </c>
      <c r="AS20" s="251" t="n">
        <f aca="false">IF(Inputs!$E$67=1,SUMIFS(Devex_FEP!$K$5:$K$38,Devex_FEP!$I$5:$I$38,AS$4),0)</f>
        <v>0</v>
      </c>
      <c r="AT20" s="251" t="n">
        <f aca="false">IF(Inputs!$E$67=1,SUMIFS(Devex_FEP!$K$5:$K$38,Devex_FEP!$I$5:$I$38,AT$4),0)</f>
        <v>0</v>
      </c>
      <c r="AU20" s="251" t="n">
        <f aca="false">IF(Inputs!$E$67=1,SUMIFS(Devex_FEP!$K$5:$K$38,Devex_FEP!$I$5:$I$38,AU$4),0)</f>
        <v>0</v>
      </c>
      <c r="AV20" s="251" t="n">
        <f aca="false">IF(Inputs!$E$67=1,SUMIFS(Devex_FEP!$K$5:$K$38,Devex_FEP!$I$5:$I$38,AV$4),0)</f>
        <v>0</v>
      </c>
      <c r="AW20" s="251" t="n">
        <f aca="false">IF(Inputs!$E$67=1,SUMIFS(Devex_FEP!$K$5:$K$38,Devex_FEP!$I$5:$I$38,AW$4),0)</f>
        <v>0</v>
      </c>
      <c r="AX20" s="251" t="n">
        <f aca="false">IF(Inputs!$E$67=1,SUMIFS(Devex_FEP!$K$5:$K$38,Devex_FEP!$I$5:$I$38,AX$4),0)</f>
        <v>0</v>
      </c>
      <c r="AY20" s="251" t="n">
        <f aca="false">IF(Inputs!$E$67=1,SUMIFS(Devex_FEP!$K$5:$K$38,Devex_FEP!$I$5:$I$38,AY$4),0)</f>
        <v>0</v>
      </c>
      <c r="AZ20" s="251" t="n">
        <f aca="false">IF(Inputs!$E$67=1,SUMIFS(Devex_FEP!$K$5:$K$38,Devex_FEP!$I$5:$I$38,AZ$4),0)</f>
        <v>0</v>
      </c>
      <c r="BA20" s="251" t="n">
        <f aca="false">IF(Inputs!$E$67=1,SUMIFS(Devex_FEP!$K$5:$K$38,Devex_FEP!$I$5:$I$38,BA$4),0)</f>
        <v>0</v>
      </c>
      <c r="BB20" s="251" t="n">
        <f aca="false">IF(Inputs!$E$67=1,SUMIFS(Devex_FEP!$K$5:$K$38,Devex_FEP!$I$5:$I$38,BB$4),0)</f>
        <v>0</v>
      </c>
      <c r="BC20" s="251" t="n">
        <f aca="false">IF(Inputs!$E$67=1,SUMIFS(Devex_FEP!$K$5:$K$38,Devex_FEP!$I$5:$I$38,BC$4),0)</f>
        <v>0</v>
      </c>
      <c r="BD20" s="251" t="n">
        <f aca="false">IF(Inputs!$E$67=1,SUMIFS(Devex_FEP!$K$5:$K$38,Devex_FEP!$I$5:$I$38,BD$4),0)</f>
        <v>0</v>
      </c>
      <c r="BE20" s="251" t="n">
        <f aca="false">IF(Inputs!$E$67=1,SUMIFS(Devex_FEP!$K$5:$K$38,Devex_FEP!$I$5:$I$38,BE$4),0)</f>
        <v>0</v>
      </c>
      <c r="BF20" s="251" t="n">
        <f aca="false">IF(Inputs!$E$67=1,SUMIFS(Devex_FEP!$K$5:$K$38,Devex_FEP!$I$5:$I$38,BF$4),0)</f>
        <v>0</v>
      </c>
      <c r="BG20" s="251" t="n">
        <f aca="false">IF(Inputs!$E$67=1,SUMIFS(Devex_FEP!$K$5:$K$38,Devex_FEP!$I$5:$I$38,BG$4),0)</f>
        <v>0</v>
      </c>
      <c r="BH20" s="251" t="n">
        <f aca="false">IF(Inputs!$E$67=1,SUMIFS(Devex_FEP!$K$5:$K$38,Devex_FEP!$I$5:$I$38,BH$4),0)</f>
        <v>0</v>
      </c>
      <c r="BI20" s="251" t="n">
        <f aca="false">IF(Inputs!$E$67=1,SUMIFS(Devex_FEP!$K$5:$K$38,Devex_FEP!$I$5:$I$38,BI$4),0)</f>
        <v>0</v>
      </c>
      <c r="BJ20" s="251" t="n">
        <f aca="false">IF(Inputs!$E$67=1,SUMIFS(Devex_FEP!$K$5:$K$38,Devex_FEP!$I$5:$I$38,BJ$4),0)</f>
        <v>0</v>
      </c>
      <c r="BK20" s="251" t="n">
        <f aca="false">IF(Inputs!$E$67=1,SUMIFS(Devex_FEP!$K$5:$K$38,Devex_FEP!$I$5:$I$38,BK$4),0)</f>
        <v>0</v>
      </c>
      <c r="BL20" s="251" t="n">
        <f aca="false">IF(Inputs!$E$67=1,SUMIFS(Devex_FEP!$K$5:$K$38,Devex_FEP!$I$5:$I$38,BL$4),0)</f>
        <v>0</v>
      </c>
      <c r="BM20" s="251" t="n">
        <f aca="false">IF(Inputs!$E$67=1,SUMIFS(Devex_FEP!$K$5:$K$38,Devex_FEP!$I$5:$I$38,BM$4),0)</f>
        <v>0</v>
      </c>
      <c r="BN20" s="251" t="n">
        <f aca="false">IF(Inputs!$E$67=1,SUMIFS(Devex_FEP!$K$5:$K$38,Devex_FEP!$I$5:$I$38,BN$4),0)</f>
        <v>0</v>
      </c>
      <c r="BO20" s="251" t="n">
        <f aca="false">IF(Inputs!$E$67=1,SUMIFS(Devex_FEP!$K$5:$K$38,Devex_FEP!$I$5:$I$38,BO$4),0)</f>
        <v>0</v>
      </c>
      <c r="BP20" s="251" t="n">
        <f aca="false">IF(Inputs!$E$67=1,SUMIFS(Devex_FEP!$K$5:$K$38,Devex_FEP!$I$5:$I$38,BP$4),0)</f>
        <v>0</v>
      </c>
    </row>
    <row r="21" customFormat="false" ht="15" hidden="false" customHeight="false" outlineLevel="0" collapsed="false">
      <c r="C21" s="136" t="s">
        <v>1047</v>
      </c>
      <c r="D21" s="136"/>
      <c r="E21" s="259"/>
      <c r="F21" s="259"/>
      <c r="G21" s="259"/>
      <c r="H21" s="259"/>
      <c r="I21" s="259"/>
      <c r="J21" s="259"/>
      <c r="K21" s="259"/>
      <c r="L21" s="259"/>
      <c r="M21" s="259"/>
      <c r="N21" s="259"/>
      <c r="O21" s="259"/>
      <c r="P21" s="259"/>
      <c r="Q21" s="259"/>
      <c r="R21" s="259"/>
      <c r="S21" s="259"/>
      <c r="T21" s="259"/>
      <c r="U21" s="259"/>
      <c r="V21" s="259"/>
      <c r="W21" s="259"/>
      <c r="X21" s="259"/>
      <c r="Y21" s="259"/>
      <c r="Z21" s="259"/>
      <c r="AA21" s="259"/>
      <c r="AB21" s="259"/>
      <c r="AC21" s="259"/>
      <c r="AD21" s="259"/>
      <c r="AE21" s="259"/>
      <c r="AF21" s="259"/>
      <c r="AG21" s="259"/>
      <c r="AH21" s="259"/>
      <c r="AI21" s="259"/>
      <c r="AJ21" s="259"/>
      <c r="AK21" s="259"/>
      <c r="AL21" s="259"/>
      <c r="AM21" s="259"/>
      <c r="AN21" s="259"/>
      <c r="AO21" s="259"/>
      <c r="AP21" s="259"/>
      <c r="AQ21" s="259"/>
      <c r="AR21" s="259"/>
      <c r="AS21" s="259"/>
      <c r="AT21" s="259"/>
      <c r="AU21" s="259"/>
      <c r="AV21" s="259"/>
      <c r="AW21" s="259"/>
      <c r="AX21" s="259"/>
      <c r="AY21" s="259"/>
      <c r="AZ21" s="259"/>
      <c r="BA21" s="259"/>
      <c r="BB21" s="259"/>
      <c r="BC21" s="259"/>
      <c r="BD21" s="259"/>
      <c r="BE21" s="259"/>
      <c r="BF21" s="259"/>
      <c r="BG21" s="259"/>
      <c r="BH21" s="259"/>
      <c r="BI21" s="259"/>
      <c r="BJ21" s="259"/>
      <c r="BK21" s="259"/>
      <c r="BL21" s="259"/>
      <c r="BM21" s="259"/>
      <c r="BN21" s="259"/>
      <c r="BO21" s="259"/>
      <c r="BP21" s="259"/>
    </row>
    <row r="22" customFormat="false" ht="15" hidden="false" customHeight="false" outlineLevel="0" collapsed="false">
      <c r="C22" s="0" t="s">
        <v>1048</v>
      </c>
      <c r="D22" s="0" t="s">
        <v>11</v>
      </c>
      <c r="E22" s="158"/>
      <c r="F22" s="158"/>
      <c r="G22" s="158"/>
      <c r="H22" s="158" t="n">
        <v>0</v>
      </c>
      <c r="I22" s="158" t="n">
        <f aca="false">H24</f>
        <v>0</v>
      </c>
      <c r="J22" s="158" t="n">
        <f aca="false">I24</f>
        <v>0</v>
      </c>
      <c r="K22" s="158" t="n">
        <f aca="false">J24</f>
        <v>0</v>
      </c>
      <c r="L22" s="158" t="n">
        <f aca="false">K24</f>
        <v>0.0347222222222222</v>
      </c>
      <c r="M22" s="158" t="n">
        <f aca="false">L24</f>
        <v>0.236111111111111</v>
      </c>
      <c r="N22" s="158" t="n">
        <f aca="false">M24</f>
        <v>0.451388888888889</v>
      </c>
      <c r="O22" s="158" t="n">
        <f aca="false">N24</f>
        <v>0.659722222222222</v>
      </c>
      <c r="P22" s="158" t="n">
        <f aca="false">O24</f>
        <v>0.847222222222222</v>
      </c>
      <c r="Q22" s="158" t="n">
        <f aca="false">P24</f>
        <v>1.07638888888889</v>
      </c>
      <c r="R22" s="158" t="n">
        <f aca="false">Q24</f>
        <v>1.27777777777778</v>
      </c>
      <c r="S22" s="158" t="n">
        <f aca="false">R24</f>
        <v>1.49305555555556</v>
      </c>
      <c r="T22" s="158" t="n">
        <f aca="false">S24</f>
        <v>1.69444444444444</v>
      </c>
      <c r="U22" s="158" t="n">
        <f aca="false">T24</f>
        <v>1.90972222222222</v>
      </c>
      <c r="V22" s="158" t="n">
        <f aca="false">U24</f>
        <v>2.11805555555556</v>
      </c>
      <c r="W22" s="158" t="n">
        <f aca="false">V24</f>
        <v>2.31944444444444</v>
      </c>
      <c r="X22" s="158" t="n">
        <f aca="false">W24</f>
        <v>2.53472222222222</v>
      </c>
      <c r="Y22" s="158" t="n">
        <f aca="false">X24</f>
        <v>2.73611111111111</v>
      </c>
      <c r="Z22" s="158" t="n">
        <f aca="false">Y24</f>
        <v>2.95138888888889</v>
      </c>
      <c r="AA22" s="158" t="n">
        <f aca="false">Z24</f>
        <v>3.15972222222222</v>
      </c>
      <c r="AB22" s="158" t="n">
        <f aca="false">AA24</f>
        <v>3.35416666666667</v>
      </c>
      <c r="AC22" s="158" t="n">
        <f aca="false">AB24</f>
        <v>3.57638888888889</v>
      </c>
      <c r="AD22" s="158" t="n">
        <f aca="false">AC24</f>
        <v>3.77777777777778</v>
      </c>
      <c r="AE22" s="158" t="n">
        <f aca="false">AD24</f>
        <v>3.99305555555556</v>
      </c>
      <c r="AF22" s="158" t="n">
        <f aca="false">AE24</f>
        <v>4.19444444444445</v>
      </c>
      <c r="AG22" s="158" t="n">
        <f aca="false">AF24</f>
        <v>4.40972222222222</v>
      </c>
      <c r="AH22" s="158" t="n">
        <f aca="false">AG24</f>
        <v>4.61805555555556</v>
      </c>
      <c r="AI22" s="158" t="n">
        <f aca="false">AH24</f>
        <v>4.81944444444445</v>
      </c>
      <c r="AJ22" s="158" t="n">
        <f aca="false">AI24</f>
        <v>5.03472222222222</v>
      </c>
      <c r="AK22" s="158" t="n">
        <f aca="false">AJ24</f>
        <v>5.23611111111111</v>
      </c>
      <c r="AL22" s="158" t="n">
        <f aca="false">AK24</f>
        <v>5.45138888888889</v>
      </c>
      <c r="AM22" s="158" t="n">
        <f aca="false">AL24</f>
        <v>5.65972222222222</v>
      </c>
      <c r="AN22" s="158" t="n">
        <f aca="false">AM24</f>
        <v>5.84722222222222</v>
      </c>
      <c r="AO22" s="158" t="n">
        <f aca="false">AN24</f>
        <v>6.07638888888889</v>
      </c>
      <c r="AP22" s="158" t="n">
        <f aca="false">AO24</f>
        <v>6.27777777777778</v>
      </c>
      <c r="AQ22" s="158" t="n">
        <f aca="false">AP24</f>
        <v>6.49305555555556</v>
      </c>
      <c r="AR22" s="158" t="n">
        <f aca="false">AQ24</f>
        <v>6.69444444444444</v>
      </c>
      <c r="AS22" s="158" t="n">
        <f aca="false">AR24</f>
        <v>6.90972222222222</v>
      </c>
      <c r="AT22" s="158" t="n">
        <f aca="false">AS24</f>
        <v>7.11805555555556</v>
      </c>
      <c r="AU22" s="158" t="n">
        <f aca="false">AT24</f>
        <v>7.31944444444444</v>
      </c>
      <c r="AV22" s="158" t="n">
        <f aca="false">AU24</f>
        <v>7.31944444444444</v>
      </c>
      <c r="AW22" s="158" t="n">
        <f aca="false">AV24</f>
        <v>7.31944444444444</v>
      </c>
      <c r="AX22" s="158" t="n">
        <f aca="false">AW24</f>
        <v>7.31944444444444</v>
      </c>
      <c r="AY22" s="158" t="n">
        <f aca="false">AX24</f>
        <v>7.31944444444444</v>
      </c>
      <c r="AZ22" s="158" t="n">
        <f aca="false">AY24</f>
        <v>7.31944444444444</v>
      </c>
      <c r="BA22" s="158" t="n">
        <f aca="false">AZ24</f>
        <v>7.31944444444444</v>
      </c>
      <c r="BB22" s="158" t="n">
        <f aca="false">BA24</f>
        <v>7.31944444444444</v>
      </c>
      <c r="BC22" s="158" t="n">
        <f aca="false">BB24</f>
        <v>7.31944444444444</v>
      </c>
      <c r="BD22" s="158" t="n">
        <f aca="false">BC24</f>
        <v>7.31944444444444</v>
      </c>
      <c r="BE22" s="158" t="n">
        <f aca="false">BD24</f>
        <v>7.31944444444444</v>
      </c>
      <c r="BF22" s="158" t="n">
        <f aca="false">BE24</f>
        <v>7.31944444444444</v>
      </c>
      <c r="BG22" s="158" t="n">
        <f aca="false">BF24</f>
        <v>7.31944444444444</v>
      </c>
      <c r="BH22" s="158" t="n">
        <f aca="false">BG24</f>
        <v>7.31944444444444</v>
      </c>
      <c r="BI22" s="158" t="n">
        <f aca="false">BH24</f>
        <v>7.31944444444444</v>
      </c>
      <c r="BJ22" s="158" t="n">
        <f aca="false">BI24</f>
        <v>7.31944444444444</v>
      </c>
      <c r="BK22" s="158" t="n">
        <f aca="false">BJ24</f>
        <v>7.31944444444444</v>
      </c>
      <c r="BL22" s="158" t="n">
        <f aca="false">BK24</f>
        <v>7.31944444444444</v>
      </c>
      <c r="BM22" s="158" t="n">
        <f aca="false">BL24</f>
        <v>7.31944444444444</v>
      </c>
      <c r="BN22" s="158" t="n">
        <f aca="false">BM24</f>
        <v>7.31944444444444</v>
      </c>
      <c r="BO22" s="158" t="n">
        <f aca="false">BN24</f>
        <v>7.31944444444444</v>
      </c>
      <c r="BP22" s="158" t="n">
        <f aca="false">BO24</f>
        <v>7.31944444444444</v>
      </c>
    </row>
    <row r="23" customFormat="false" ht="15" hidden="false" customHeight="false" outlineLevel="0" collapsed="false">
      <c r="C23" s="0" t="s">
        <v>1049</v>
      </c>
      <c r="D23" s="0" t="s">
        <v>11</v>
      </c>
      <c r="E23" s="158"/>
      <c r="F23" s="158"/>
      <c r="G23" s="158"/>
      <c r="H23" s="158" t="n">
        <f aca="false">Inputs!$E$38*MAX(0,MIN(Inputs!$E$37,Inputs!$E$36*N(H$5&gt;=Inputs!$E$70)*YEARFRAC(Inputs!$E$70,MIN(H$5,Inputs!$E$58)))-H22)</f>
        <v>0</v>
      </c>
      <c r="I23" s="158" t="n">
        <f aca="false">Inputs!$E$38*MAX(0,MIN(Inputs!$E$37,Inputs!$E$36*N(I$5&gt;=Inputs!$E$70)*YEARFRAC(Inputs!$E$70,MIN(I$5,Inputs!$E$58)))-I22)</f>
        <v>0</v>
      </c>
      <c r="J23" s="158" t="n">
        <f aca="false">Inputs!$E$38*MAX(0,MIN(Inputs!$E$37,Inputs!$E$36*N(J$5&gt;=Inputs!$E$70)*YEARFRAC(Inputs!$E$70,MIN(J$5,Inputs!$E$58)))-J22)</f>
        <v>0</v>
      </c>
      <c r="K23" s="158" t="n">
        <f aca="false">Inputs!$E$38*MAX(0,MIN(Inputs!$E$37,Inputs!$E$36*N(K$5&gt;=Inputs!$E$70)*YEARFRAC(Inputs!$E$70,MIN(K$5,Inputs!$E$58)))-K22)</f>
        <v>0.0347222222222222</v>
      </c>
      <c r="L23" s="158" t="n">
        <f aca="false">Inputs!$E$38*MAX(0,MIN(Inputs!$E$37,Inputs!$E$36*N(L$5&gt;=Inputs!$E$70)*YEARFRAC(Inputs!$E$70,MIN(L$5,Inputs!$E$58)))-L22)</f>
        <v>0.201388888888889</v>
      </c>
      <c r="M23" s="158" t="n">
        <f aca="false">Inputs!$E$38*MAX(0,MIN(Inputs!$E$37,Inputs!$E$36*N(M$5&gt;=Inputs!$E$70)*YEARFRAC(Inputs!$E$70,MIN(M$5,Inputs!$E$58)))-M22)</f>
        <v>0.215277777777778</v>
      </c>
      <c r="N23" s="158" t="n">
        <f aca="false">Inputs!$E$38*MAX(0,MIN(Inputs!$E$37,Inputs!$E$36*N(N$5&gt;=Inputs!$E$70)*YEARFRAC(Inputs!$E$70,MIN(N$5,Inputs!$E$58)))-N22)</f>
        <v>0.208333333333333</v>
      </c>
      <c r="O23" s="158" t="n">
        <f aca="false">Inputs!$E$38*MAX(0,MIN(Inputs!$E$37,Inputs!$E$36*N(O$5&gt;=Inputs!$E$70)*YEARFRAC(Inputs!$E$70,MIN(O$5,Inputs!$E$58)))-O22)</f>
        <v>0.1875</v>
      </c>
      <c r="P23" s="158" t="n">
        <f aca="false">Inputs!$E$38*MAX(0,MIN(Inputs!$E$37,Inputs!$E$36*N(P$5&gt;=Inputs!$E$70)*YEARFRAC(Inputs!$E$70,MIN(P$5,Inputs!$E$58)))-P22)</f>
        <v>0.229166666666667</v>
      </c>
      <c r="Q23" s="158" t="n">
        <f aca="false">Inputs!$E$38*MAX(0,MIN(Inputs!$E$37,Inputs!$E$36*N(Q$5&gt;=Inputs!$E$70)*YEARFRAC(Inputs!$E$70,MIN(Q$5,Inputs!$E$58)))-Q22)</f>
        <v>0.201388888888889</v>
      </c>
      <c r="R23" s="158" t="n">
        <f aca="false">Inputs!$E$38*MAX(0,MIN(Inputs!$E$37,Inputs!$E$36*N(R$5&gt;=Inputs!$E$70)*YEARFRAC(Inputs!$E$70,MIN(R$5,Inputs!$E$58)))-R22)</f>
        <v>0.215277777777778</v>
      </c>
      <c r="S23" s="158" t="n">
        <f aca="false">Inputs!$E$38*MAX(0,MIN(Inputs!$E$37,Inputs!$E$36*N(S$5&gt;=Inputs!$E$70)*YEARFRAC(Inputs!$E$70,MIN(S$5,Inputs!$E$58)))-S22)</f>
        <v>0.201388888888889</v>
      </c>
      <c r="T23" s="158" t="n">
        <f aca="false">Inputs!$E$38*MAX(0,MIN(Inputs!$E$37,Inputs!$E$36*N(T$5&gt;=Inputs!$E$70)*YEARFRAC(Inputs!$E$70,MIN(T$5,Inputs!$E$58)))-T22)</f>
        <v>0.215277777777777</v>
      </c>
      <c r="U23" s="158" t="n">
        <f aca="false">Inputs!$E$38*MAX(0,MIN(Inputs!$E$37,Inputs!$E$36*N(U$5&gt;=Inputs!$E$70)*YEARFRAC(Inputs!$E$70,MIN(U$5,Inputs!$E$58)))-U22)</f>
        <v>0.208333333333333</v>
      </c>
      <c r="V23" s="158" t="n">
        <f aca="false">Inputs!$E$38*MAX(0,MIN(Inputs!$E$37,Inputs!$E$36*N(V$5&gt;=Inputs!$E$70)*YEARFRAC(Inputs!$E$70,MIN(V$5,Inputs!$E$58)))-V22)</f>
        <v>0.201388888888889</v>
      </c>
      <c r="W23" s="158" t="n">
        <f aca="false">Inputs!$E$38*MAX(0,MIN(Inputs!$E$37,Inputs!$E$36*N(W$5&gt;=Inputs!$E$70)*YEARFRAC(Inputs!$E$70,MIN(W$5,Inputs!$E$58)))-W22)</f>
        <v>0.215277777777778</v>
      </c>
      <c r="X23" s="158" t="n">
        <f aca="false">Inputs!$E$38*MAX(0,MIN(Inputs!$E$37,Inputs!$E$36*N(X$5&gt;=Inputs!$E$70)*YEARFRAC(Inputs!$E$70,MIN(X$5,Inputs!$E$58)))-X22)</f>
        <v>0.201388888888889</v>
      </c>
      <c r="Y23" s="158" t="n">
        <f aca="false">Inputs!$E$38*MAX(0,MIN(Inputs!$E$37,Inputs!$E$36*N(Y$5&gt;=Inputs!$E$70)*YEARFRAC(Inputs!$E$70,MIN(Y$5,Inputs!$E$58)))-Y22)</f>
        <v>0.215277777777777</v>
      </c>
      <c r="Z23" s="158" t="n">
        <f aca="false">Inputs!$E$38*MAX(0,MIN(Inputs!$E$37,Inputs!$E$36*N(Z$5&gt;=Inputs!$E$70)*YEARFRAC(Inputs!$E$70,MIN(Z$5,Inputs!$E$58)))-Z22)</f>
        <v>0.208333333333333</v>
      </c>
      <c r="AA23" s="158" t="n">
        <f aca="false">Inputs!$E$38*MAX(0,MIN(Inputs!$E$37,Inputs!$E$36*N(AA$5&gt;=Inputs!$E$70)*YEARFRAC(Inputs!$E$70,MIN(AA$5,Inputs!$E$58)))-AA22)</f>
        <v>0.194444444444444</v>
      </c>
      <c r="AB23" s="158" t="n">
        <f aca="false">Inputs!$E$38*MAX(0,MIN(Inputs!$E$37,Inputs!$E$36*N(AB$5&gt;=Inputs!$E$70)*YEARFRAC(Inputs!$E$70,MIN(AB$5,Inputs!$E$58)))-AB22)</f>
        <v>0.222222222222222</v>
      </c>
      <c r="AC23" s="158" t="n">
        <f aca="false">Inputs!$E$38*MAX(0,MIN(Inputs!$E$37,Inputs!$E$36*N(AC$5&gt;=Inputs!$E$70)*YEARFRAC(Inputs!$E$70,MIN(AC$5,Inputs!$E$58)))-AC22)</f>
        <v>0.201388888888889</v>
      </c>
      <c r="AD23" s="158" t="n">
        <f aca="false">Inputs!$E$38*MAX(0,MIN(Inputs!$E$37,Inputs!$E$36*N(AD$5&gt;=Inputs!$E$70)*YEARFRAC(Inputs!$E$70,MIN(AD$5,Inputs!$E$58)))-AD22)</f>
        <v>0.215277777777778</v>
      </c>
      <c r="AE23" s="158" t="n">
        <f aca="false">Inputs!$E$38*MAX(0,MIN(Inputs!$E$37,Inputs!$E$36*N(AE$5&gt;=Inputs!$E$70)*YEARFRAC(Inputs!$E$70,MIN(AE$5,Inputs!$E$58)))-AE22)</f>
        <v>0.201388888888889</v>
      </c>
      <c r="AF23" s="158" t="n">
        <f aca="false">Inputs!$E$38*MAX(0,MIN(Inputs!$E$37,Inputs!$E$36*N(AF$5&gt;=Inputs!$E$70)*YEARFRAC(Inputs!$E$70,MIN(AF$5,Inputs!$E$58)))-AF22)</f>
        <v>0.215277777777778</v>
      </c>
      <c r="AG23" s="158" t="n">
        <f aca="false">Inputs!$E$38*MAX(0,MIN(Inputs!$E$37,Inputs!$E$36*N(AG$5&gt;=Inputs!$E$70)*YEARFRAC(Inputs!$E$70,MIN(AG$5,Inputs!$E$58)))-AG22)</f>
        <v>0.208333333333333</v>
      </c>
      <c r="AH23" s="158" t="n">
        <f aca="false">Inputs!$E$38*MAX(0,MIN(Inputs!$E$37,Inputs!$E$36*N(AH$5&gt;=Inputs!$E$70)*YEARFRAC(Inputs!$E$70,MIN(AH$5,Inputs!$E$58)))-AH22)</f>
        <v>0.201388888888889</v>
      </c>
      <c r="AI23" s="158" t="n">
        <f aca="false">Inputs!$E$38*MAX(0,MIN(Inputs!$E$37,Inputs!$E$36*N(AI$5&gt;=Inputs!$E$70)*YEARFRAC(Inputs!$E$70,MIN(AI$5,Inputs!$E$58)))-AI22)</f>
        <v>0.215277777777778</v>
      </c>
      <c r="AJ23" s="158" t="n">
        <f aca="false">Inputs!$E$38*MAX(0,MIN(Inputs!$E$37,Inputs!$E$36*N(AJ$5&gt;=Inputs!$E$70)*YEARFRAC(Inputs!$E$70,MIN(AJ$5,Inputs!$E$58)))-AJ22)</f>
        <v>0.201388888888889</v>
      </c>
      <c r="AK23" s="158" t="n">
        <f aca="false">Inputs!$E$38*MAX(0,MIN(Inputs!$E$37,Inputs!$E$36*N(AK$5&gt;=Inputs!$E$70)*YEARFRAC(Inputs!$E$70,MIN(AK$5,Inputs!$E$58)))-AK22)</f>
        <v>0.215277777777777</v>
      </c>
      <c r="AL23" s="158" t="n">
        <f aca="false">Inputs!$E$38*MAX(0,MIN(Inputs!$E$37,Inputs!$E$36*N(AL$5&gt;=Inputs!$E$70)*YEARFRAC(Inputs!$E$70,MIN(AL$5,Inputs!$E$58)))-AL22)</f>
        <v>0.208333333333334</v>
      </c>
      <c r="AM23" s="158" t="n">
        <f aca="false">Inputs!$E$38*MAX(0,MIN(Inputs!$E$37,Inputs!$E$36*N(AM$5&gt;=Inputs!$E$70)*YEARFRAC(Inputs!$E$70,MIN(AM$5,Inputs!$E$58)))-AM22)</f>
        <v>0.1875</v>
      </c>
      <c r="AN23" s="158" t="n">
        <f aca="false">Inputs!$E$38*MAX(0,MIN(Inputs!$E$37,Inputs!$E$36*N(AN$5&gt;=Inputs!$E$70)*YEARFRAC(Inputs!$E$70,MIN(AN$5,Inputs!$E$58)))-AN22)</f>
        <v>0.229166666666666</v>
      </c>
      <c r="AO23" s="158" t="n">
        <f aca="false">Inputs!$E$38*MAX(0,MIN(Inputs!$E$37,Inputs!$E$36*N(AO$5&gt;=Inputs!$E$70)*YEARFRAC(Inputs!$E$70,MIN(AO$5,Inputs!$E$58)))-AO22)</f>
        <v>0.201388888888889</v>
      </c>
      <c r="AP23" s="158" t="n">
        <f aca="false">Inputs!$E$38*MAX(0,MIN(Inputs!$E$37,Inputs!$E$36*N(AP$5&gt;=Inputs!$E$70)*YEARFRAC(Inputs!$E$70,MIN(AP$5,Inputs!$E$58)))-AP22)</f>
        <v>0.215277777777778</v>
      </c>
      <c r="AQ23" s="158" t="n">
        <f aca="false">Inputs!$E$38*MAX(0,MIN(Inputs!$E$37,Inputs!$E$36*N(AQ$5&gt;=Inputs!$E$70)*YEARFRAC(Inputs!$E$70,MIN(AQ$5,Inputs!$E$58)))-AQ22)</f>
        <v>0.201388888888888</v>
      </c>
      <c r="AR23" s="158" t="n">
        <f aca="false">Inputs!$E$38*MAX(0,MIN(Inputs!$E$37,Inputs!$E$36*N(AR$5&gt;=Inputs!$E$70)*YEARFRAC(Inputs!$E$70,MIN(AR$5,Inputs!$E$58)))-AR22)</f>
        <v>0.215277777777779</v>
      </c>
      <c r="AS23" s="158" t="n">
        <f aca="false">Inputs!$E$38*MAX(0,MIN(Inputs!$E$37,Inputs!$E$36*N(AS$5&gt;=Inputs!$E$70)*YEARFRAC(Inputs!$E$70,MIN(AS$5,Inputs!$E$58)))-AS22)</f>
        <v>0.208333333333333</v>
      </c>
      <c r="AT23" s="158" t="n">
        <f aca="false">Inputs!$E$38*MAX(0,MIN(Inputs!$E$37,Inputs!$E$36*N(AT$5&gt;=Inputs!$E$70)*YEARFRAC(Inputs!$E$70,MIN(AT$5,Inputs!$E$58)))-AT22)</f>
        <v>0.201388888888888</v>
      </c>
      <c r="AU23" s="158" t="n">
        <f aca="false">Inputs!$E$38*MAX(0,MIN(Inputs!$E$37,Inputs!$E$36*N(AU$5&gt;=Inputs!$E$70)*YEARFRAC(Inputs!$E$70,MIN(AU$5,Inputs!$E$58)))-AU22)</f>
        <v>0</v>
      </c>
      <c r="AV23" s="158" t="n">
        <f aca="false">Inputs!$E$38*MAX(0,MIN(Inputs!$E$37,Inputs!$E$36*N(AV$5&gt;=Inputs!$E$70)*YEARFRAC(Inputs!$E$70,MIN(AV$5,Inputs!$E$58)))-AV22)</f>
        <v>0</v>
      </c>
      <c r="AW23" s="158" t="n">
        <f aca="false">Inputs!$E$38*MAX(0,MIN(Inputs!$E$37,Inputs!$E$36*N(AW$5&gt;=Inputs!$E$70)*YEARFRAC(Inputs!$E$70,MIN(AW$5,Inputs!$E$58)))-AW22)</f>
        <v>0</v>
      </c>
      <c r="AX23" s="158" t="n">
        <f aca="false">Inputs!$E$38*MAX(0,MIN(Inputs!$E$37,Inputs!$E$36*N(AX$5&gt;=Inputs!$E$70)*YEARFRAC(Inputs!$E$70,MIN(AX$5,Inputs!$E$58)))-AX22)</f>
        <v>0</v>
      </c>
      <c r="AY23" s="158" t="n">
        <f aca="false">Inputs!$E$38*MAX(0,MIN(Inputs!$E$37,Inputs!$E$36*N(AY$5&gt;=Inputs!$E$70)*YEARFRAC(Inputs!$E$70,MIN(AY$5,Inputs!$E$58)))-AY22)</f>
        <v>0</v>
      </c>
      <c r="AZ23" s="158" t="n">
        <f aca="false">Inputs!$E$38*MAX(0,MIN(Inputs!$E$37,Inputs!$E$36*N(AZ$5&gt;=Inputs!$E$70)*YEARFRAC(Inputs!$E$70,MIN(AZ$5,Inputs!$E$58)))-AZ22)</f>
        <v>0</v>
      </c>
      <c r="BA23" s="158" t="n">
        <f aca="false">Inputs!$E$38*MAX(0,MIN(Inputs!$E$37,Inputs!$E$36*N(BA$5&gt;=Inputs!$E$70)*YEARFRAC(Inputs!$E$70,MIN(BA$5,Inputs!$E$58)))-BA22)</f>
        <v>0</v>
      </c>
      <c r="BB23" s="158" t="n">
        <f aca="false">Inputs!$E$38*MAX(0,MIN(Inputs!$E$37,Inputs!$E$36*N(BB$5&gt;=Inputs!$E$70)*YEARFRAC(Inputs!$E$70,MIN(BB$5,Inputs!$E$58)))-BB22)</f>
        <v>0</v>
      </c>
      <c r="BC23" s="158" t="n">
        <f aca="false">Inputs!$E$38*MAX(0,MIN(Inputs!$E$37,Inputs!$E$36*N(BC$5&gt;=Inputs!$E$70)*YEARFRAC(Inputs!$E$70,MIN(BC$5,Inputs!$E$58)))-BC22)</f>
        <v>0</v>
      </c>
      <c r="BD23" s="158" t="n">
        <f aca="false">Inputs!$E$38*MAX(0,MIN(Inputs!$E$37,Inputs!$E$36*N(BD$5&gt;=Inputs!$E$70)*YEARFRAC(Inputs!$E$70,MIN(BD$5,Inputs!$E$58)))-BD22)</f>
        <v>0</v>
      </c>
      <c r="BE23" s="158" t="n">
        <f aca="false">Inputs!$E$38*MAX(0,MIN(Inputs!$E$37,Inputs!$E$36*N(BE$5&gt;=Inputs!$E$70)*YEARFRAC(Inputs!$E$70,MIN(BE$5,Inputs!$E$58)))-BE22)</f>
        <v>0</v>
      </c>
      <c r="BF23" s="158" t="n">
        <f aca="false">Inputs!$E$38*MAX(0,MIN(Inputs!$E$37,Inputs!$E$36*N(BF$5&gt;=Inputs!$E$70)*YEARFRAC(Inputs!$E$70,MIN(BF$5,Inputs!$E$58)))-BF22)</f>
        <v>0</v>
      </c>
      <c r="BG23" s="158" t="n">
        <f aca="false">Inputs!$E$38*MAX(0,MIN(Inputs!$E$37,Inputs!$E$36*N(BG$5&gt;=Inputs!$E$70)*YEARFRAC(Inputs!$E$70,MIN(BG$5,Inputs!$E$58)))-BG22)</f>
        <v>0</v>
      </c>
      <c r="BH23" s="158" t="n">
        <f aca="false">Inputs!$E$38*MAX(0,MIN(Inputs!$E$37,Inputs!$E$36*N(BH$5&gt;=Inputs!$E$70)*YEARFRAC(Inputs!$E$70,MIN(BH$5,Inputs!$E$58)))-BH22)</f>
        <v>0</v>
      </c>
      <c r="BI23" s="158" t="n">
        <f aca="false">Inputs!$E$38*MAX(0,MIN(Inputs!$E$37,Inputs!$E$36*N(BI$5&gt;=Inputs!$E$70)*YEARFRAC(Inputs!$E$70,MIN(BI$5,Inputs!$E$58)))-BI22)</f>
        <v>0</v>
      </c>
      <c r="BJ23" s="158" t="n">
        <f aca="false">Inputs!$E$38*MAX(0,MIN(Inputs!$E$37,Inputs!$E$36*N(BJ$5&gt;=Inputs!$E$70)*YEARFRAC(Inputs!$E$70,MIN(BJ$5,Inputs!$E$58)))-BJ22)</f>
        <v>0</v>
      </c>
      <c r="BK23" s="158" t="n">
        <f aca="false">Inputs!$E$38*MAX(0,MIN(Inputs!$E$37,Inputs!$E$36*N(BK$5&gt;=Inputs!$E$70)*YEARFRAC(Inputs!$E$70,MIN(BK$5,Inputs!$E$58)))-BK22)</f>
        <v>0</v>
      </c>
      <c r="BL23" s="158" t="n">
        <f aca="false">Inputs!$E$38*MAX(0,MIN(Inputs!$E$37,Inputs!$E$36*N(BL$5&gt;=Inputs!$E$70)*YEARFRAC(Inputs!$E$70,MIN(BL$5,Inputs!$E$58)))-BL22)</f>
        <v>0</v>
      </c>
      <c r="BM23" s="158" t="n">
        <f aca="false">Inputs!$E$38*MAX(0,MIN(Inputs!$E$37,Inputs!$E$36*N(BM$5&gt;=Inputs!$E$70)*YEARFRAC(Inputs!$E$70,MIN(BM$5,Inputs!$E$58)))-BM22)</f>
        <v>0</v>
      </c>
      <c r="BN23" s="158" t="n">
        <f aca="false">Inputs!$E$38*MAX(0,MIN(Inputs!$E$37,Inputs!$E$36*N(BN$5&gt;=Inputs!$E$70)*YEARFRAC(Inputs!$E$70,MIN(BN$5,Inputs!$E$58)))-BN22)</f>
        <v>0</v>
      </c>
      <c r="BO23" s="158" t="n">
        <f aca="false">Inputs!$E$38*MAX(0,MIN(Inputs!$E$37,Inputs!$E$36*N(BO$5&gt;=Inputs!$E$70)*YEARFRAC(Inputs!$E$70,MIN(BO$5,Inputs!$E$58)))-BO22)</f>
        <v>0</v>
      </c>
      <c r="BP23" s="158" t="n">
        <f aca="false">Inputs!$E$38*MAX(0,MIN(Inputs!$E$37,Inputs!$E$36*N(BP$5&gt;=Inputs!$E$70)*YEARFRAC(Inputs!$E$70,MIN(BP$5,Inputs!$E$58)))-BP22)</f>
        <v>0</v>
      </c>
    </row>
    <row r="24" customFormat="false" ht="15" hidden="false" customHeight="false" outlineLevel="0" collapsed="false">
      <c r="C24" s="0" t="s">
        <v>1050</v>
      </c>
      <c r="D24" s="0" t="s">
        <v>11</v>
      </c>
      <c r="E24" s="158"/>
      <c r="F24" s="158"/>
      <c r="G24" s="158"/>
      <c r="H24" s="158" t="n">
        <f aca="false">H22+H23</f>
        <v>0</v>
      </c>
      <c r="I24" s="158" t="n">
        <f aca="false">I22+I23</f>
        <v>0</v>
      </c>
      <c r="J24" s="158" t="n">
        <f aca="false">J22+J23</f>
        <v>0</v>
      </c>
      <c r="K24" s="158" t="n">
        <f aca="false">K22+K23</f>
        <v>0.0347222222222222</v>
      </c>
      <c r="L24" s="158" t="n">
        <f aca="false">L22+L23</f>
        <v>0.236111111111111</v>
      </c>
      <c r="M24" s="158" t="n">
        <f aca="false">M22+M23</f>
        <v>0.451388888888889</v>
      </c>
      <c r="N24" s="158" t="n">
        <f aca="false">N22+N23</f>
        <v>0.659722222222222</v>
      </c>
      <c r="O24" s="158" t="n">
        <f aca="false">O22+O23</f>
        <v>0.847222222222222</v>
      </c>
      <c r="P24" s="158" t="n">
        <f aca="false">P22+P23</f>
        <v>1.07638888888889</v>
      </c>
      <c r="Q24" s="158" t="n">
        <f aca="false">Q22+Q23</f>
        <v>1.27777777777778</v>
      </c>
      <c r="R24" s="158" t="n">
        <f aca="false">R22+R23</f>
        <v>1.49305555555556</v>
      </c>
      <c r="S24" s="158" t="n">
        <f aca="false">S22+S23</f>
        <v>1.69444444444444</v>
      </c>
      <c r="T24" s="158" t="n">
        <f aca="false">T22+T23</f>
        <v>1.90972222222222</v>
      </c>
      <c r="U24" s="158" t="n">
        <f aca="false">U22+U23</f>
        <v>2.11805555555556</v>
      </c>
      <c r="V24" s="158" t="n">
        <f aca="false">V22+V23</f>
        <v>2.31944444444444</v>
      </c>
      <c r="W24" s="158" t="n">
        <f aca="false">W22+W23</f>
        <v>2.53472222222222</v>
      </c>
      <c r="X24" s="158" t="n">
        <f aca="false">X22+X23</f>
        <v>2.73611111111111</v>
      </c>
      <c r="Y24" s="158" t="n">
        <f aca="false">Y22+Y23</f>
        <v>2.95138888888889</v>
      </c>
      <c r="Z24" s="158" t="n">
        <f aca="false">Z22+Z23</f>
        <v>3.15972222222222</v>
      </c>
      <c r="AA24" s="158" t="n">
        <f aca="false">AA22+AA23</f>
        <v>3.35416666666667</v>
      </c>
      <c r="AB24" s="158" t="n">
        <f aca="false">AB22+AB23</f>
        <v>3.57638888888889</v>
      </c>
      <c r="AC24" s="158" t="n">
        <f aca="false">AC22+AC23</f>
        <v>3.77777777777778</v>
      </c>
      <c r="AD24" s="158" t="n">
        <f aca="false">AD22+AD23</f>
        <v>3.99305555555556</v>
      </c>
      <c r="AE24" s="158" t="n">
        <f aca="false">AE22+AE23</f>
        <v>4.19444444444445</v>
      </c>
      <c r="AF24" s="158" t="n">
        <f aca="false">AF22+AF23</f>
        <v>4.40972222222222</v>
      </c>
      <c r="AG24" s="158" t="n">
        <f aca="false">AG22+AG23</f>
        <v>4.61805555555556</v>
      </c>
      <c r="AH24" s="158" t="n">
        <f aca="false">AH22+AH23</f>
        <v>4.81944444444445</v>
      </c>
      <c r="AI24" s="158" t="n">
        <f aca="false">AI22+AI23</f>
        <v>5.03472222222222</v>
      </c>
      <c r="AJ24" s="158" t="n">
        <f aca="false">AJ22+AJ23</f>
        <v>5.23611111111111</v>
      </c>
      <c r="AK24" s="158" t="n">
        <f aca="false">AK22+AK23</f>
        <v>5.45138888888889</v>
      </c>
      <c r="AL24" s="158" t="n">
        <f aca="false">AL22+AL23</f>
        <v>5.65972222222222</v>
      </c>
      <c r="AM24" s="158" t="n">
        <f aca="false">AM22+AM23</f>
        <v>5.84722222222222</v>
      </c>
      <c r="AN24" s="158" t="n">
        <f aca="false">AN22+AN23</f>
        <v>6.07638888888889</v>
      </c>
      <c r="AO24" s="158" t="n">
        <f aca="false">AO22+AO23</f>
        <v>6.27777777777778</v>
      </c>
      <c r="AP24" s="158" t="n">
        <f aca="false">AP22+AP23</f>
        <v>6.49305555555556</v>
      </c>
      <c r="AQ24" s="158" t="n">
        <f aca="false">AQ22+AQ23</f>
        <v>6.69444444444444</v>
      </c>
      <c r="AR24" s="158" t="n">
        <f aca="false">AR22+AR23</f>
        <v>6.90972222222222</v>
      </c>
      <c r="AS24" s="158" t="n">
        <f aca="false">AS22+AS23</f>
        <v>7.11805555555556</v>
      </c>
      <c r="AT24" s="158" t="n">
        <f aca="false">AT22+AT23</f>
        <v>7.31944444444444</v>
      </c>
      <c r="AU24" s="158" t="n">
        <f aca="false">AU22+AU23</f>
        <v>7.31944444444444</v>
      </c>
      <c r="AV24" s="158" t="n">
        <f aca="false">AV22+AV23</f>
        <v>7.31944444444444</v>
      </c>
      <c r="AW24" s="158" t="n">
        <f aca="false">AW22+AW23</f>
        <v>7.31944444444444</v>
      </c>
      <c r="AX24" s="158" t="n">
        <f aca="false">AX22+AX23</f>
        <v>7.31944444444444</v>
      </c>
      <c r="AY24" s="158" t="n">
        <f aca="false">AY22+AY23</f>
        <v>7.31944444444444</v>
      </c>
      <c r="AZ24" s="158" t="n">
        <f aca="false">AZ22+AZ23</f>
        <v>7.31944444444444</v>
      </c>
      <c r="BA24" s="158" t="n">
        <f aca="false">BA22+BA23</f>
        <v>7.31944444444444</v>
      </c>
      <c r="BB24" s="158" t="n">
        <f aca="false">BB22+BB23</f>
        <v>7.31944444444444</v>
      </c>
      <c r="BC24" s="158" t="n">
        <f aca="false">BC22+BC23</f>
        <v>7.31944444444444</v>
      </c>
      <c r="BD24" s="158" t="n">
        <f aca="false">BD22+BD23</f>
        <v>7.31944444444444</v>
      </c>
      <c r="BE24" s="158" t="n">
        <f aca="false">BE22+BE23</f>
        <v>7.31944444444444</v>
      </c>
      <c r="BF24" s="158" t="n">
        <f aca="false">BF22+BF23</f>
        <v>7.31944444444444</v>
      </c>
      <c r="BG24" s="158" t="n">
        <f aca="false">BG22+BG23</f>
        <v>7.31944444444444</v>
      </c>
      <c r="BH24" s="158" t="n">
        <f aca="false">BH22+BH23</f>
        <v>7.31944444444444</v>
      </c>
      <c r="BI24" s="158" t="n">
        <f aca="false">BI22+BI23</f>
        <v>7.31944444444444</v>
      </c>
      <c r="BJ24" s="158" t="n">
        <f aca="false">BJ22+BJ23</f>
        <v>7.31944444444444</v>
      </c>
      <c r="BK24" s="158" t="n">
        <f aca="false">BK22+BK23</f>
        <v>7.31944444444444</v>
      </c>
      <c r="BL24" s="158" t="n">
        <f aca="false">BL22+BL23</f>
        <v>7.31944444444444</v>
      </c>
      <c r="BM24" s="158" t="n">
        <f aca="false">BM22+BM23</f>
        <v>7.31944444444444</v>
      </c>
      <c r="BN24" s="158" t="n">
        <f aca="false">BN22+BN23</f>
        <v>7.31944444444444</v>
      </c>
      <c r="BO24" s="158" t="n">
        <f aca="false">BO22+BO23</f>
        <v>7.31944444444444</v>
      </c>
      <c r="BP24" s="158" t="n">
        <f aca="false">BP22+BP23</f>
        <v>7.31944444444444</v>
      </c>
    </row>
    <row r="25" customFormat="false" ht="15" hidden="false" customHeight="false" outlineLevel="0" collapsed="false">
      <c r="C25" s="205" t="s">
        <v>1051</v>
      </c>
      <c r="D25" s="205" t="s">
        <v>125</v>
      </c>
      <c r="E25" s="251"/>
      <c r="F25" s="251"/>
      <c r="G25" s="251" t="n">
        <f aca="false">SUM(H25:BP25)</f>
        <v>1105.23611111111</v>
      </c>
      <c r="H25" s="251" t="n">
        <f aca="false">H$7*H24*Inputs!$E$18</f>
        <v>0</v>
      </c>
      <c r="I25" s="251" t="n">
        <f aca="false">I$7*I24*Inputs!$E$18</f>
        <v>0</v>
      </c>
      <c r="J25" s="251" t="n">
        <f aca="false">J$7*J24*Inputs!$E$18</f>
        <v>0</v>
      </c>
      <c r="K25" s="251" t="n">
        <f aca="false">K$7*K24*Inputs!$E$18</f>
        <v>0</v>
      </c>
      <c r="L25" s="251" t="n">
        <f aca="false">L$7*L24*Inputs!$E$18</f>
        <v>0</v>
      </c>
      <c r="M25" s="251" t="n">
        <f aca="false">M$7*M24*Inputs!$E$18</f>
        <v>0</v>
      </c>
      <c r="N25" s="251" t="n">
        <f aca="false">N$7*N24*Inputs!$E$18</f>
        <v>0</v>
      </c>
      <c r="O25" s="251" t="n">
        <f aca="false">O$7*O24*Inputs!$E$18</f>
        <v>0</v>
      </c>
      <c r="P25" s="251" t="n">
        <f aca="false">P$7*P24*Inputs!$E$18</f>
        <v>0</v>
      </c>
      <c r="Q25" s="251" t="n">
        <f aca="false">Q$7*Q24*Inputs!$E$18</f>
        <v>0</v>
      </c>
      <c r="R25" s="251" t="n">
        <f aca="false">R$7*R24*Inputs!$E$18</f>
        <v>0</v>
      </c>
      <c r="S25" s="251" t="n">
        <f aca="false">S$7*S24*Inputs!$E$18</f>
        <v>0</v>
      </c>
      <c r="T25" s="251" t="n">
        <f aca="false">T$7*T24*Inputs!$E$18</f>
        <v>0</v>
      </c>
      <c r="U25" s="251" t="n">
        <f aca="false">U$7*U24*Inputs!$E$18</f>
        <v>0</v>
      </c>
      <c r="V25" s="251" t="n">
        <f aca="false">V$7*V24*Inputs!$E$18</f>
        <v>0</v>
      </c>
      <c r="W25" s="251" t="n">
        <f aca="false">W$7*W24*Inputs!$E$18</f>
        <v>0</v>
      </c>
      <c r="X25" s="251" t="n">
        <f aca="false">X$7*X24*Inputs!$E$18</f>
        <v>0</v>
      </c>
      <c r="Y25" s="251" t="n">
        <f aca="false">Y$7*Y24*Inputs!$E$18</f>
        <v>0</v>
      </c>
      <c r="Z25" s="251" t="n">
        <f aca="false">Z$7*Z24*Inputs!$E$18</f>
        <v>0</v>
      </c>
      <c r="AA25" s="251" t="n">
        <f aca="false">AA$7*AA24*Inputs!$E$18</f>
        <v>0</v>
      </c>
      <c r="AB25" s="251" t="n">
        <f aca="false">AB$7*AB24*Inputs!$E$18</f>
        <v>0</v>
      </c>
      <c r="AC25" s="251" t="n">
        <f aca="false">AC$7*AC24*Inputs!$E$18</f>
        <v>0</v>
      </c>
      <c r="AD25" s="251" t="n">
        <f aca="false">AD$7*AD24*Inputs!$E$18</f>
        <v>0</v>
      </c>
      <c r="AE25" s="251" t="n">
        <f aca="false">AE$7*AE24*Inputs!$E$18</f>
        <v>0</v>
      </c>
      <c r="AF25" s="251" t="n">
        <f aca="false">AF$7*AF24*Inputs!$E$18</f>
        <v>0</v>
      </c>
      <c r="AG25" s="251" t="n">
        <f aca="false">AG$7*AG24*Inputs!$E$18</f>
        <v>0</v>
      </c>
      <c r="AH25" s="251" t="n">
        <f aca="false">AH$7*AH24*Inputs!$E$18</f>
        <v>0</v>
      </c>
      <c r="AI25" s="251" t="n">
        <f aca="false">AI$7*AI24*Inputs!$E$18</f>
        <v>0</v>
      </c>
      <c r="AJ25" s="251" t="n">
        <f aca="false">AJ$7*AJ24*Inputs!$E$18</f>
        <v>0</v>
      </c>
      <c r="AK25" s="251" t="n">
        <f aca="false">AK$7*AK24*Inputs!$E$18</f>
        <v>0</v>
      </c>
      <c r="AL25" s="251" t="n">
        <f aca="false">AL$7*AL24*Inputs!$E$18</f>
        <v>0</v>
      </c>
      <c r="AM25" s="251" t="n">
        <f aca="false">AM$7*AM24*Inputs!$E$18</f>
        <v>0</v>
      </c>
      <c r="AN25" s="251" t="n">
        <f aca="false">AN$7*AN24*Inputs!$E$18</f>
        <v>0</v>
      </c>
      <c r="AO25" s="251" t="n">
        <f aca="false">AO$7*AO24*Inputs!$E$18</f>
        <v>0</v>
      </c>
      <c r="AP25" s="251" t="n">
        <f aca="false">AP$7*AP24*Inputs!$E$18</f>
        <v>0</v>
      </c>
      <c r="AQ25" s="251" t="n">
        <f aca="false">AQ$7*AQ24*Inputs!$E$18</f>
        <v>0</v>
      </c>
      <c r="AR25" s="251" t="n">
        <f aca="false">AR$7*AR24*Inputs!$E$18</f>
        <v>0</v>
      </c>
      <c r="AS25" s="251" t="n">
        <f aca="false">AS$7*AS24*Inputs!$E$18</f>
        <v>0</v>
      </c>
      <c r="AT25" s="251" t="n">
        <f aca="false">AT$7*AT24*Inputs!$E$18</f>
        <v>1105.23611111111</v>
      </c>
      <c r="AU25" s="251" t="n">
        <f aca="false">AU$7*AU24*Inputs!$E$18</f>
        <v>0</v>
      </c>
      <c r="AV25" s="251" t="n">
        <f aca="false">AV$7*AV24*Inputs!$E$18</f>
        <v>0</v>
      </c>
      <c r="AW25" s="251" t="n">
        <f aca="false">AW$7*AW24*Inputs!$E$18</f>
        <v>0</v>
      </c>
      <c r="AX25" s="251" t="n">
        <f aca="false">AX$7*AX24*Inputs!$E$18</f>
        <v>0</v>
      </c>
      <c r="AY25" s="251" t="n">
        <f aca="false">AY$7*AY24*Inputs!$E$18</f>
        <v>0</v>
      </c>
      <c r="AZ25" s="251" t="n">
        <f aca="false">AZ$7*AZ24*Inputs!$E$18</f>
        <v>0</v>
      </c>
      <c r="BA25" s="251" t="n">
        <f aca="false">BA$7*BA24*Inputs!$E$18</f>
        <v>0</v>
      </c>
      <c r="BB25" s="251" t="n">
        <f aca="false">BB$7*BB24*Inputs!$E$18</f>
        <v>0</v>
      </c>
      <c r="BC25" s="251" t="n">
        <f aca="false">BC$7*BC24*Inputs!$E$18</f>
        <v>0</v>
      </c>
      <c r="BD25" s="251" t="n">
        <f aca="false">BD$7*BD24*Inputs!$E$18</f>
        <v>0</v>
      </c>
      <c r="BE25" s="251" t="n">
        <f aca="false">BE$7*BE24*Inputs!$E$18</f>
        <v>0</v>
      </c>
      <c r="BF25" s="251" t="n">
        <f aca="false">BF$7*BF24*Inputs!$E$18</f>
        <v>0</v>
      </c>
      <c r="BG25" s="251" t="n">
        <f aca="false">BG$7*BG24*Inputs!$E$18</f>
        <v>0</v>
      </c>
      <c r="BH25" s="251" t="n">
        <f aca="false">BH$7*BH24*Inputs!$E$18</f>
        <v>0</v>
      </c>
      <c r="BI25" s="251" t="n">
        <f aca="false">BI$7*BI24*Inputs!$E$18</f>
        <v>0</v>
      </c>
      <c r="BJ25" s="251" t="n">
        <f aca="false">BJ$7*BJ24*Inputs!$E$18</f>
        <v>0</v>
      </c>
      <c r="BK25" s="251" t="n">
        <f aca="false">BK$7*BK24*Inputs!$E$18</f>
        <v>0</v>
      </c>
      <c r="BL25" s="251" t="n">
        <f aca="false">BL$7*BL24*Inputs!$E$18</f>
        <v>0</v>
      </c>
      <c r="BM25" s="251" t="n">
        <f aca="false">BM$7*BM24*Inputs!$E$18</f>
        <v>0</v>
      </c>
      <c r="BN25" s="251" t="n">
        <f aca="false">BN$7*BN24*Inputs!$E$18</f>
        <v>0</v>
      </c>
      <c r="BO25" s="251" t="n">
        <f aca="false">BO$7*BO24*Inputs!$E$18</f>
        <v>0</v>
      </c>
      <c r="BP25" s="251" t="n">
        <f aca="false">BP$7*BP24*Inputs!$E$18</f>
        <v>0</v>
      </c>
    </row>
    <row r="26" customFormat="false" ht="15" hidden="false" customHeight="false" outlineLevel="0" collapsed="false">
      <c r="E26" s="158"/>
      <c r="F26" s="158"/>
      <c r="G26" s="158"/>
      <c r="H26" s="158"/>
      <c r="I26" s="158"/>
      <c r="J26" s="158"/>
      <c r="K26" s="158"/>
      <c r="L26" s="158"/>
      <c r="M26" s="158"/>
      <c r="N26" s="158"/>
      <c r="O26" s="158"/>
      <c r="P26" s="158"/>
      <c r="Q26" s="158"/>
      <c r="R26" s="158"/>
      <c r="S26" s="158"/>
      <c r="T26" s="158"/>
      <c r="U26" s="158"/>
      <c r="V26" s="158"/>
      <c r="W26" s="158"/>
      <c r="X26" s="158"/>
      <c r="Y26" s="158"/>
      <c r="Z26" s="158"/>
      <c r="AA26" s="158"/>
      <c r="AB26" s="158"/>
      <c r="AC26" s="158"/>
      <c r="AD26" s="158"/>
      <c r="AE26" s="158"/>
      <c r="AF26" s="158"/>
      <c r="AG26" s="158"/>
      <c r="AH26" s="158"/>
      <c r="AI26" s="158"/>
      <c r="AJ26" s="158"/>
      <c r="AK26" s="158"/>
      <c r="AL26" s="158"/>
      <c r="AM26" s="158"/>
      <c r="AN26" s="158"/>
      <c r="AO26" s="158"/>
      <c r="AP26" s="158"/>
      <c r="AQ26" s="158"/>
      <c r="AR26" s="158"/>
      <c r="AS26" s="158"/>
      <c r="AT26" s="158"/>
      <c r="AU26" s="158"/>
      <c r="AV26" s="158"/>
      <c r="AW26" s="158"/>
      <c r="AX26" s="158"/>
      <c r="AY26" s="158"/>
      <c r="AZ26" s="158"/>
      <c r="BA26" s="158"/>
      <c r="BB26" s="158"/>
      <c r="BC26" s="158"/>
      <c r="BD26" s="158"/>
      <c r="BE26" s="158"/>
      <c r="BF26" s="158"/>
      <c r="BG26" s="158"/>
      <c r="BH26" s="158"/>
      <c r="BI26" s="158"/>
      <c r="BJ26" s="158"/>
      <c r="BK26" s="158"/>
      <c r="BL26" s="158"/>
      <c r="BM26" s="158"/>
      <c r="BN26" s="158"/>
      <c r="BO26" s="158"/>
      <c r="BP26" s="158"/>
    </row>
    <row r="27" customFormat="false" ht="15" hidden="false" customHeight="false" outlineLevel="0" collapsed="false">
      <c r="C27" s="136" t="s">
        <v>1052</v>
      </c>
      <c r="D27" s="136"/>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259"/>
      <c r="BG27" s="259"/>
      <c r="BH27" s="259"/>
      <c r="BI27" s="259"/>
      <c r="BJ27" s="259"/>
      <c r="BK27" s="259"/>
      <c r="BL27" s="259"/>
      <c r="BM27" s="259"/>
      <c r="BN27" s="259"/>
      <c r="BO27" s="259"/>
      <c r="BP27" s="259"/>
    </row>
    <row r="28" customFormat="false" ht="15" hidden="false" customHeight="false" outlineLevel="0" collapsed="false">
      <c r="C28" s="260" t="str">
        <f aca="false">Deposits!C7</f>
        <v>Részvételi díj</v>
      </c>
      <c r="D28" s="133" t="s">
        <v>125</v>
      </c>
      <c r="E28" s="158"/>
      <c r="F28" s="158"/>
      <c r="G28" s="158" t="n">
        <f aca="false">SUM(H28:BP28)</f>
        <v>8.21917808219178</v>
      </c>
      <c r="H28" s="261" t="n">
        <f aca="false">IF(H$4=Deposits!$L$7,Deposits!$O$7,0)</f>
        <v>0</v>
      </c>
      <c r="I28" s="261" t="n">
        <f aca="false">IF(I$4=Deposits!$L$7,Deposits!$O$7,0)</f>
        <v>0</v>
      </c>
      <c r="J28" s="261" t="n">
        <f aca="false">IF(J$4=Deposits!$L$7,Deposits!$O$7,0)</f>
        <v>0</v>
      </c>
      <c r="K28" s="261" t="n">
        <f aca="false">IF(K$4=Deposits!$L$7,Deposits!$O$7,0)</f>
        <v>8.21917808219178</v>
      </c>
      <c r="L28" s="261" t="n">
        <f aca="false">IF(L$4=Deposits!$L$7,Deposits!$O$7,0)</f>
        <v>0</v>
      </c>
      <c r="M28" s="261" t="n">
        <f aca="false">IF(M$4=Deposits!$L$7,Deposits!$O$7,0)</f>
        <v>0</v>
      </c>
      <c r="N28" s="261" t="n">
        <f aca="false">IF(N$4=Deposits!$L$7,Deposits!$O$7,0)</f>
        <v>0</v>
      </c>
      <c r="O28" s="261" t="n">
        <f aca="false">IF(O$4=Deposits!$L$7,Deposits!$O$7,0)</f>
        <v>0</v>
      </c>
      <c r="P28" s="261" t="n">
        <f aca="false">IF(P$4=Deposits!$L$7,Deposits!$O$7,0)</f>
        <v>0</v>
      </c>
      <c r="Q28" s="261" t="n">
        <f aca="false">IF(Q$4=Deposits!$L$7,Deposits!$O$7,0)</f>
        <v>0</v>
      </c>
      <c r="R28" s="261" t="n">
        <f aca="false">IF(R$4=Deposits!$L$7,Deposits!$O$7,0)</f>
        <v>0</v>
      </c>
      <c r="S28" s="261" t="n">
        <f aca="false">IF(S$4=Deposits!$L$7,Deposits!$O$7,0)</f>
        <v>0</v>
      </c>
      <c r="T28" s="261" t="n">
        <f aca="false">IF(T$4=Deposits!$L$7,Deposits!$O$7,0)</f>
        <v>0</v>
      </c>
      <c r="U28" s="261" t="n">
        <f aca="false">IF(U$4=Deposits!$L$7,Deposits!$O$7,0)</f>
        <v>0</v>
      </c>
      <c r="V28" s="261" t="n">
        <f aca="false">IF(V$4=Deposits!$L$7,Deposits!$O$7,0)</f>
        <v>0</v>
      </c>
      <c r="W28" s="261" t="n">
        <f aca="false">IF(W$4=Deposits!$L$7,Deposits!$O$7,0)</f>
        <v>0</v>
      </c>
      <c r="X28" s="261" t="n">
        <f aca="false">IF(X$4=Deposits!$L$7,Deposits!$O$7,0)</f>
        <v>0</v>
      </c>
      <c r="Y28" s="261" t="n">
        <f aca="false">IF(Y$4=Deposits!$L$7,Deposits!$O$7,0)</f>
        <v>0</v>
      </c>
      <c r="Z28" s="261" t="n">
        <f aca="false">IF(Z$4=Deposits!$L$7,Deposits!$O$7,0)</f>
        <v>0</v>
      </c>
      <c r="AA28" s="261" t="n">
        <f aca="false">IF(AA$4=Deposits!$L$7,Deposits!$O$7,0)</f>
        <v>0</v>
      </c>
      <c r="AB28" s="261" t="n">
        <f aca="false">IF(AB$4=Deposits!$L$7,Deposits!$O$7,0)</f>
        <v>0</v>
      </c>
      <c r="AC28" s="261" t="n">
        <f aca="false">IF(AC$4=Deposits!$L$7,Deposits!$O$7,0)</f>
        <v>0</v>
      </c>
      <c r="AD28" s="261" t="n">
        <f aca="false">IF(AD$4=Deposits!$L$7,Deposits!$O$7,0)</f>
        <v>0</v>
      </c>
      <c r="AE28" s="261" t="n">
        <f aca="false">IF(AE$4=Deposits!$L$7,Deposits!$O$7,0)</f>
        <v>0</v>
      </c>
      <c r="AF28" s="261" t="n">
        <f aca="false">IF(AF$4=Deposits!$L$7,Deposits!$O$7,0)</f>
        <v>0</v>
      </c>
      <c r="AG28" s="261" t="n">
        <f aca="false">IF(AG$4=Deposits!$L$7,Deposits!$O$7,0)</f>
        <v>0</v>
      </c>
      <c r="AH28" s="261" t="n">
        <f aca="false">IF(AH$4=Deposits!$L$7,Deposits!$O$7,0)</f>
        <v>0</v>
      </c>
      <c r="AI28" s="261" t="n">
        <f aca="false">IF(AI$4=Deposits!$L$7,Deposits!$O$7,0)</f>
        <v>0</v>
      </c>
      <c r="AJ28" s="261" t="n">
        <f aca="false">IF(AJ$4=Deposits!$L$7,Deposits!$O$7,0)</f>
        <v>0</v>
      </c>
      <c r="AK28" s="261" t="n">
        <f aca="false">IF(AK$4=Deposits!$L$7,Deposits!$O$7,0)</f>
        <v>0</v>
      </c>
      <c r="AL28" s="261" t="n">
        <f aca="false">IF(AL$4=Deposits!$L$7,Deposits!$O$7,0)</f>
        <v>0</v>
      </c>
      <c r="AM28" s="261" t="n">
        <f aca="false">IF(AM$4=Deposits!$L$7,Deposits!$O$7,0)</f>
        <v>0</v>
      </c>
      <c r="AN28" s="261" t="n">
        <f aca="false">IF(AN$4=Deposits!$L$7,Deposits!$O$7,0)</f>
        <v>0</v>
      </c>
      <c r="AO28" s="261" t="n">
        <f aca="false">IF(AO$4=Deposits!$L$7,Deposits!$O$7,0)</f>
        <v>0</v>
      </c>
      <c r="AP28" s="261" t="n">
        <f aca="false">IF(AP$4=Deposits!$L$7,Deposits!$O$7,0)</f>
        <v>0</v>
      </c>
      <c r="AQ28" s="261" t="n">
        <f aca="false">IF(AQ$4=Deposits!$L$7,Deposits!$O$7,0)</f>
        <v>0</v>
      </c>
      <c r="AR28" s="261" t="n">
        <f aca="false">IF(AR$4=Deposits!$L$7,Deposits!$O$7,0)</f>
        <v>0</v>
      </c>
      <c r="AS28" s="261" t="n">
        <f aca="false">IF(AS$4=Deposits!$L$7,Deposits!$O$7,0)</f>
        <v>0</v>
      </c>
      <c r="AT28" s="261" t="n">
        <f aca="false">IF(AT$4=Deposits!$L$7,Deposits!$O$7,0)</f>
        <v>0</v>
      </c>
      <c r="AU28" s="261" t="n">
        <f aca="false">IF(AU$4=Deposits!$L$7,Deposits!$O$7,0)</f>
        <v>0</v>
      </c>
      <c r="AV28" s="261" t="n">
        <f aca="false">IF(AV$4=Deposits!$L$7,Deposits!$O$7,0)</f>
        <v>0</v>
      </c>
      <c r="AW28" s="261" t="n">
        <f aca="false">IF(AW$4=Deposits!$L$7,Deposits!$O$7,0)</f>
        <v>0</v>
      </c>
      <c r="AX28" s="261" t="n">
        <f aca="false">IF(AX$4=Deposits!$L$7,Deposits!$O$7,0)</f>
        <v>0</v>
      </c>
      <c r="AY28" s="261" t="n">
        <f aca="false">IF(AY$4=Deposits!$L$7,Deposits!$O$7,0)</f>
        <v>0</v>
      </c>
      <c r="AZ28" s="261" t="n">
        <f aca="false">IF(AZ$4=Deposits!$L$7,Deposits!$O$7,0)</f>
        <v>0</v>
      </c>
      <c r="BA28" s="261" t="n">
        <f aca="false">IF(BA$4=Deposits!$L$7,Deposits!$O$7,0)</f>
        <v>0</v>
      </c>
      <c r="BB28" s="261" t="n">
        <f aca="false">IF(BB$4=Deposits!$L$7,Deposits!$O$7,0)</f>
        <v>0</v>
      </c>
      <c r="BC28" s="261" t="n">
        <f aca="false">IF(BC$4=Deposits!$L$7,Deposits!$O$7,0)</f>
        <v>0</v>
      </c>
      <c r="BD28" s="261" t="n">
        <f aca="false">IF(BD$4=Deposits!$L$7,Deposits!$O$7,0)</f>
        <v>0</v>
      </c>
      <c r="BE28" s="261" t="n">
        <f aca="false">IF(BE$4=Deposits!$L$7,Deposits!$O$7,0)</f>
        <v>0</v>
      </c>
      <c r="BF28" s="261" t="n">
        <f aca="false">IF(BF$4=Deposits!$L$7,Deposits!$O$7,0)</f>
        <v>0</v>
      </c>
      <c r="BG28" s="261" t="n">
        <f aca="false">IF(BG$4=Deposits!$L$7,Deposits!$O$7,0)</f>
        <v>0</v>
      </c>
      <c r="BH28" s="261" t="n">
        <f aca="false">IF(BH$4=Deposits!$L$7,Deposits!$O$7,0)</f>
        <v>0</v>
      </c>
      <c r="BI28" s="261" t="n">
        <f aca="false">IF(BI$4=Deposits!$L$7,Deposits!$O$7,0)</f>
        <v>0</v>
      </c>
      <c r="BJ28" s="261" t="n">
        <f aca="false">IF(BJ$4=Deposits!$L$7,Deposits!$O$7,0)</f>
        <v>0</v>
      </c>
      <c r="BK28" s="261" t="n">
        <f aca="false">IF(BK$4=Deposits!$L$7,Deposits!$O$7,0)</f>
        <v>0</v>
      </c>
      <c r="BL28" s="261" t="n">
        <f aca="false">IF(BL$4=Deposits!$L$7,Deposits!$O$7,0)</f>
        <v>0</v>
      </c>
      <c r="BM28" s="261" t="n">
        <f aca="false">IF(BM$4=Deposits!$L$7,Deposits!$O$7,0)</f>
        <v>0</v>
      </c>
      <c r="BN28" s="261" t="n">
        <f aca="false">IF(BN$4=Deposits!$L$7,Deposits!$O$7,0)</f>
        <v>0</v>
      </c>
      <c r="BO28" s="261" t="n">
        <f aca="false">IF(BO$4=Deposits!$L$7,Deposits!$O$7,0)</f>
        <v>0</v>
      </c>
      <c r="BP28" s="261" t="n">
        <f aca="false">IF(BP$4=Deposits!$L$7,Deposits!$O$7,0)</f>
        <v>0</v>
      </c>
    </row>
    <row r="29" customFormat="false" ht="15" hidden="false" customHeight="false" outlineLevel="0" collapsed="false">
      <c r="C29" s="260" t="str">
        <f aca="false">Deposits!C8</f>
        <v>Ajánlati biztosíték</v>
      </c>
      <c r="D29" s="133" t="s">
        <v>125</v>
      </c>
      <c r="E29" s="158"/>
      <c r="F29" s="158"/>
      <c r="G29" s="158" t="n">
        <f aca="false">SUM(H29:BP29)</f>
        <v>1168.57534246575</v>
      </c>
      <c r="H29" s="261" t="n">
        <f aca="false">IF(H$4=Deposits!$L$8,Deposits!$O$8,0)</f>
        <v>0</v>
      </c>
      <c r="I29" s="261" t="n">
        <f aca="false">IF(I$4=Deposits!$L$8,Deposits!$O$8,0)</f>
        <v>0</v>
      </c>
      <c r="J29" s="261" t="n">
        <f aca="false">IF(J$4=Deposits!$L$8,Deposits!$O$8,0)</f>
        <v>0</v>
      </c>
      <c r="K29" s="261" t="n">
        <f aca="false">IF(K$4=Deposits!$L$8,Deposits!$O$8,0)</f>
        <v>1168.57534246575</v>
      </c>
      <c r="L29" s="261" t="n">
        <f aca="false">IF(L$4=Deposits!$L$8,Deposits!$O$8,0)</f>
        <v>0</v>
      </c>
      <c r="M29" s="261" t="n">
        <f aca="false">IF(M$4=Deposits!$L$8,Deposits!$O$8,0)</f>
        <v>0</v>
      </c>
      <c r="N29" s="261" t="n">
        <f aca="false">IF(N$4=Deposits!$L$8,Deposits!$O$8,0)</f>
        <v>0</v>
      </c>
      <c r="O29" s="261" t="n">
        <f aca="false">IF(O$4=Deposits!$L$8,Deposits!$O$8,0)</f>
        <v>0</v>
      </c>
      <c r="P29" s="261" t="n">
        <f aca="false">IF(P$4=Deposits!$L$8,Deposits!$O$8,0)</f>
        <v>0</v>
      </c>
      <c r="Q29" s="261" t="n">
        <f aca="false">IF(Q$4=Deposits!$L$8,Deposits!$O$8,0)</f>
        <v>0</v>
      </c>
      <c r="R29" s="261" t="n">
        <f aca="false">IF(R$4=Deposits!$L$8,Deposits!$O$8,0)</f>
        <v>0</v>
      </c>
      <c r="S29" s="261" t="n">
        <f aca="false">IF(S$4=Deposits!$L$8,Deposits!$O$8,0)</f>
        <v>0</v>
      </c>
      <c r="T29" s="261" t="n">
        <f aca="false">IF(T$4=Deposits!$L$8,Deposits!$O$8,0)</f>
        <v>0</v>
      </c>
      <c r="U29" s="261" t="n">
        <f aca="false">IF(U$4=Deposits!$L$8,Deposits!$O$8,0)</f>
        <v>0</v>
      </c>
      <c r="V29" s="261" t="n">
        <f aca="false">IF(V$4=Deposits!$L$8,Deposits!$O$8,0)</f>
        <v>0</v>
      </c>
      <c r="W29" s="261" t="n">
        <f aca="false">IF(W$4=Deposits!$L$8,Deposits!$O$8,0)</f>
        <v>0</v>
      </c>
      <c r="X29" s="261" t="n">
        <f aca="false">IF(X$4=Deposits!$L$8,Deposits!$O$8,0)</f>
        <v>0</v>
      </c>
      <c r="Y29" s="261" t="n">
        <f aca="false">IF(Y$4=Deposits!$L$8,Deposits!$O$8,0)</f>
        <v>0</v>
      </c>
      <c r="Z29" s="261" t="n">
        <f aca="false">IF(Z$4=Deposits!$L$8,Deposits!$O$8,0)</f>
        <v>0</v>
      </c>
      <c r="AA29" s="261" t="n">
        <f aca="false">IF(AA$4=Deposits!$L$8,Deposits!$O$8,0)</f>
        <v>0</v>
      </c>
      <c r="AB29" s="261" t="n">
        <f aca="false">IF(AB$4=Deposits!$L$8,Deposits!$O$8,0)</f>
        <v>0</v>
      </c>
      <c r="AC29" s="261" t="n">
        <f aca="false">IF(AC$4=Deposits!$L$8,Deposits!$O$8,0)</f>
        <v>0</v>
      </c>
      <c r="AD29" s="261" t="n">
        <f aca="false">IF(AD$4=Deposits!$L$8,Deposits!$O$8,0)</f>
        <v>0</v>
      </c>
      <c r="AE29" s="261" t="n">
        <f aca="false">IF(AE$4=Deposits!$L$8,Deposits!$O$8,0)</f>
        <v>0</v>
      </c>
      <c r="AF29" s="261" t="n">
        <f aca="false">IF(AF$4=Deposits!$L$8,Deposits!$O$8,0)</f>
        <v>0</v>
      </c>
      <c r="AG29" s="261" t="n">
        <f aca="false">IF(AG$4=Deposits!$L$8,Deposits!$O$8,0)</f>
        <v>0</v>
      </c>
      <c r="AH29" s="261" t="n">
        <f aca="false">IF(AH$4=Deposits!$L$8,Deposits!$O$8,0)</f>
        <v>0</v>
      </c>
      <c r="AI29" s="261" t="n">
        <f aca="false">IF(AI$4=Deposits!$L$8,Deposits!$O$8,0)</f>
        <v>0</v>
      </c>
      <c r="AJ29" s="261" t="n">
        <f aca="false">IF(AJ$4=Deposits!$L$8,Deposits!$O$8,0)</f>
        <v>0</v>
      </c>
      <c r="AK29" s="261" t="n">
        <f aca="false">IF(AK$4=Deposits!$L$8,Deposits!$O$8,0)</f>
        <v>0</v>
      </c>
      <c r="AL29" s="261" t="n">
        <f aca="false">IF(AL$4=Deposits!$L$8,Deposits!$O$8,0)</f>
        <v>0</v>
      </c>
      <c r="AM29" s="261" t="n">
        <f aca="false">IF(AM$4=Deposits!$L$8,Deposits!$O$8,0)</f>
        <v>0</v>
      </c>
      <c r="AN29" s="261" t="n">
        <f aca="false">IF(AN$4=Deposits!$L$8,Deposits!$O$8,0)</f>
        <v>0</v>
      </c>
      <c r="AO29" s="261" t="n">
        <f aca="false">IF(AO$4=Deposits!$L$8,Deposits!$O$8,0)</f>
        <v>0</v>
      </c>
      <c r="AP29" s="261" t="n">
        <f aca="false">IF(AP$4=Deposits!$L$8,Deposits!$O$8,0)</f>
        <v>0</v>
      </c>
      <c r="AQ29" s="261" t="n">
        <f aca="false">IF(AQ$4=Deposits!$L$8,Deposits!$O$8,0)</f>
        <v>0</v>
      </c>
      <c r="AR29" s="261" t="n">
        <f aca="false">IF(AR$4=Deposits!$L$8,Deposits!$O$8,0)</f>
        <v>0</v>
      </c>
      <c r="AS29" s="261" t="n">
        <f aca="false">IF(AS$4=Deposits!$L$8,Deposits!$O$8,0)</f>
        <v>0</v>
      </c>
      <c r="AT29" s="261" t="n">
        <f aca="false">IF(AT$4=Deposits!$L$8,Deposits!$O$8,0)</f>
        <v>0</v>
      </c>
      <c r="AU29" s="261" t="n">
        <f aca="false">IF(AU$4=Deposits!$L$8,Deposits!$O$8,0)</f>
        <v>0</v>
      </c>
      <c r="AV29" s="261" t="n">
        <f aca="false">IF(AV$4=Deposits!$L$8,Deposits!$O$8,0)</f>
        <v>0</v>
      </c>
      <c r="AW29" s="261" t="n">
        <f aca="false">IF(AW$4=Deposits!$L$8,Deposits!$O$8,0)</f>
        <v>0</v>
      </c>
      <c r="AX29" s="261" t="n">
        <f aca="false">IF(AX$4=Deposits!$L$8,Deposits!$O$8,0)</f>
        <v>0</v>
      </c>
      <c r="AY29" s="261" t="n">
        <f aca="false">IF(AY$4=Deposits!$L$8,Deposits!$O$8,0)</f>
        <v>0</v>
      </c>
      <c r="AZ29" s="261" t="n">
        <f aca="false">IF(AZ$4=Deposits!$L$8,Deposits!$O$8,0)</f>
        <v>0</v>
      </c>
      <c r="BA29" s="261" t="n">
        <f aca="false">IF(BA$4=Deposits!$L$8,Deposits!$O$8,0)</f>
        <v>0</v>
      </c>
      <c r="BB29" s="261" t="n">
        <f aca="false">IF(BB$4=Deposits!$L$8,Deposits!$O$8,0)</f>
        <v>0</v>
      </c>
      <c r="BC29" s="261" t="n">
        <f aca="false">IF(BC$4=Deposits!$L$8,Deposits!$O$8,0)</f>
        <v>0</v>
      </c>
      <c r="BD29" s="261" t="n">
        <f aca="false">IF(BD$4=Deposits!$L$8,Deposits!$O$8,0)</f>
        <v>0</v>
      </c>
      <c r="BE29" s="261" t="n">
        <f aca="false">IF(BE$4=Deposits!$L$8,Deposits!$O$8,0)</f>
        <v>0</v>
      </c>
      <c r="BF29" s="261" t="n">
        <f aca="false">IF(BF$4=Deposits!$L$8,Deposits!$O$8,0)</f>
        <v>0</v>
      </c>
      <c r="BG29" s="261" t="n">
        <f aca="false">IF(BG$4=Deposits!$L$8,Deposits!$O$8,0)</f>
        <v>0</v>
      </c>
      <c r="BH29" s="261" t="n">
        <f aca="false">IF(BH$4=Deposits!$L$8,Deposits!$O$8,0)</f>
        <v>0</v>
      </c>
      <c r="BI29" s="261" t="n">
        <f aca="false">IF(BI$4=Deposits!$L$8,Deposits!$O$8,0)</f>
        <v>0</v>
      </c>
      <c r="BJ29" s="261" t="n">
        <f aca="false">IF(BJ$4=Deposits!$L$8,Deposits!$O$8,0)</f>
        <v>0</v>
      </c>
      <c r="BK29" s="261" t="n">
        <f aca="false">IF(BK$4=Deposits!$L$8,Deposits!$O$8,0)</f>
        <v>0</v>
      </c>
      <c r="BL29" s="261" t="n">
        <f aca="false">IF(BL$4=Deposits!$L$8,Deposits!$O$8,0)</f>
        <v>0</v>
      </c>
      <c r="BM29" s="261" t="n">
        <f aca="false">IF(BM$4=Deposits!$L$8,Deposits!$O$8,0)</f>
        <v>0</v>
      </c>
      <c r="BN29" s="261" t="n">
        <f aca="false">IF(BN$4=Deposits!$L$8,Deposits!$O$8,0)</f>
        <v>0</v>
      </c>
      <c r="BO29" s="261" t="n">
        <f aca="false">IF(BO$4=Deposits!$L$8,Deposits!$O$8,0)</f>
        <v>0</v>
      </c>
      <c r="BP29" s="261" t="n">
        <f aca="false">IF(BP$4=Deposits!$L$8,Deposits!$O$8,0)</f>
        <v>0</v>
      </c>
    </row>
    <row r="30" customFormat="false" ht="15" hidden="false" customHeight="false" outlineLevel="0" collapsed="false">
      <c r="C30" s="260" t="str">
        <f aca="false">Deposits!C9</f>
        <v>Ajánlati biztosíték visszatérítés – sikertelen kapacitás</v>
      </c>
      <c r="D30" s="133" t="s">
        <v>125</v>
      </c>
      <c r="E30" s="158"/>
      <c r="F30" s="158"/>
      <c r="G30" s="158" t="n">
        <f aca="false">SUM(H30:BP30)</f>
        <v>0</v>
      </c>
      <c r="H30" s="261" t="n">
        <f aca="false">IF(H$4=Deposits!$L$9,Deposits!$O$9,0)</f>
        <v>0</v>
      </c>
      <c r="I30" s="261" t="n">
        <f aca="false">IF(I$4=Deposits!$L$9,Deposits!$O$9,0)</f>
        <v>0</v>
      </c>
      <c r="J30" s="261" t="n">
        <f aca="false">IF(J$4=Deposits!$L$9,Deposits!$O$9,0)</f>
        <v>0</v>
      </c>
      <c r="K30" s="261" t="n">
        <f aca="false">IF(K$4=Deposits!$L$9,Deposits!$O$9,0)</f>
        <v>0</v>
      </c>
      <c r="L30" s="261" t="n">
        <f aca="false">IF(L$4=Deposits!$L$9,Deposits!$O$9,0)</f>
        <v>0</v>
      </c>
      <c r="M30" s="261" t="n">
        <f aca="false">IF(M$4=Deposits!$L$9,Deposits!$O$9,0)</f>
        <v>0</v>
      </c>
      <c r="N30" s="261" t="n">
        <f aca="false">IF(N$4=Deposits!$L$9,Deposits!$O$9,0)</f>
        <v>0</v>
      </c>
      <c r="O30" s="261" t="n">
        <f aca="false">IF(O$4=Deposits!$L$9,Deposits!$O$9,0)</f>
        <v>0</v>
      </c>
      <c r="P30" s="261" t="n">
        <f aca="false">IF(P$4=Deposits!$L$9,Deposits!$O$9,0)</f>
        <v>0</v>
      </c>
      <c r="Q30" s="261" t="n">
        <f aca="false">IF(Q$4=Deposits!$L$9,Deposits!$O$9,0)</f>
        <v>0</v>
      </c>
      <c r="R30" s="261" t="n">
        <f aca="false">IF(R$4=Deposits!$L$9,Deposits!$O$9,0)</f>
        <v>0</v>
      </c>
      <c r="S30" s="261" t="n">
        <f aca="false">IF(S$4=Deposits!$L$9,Deposits!$O$9,0)</f>
        <v>0</v>
      </c>
      <c r="T30" s="261" t="n">
        <f aca="false">IF(T$4=Deposits!$L$9,Deposits!$O$9,0)</f>
        <v>0</v>
      </c>
      <c r="U30" s="261" t="n">
        <f aca="false">IF(U$4=Deposits!$L$9,Deposits!$O$9,0)</f>
        <v>0</v>
      </c>
      <c r="V30" s="261" t="n">
        <f aca="false">IF(V$4=Deposits!$L$9,Deposits!$O$9,0)</f>
        <v>0</v>
      </c>
      <c r="W30" s="261" t="n">
        <f aca="false">IF(W$4=Deposits!$L$9,Deposits!$O$9,0)</f>
        <v>0</v>
      </c>
      <c r="X30" s="261" t="n">
        <f aca="false">IF(X$4=Deposits!$L$9,Deposits!$O$9,0)</f>
        <v>0</v>
      </c>
      <c r="Y30" s="261" t="n">
        <f aca="false">IF(Y$4=Deposits!$L$9,Deposits!$O$9,0)</f>
        <v>0</v>
      </c>
      <c r="Z30" s="261" t="n">
        <f aca="false">IF(Z$4=Deposits!$L$9,Deposits!$O$9,0)</f>
        <v>0</v>
      </c>
      <c r="AA30" s="261" t="n">
        <f aca="false">IF(AA$4=Deposits!$L$9,Deposits!$O$9,0)</f>
        <v>0</v>
      </c>
      <c r="AB30" s="261" t="n">
        <f aca="false">IF(AB$4=Deposits!$L$9,Deposits!$O$9,0)</f>
        <v>0</v>
      </c>
      <c r="AC30" s="261" t="n">
        <f aca="false">IF(AC$4=Deposits!$L$9,Deposits!$O$9,0)</f>
        <v>0</v>
      </c>
      <c r="AD30" s="261" t="n">
        <f aca="false">IF(AD$4=Deposits!$L$9,Deposits!$O$9,0)</f>
        <v>0</v>
      </c>
      <c r="AE30" s="261" t="n">
        <f aca="false">IF(AE$4=Deposits!$L$9,Deposits!$O$9,0)</f>
        <v>0</v>
      </c>
      <c r="AF30" s="261" t="n">
        <f aca="false">IF(AF$4=Deposits!$L$9,Deposits!$O$9,0)</f>
        <v>0</v>
      </c>
      <c r="AG30" s="261" t="n">
        <f aca="false">IF(AG$4=Deposits!$L$9,Deposits!$O$9,0)</f>
        <v>0</v>
      </c>
      <c r="AH30" s="261" t="n">
        <f aca="false">IF(AH$4=Deposits!$L$9,Deposits!$O$9,0)</f>
        <v>0</v>
      </c>
      <c r="AI30" s="261" t="n">
        <f aca="false">IF(AI$4=Deposits!$L$9,Deposits!$O$9,0)</f>
        <v>0</v>
      </c>
      <c r="AJ30" s="261" t="n">
        <f aca="false">IF(AJ$4=Deposits!$L$9,Deposits!$O$9,0)</f>
        <v>0</v>
      </c>
      <c r="AK30" s="261" t="n">
        <f aca="false">IF(AK$4=Deposits!$L$9,Deposits!$O$9,0)</f>
        <v>0</v>
      </c>
      <c r="AL30" s="261" t="n">
        <f aca="false">IF(AL$4=Deposits!$L$9,Deposits!$O$9,0)</f>
        <v>0</v>
      </c>
      <c r="AM30" s="261" t="n">
        <f aca="false">IF(AM$4=Deposits!$L$9,Deposits!$O$9,0)</f>
        <v>0</v>
      </c>
      <c r="AN30" s="261" t="n">
        <f aca="false">IF(AN$4=Deposits!$L$9,Deposits!$O$9,0)</f>
        <v>0</v>
      </c>
      <c r="AO30" s="261" t="n">
        <f aca="false">IF(AO$4=Deposits!$L$9,Deposits!$O$9,0)</f>
        <v>0</v>
      </c>
      <c r="AP30" s="261" t="n">
        <f aca="false">IF(AP$4=Deposits!$L$9,Deposits!$O$9,0)</f>
        <v>0</v>
      </c>
      <c r="AQ30" s="261" t="n">
        <f aca="false">IF(AQ$4=Deposits!$L$9,Deposits!$O$9,0)</f>
        <v>0</v>
      </c>
      <c r="AR30" s="261" t="n">
        <f aca="false">IF(AR$4=Deposits!$L$9,Deposits!$O$9,0)</f>
        <v>0</v>
      </c>
      <c r="AS30" s="261" t="n">
        <f aca="false">IF(AS$4=Deposits!$L$9,Deposits!$O$9,0)</f>
        <v>0</v>
      </c>
      <c r="AT30" s="261" t="n">
        <f aca="false">IF(AT$4=Deposits!$L$9,Deposits!$O$9,0)</f>
        <v>0</v>
      </c>
      <c r="AU30" s="261" t="n">
        <f aca="false">IF(AU$4=Deposits!$L$9,Deposits!$O$9,0)</f>
        <v>0</v>
      </c>
      <c r="AV30" s="261" t="n">
        <f aca="false">IF(AV$4=Deposits!$L$9,Deposits!$O$9,0)</f>
        <v>0</v>
      </c>
      <c r="AW30" s="261" t="n">
        <f aca="false">IF(AW$4=Deposits!$L$9,Deposits!$O$9,0)</f>
        <v>0</v>
      </c>
      <c r="AX30" s="261" t="n">
        <f aca="false">IF(AX$4=Deposits!$L$9,Deposits!$O$9,0)</f>
        <v>0</v>
      </c>
      <c r="AY30" s="261" t="n">
        <f aca="false">IF(AY$4=Deposits!$L$9,Deposits!$O$9,0)</f>
        <v>0</v>
      </c>
      <c r="AZ30" s="261" t="n">
        <f aca="false">IF(AZ$4=Deposits!$L$9,Deposits!$O$9,0)</f>
        <v>0</v>
      </c>
      <c r="BA30" s="261" t="n">
        <f aca="false">IF(BA$4=Deposits!$L$9,Deposits!$O$9,0)</f>
        <v>0</v>
      </c>
      <c r="BB30" s="261" t="n">
        <f aca="false">IF(BB$4=Deposits!$L$9,Deposits!$O$9,0)</f>
        <v>0</v>
      </c>
      <c r="BC30" s="261" t="n">
        <f aca="false">IF(BC$4=Deposits!$L$9,Deposits!$O$9,0)</f>
        <v>0</v>
      </c>
      <c r="BD30" s="261" t="n">
        <f aca="false">IF(BD$4=Deposits!$L$9,Deposits!$O$9,0)</f>
        <v>0</v>
      </c>
      <c r="BE30" s="261" t="n">
        <f aca="false">IF(BE$4=Deposits!$L$9,Deposits!$O$9,0)</f>
        <v>0</v>
      </c>
      <c r="BF30" s="261" t="n">
        <f aca="false">IF(BF$4=Deposits!$L$9,Deposits!$O$9,0)</f>
        <v>0</v>
      </c>
      <c r="BG30" s="261" t="n">
        <f aca="false">IF(BG$4=Deposits!$L$9,Deposits!$O$9,0)</f>
        <v>0</v>
      </c>
      <c r="BH30" s="261" t="n">
        <f aca="false">IF(BH$4=Deposits!$L$9,Deposits!$O$9,0)</f>
        <v>0</v>
      </c>
      <c r="BI30" s="261" t="n">
        <f aca="false">IF(BI$4=Deposits!$L$9,Deposits!$O$9,0)</f>
        <v>0</v>
      </c>
      <c r="BJ30" s="261" t="n">
        <f aca="false">IF(BJ$4=Deposits!$L$9,Deposits!$O$9,0)</f>
        <v>0</v>
      </c>
      <c r="BK30" s="261" t="n">
        <f aca="false">IF(BK$4=Deposits!$L$9,Deposits!$O$9,0)</f>
        <v>0</v>
      </c>
      <c r="BL30" s="261" t="n">
        <f aca="false">IF(BL$4=Deposits!$L$9,Deposits!$O$9,0)</f>
        <v>0</v>
      </c>
      <c r="BM30" s="261" t="n">
        <f aca="false">IF(BM$4=Deposits!$L$9,Deposits!$O$9,0)</f>
        <v>0</v>
      </c>
      <c r="BN30" s="261" t="n">
        <f aca="false">IF(BN$4=Deposits!$L$9,Deposits!$O$9,0)</f>
        <v>0</v>
      </c>
      <c r="BO30" s="261" t="n">
        <f aca="false">IF(BO$4=Deposits!$L$9,Deposits!$O$9,0)</f>
        <v>0</v>
      </c>
      <c r="BP30" s="261" t="n">
        <f aca="false">IF(BP$4=Deposits!$L$9,Deposits!$O$9,0)</f>
        <v>0</v>
      </c>
    </row>
    <row r="31" customFormat="false" ht="15" hidden="false" customHeight="false" outlineLevel="0" collapsed="false">
      <c r="C31" s="260" t="str">
        <f aca="false">Deposits!C10</f>
        <v>Teljesítési biztosíték</v>
      </c>
      <c r="D31" s="133" t="s">
        <v>125</v>
      </c>
      <c r="E31" s="158"/>
      <c r="F31" s="158"/>
      <c r="G31" s="158" t="n">
        <f aca="false">SUM(H31:BP31)</f>
        <v>4674.30136986302</v>
      </c>
      <c r="H31" s="261" t="n">
        <f aca="false">IF(H$4=Deposits!$L$10,Deposits!$O$10,0)</f>
        <v>0</v>
      </c>
      <c r="I31" s="261" t="n">
        <f aca="false">IF(I$4=Deposits!$L$10,Deposits!$O$10,0)</f>
        <v>0</v>
      </c>
      <c r="J31" s="261" t="n">
        <f aca="false">IF(J$4=Deposits!$L$10,Deposits!$O$10,0)</f>
        <v>0</v>
      </c>
      <c r="K31" s="261" t="n">
        <f aca="false">IF(K$4=Deposits!$L$10,Deposits!$O$10,0)</f>
        <v>0</v>
      </c>
      <c r="L31" s="261" t="n">
        <f aca="false">IF(L$4=Deposits!$L$10,Deposits!$O$10,0)</f>
        <v>0</v>
      </c>
      <c r="M31" s="261" t="n">
        <f aca="false">IF(M$4=Deposits!$L$10,Deposits!$O$10,0)</f>
        <v>4674.30136986302</v>
      </c>
      <c r="N31" s="261" t="n">
        <f aca="false">IF(N$4=Deposits!$L$10,Deposits!$O$10,0)</f>
        <v>0</v>
      </c>
      <c r="O31" s="261" t="n">
        <f aca="false">IF(O$4=Deposits!$L$10,Deposits!$O$10,0)</f>
        <v>0</v>
      </c>
      <c r="P31" s="261" t="n">
        <f aca="false">IF(P$4=Deposits!$L$10,Deposits!$O$10,0)</f>
        <v>0</v>
      </c>
      <c r="Q31" s="261" t="n">
        <f aca="false">IF(Q$4=Deposits!$L$10,Deposits!$O$10,0)</f>
        <v>0</v>
      </c>
      <c r="R31" s="261" t="n">
        <f aca="false">IF(R$4=Deposits!$L$10,Deposits!$O$10,0)</f>
        <v>0</v>
      </c>
      <c r="S31" s="261" t="n">
        <f aca="false">IF(S$4=Deposits!$L$10,Deposits!$O$10,0)</f>
        <v>0</v>
      </c>
      <c r="T31" s="261" t="n">
        <f aca="false">IF(T$4=Deposits!$L$10,Deposits!$O$10,0)</f>
        <v>0</v>
      </c>
      <c r="U31" s="261" t="n">
        <f aca="false">IF(U$4=Deposits!$L$10,Deposits!$O$10,0)</f>
        <v>0</v>
      </c>
      <c r="V31" s="261" t="n">
        <f aca="false">IF(V$4=Deposits!$L$10,Deposits!$O$10,0)</f>
        <v>0</v>
      </c>
      <c r="W31" s="261" t="n">
        <f aca="false">IF(W$4=Deposits!$L$10,Deposits!$O$10,0)</f>
        <v>0</v>
      </c>
      <c r="X31" s="261" t="n">
        <f aca="false">IF(X$4=Deposits!$L$10,Deposits!$O$10,0)</f>
        <v>0</v>
      </c>
      <c r="Y31" s="261" t="n">
        <f aca="false">IF(Y$4=Deposits!$L$10,Deposits!$O$10,0)</f>
        <v>0</v>
      </c>
      <c r="Z31" s="261" t="n">
        <f aca="false">IF(Z$4=Deposits!$L$10,Deposits!$O$10,0)</f>
        <v>0</v>
      </c>
      <c r="AA31" s="261" t="n">
        <f aca="false">IF(AA$4=Deposits!$L$10,Deposits!$O$10,0)</f>
        <v>0</v>
      </c>
      <c r="AB31" s="261" t="n">
        <f aca="false">IF(AB$4=Deposits!$L$10,Deposits!$O$10,0)</f>
        <v>0</v>
      </c>
      <c r="AC31" s="261" t="n">
        <f aca="false">IF(AC$4=Deposits!$L$10,Deposits!$O$10,0)</f>
        <v>0</v>
      </c>
      <c r="AD31" s="261" t="n">
        <f aca="false">IF(AD$4=Deposits!$L$10,Deposits!$O$10,0)</f>
        <v>0</v>
      </c>
      <c r="AE31" s="261" t="n">
        <f aca="false">IF(AE$4=Deposits!$L$10,Deposits!$O$10,0)</f>
        <v>0</v>
      </c>
      <c r="AF31" s="261" t="n">
        <f aca="false">IF(AF$4=Deposits!$L$10,Deposits!$O$10,0)</f>
        <v>0</v>
      </c>
      <c r="AG31" s="261" t="n">
        <f aca="false">IF(AG$4=Deposits!$L$10,Deposits!$O$10,0)</f>
        <v>0</v>
      </c>
      <c r="AH31" s="261" t="n">
        <f aca="false">IF(AH$4=Deposits!$L$10,Deposits!$O$10,0)</f>
        <v>0</v>
      </c>
      <c r="AI31" s="261" t="n">
        <f aca="false">IF(AI$4=Deposits!$L$10,Deposits!$O$10,0)</f>
        <v>0</v>
      </c>
      <c r="AJ31" s="261" t="n">
        <f aca="false">IF(AJ$4=Deposits!$L$10,Deposits!$O$10,0)</f>
        <v>0</v>
      </c>
      <c r="AK31" s="261" t="n">
        <f aca="false">IF(AK$4=Deposits!$L$10,Deposits!$O$10,0)</f>
        <v>0</v>
      </c>
      <c r="AL31" s="261" t="n">
        <f aca="false">IF(AL$4=Deposits!$L$10,Deposits!$O$10,0)</f>
        <v>0</v>
      </c>
      <c r="AM31" s="261" t="n">
        <f aca="false">IF(AM$4=Deposits!$L$10,Deposits!$O$10,0)</f>
        <v>0</v>
      </c>
      <c r="AN31" s="261" t="n">
        <f aca="false">IF(AN$4=Deposits!$L$10,Deposits!$O$10,0)</f>
        <v>0</v>
      </c>
      <c r="AO31" s="261" t="n">
        <f aca="false">IF(AO$4=Deposits!$L$10,Deposits!$O$10,0)</f>
        <v>0</v>
      </c>
      <c r="AP31" s="261" t="n">
        <f aca="false">IF(AP$4=Deposits!$L$10,Deposits!$O$10,0)</f>
        <v>0</v>
      </c>
      <c r="AQ31" s="261" t="n">
        <f aca="false">IF(AQ$4=Deposits!$L$10,Deposits!$O$10,0)</f>
        <v>0</v>
      </c>
      <c r="AR31" s="261" t="n">
        <f aca="false">IF(AR$4=Deposits!$L$10,Deposits!$O$10,0)</f>
        <v>0</v>
      </c>
      <c r="AS31" s="261" t="n">
        <f aca="false">IF(AS$4=Deposits!$L$10,Deposits!$O$10,0)</f>
        <v>0</v>
      </c>
      <c r="AT31" s="261" t="n">
        <f aca="false">IF(AT$4=Deposits!$L$10,Deposits!$O$10,0)</f>
        <v>0</v>
      </c>
      <c r="AU31" s="261" t="n">
        <f aca="false">IF(AU$4=Deposits!$L$10,Deposits!$O$10,0)</f>
        <v>0</v>
      </c>
      <c r="AV31" s="261" t="n">
        <f aca="false">IF(AV$4=Deposits!$L$10,Deposits!$O$10,0)</f>
        <v>0</v>
      </c>
      <c r="AW31" s="261" t="n">
        <f aca="false">IF(AW$4=Deposits!$L$10,Deposits!$O$10,0)</f>
        <v>0</v>
      </c>
      <c r="AX31" s="261" t="n">
        <f aca="false">IF(AX$4=Deposits!$L$10,Deposits!$O$10,0)</f>
        <v>0</v>
      </c>
      <c r="AY31" s="261" t="n">
        <f aca="false">IF(AY$4=Deposits!$L$10,Deposits!$O$10,0)</f>
        <v>0</v>
      </c>
      <c r="AZ31" s="261" t="n">
        <f aca="false">IF(AZ$4=Deposits!$L$10,Deposits!$O$10,0)</f>
        <v>0</v>
      </c>
      <c r="BA31" s="261" t="n">
        <f aca="false">IF(BA$4=Deposits!$L$10,Deposits!$O$10,0)</f>
        <v>0</v>
      </c>
      <c r="BB31" s="261" t="n">
        <f aca="false">IF(BB$4=Deposits!$L$10,Deposits!$O$10,0)</f>
        <v>0</v>
      </c>
      <c r="BC31" s="261" t="n">
        <f aca="false">IF(BC$4=Deposits!$L$10,Deposits!$O$10,0)</f>
        <v>0</v>
      </c>
      <c r="BD31" s="261" t="n">
        <f aca="false">IF(BD$4=Deposits!$L$10,Deposits!$O$10,0)</f>
        <v>0</v>
      </c>
      <c r="BE31" s="261" t="n">
        <f aca="false">IF(BE$4=Deposits!$L$10,Deposits!$O$10,0)</f>
        <v>0</v>
      </c>
      <c r="BF31" s="261" t="n">
        <f aca="false">IF(BF$4=Deposits!$L$10,Deposits!$O$10,0)</f>
        <v>0</v>
      </c>
      <c r="BG31" s="261" t="n">
        <f aca="false">IF(BG$4=Deposits!$L$10,Deposits!$O$10,0)</f>
        <v>0</v>
      </c>
      <c r="BH31" s="261" t="n">
        <f aca="false">IF(BH$4=Deposits!$L$10,Deposits!$O$10,0)</f>
        <v>0</v>
      </c>
      <c r="BI31" s="261" t="n">
        <f aca="false">IF(BI$4=Deposits!$L$10,Deposits!$O$10,0)</f>
        <v>0</v>
      </c>
      <c r="BJ31" s="261" t="n">
        <f aca="false">IF(BJ$4=Deposits!$L$10,Deposits!$O$10,0)</f>
        <v>0</v>
      </c>
      <c r="BK31" s="261" t="n">
        <f aca="false">IF(BK$4=Deposits!$L$10,Deposits!$O$10,0)</f>
        <v>0</v>
      </c>
      <c r="BL31" s="261" t="n">
        <f aca="false">IF(BL$4=Deposits!$L$10,Deposits!$O$10,0)</f>
        <v>0</v>
      </c>
      <c r="BM31" s="261" t="n">
        <f aca="false">IF(BM$4=Deposits!$L$10,Deposits!$O$10,0)</f>
        <v>0</v>
      </c>
      <c r="BN31" s="261" t="n">
        <f aca="false">IF(BN$4=Deposits!$L$10,Deposits!$O$10,0)</f>
        <v>0</v>
      </c>
      <c r="BO31" s="261" t="n">
        <f aca="false">IF(BO$4=Deposits!$L$10,Deposits!$O$10,0)</f>
        <v>0</v>
      </c>
      <c r="BP31" s="261" t="n">
        <f aca="false">IF(BP$4=Deposits!$L$10,Deposits!$O$10,0)</f>
        <v>0</v>
      </c>
    </row>
    <row r="32" customFormat="false" ht="15" hidden="false" customHeight="false" outlineLevel="0" collapsed="false">
      <c r="C32" s="260" t="str">
        <f aca="false">Deposits!C11</f>
        <v>Igénybejelentési biztosíték</v>
      </c>
      <c r="D32" s="133" t="s">
        <v>125</v>
      </c>
      <c r="E32" s="158"/>
      <c r="F32" s="158"/>
      <c r="G32" s="158" t="n">
        <f aca="false">SUM(H32:BP32)</f>
        <v>1232.87671232877</v>
      </c>
      <c r="H32" s="261" t="n">
        <f aca="false">IF(H$4=Deposits!$L$11,Deposits!$O$11,0)</f>
        <v>0</v>
      </c>
      <c r="I32" s="261" t="n">
        <f aca="false">IF(I$4=Deposits!$L$11,Deposits!$O$11,0)</f>
        <v>0</v>
      </c>
      <c r="J32" s="261" t="n">
        <f aca="false">IF(J$4=Deposits!$L$11,Deposits!$O$11,0)</f>
        <v>0</v>
      </c>
      <c r="K32" s="261" t="n">
        <f aca="false">IF(K$4=Deposits!$L$11,Deposits!$O$11,0)</f>
        <v>0</v>
      </c>
      <c r="L32" s="261" t="n">
        <f aca="false">IF(L$4=Deposits!$L$11,Deposits!$O$11,0)</f>
        <v>0</v>
      </c>
      <c r="M32" s="261" t="n">
        <f aca="false">IF(M$4=Deposits!$L$11,Deposits!$O$11,0)</f>
        <v>1232.87671232877</v>
      </c>
      <c r="N32" s="261" t="n">
        <f aca="false">IF(N$4=Deposits!$L$11,Deposits!$O$11,0)</f>
        <v>0</v>
      </c>
      <c r="O32" s="261" t="n">
        <f aca="false">IF(O$4=Deposits!$L$11,Deposits!$O$11,0)</f>
        <v>0</v>
      </c>
      <c r="P32" s="261" t="n">
        <f aca="false">IF(P$4=Deposits!$L$11,Deposits!$O$11,0)</f>
        <v>0</v>
      </c>
      <c r="Q32" s="261" t="n">
        <f aca="false">IF(Q$4=Deposits!$L$11,Deposits!$O$11,0)</f>
        <v>0</v>
      </c>
      <c r="R32" s="261" t="n">
        <f aca="false">IF(R$4=Deposits!$L$11,Deposits!$O$11,0)</f>
        <v>0</v>
      </c>
      <c r="S32" s="261" t="n">
        <f aca="false">IF(S$4=Deposits!$L$11,Deposits!$O$11,0)</f>
        <v>0</v>
      </c>
      <c r="T32" s="261" t="n">
        <f aca="false">IF(T$4=Deposits!$L$11,Deposits!$O$11,0)</f>
        <v>0</v>
      </c>
      <c r="U32" s="261" t="n">
        <f aca="false">IF(U$4=Deposits!$L$11,Deposits!$O$11,0)</f>
        <v>0</v>
      </c>
      <c r="V32" s="261" t="n">
        <f aca="false">IF(V$4=Deposits!$L$11,Deposits!$O$11,0)</f>
        <v>0</v>
      </c>
      <c r="W32" s="261" t="n">
        <f aca="false">IF(W$4=Deposits!$L$11,Deposits!$O$11,0)</f>
        <v>0</v>
      </c>
      <c r="X32" s="261" t="n">
        <f aca="false">IF(X$4=Deposits!$L$11,Deposits!$O$11,0)</f>
        <v>0</v>
      </c>
      <c r="Y32" s="261" t="n">
        <f aca="false">IF(Y$4=Deposits!$L$11,Deposits!$O$11,0)</f>
        <v>0</v>
      </c>
      <c r="Z32" s="261" t="n">
        <f aca="false">IF(Z$4=Deposits!$L$11,Deposits!$O$11,0)</f>
        <v>0</v>
      </c>
      <c r="AA32" s="261" t="n">
        <f aca="false">IF(AA$4=Deposits!$L$11,Deposits!$O$11,0)</f>
        <v>0</v>
      </c>
      <c r="AB32" s="261" t="n">
        <f aca="false">IF(AB$4=Deposits!$L$11,Deposits!$O$11,0)</f>
        <v>0</v>
      </c>
      <c r="AC32" s="261" t="n">
        <f aca="false">IF(AC$4=Deposits!$L$11,Deposits!$O$11,0)</f>
        <v>0</v>
      </c>
      <c r="AD32" s="261" t="n">
        <f aca="false">IF(AD$4=Deposits!$L$11,Deposits!$O$11,0)</f>
        <v>0</v>
      </c>
      <c r="AE32" s="261" t="n">
        <f aca="false">IF(AE$4=Deposits!$L$11,Deposits!$O$11,0)</f>
        <v>0</v>
      </c>
      <c r="AF32" s="261" t="n">
        <f aca="false">IF(AF$4=Deposits!$L$11,Deposits!$O$11,0)</f>
        <v>0</v>
      </c>
      <c r="AG32" s="261" t="n">
        <f aca="false">IF(AG$4=Deposits!$L$11,Deposits!$O$11,0)</f>
        <v>0</v>
      </c>
      <c r="AH32" s="261" t="n">
        <f aca="false">IF(AH$4=Deposits!$L$11,Deposits!$O$11,0)</f>
        <v>0</v>
      </c>
      <c r="AI32" s="261" t="n">
        <f aca="false">IF(AI$4=Deposits!$L$11,Deposits!$O$11,0)</f>
        <v>0</v>
      </c>
      <c r="AJ32" s="261" t="n">
        <f aca="false">IF(AJ$4=Deposits!$L$11,Deposits!$O$11,0)</f>
        <v>0</v>
      </c>
      <c r="AK32" s="261" t="n">
        <f aca="false">IF(AK$4=Deposits!$L$11,Deposits!$O$11,0)</f>
        <v>0</v>
      </c>
      <c r="AL32" s="261" t="n">
        <f aca="false">IF(AL$4=Deposits!$L$11,Deposits!$O$11,0)</f>
        <v>0</v>
      </c>
      <c r="AM32" s="261" t="n">
        <f aca="false">IF(AM$4=Deposits!$L$11,Deposits!$O$11,0)</f>
        <v>0</v>
      </c>
      <c r="AN32" s="261" t="n">
        <f aca="false">IF(AN$4=Deposits!$L$11,Deposits!$O$11,0)</f>
        <v>0</v>
      </c>
      <c r="AO32" s="261" t="n">
        <f aca="false">IF(AO$4=Deposits!$L$11,Deposits!$O$11,0)</f>
        <v>0</v>
      </c>
      <c r="AP32" s="261" t="n">
        <f aca="false">IF(AP$4=Deposits!$L$11,Deposits!$O$11,0)</f>
        <v>0</v>
      </c>
      <c r="AQ32" s="261" t="n">
        <f aca="false">IF(AQ$4=Deposits!$L$11,Deposits!$O$11,0)</f>
        <v>0</v>
      </c>
      <c r="AR32" s="261" t="n">
        <f aca="false">IF(AR$4=Deposits!$L$11,Deposits!$O$11,0)</f>
        <v>0</v>
      </c>
      <c r="AS32" s="261" t="n">
        <f aca="false">IF(AS$4=Deposits!$L$11,Deposits!$O$11,0)</f>
        <v>0</v>
      </c>
      <c r="AT32" s="261" t="n">
        <f aca="false">IF(AT$4=Deposits!$L$11,Deposits!$O$11,0)</f>
        <v>0</v>
      </c>
      <c r="AU32" s="261" t="n">
        <f aca="false">IF(AU$4=Deposits!$L$11,Deposits!$O$11,0)</f>
        <v>0</v>
      </c>
      <c r="AV32" s="261" t="n">
        <f aca="false">IF(AV$4=Deposits!$L$11,Deposits!$O$11,0)</f>
        <v>0</v>
      </c>
      <c r="AW32" s="261" t="n">
        <f aca="false">IF(AW$4=Deposits!$L$11,Deposits!$O$11,0)</f>
        <v>0</v>
      </c>
      <c r="AX32" s="261" t="n">
        <f aca="false">IF(AX$4=Deposits!$L$11,Deposits!$O$11,0)</f>
        <v>0</v>
      </c>
      <c r="AY32" s="261" t="n">
        <f aca="false">IF(AY$4=Deposits!$L$11,Deposits!$O$11,0)</f>
        <v>0</v>
      </c>
      <c r="AZ32" s="261" t="n">
        <f aca="false">IF(AZ$4=Deposits!$L$11,Deposits!$O$11,0)</f>
        <v>0</v>
      </c>
      <c r="BA32" s="261" t="n">
        <f aca="false">IF(BA$4=Deposits!$L$11,Deposits!$O$11,0)</f>
        <v>0</v>
      </c>
      <c r="BB32" s="261" t="n">
        <f aca="false">IF(BB$4=Deposits!$L$11,Deposits!$O$11,0)</f>
        <v>0</v>
      </c>
      <c r="BC32" s="261" t="n">
        <f aca="false">IF(BC$4=Deposits!$L$11,Deposits!$O$11,0)</f>
        <v>0</v>
      </c>
      <c r="BD32" s="261" t="n">
        <f aca="false">IF(BD$4=Deposits!$L$11,Deposits!$O$11,0)</f>
        <v>0</v>
      </c>
      <c r="BE32" s="261" t="n">
        <f aca="false">IF(BE$4=Deposits!$L$11,Deposits!$O$11,0)</f>
        <v>0</v>
      </c>
      <c r="BF32" s="261" t="n">
        <f aca="false">IF(BF$4=Deposits!$L$11,Deposits!$O$11,0)</f>
        <v>0</v>
      </c>
      <c r="BG32" s="261" t="n">
        <f aca="false">IF(BG$4=Deposits!$L$11,Deposits!$O$11,0)</f>
        <v>0</v>
      </c>
      <c r="BH32" s="261" t="n">
        <f aca="false">IF(BH$4=Deposits!$L$11,Deposits!$O$11,0)</f>
        <v>0</v>
      </c>
      <c r="BI32" s="261" t="n">
        <f aca="false">IF(BI$4=Deposits!$L$11,Deposits!$O$11,0)</f>
        <v>0</v>
      </c>
      <c r="BJ32" s="261" t="n">
        <f aca="false">IF(BJ$4=Deposits!$L$11,Deposits!$O$11,0)</f>
        <v>0</v>
      </c>
      <c r="BK32" s="261" t="n">
        <f aca="false">IF(BK$4=Deposits!$L$11,Deposits!$O$11,0)</f>
        <v>0</v>
      </c>
      <c r="BL32" s="261" t="n">
        <f aca="false">IF(BL$4=Deposits!$L$11,Deposits!$O$11,0)</f>
        <v>0</v>
      </c>
      <c r="BM32" s="261" t="n">
        <f aca="false">IF(BM$4=Deposits!$L$11,Deposits!$O$11,0)</f>
        <v>0</v>
      </c>
      <c r="BN32" s="261" t="n">
        <f aca="false">IF(BN$4=Deposits!$L$11,Deposits!$O$11,0)</f>
        <v>0</v>
      </c>
      <c r="BO32" s="261" t="n">
        <f aca="false">IF(BO$4=Deposits!$L$11,Deposits!$O$11,0)</f>
        <v>0</v>
      </c>
      <c r="BP32" s="261" t="n">
        <f aca="false">IF(BP$4=Deposits!$L$11,Deposits!$O$11,0)</f>
        <v>0</v>
      </c>
    </row>
    <row r="33" customFormat="false" ht="15" hidden="false" customHeight="false" outlineLevel="0" collapsed="false">
      <c r="C33" s="260" t="str">
        <f aca="false">Deposits!C12</f>
        <v>Csatlakozási díj – közvetlen</v>
      </c>
      <c r="D33" s="133" t="s">
        <v>125</v>
      </c>
      <c r="E33" s="158"/>
      <c r="F33" s="158"/>
      <c r="G33" s="158" t="n">
        <f aca="false">SUM(H33:BP33)</f>
        <v>696.364115068493</v>
      </c>
      <c r="H33" s="261" t="n">
        <f aca="false">IF(H$4=Deposits!$L$12,Deposits!$O$12,0)</f>
        <v>0</v>
      </c>
      <c r="I33" s="261" t="n">
        <f aca="false">IF(I$4=Deposits!$L$12,Deposits!$O$12,0)</f>
        <v>0</v>
      </c>
      <c r="J33" s="261" t="n">
        <f aca="false">IF(J$4=Deposits!$L$12,Deposits!$O$12,0)</f>
        <v>0</v>
      </c>
      <c r="K33" s="261" t="n">
        <f aca="false">IF(K$4=Deposits!$L$12,Deposits!$O$12,0)</f>
        <v>0</v>
      </c>
      <c r="L33" s="261" t="n">
        <f aca="false">IF(L$4=Deposits!$L$12,Deposits!$O$12,0)</f>
        <v>0</v>
      </c>
      <c r="M33" s="261" t="n">
        <f aca="false">IF(M$4=Deposits!$L$12,Deposits!$O$12,0)</f>
        <v>0</v>
      </c>
      <c r="N33" s="261" t="n">
        <f aca="false">IF(N$4=Deposits!$L$12,Deposits!$O$12,0)</f>
        <v>0</v>
      </c>
      <c r="O33" s="261" t="n">
        <f aca="false">IF(O$4=Deposits!$L$12,Deposits!$O$12,0)</f>
        <v>0</v>
      </c>
      <c r="P33" s="261" t="n">
        <f aca="false">IF(P$4=Deposits!$L$12,Deposits!$O$12,0)</f>
        <v>0</v>
      </c>
      <c r="Q33" s="261" t="n">
        <f aca="false">IF(Q$4=Deposits!$L$12,Deposits!$O$12,0)</f>
        <v>0</v>
      </c>
      <c r="R33" s="261" t="n">
        <f aca="false">IF(R$4=Deposits!$L$12,Deposits!$O$12,0)</f>
        <v>0</v>
      </c>
      <c r="S33" s="261" t="n">
        <f aca="false">IF(S$4=Deposits!$L$12,Deposits!$O$12,0)</f>
        <v>0</v>
      </c>
      <c r="T33" s="261" t="n">
        <f aca="false">IF(T$4=Deposits!$L$12,Deposits!$O$12,0)</f>
        <v>0</v>
      </c>
      <c r="U33" s="261" t="n">
        <f aca="false">IF(U$4=Deposits!$L$12,Deposits!$O$12,0)</f>
        <v>0</v>
      </c>
      <c r="V33" s="261" t="n">
        <f aca="false">IF(V$4=Deposits!$L$12,Deposits!$O$12,0)</f>
        <v>0</v>
      </c>
      <c r="W33" s="261" t="n">
        <f aca="false">IF(W$4=Deposits!$L$12,Deposits!$O$12,0)</f>
        <v>0</v>
      </c>
      <c r="X33" s="261" t="n">
        <f aca="false">IF(X$4=Deposits!$L$12,Deposits!$O$12,0)</f>
        <v>0</v>
      </c>
      <c r="Y33" s="261" t="n">
        <f aca="false">IF(Y$4=Deposits!$L$12,Deposits!$O$12,0)</f>
        <v>0</v>
      </c>
      <c r="Z33" s="261" t="n">
        <f aca="false">IF(Z$4=Deposits!$L$12,Deposits!$O$12,0)</f>
        <v>0</v>
      </c>
      <c r="AA33" s="261" t="n">
        <f aca="false">IF(AA$4=Deposits!$L$12,Deposits!$O$12,0)</f>
        <v>0</v>
      </c>
      <c r="AB33" s="261" t="n">
        <f aca="false">IF(AB$4=Deposits!$L$12,Deposits!$O$12,0)</f>
        <v>0</v>
      </c>
      <c r="AC33" s="261" t="n">
        <f aca="false">IF(AC$4=Deposits!$L$12,Deposits!$O$12,0)</f>
        <v>0</v>
      </c>
      <c r="AD33" s="261" t="n">
        <f aca="false">IF(AD$4=Deposits!$L$12,Deposits!$O$12,0)</f>
        <v>0</v>
      </c>
      <c r="AE33" s="261" t="n">
        <f aca="false">IF(AE$4=Deposits!$L$12,Deposits!$O$12,0)</f>
        <v>0</v>
      </c>
      <c r="AF33" s="261" t="n">
        <f aca="false">IF(AF$4=Deposits!$L$12,Deposits!$O$12,0)</f>
        <v>0</v>
      </c>
      <c r="AG33" s="261" t="n">
        <f aca="false">IF(AG$4=Deposits!$L$12,Deposits!$O$12,0)</f>
        <v>0</v>
      </c>
      <c r="AH33" s="261" t="n">
        <f aca="false">IF(AH$4=Deposits!$L$12,Deposits!$O$12,0)</f>
        <v>0</v>
      </c>
      <c r="AI33" s="261" t="n">
        <f aca="false">IF(AI$4=Deposits!$L$12,Deposits!$O$12,0)</f>
        <v>0</v>
      </c>
      <c r="AJ33" s="261" t="n">
        <f aca="false">IF(AJ$4=Deposits!$L$12,Deposits!$O$12,0)</f>
        <v>0</v>
      </c>
      <c r="AK33" s="261" t="n">
        <f aca="false">IF(AK$4=Deposits!$L$12,Deposits!$O$12,0)</f>
        <v>0</v>
      </c>
      <c r="AL33" s="261" t="n">
        <f aca="false">IF(AL$4=Deposits!$L$12,Deposits!$O$12,0)</f>
        <v>696.364115068493</v>
      </c>
      <c r="AM33" s="261" t="n">
        <f aca="false">IF(AM$4=Deposits!$L$12,Deposits!$O$12,0)</f>
        <v>0</v>
      </c>
      <c r="AN33" s="261" t="n">
        <f aca="false">IF(AN$4=Deposits!$L$12,Deposits!$O$12,0)</f>
        <v>0</v>
      </c>
      <c r="AO33" s="261" t="n">
        <f aca="false">IF(AO$4=Deposits!$L$12,Deposits!$O$12,0)</f>
        <v>0</v>
      </c>
      <c r="AP33" s="261" t="n">
        <f aca="false">IF(AP$4=Deposits!$L$12,Deposits!$O$12,0)</f>
        <v>0</v>
      </c>
      <c r="AQ33" s="261" t="n">
        <f aca="false">IF(AQ$4=Deposits!$L$12,Deposits!$O$12,0)</f>
        <v>0</v>
      </c>
      <c r="AR33" s="261" t="n">
        <f aca="false">IF(AR$4=Deposits!$L$12,Deposits!$O$12,0)</f>
        <v>0</v>
      </c>
      <c r="AS33" s="261" t="n">
        <f aca="false">IF(AS$4=Deposits!$L$12,Deposits!$O$12,0)</f>
        <v>0</v>
      </c>
      <c r="AT33" s="261" t="n">
        <f aca="false">IF(AT$4=Deposits!$L$12,Deposits!$O$12,0)</f>
        <v>0</v>
      </c>
      <c r="AU33" s="261" t="n">
        <f aca="false">IF(AU$4=Deposits!$L$12,Deposits!$O$12,0)</f>
        <v>0</v>
      </c>
      <c r="AV33" s="261" t="n">
        <f aca="false">IF(AV$4=Deposits!$L$12,Deposits!$O$12,0)</f>
        <v>0</v>
      </c>
      <c r="AW33" s="261" t="n">
        <f aca="false">IF(AW$4=Deposits!$L$12,Deposits!$O$12,0)</f>
        <v>0</v>
      </c>
      <c r="AX33" s="261" t="n">
        <f aca="false">IF(AX$4=Deposits!$L$12,Deposits!$O$12,0)</f>
        <v>0</v>
      </c>
      <c r="AY33" s="261" t="n">
        <f aca="false">IF(AY$4=Deposits!$L$12,Deposits!$O$12,0)</f>
        <v>0</v>
      </c>
      <c r="AZ33" s="261" t="n">
        <f aca="false">IF(AZ$4=Deposits!$L$12,Deposits!$O$12,0)</f>
        <v>0</v>
      </c>
      <c r="BA33" s="261" t="n">
        <f aca="false">IF(BA$4=Deposits!$L$12,Deposits!$O$12,0)</f>
        <v>0</v>
      </c>
      <c r="BB33" s="261" t="n">
        <f aca="false">IF(BB$4=Deposits!$L$12,Deposits!$O$12,0)</f>
        <v>0</v>
      </c>
      <c r="BC33" s="261" t="n">
        <f aca="false">IF(BC$4=Deposits!$L$12,Deposits!$O$12,0)</f>
        <v>0</v>
      </c>
      <c r="BD33" s="261" t="n">
        <f aca="false">IF(BD$4=Deposits!$L$12,Deposits!$O$12,0)</f>
        <v>0</v>
      </c>
      <c r="BE33" s="261" t="n">
        <f aca="false">IF(BE$4=Deposits!$L$12,Deposits!$O$12,0)</f>
        <v>0</v>
      </c>
      <c r="BF33" s="261" t="n">
        <f aca="false">IF(BF$4=Deposits!$L$12,Deposits!$O$12,0)</f>
        <v>0</v>
      </c>
      <c r="BG33" s="261" t="n">
        <f aca="false">IF(BG$4=Deposits!$L$12,Deposits!$O$12,0)</f>
        <v>0</v>
      </c>
      <c r="BH33" s="261" t="n">
        <f aca="false">IF(BH$4=Deposits!$L$12,Deposits!$O$12,0)</f>
        <v>0</v>
      </c>
      <c r="BI33" s="261" t="n">
        <f aca="false">IF(BI$4=Deposits!$L$12,Deposits!$O$12,0)</f>
        <v>0</v>
      </c>
      <c r="BJ33" s="261" t="n">
        <f aca="false">IF(BJ$4=Deposits!$L$12,Deposits!$O$12,0)</f>
        <v>0</v>
      </c>
      <c r="BK33" s="261" t="n">
        <f aca="false">IF(BK$4=Deposits!$L$12,Deposits!$O$12,0)</f>
        <v>0</v>
      </c>
      <c r="BL33" s="261" t="n">
        <f aca="false">IF(BL$4=Deposits!$L$12,Deposits!$O$12,0)</f>
        <v>0</v>
      </c>
      <c r="BM33" s="261" t="n">
        <f aca="false">IF(BM$4=Deposits!$L$12,Deposits!$O$12,0)</f>
        <v>0</v>
      </c>
      <c r="BN33" s="261" t="n">
        <f aca="false">IF(BN$4=Deposits!$L$12,Deposits!$O$12,0)</f>
        <v>0</v>
      </c>
      <c r="BO33" s="261" t="n">
        <f aca="false">IF(BO$4=Deposits!$L$12,Deposits!$O$12,0)</f>
        <v>0</v>
      </c>
      <c r="BP33" s="261" t="n">
        <f aca="false">IF(BP$4=Deposits!$L$12,Deposits!$O$12,0)</f>
        <v>0</v>
      </c>
    </row>
    <row r="34" customFormat="false" ht="15" hidden="false" customHeight="false" outlineLevel="0" collapsed="false">
      <c r="C34" s="260" t="str">
        <f aca="false">Deposits!C13</f>
        <v>Kiegészítő biztosíték 1. részlet</v>
      </c>
      <c r="D34" s="133" t="s">
        <v>125</v>
      </c>
      <c r="E34" s="158"/>
      <c r="F34" s="158"/>
      <c r="G34" s="158" t="n">
        <f aca="false">SUM(H34:BP34)</f>
        <v>0</v>
      </c>
      <c r="H34" s="261" t="n">
        <f aca="false">IF(H$4=Deposits!$L$13,Deposits!$O$13,0)</f>
        <v>0</v>
      </c>
      <c r="I34" s="261" t="n">
        <f aca="false">IF(I$4=Deposits!$L$13,Deposits!$O$13,0)</f>
        <v>0</v>
      </c>
      <c r="J34" s="261" t="n">
        <f aca="false">IF(J$4=Deposits!$L$13,Deposits!$O$13,0)</f>
        <v>0</v>
      </c>
      <c r="K34" s="261" t="n">
        <f aca="false">IF(K$4=Deposits!$L$13,Deposits!$O$13,0)</f>
        <v>0</v>
      </c>
      <c r="L34" s="261" t="n">
        <f aca="false">IF(L$4=Deposits!$L$13,Deposits!$O$13,0)</f>
        <v>0</v>
      </c>
      <c r="M34" s="261" t="n">
        <f aca="false">IF(M$4=Deposits!$L$13,Deposits!$O$13,0)</f>
        <v>0</v>
      </c>
      <c r="N34" s="261" t="n">
        <f aca="false">IF(N$4=Deposits!$L$13,Deposits!$O$13,0)</f>
        <v>0</v>
      </c>
      <c r="O34" s="261" t="n">
        <f aca="false">IF(O$4=Deposits!$L$13,Deposits!$O$13,0)</f>
        <v>0</v>
      </c>
      <c r="P34" s="261" t="n">
        <f aca="false">IF(P$4=Deposits!$L$13,Deposits!$O$13,0)</f>
        <v>0</v>
      </c>
      <c r="Q34" s="261" t="n">
        <f aca="false">IF(Q$4=Deposits!$L$13,Deposits!$O$13,0)</f>
        <v>0</v>
      </c>
      <c r="R34" s="261" t="n">
        <f aca="false">IF(R$4=Deposits!$L$13,Deposits!$O$13,0)</f>
        <v>0</v>
      </c>
      <c r="S34" s="261" t="n">
        <f aca="false">IF(S$4=Deposits!$L$13,Deposits!$O$13,0)</f>
        <v>0</v>
      </c>
      <c r="T34" s="261" t="n">
        <f aca="false">IF(T$4=Deposits!$L$13,Deposits!$O$13,0)</f>
        <v>0</v>
      </c>
      <c r="U34" s="261" t="n">
        <f aca="false">IF(U$4=Deposits!$L$13,Deposits!$O$13,0)</f>
        <v>0</v>
      </c>
      <c r="V34" s="261" t="n">
        <f aca="false">IF(V$4=Deposits!$L$13,Deposits!$O$13,0)</f>
        <v>0</v>
      </c>
      <c r="W34" s="261" t="n">
        <f aca="false">IF(W$4=Deposits!$L$13,Deposits!$O$13,0)</f>
        <v>0</v>
      </c>
      <c r="X34" s="261" t="n">
        <f aca="false">IF(X$4=Deposits!$L$13,Deposits!$O$13,0)</f>
        <v>0</v>
      </c>
      <c r="Y34" s="261" t="n">
        <f aca="false">IF(Y$4=Deposits!$L$13,Deposits!$O$13,0)</f>
        <v>0</v>
      </c>
      <c r="Z34" s="261" t="n">
        <f aca="false">IF(Z$4=Deposits!$L$13,Deposits!$O$13,0)</f>
        <v>0</v>
      </c>
      <c r="AA34" s="261" t="n">
        <f aca="false">IF(AA$4=Deposits!$L$13,Deposits!$O$13,0)</f>
        <v>0</v>
      </c>
      <c r="AB34" s="261" t="n">
        <f aca="false">IF(AB$4=Deposits!$L$13,Deposits!$O$13,0)</f>
        <v>0</v>
      </c>
      <c r="AC34" s="261" t="n">
        <f aca="false">IF(AC$4=Deposits!$L$13,Deposits!$O$13,0)</f>
        <v>0</v>
      </c>
      <c r="AD34" s="261" t="n">
        <f aca="false">IF(AD$4=Deposits!$L$13,Deposits!$O$13,0)</f>
        <v>0</v>
      </c>
      <c r="AE34" s="261" t="n">
        <f aca="false">IF(AE$4=Deposits!$L$13,Deposits!$O$13,0)</f>
        <v>0</v>
      </c>
      <c r="AF34" s="261" t="n">
        <f aca="false">IF(AF$4=Deposits!$L$13,Deposits!$O$13,0)</f>
        <v>0</v>
      </c>
      <c r="AG34" s="261" t="n">
        <f aca="false">IF(AG$4=Deposits!$L$13,Deposits!$O$13,0)</f>
        <v>0</v>
      </c>
      <c r="AH34" s="261" t="n">
        <f aca="false">IF(AH$4=Deposits!$L$13,Deposits!$O$13,0)</f>
        <v>0</v>
      </c>
      <c r="AI34" s="261" t="n">
        <f aca="false">IF(AI$4=Deposits!$L$13,Deposits!$O$13,0)</f>
        <v>0</v>
      </c>
      <c r="AJ34" s="261" t="n">
        <f aca="false">IF(AJ$4=Deposits!$L$13,Deposits!$O$13,0)</f>
        <v>0</v>
      </c>
      <c r="AK34" s="261" t="n">
        <f aca="false">IF(AK$4=Deposits!$L$13,Deposits!$O$13,0)</f>
        <v>0</v>
      </c>
      <c r="AL34" s="261" t="n">
        <f aca="false">IF(AL$4=Deposits!$L$13,Deposits!$O$13,0)</f>
        <v>0</v>
      </c>
      <c r="AM34" s="261" t="n">
        <f aca="false">IF(AM$4=Deposits!$L$13,Deposits!$O$13,0)</f>
        <v>0</v>
      </c>
      <c r="AN34" s="261" t="n">
        <f aca="false">IF(AN$4=Deposits!$L$13,Deposits!$O$13,0)</f>
        <v>0</v>
      </c>
      <c r="AO34" s="261" t="n">
        <f aca="false">IF(AO$4=Deposits!$L$13,Deposits!$O$13,0)</f>
        <v>0</v>
      </c>
      <c r="AP34" s="261" t="n">
        <f aca="false">IF(AP$4=Deposits!$L$13,Deposits!$O$13,0)</f>
        <v>0</v>
      </c>
      <c r="AQ34" s="261" t="n">
        <f aca="false">IF(AQ$4=Deposits!$L$13,Deposits!$O$13,0)</f>
        <v>0</v>
      </c>
      <c r="AR34" s="261" t="n">
        <f aca="false">IF(AR$4=Deposits!$L$13,Deposits!$O$13,0)</f>
        <v>0</v>
      </c>
      <c r="AS34" s="261" t="n">
        <f aca="false">IF(AS$4=Deposits!$L$13,Deposits!$O$13,0)</f>
        <v>0</v>
      </c>
      <c r="AT34" s="261" t="n">
        <f aca="false">IF(AT$4=Deposits!$L$13,Deposits!$O$13,0)</f>
        <v>0</v>
      </c>
      <c r="AU34" s="261" t="n">
        <f aca="false">IF(AU$4=Deposits!$L$13,Deposits!$O$13,0)</f>
        <v>0</v>
      </c>
      <c r="AV34" s="261" t="n">
        <f aca="false">IF(AV$4=Deposits!$L$13,Deposits!$O$13,0)</f>
        <v>0</v>
      </c>
      <c r="AW34" s="261" t="n">
        <f aca="false">IF(AW$4=Deposits!$L$13,Deposits!$O$13,0)</f>
        <v>0</v>
      </c>
      <c r="AX34" s="261" t="n">
        <f aca="false">IF(AX$4=Deposits!$L$13,Deposits!$O$13,0)</f>
        <v>0</v>
      </c>
      <c r="AY34" s="261" t="n">
        <f aca="false">IF(AY$4=Deposits!$L$13,Deposits!$O$13,0)</f>
        <v>0</v>
      </c>
      <c r="AZ34" s="261" t="n">
        <f aca="false">IF(AZ$4=Deposits!$L$13,Deposits!$O$13,0)</f>
        <v>0</v>
      </c>
      <c r="BA34" s="261" t="n">
        <f aca="false">IF(BA$4=Deposits!$L$13,Deposits!$O$13,0)</f>
        <v>0</v>
      </c>
      <c r="BB34" s="261" t="n">
        <f aca="false">IF(BB$4=Deposits!$L$13,Deposits!$O$13,0)</f>
        <v>0</v>
      </c>
      <c r="BC34" s="261" t="n">
        <f aca="false">IF(BC$4=Deposits!$L$13,Deposits!$O$13,0)</f>
        <v>0</v>
      </c>
      <c r="BD34" s="261" t="n">
        <f aca="false">IF(BD$4=Deposits!$L$13,Deposits!$O$13,0)</f>
        <v>0</v>
      </c>
      <c r="BE34" s="261" t="n">
        <f aca="false">IF(BE$4=Deposits!$L$13,Deposits!$O$13,0)</f>
        <v>0</v>
      </c>
      <c r="BF34" s="261" t="n">
        <f aca="false">IF(BF$4=Deposits!$L$13,Deposits!$O$13,0)</f>
        <v>0</v>
      </c>
      <c r="BG34" s="261" t="n">
        <f aca="false">IF(BG$4=Deposits!$L$13,Deposits!$O$13,0)</f>
        <v>0</v>
      </c>
      <c r="BH34" s="261" t="n">
        <f aca="false">IF(BH$4=Deposits!$L$13,Deposits!$O$13,0)</f>
        <v>0</v>
      </c>
      <c r="BI34" s="261" t="n">
        <f aca="false">IF(BI$4=Deposits!$L$13,Deposits!$O$13,0)</f>
        <v>0</v>
      </c>
      <c r="BJ34" s="261" t="n">
        <f aca="false">IF(BJ$4=Deposits!$L$13,Deposits!$O$13,0)</f>
        <v>0</v>
      </c>
      <c r="BK34" s="261" t="n">
        <f aca="false">IF(BK$4=Deposits!$L$13,Deposits!$O$13,0)</f>
        <v>0</v>
      </c>
      <c r="BL34" s="261" t="n">
        <f aca="false">IF(BL$4=Deposits!$L$13,Deposits!$O$13,0)</f>
        <v>0</v>
      </c>
      <c r="BM34" s="261" t="n">
        <f aca="false">IF(BM$4=Deposits!$L$13,Deposits!$O$13,0)</f>
        <v>0</v>
      </c>
      <c r="BN34" s="261" t="n">
        <f aca="false">IF(BN$4=Deposits!$L$13,Deposits!$O$13,0)</f>
        <v>0</v>
      </c>
      <c r="BO34" s="261" t="n">
        <f aca="false">IF(BO$4=Deposits!$L$13,Deposits!$O$13,0)</f>
        <v>0</v>
      </c>
      <c r="BP34" s="261" t="n">
        <f aca="false">IF(BP$4=Deposits!$L$13,Deposits!$O$13,0)</f>
        <v>0</v>
      </c>
    </row>
    <row r="35" customFormat="false" ht="15" hidden="false" customHeight="false" outlineLevel="0" collapsed="false">
      <c r="C35" s="260" t="str">
        <f aca="false">Deposits!C14</f>
        <v>Kiegészítő biztosíték 2. részlet</v>
      </c>
      <c r="D35" s="133" t="s">
        <v>125</v>
      </c>
      <c r="E35" s="158"/>
      <c r="F35" s="158"/>
      <c r="G35" s="158" t="n">
        <f aca="false">SUM(H35:BP35)</f>
        <v>0</v>
      </c>
      <c r="H35" s="261" t="n">
        <f aca="false">IF(H$4=Deposits!$L$14,Deposits!$O$14,0)</f>
        <v>0</v>
      </c>
      <c r="I35" s="261" t="n">
        <f aca="false">IF(I$4=Deposits!$L$14,Deposits!$O$14,0)</f>
        <v>0</v>
      </c>
      <c r="J35" s="261" t="n">
        <f aca="false">IF(J$4=Deposits!$L$14,Deposits!$O$14,0)</f>
        <v>0</v>
      </c>
      <c r="K35" s="261" t="n">
        <f aca="false">IF(K$4=Deposits!$L$14,Deposits!$O$14,0)</f>
        <v>0</v>
      </c>
      <c r="L35" s="261" t="n">
        <f aca="false">IF(L$4=Deposits!$L$14,Deposits!$O$14,0)</f>
        <v>0</v>
      </c>
      <c r="M35" s="261" t="n">
        <f aca="false">IF(M$4=Deposits!$L$14,Deposits!$O$14,0)</f>
        <v>0</v>
      </c>
      <c r="N35" s="261" t="n">
        <f aca="false">IF(N$4=Deposits!$L$14,Deposits!$O$14,0)</f>
        <v>0</v>
      </c>
      <c r="O35" s="261" t="n">
        <f aca="false">IF(O$4=Deposits!$L$14,Deposits!$O$14,0)</f>
        <v>0</v>
      </c>
      <c r="P35" s="261" t="n">
        <f aca="false">IF(P$4=Deposits!$L$14,Deposits!$O$14,0)</f>
        <v>0</v>
      </c>
      <c r="Q35" s="261" t="n">
        <f aca="false">IF(Q$4=Deposits!$L$14,Deposits!$O$14,0)</f>
        <v>0</v>
      </c>
      <c r="R35" s="261" t="n">
        <f aca="false">IF(R$4=Deposits!$L$14,Deposits!$O$14,0)</f>
        <v>0</v>
      </c>
      <c r="S35" s="261" t="n">
        <f aca="false">IF(S$4=Deposits!$L$14,Deposits!$O$14,0)</f>
        <v>0</v>
      </c>
      <c r="T35" s="261" t="n">
        <f aca="false">IF(T$4=Deposits!$L$14,Deposits!$O$14,0)</f>
        <v>0</v>
      </c>
      <c r="U35" s="261" t="n">
        <f aca="false">IF(U$4=Deposits!$L$14,Deposits!$O$14,0)</f>
        <v>0</v>
      </c>
      <c r="V35" s="261" t="n">
        <f aca="false">IF(V$4=Deposits!$L$14,Deposits!$O$14,0)</f>
        <v>0</v>
      </c>
      <c r="W35" s="261" t="n">
        <f aca="false">IF(W$4=Deposits!$L$14,Deposits!$O$14,0)</f>
        <v>0</v>
      </c>
      <c r="X35" s="261" t="n">
        <f aca="false">IF(X$4=Deposits!$L$14,Deposits!$O$14,0)</f>
        <v>0</v>
      </c>
      <c r="Y35" s="261" t="n">
        <f aca="false">IF(Y$4=Deposits!$L$14,Deposits!$O$14,0)</f>
        <v>0</v>
      </c>
      <c r="Z35" s="261" t="n">
        <f aca="false">IF(Z$4=Deposits!$L$14,Deposits!$O$14,0)</f>
        <v>0</v>
      </c>
      <c r="AA35" s="261" t="n">
        <f aca="false">IF(AA$4=Deposits!$L$14,Deposits!$O$14,0)</f>
        <v>0</v>
      </c>
      <c r="AB35" s="261" t="n">
        <f aca="false">IF(AB$4=Deposits!$L$14,Deposits!$O$14,0)</f>
        <v>0</v>
      </c>
      <c r="AC35" s="261" t="n">
        <f aca="false">IF(AC$4=Deposits!$L$14,Deposits!$O$14,0)</f>
        <v>0</v>
      </c>
      <c r="AD35" s="261" t="n">
        <f aca="false">IF(AD$4=Deposits!$L$14,Deposits!$O$14,0)</f>
        <v>0</v>
      </c>
      <c r="AE35" s="261" t="n">
        <f aca="false">IF(AE$4=Deposits!$L$14,Deposits!$O$14,0)</f>
        <v>0</v>
      </c>
      <c r="AF35" s="261" t="n">
        <f aca="false">IF(AF$4=Deposits!$L$14,Deposits!$O$14,0)</f>
        <v>0</v>
      </c>
      <c r="AG35" s="261" t="n">
        <f aca="false">IF(AG$4=Deposits!$L$14,Deposits!$O$14,0)</f>
        <v>0</v>
      </c>
      <c r="AH35" s="261" t="n">
        <f aca="false">IF(AH$4=Deposits!$L$14,Deposits!$O$14,0)</f>
        <v>0</v>
      </c>
      <c r="AI35" s="261" t="n">
        <f aca="false">IF(AI$4=Deposits!$L$14,Deposits!$O$14,0)</f>
        <v>0</v>
      </c>
      <c r="AJ35" s="261" t="n">
        <f aca="false">IF(AJ$4=Deposits!$L$14,Deposits!$O$14,0)</f>
        <v>0</v>
      </c>
      <c r="AK35" s="261" t="n">
        <f aca="false">IF(AK$4=Deposits!$L$14,Deposits!$O$14,0)</f>
        <v>0</v>
      </c>
      <c r="AL35" s="261" t="n">
        <f aca="false">IF(AL$4=Deposits!$L$14,Deposits!$O$14,0)</f>
        <v>0</v>
      </c>
      <c r="AM35" s="261" t="n">
        <f aca="false">IF(AM$4=Deposits!$L$14,Deposits!$O$14,0)</f>
        <v>0</v>
      </c>
      <c r="AN35" s="261" t="n">
        <f aca="false">IF(AN$4=Deposits!$L$14,Deposits!$O$14,0)</f>
        <v>0</v>
      </c>
      <c r="AO35" s="261" t="n">
        <f aca="false">IF(AO$4=Deposits!$L$14,Deposits!$O$14,0)</f>
        <v>0</v>
      </c>
      <c r="AP35" s="261" t="n">
        <f aca="false">IF(AP$4=Deposits!$L$14,Deposits!$O$14,0)</f>
        <v>0</v>
      </c>
      <c r="AQ35" s="261" t="n">
        <f aca="false">IF(AQ$4=Deposits!$L$14,Deposits!$O$14,0)</f>
        <v>0</v>
      </c>
      <c r="AR35" s="261" t="n">
        <f aca="false">IF(AR$4=Deposits!$L$14,Deposits!$O$14,0)</f>
        <v>0</v>
      </c>
      <c r="AS35" s="261" t="n">
        <f aca="false">IF(AS$4=Deposits!$L$14,Deposits!$O$14,0)</f>
        <v>0</v>
      </c>
      <c r="AT35" s="261" t="n">
        <f aca="false">IF(AT$4=Deposits!$L$14,Deposits!$O$14,0)</f>
        <v>0</v>
      </c>
      <c r="AU35" s="261" t="n">
        <f aca="false">IF(AU$4=Deposits!$L$14,Deposits!$O$14,0)</f>
        <v>0</v>
      </c>
      <c r="AV35" s="261" t="n">
        <f aca="false">IF(AV$4=Deposits!$L$14,Deposits!$O$14,0)</f>
        <v>0</v>
      </c>
      <c r="AW35" s="261" t="n">
        <f aca="false">IF(AW$4=Deposits!$L$14,Deposits!$O$14,0)</f>
        <v>0</v>
      </c>
      <c r="AX35" s="261" t="n">
        <f aca="false">IF(AX$4=Deposits!$L$14,Deposits!$O$14,0)</f>
        <v>0</v>
      </c>
      <c r="AY35" s="261" t="n">
        <f aca="false">IF(AY$4=Deposits!$L$14,Deposits!$O$14,0)</f>
        <v>0</v>
      </c>
      <c r="AZ35" s="261" t="n">
        <f aca="false">IF(AZ$4=Deposits!$L$14,Deposits!$O$14,0)</f>
        <v>0</v>
      </c>
      <c r="BA35" s="261" t="n">
        <f aca="false">IF(BA$4=Deposits!$L$14,Deposits!$O$14,0)</f>
        <v>0</v>
      </c>
      <c r="BB35" s="261" t="n">
        <f aca="false">IF(BB$4=Deposits!$L$14,Deposits!$O$14,0)</f>
        <v>0</v>
      </c>
      <c r="BC35" s="261" t="n">
        <f aca="false">IF(BC$4=Deposits!$L$14,Deposits!$O$14,0)</f>
        <v>0</v>
      </c>
      <c r="BD35" s="261" t="n">
        <f aca="false">IF(BD$4=Deposits!$L$14,Deposits!$O$14,0)</f>
        <v>0</v>
      </c>
      <c r="BE35" s="261" t="n">
        <f aca="false">IF(BE$4=Deposits!$L$14,Deposits!$O$14,0)</f>
        <v>0</v>
      </c>
      <c r="BF35" s="261" t="n">
        <f aca="false">IF(BF$4=Deposits!$L$14,Deposits!$O$14,0)</f>
        <v>0</v>
      </c>
      <c r="BG35" s="261" t="n">
        <f aca="false">IF(BG$4=Deposits!$L$14,Deposits!$O$14,0)</f>
        <v>0</v>
      </c>
      <c r="BH35" s="261" t="n">
        <f aca="false">IF(BH$4=Deposits!$L$14,Deposits!$O$14,0)</f>
        <v>0</v>
      </c>
      <c r="BI35" s="261" t="n">
        <f aca="false">IF(BI$4=Deposits!$L$14,Deposits!$O$14,0)</f>
        <v>0</v>
      </c>
      <c r="BJ35" s="261" t="n">
        <f aca="false">IF(BJ$4=Deposits!$L$14,Deposits!$O$14,0)</f>
        <v>0</v>
      </c>
      <c r="BK35" s="261" t="n">
        <f aca="false">IF(BK$4=Deposits!$L$14,Deposits!$O$14,0)</f>
        <v>0</v>
      </c>
      <c r="BL35" s="261" t="n">
        <f aca="false">IF(BL$4=Deposits!$L$14,Deposits!$O$14,0)</f>
        <v>0</v>
      </c>
      <c r="BM35" s="261" t="n">
        <f aca="false">IF(BM$4=Deposits!$L$14,Deposits!$O$14,0)</f>
        <v>0</v>
      </c>
      <c r="BN35" s="261" t="n">
        <f aca="false">IF(BN$4=Deposits!$L$14,Deposits!$O$14,0)</f>
        <v>0</v>
      </c>
      <c r="BO35" s="261" t="n">
        <f aca="false">IF(BO$4=Deposits!$L$14,Deposits!$O$14,0)</f>
        <v>0</v>
      </c>
      <c r="BP35" s="261" t="n">
        <f aca="false">IF(BP$4=Deposits!$L$14,Deposits!$O$14,0)</f>
        <v>0</v>
      </c>
    </row>
    <row r="36" customFormat="false" ht="15" hidden="false" customHeight="false" outlineLevel="0" collapsed="false">
      <c r="C36" s="260" t="str">
        <f aca="false">Deposits!C15</f>
        <v>Kiegészítő biztosíték visszautalás építési engedély megszerzésekor</v>
      </c>
      <c r="D36" s="133" t="s">
        <v>125</v>
      </c>
      <c r="E36" s="158"/>
      <c r="F36" s="158"/>
      <c r="G36" s="158" t="n">
        <f aca="false">SUM(H36:BP36)</f>
        <v>0</v>
      </c>
      <c r="H36" s="261" t="n">
        <f aca="false">IF(H$4=Deposits!$L$15,Deposits!$O$15,0)</f>
        <v>0</v>
      </c>
      <c r="I36" s="261" t="n">
        <f aca="false">IF(I$4=Deposits!$L$15,Deposits!$O$15,0)</f>
        <v>0</v>
      </c>
      <c r="J36" s="261" t="n">
        <f aca="false">IF(J$4=Deposits!$L$15,Deposits!$O$15,0)</f>
        <v>0</v>
      </c>
      <c r="K36" s="261" t="n">
        <f aca="false">IF(K$4=Deposits!$L$15,Deposits!$O$15,0)</f>
        <v>0</v>
      </c>
      <c r="L36" s="261" t="n">
        <f aca="false">IF(L$4=Deposits!$L$15,Deposits!$O$15,0)</f>
        <v>0</v>
      </c>
      <c r="M36" s="261" t="n">
        <f aca="false">IF(M$4=Deposits!$L$15,Deposits!$O$15,0)</f>
        <v>0</v>
      </c>
      <c r="N36" s="261" t="n">
        <f aca="false">IF(N$4=Deposits!$L$15,Deposits!$O$15,0)</f>
        <v>0</v>
      </c>
      <c r="O36" s="261" t="n">
        <f aca="false">IF(O$4=Deposits!$L$15,Deposits!$O$15,0)</f>
        <v>0</v>
      </c>
      <c r="P36" s="261" t="n">
        <f aca="false">IF(P$4=Deposits!$L$15,Deposits!$O$15,0)</f>
        <v>0</v>
      </c>
      <c r="Q36" s="261" t="n">
        <f aca="false">IF(Q$4=Deposits!$L$15,Deposits!$O$15,0)</f>
        <v>0</v>
      </c>
      <c r="R36" s="261" t="n">
        <f aca="false">IF(R$4=Deposits!$L$15,Deposits!$O$15,0)</f>
        <v>0</v>
      </c>
      <c r="S36" s="261" t="n">
        <f aca="false">IF(S$4=Deposits!$L$15,Deposits!$O$15,0)</f>
        <v>0</v>
      </c>
      <c r="T36" s="261" t="n">
        <f aca="false">IF(T$4=Deposits!$L$15,Deposits!$O$15,0)</f>
        <v>0</v>
      </c>
      <c r="U36" s="261" t="n">
        <f aca="false">IF(U$4=Deposits!$L$15,Deposits!$O$15,0)</f>
        <v>0</v>
      </c>
      <c r="V36" s="261" t="n">
        <f aca="false">IF(V$4=Deposits!$L$15,Deposits!$O$15,0)</f>
        <v>0</v>
      </c>
      <c r="W36" s="261" t="n">
        <f aca="false">IF(W$4=Deposits!$L$15,Deposits!$O$15,0)</f>
        <v>0</v>
      </c>
      <c r="X36" s="261" t="n">
        <f aca="false">IF(X$4=Deposits!$L$15,Deposits!$O$15,0)</f>
        <v>0</v>
      </c>
      <c r="Y36" s="261" t="n">
        <f aca="false">IF(Y$4=Deposits!$L$15,Deposits!$O$15,0)</f>
        <v>0</v>
      </c>
      <c r="Z36" s="261" t="n">
        <f aca="false">IF(Z$4=Deposits!$L$15,Deposits!$O$15,0)</f>
        <v>0</v>
      </c>
      <c r="AA36" s="261" t="n">
        <f aca="false">IF(AA$4=Deposits!$L$15,Deposits!$O$15,0)</f>
        <v>0</v>
      </c>
      <c r="AB36" s="261" t="n">
        <f aca="false">IF(AB$4=Deposits!$L$15,Deposits!$O$15,0)</f>
        <v>0</v>
      </c>
      <c r="AC36" s="261" t="n">
        <f aca="false">IF(AC$4=Deposits!$L$15,Deposits!$O$15,0)</f>
        <v>0</v>
      </c>
      <c r="AD36" s="261" t="n">
        <f aca="false">IF(AD$4=Deposits!$L$15,Deposits!$O$15,0)</f>
        <v>0</v>
      </c>
      <c r="AE36" s="261" t="n">
        <f aca="false">IF(AE$4=Deposits!$L$15,Deposits!$O$15,0)</f>
        <v>0</v>
      </c>
      <c r="AF36" s="261" t="n">
        <f aca="false">IF(AF$4=Deposits!$L$15,Deposits!$O$15,0)</f>
        <v>0</v>
      </c>
      <c r="AG36" s="261" t="n">
        <f aca="false">IF(AG$4=Deposits!$L$15,Deposits!$O$15,0)</f>
        <v>0</v>
      </c>
      <c r="AH36" s="261" t="n">
        <f aca="false">IF(AH$4=Deposits!$L$15,Deposits!$O$15,0)</f>
        <v>0</v>
      </c>
      <c r="AI36" s="261" t="n">
        <f aca="false">IF(AI$4=Deposits!$L$15,Deposits!$O$15,0)</f>
        <v>0</v>
      </c>
      <c r="AJ36" s="261" t="n">
        <f aca="false">IF(AJ$4=Deposits!$L$15,Deposits!$O$15,0)</f>
        <v>0</v>
      </c>
      <c r="AK36" s="261" t="n">
        <f aca="false">IF(AK$4=Deposits!$L$15,Deposits!$O$15,0)</f>
        <v>0</v>
      </c>
      <c r="AL36" s="261" t="n">
        <f aca="false">IF(AL$4=Deposits!$L$15,Deposits!$O$15,0)</f>
        <v>0</v>
      </c>
      <c r="AM36" s="261" t="n">
        <f aca="false">IF(AM$4=Deposits!$L$15,Deposits!$O$15,0)</f>
        <v>0</v>
      </c>
      <c r="AN36" s="261" t="n">
        <f aca="false">IF(AN$4=Deposits!$L$15,Deposits!$O$15,0)</f>
        <v>0</v>
      </c>
      <c r="AO36" s="261" t="n">
        <f aca="false">IF(AO$4=Deposits!$L$15,Deposits!$O$15,0)</f>
        <v>0</v>
      </c>
      <c r="AP36" s="261" t="n">
        <f aca="false">IF(AP$4=Deposits!$L$15,Deposits!$O$15,0)</f>
        <v>0</v>
      </c>
      <c r="AQ36" s="261" t="n">
        <f aca="false">IF(AQ$4=Deposits!$L$15,Deposits!$O$15,0)</f>
        <v>0</v>
      </c>
      <c r="AR36" s="261" t="n">
        <f aca="false">IF(AR$4=Deposits!$L$15,Deposits!$O$15,0)</f>
        <v>0</v>
      </c>
      <c r="AS36" s="261" t="n">
        <f aca="false">IF(AS$4=Deposits!$L$15,Deposits!$O$15,0)</f>
        <v>0</v>
      </c>
      <c r="AT36" s="261" t="n">
        <f aca="false">IF(AT$4=Deposits!$L$15,Deposits!$O$15,0)</f>
        <v>0</v>
      </c>
      <c r="AU36" s="261" t="n">
        <f aca="false">IF(AU$4=Deposits!$L$15,Deposits!$O$15,0)</f>
        <v>0</v>
      </c>
      <c r="AV36" s="261" t="n">
        <f aca="false">IF(AV$4=Deposits!$L$15,Deposits!$O$15,0)</f>
        <v>0</v>
      </c>
      <c r="AW36" s="261" t="n">
        <f aca="false">IF(AW$4=Deposits!$L$15,Deposits!$O$15,0)</f>
        <v>0</v>
      </c>
      <c r="AX36" s="261" t="n">
        <f aca="false">IF(AX$4=Deposits!$L$15,Deposits!$O$15,0)</f>
        <v>0</v>
      </c>
      <c r="AY36" s="261" t="n">
        <f aca="false">IF(AY$4=Deposits!$L$15,Deposits!$O$15,0)</f>
        <v>0</v>
      </c>
      <c r="AZ36" s="261" t="n">
        <f aca="false">IF(AZ$4=Deposits!$L$15,Deposits!$O$15,0)</f>
        <v>0</v>
      </c>
      <c r="BA36" s="261" t="n">
        <f aca="false">IF(BA$4=Deposits!$L$15,Deposits!$O$15,0)</f>
        <v>0</v>
      </c>
      <c r="BB36" s="261" t="n">
        <f aca="false">IF(BB$4=Deposits!$L$15,Deposits!$O$15,0)</f>
        <v>0</v>
      </c>
      <c r="BC36" s="261" t="n">
        <f aca="false">IF(BC$4=Deposits!$L$15,Deposits!$O$15,0)</f>
        <v>0</v>
      </c>
      <c r="BD36" s="261" t="n">
        <f aca="false">IF(BD$4=Deposits!$L$15,Deposits!$O$15,0)</f>
        <v>0</v>
      </c>
      <c r="BE36" s="261" t="n">
        <f aca="false">IF(BE$4=Deposits!$L$15,Deposits!$O$15,0)</f>
        <v>0</v>
      </c>
      <c r="BF36" s="261" t="n">
        <f aca="false">IF(BF$4=Deposits!$L$15,Deposits!$O$15,0)</f>
        <v>0</v>
      </c>
      <c r="BG36" s="261" t="n">
        <f aca="false">IF(BG$4=Deposits!$L$15,Deposits!$O$15,0)</f>
        <v>0</v>
      </c>
      <c r="BH36" s="261" t="n">
        <f aca="false">IF(BH$4=Deposits!$L$15,Deposits!$O$15,0)</f>
        <v>0</v>
      </c>
      <c r="BI36" s="261" t="n">
        <f aca="false">IF(BI$4=Deposits!$L$15,Deposits!$O$15,0)</f>
        <v>0</v>
      </c>
      <c r="BJ36" s="261" t="n">
        <f aca="false">IF(BJ$4=Deposits!$L$15,Deposits!$O$15,0)</f>
        <v>0</v>
      </c>
      <c r="BK36" s="261" t="n">
        <f aca="false">IF(BK$4=Deposits!$L$15,Deposits!$O$15,0)</f>
        <v>0</v>
      </c>
      <c r="BL36" s="261" t="n">
        <f aca="false">IF(BL$4=Deposits!$L$15,Deposits!$O$15,0)</f>
        <v>0</v>
      </c>
      <c r="BM36" s="261" t="n">
        <f aca="false">IF(BM$4=Deposits!$L$15,Deposits!$O$15,0)</f>
        <v>0</v>
      </c>
      <c r="BN36" s="261" t="n">
        <f aca="false">IF(BN$4=Deposits!$L$15,Deposits!$O$15,0)</f>
        <v>0</v>
      </c>
      <c r="BO36" s="261" t="n">
        <f aca="false">IF(BO$4=Deposits!$L$15,Deposits!$O$15,0)</f>
        <v>0</v>
      </c>
      <c r="BP36" s="261" t="n">
        <f aca="false">IF(BP$4=Deposits!$L$15,Deposits!$O$15,0)</f>
        <v>0</v>
      </c>
    </row>
    <row r="37" customFormat="false" ht="15" hidden="false" customHeight="false" outlineLevel="0" collapsed="false">
      <c r="C37" s="260" t="str">
        <f aca="false">Deposits!C16</f>
        <v>Kiegészítő biztosíték 3. részlet</v>
      </c>
      <c r="D37" s="133" t="s">
        <v>125</v>
      </c>
      <c r="E37" s="158"/>
      <c r="F37" s="158"/>
      <c r="G37" s="158" t="n">
        <f aca="false">SUM(H37:BP37)</f>
        <v>0</v>
      </c>
      <c r="H37" s="261" t="n">
        <f aca="false">IF(H$4=Deposits!$L$16,Deposits!$O$16,0)</f>
        <v>0</v>
      </c>
      <c r="I37" s="261" t="n">
        <f aca="false">IF(I$4=Deposits!$L$16,Deposits!$O$16,0)</f>
        <v>0</v>
      </c>
      <c r="J37" s="261" t="n">
        <f aca="false">IF(J$4=Deposits!$L$16,Deposits!$O$16,0)</f>
        <v>0</v>
      </c>
      <c r="K37" s="261" t="n">
        <f aca="false">IF(K$4=Deposits!$L$16,Deposits!$O$16,0)</f>
        <v>0</v>
      </c>
      <c r="L37" s="261" t="n">
        <f aca="false">IF(L$4=Deposits!$L$16,Deposits!$O$16,0)</f>
        <v>0</v>
      </c>
      <c r="M37" s="261" t="n">
        <f aca="false">IF(M$4=Deposits!$L$16,Deposits!$O$16,0)</f>
        <v>0</v>
      </c>
      <c r="N37" s="261" t="n">
        <f aca="false">IF(N$4=Deposits!$L$16,Deposits!$O$16,0)</f>
        <v>0</v>
      </c>
      <c r="O37" s="261" t="n">
        <f aca="false">IF(O$4=Deposits!$L$16,Deposits!$O$16,0)</f>
        <v>0</v>
      </c>
      <c r="P37" s="261" t="n">
        <f aca="false">IF(P$4=Deposits!$L$16,Deposits!$O$16,0)</f>
        <v>0</v>
      </c>
      <c r="Q37" s="261" t="n">
        <f aca="false">IF(Q$4=Deposits!$L$16,Deposits!$O$16,0)</f>
        <v>0</v>
      </c>
      <c r="R37" s="261" t="n">
        <f aca="false">IF(R$4=Deposits!$L$16,Deposits!$O$16,0)</f>
        <v>0</v>
      </c>
      <c r="S37" s="261" t="n">
        <f aca="false">IF(S$4=Deposits!$L$16,Deposits!$O$16,0)</f>
        <v>0</v>
      </c>
      <c r="T37" s="261" t="n">
        <f aca="false">IF(T$4=Deposits!$L$16,Deposits!$O$16,0)</f>
        <v>0</v>
      </c>
      <c r="U37" s="261" t="n">
        <f aca="false">IF(U$4=Deposits!$L$16,Deposits!$O$16,0)</f>
        <v>0</v>
      </c>
      <c r="V37" s="261" t="n">
        <f aca="false">IF(V$4=Deposits!$L$16,Deposits!$O$16,0)</f>
        <v>0</v>
      </c>
      <c r="W37" s="261" t="n">
        <f aca="false">IF(W$4=Deposits!$L$16,Deposits!$O$16,0)</f>
        <v>0</v>
      </c>
      <c r="X37" s="261" t="n">
        <f aca="false">IF(X$4=Deposits!$L$16,Deposits!$O$16,0)</f>
        <v>0</v>
      </c>
      <c r="Y37" s="261" t="n">
        <f aca="false">IF(Y$4=Deposits!$L$16,Deposits!$O$16,0)</f>
        <v>0</v>
      </c>
      <c r="Z37" s="261" t="n">
        <f aca="false">IF(Z$4=Deposits!$L$16,Deposits!$O$16,0)</f>
        <v>0</v>
      </c>
      <c r="AA37" s="261" t="n">
        <f aca="false">IF(AA$4=Deposits!$L$16,Deposits!$O$16,0)</f>
        <v>0</v>
      </c>
      <c r="AB37" s="261" t="n">
        <f aca="false">IF(AB$4=Deposits!$L$16,Deposits!$O$16,0)</f>
        <v>0</v>
      </c>
      <c r="AC37" s="261" t="n">
        <f aca="false">IF(AC$4=Deposits!$L$16,Deposits!$O$16,0)</f>
        <v>0</v>
      </c>
      <c r="AD37" s="261" t="n">
        <f aca="false">IF(AD$4=Deposits!$L$16,Deposits!$O$16,0)</f>
        <v>0</v>
      </c>
      <c r="AE37" s="261" t="n">
        <f aca="false">IF(AE$4=Deposits!$L$16,Deposits!$O$16,0)</f>
        <v>0</v>
      </c>
      <c r="AF37" s="261" t="n">
        <f aca="false">IF(AF$4=Deposits!$L$16,Deposits!$O$16,0)</f>
        <v>0</v>
      </c>
      <c r="AG37" s="261" t="n">
        <f aca="false">IF(AG$4=Deposits!$L$16,Deposits!$O$16,0)</f>
        <v>0</v>
      </c>
      <c r="AH37" s="261" t="n">
        <f aca="false">IF(AH$4=Deposits!$L$16,Deposits!$O$16,0)</f>
        <v>0</v>
      </c>
      <c r="AI37" s="261" t="n">
        <f aca="false">IF(AI$4=Deposits!$L$16,Deposits!$O$16,0)</f>
        <v>0</v>
      </c>
      <c r="AJ37" s="261" t="n">
        <f aca="false">IF(AJ$4=Deposits!$L$16,Deposits!$O$16,0)</f>
        <v>0</v>
      </c>
      <c r="AK37" s="261" t="n">
        <f aca="false">IF(AK$4=Deposits!$L$16,Deposits!$O$16,0)</f>
        <v>0</v>
      </c>
      <c r="AL37" s="261" t="n">
        <f aca="false">IF(AL$4=Deposits!$L$16,Deposits!$O$16,0)</f>
        <v>0</v>
      </c>
      <c r="AM37" s="261" t="n">
        <f aca="false">IF(AM$4=Deposits!$L$16,Deposits!$O$16,0)</f>
        <v>0</v>
      </c>
      <c r="AN37" s="261" t="n">
        <f aca="false">IF(AN$4=Deposits!$L$16,Deposits!$O$16,0)</f>
        <v>0</v>
      </c>
      <c r="AO37" s="261" t="n">
        <f aca="false">IF(AO$4=Deposits!$L$16,Deposits!$O$16,0)</f>
        <v>0</v>
      </c>
      <c r="AP37" s="261" t="n">
        <f aca="false">IF(AP$4=Deposits!$L$16,Deposits!$O$16,0)</f>
        <v>0</v>
      </c>
      <c r="AQ37" s="261" t="n">
        <f aca="false">IF(AQ$4=Deposits!$L$16,Deposits!$O$16,0)</f>
        <v>0</v>
      </c>
      <c r="AR37" s="261" t="n">
        <f aca="false">IF(AR$4=Deposits!$L$16,Deposits!$O$16,0)</f>
        <v>0</v>
      </c>
      <c r="AS37" s="261" t="n">
        <f aca="false">IF(AS$4=Deposits!$L$16,Deposits!$O$16,0)</f>
        <v>0</v>
      </c>
      <c r="AT37" s="261" t="n">
        <f aca="false">IF(AT$4=Deposits!$L$16,Deposits!$O$16,0)</f>
        <v>0</v>
      </c>
      <c r="AU37" s="261" t="n">
        <f aca="false">IF(AU$4=Deposits!$L$16,Deposits!$O$16,0)</f>
        <v>0</v>
      </c>
      <c r="AV37" s="261" t="n">
        <f aca="false">IF(AV$4=Deposits!$L$16,Deposits!$O$16,0)</f>
        <v>0</v>
      </c>
      <c r="AW37" s="261" t="n">
        <f aca="false">IF(AW$4=Deposits!$L$16,Deposits!$O$16,0)</f>
        <v>0</v>
      </c>
      <c r="AX37" s="261" t="n">
        <f aca="false">IF(AX$4=Deposits!$L$16,Deposits!$O$16,0)</f>
        <v>0</v>
      </c>
      <c r="AY37" s="261" t="n">
        <f aca="false">IF(AY$4=Deposits!$L$16,Deposits!$O$16,0)</f>
        <v>0</v>
      </c>
      <c r="AZ37" s="261" t="n">
        <f aca="false">IF(AZ$4=Deposits!$L$16,Deposits!$O$16,0)</f>
        <v>0</v>
      </c>
      <c r="BA37" s="261" t="n">
        <f aca="false">IF(BA$4=Deposits!$L$16,Deposits!$O$16,0)</f>
        <v>0</v>
      </c>
      <c r="BB37" s="261" t="n">
        <f aca="false">IF(BB$4=Deposits!$L$16,Deposits!$O$16,0)</f>
        <v>0</v>
      </c>
      <c r="BC37" s="261" t="n">
        <f aca="false">IF(BC$4=Deposits!$L$16,Deposits!$O$16,0)</f>
        <v>0</v>
      </c>
      <c r="BD37" s="261" t="n">
        <f aca="false">IF(BD$4=Deposits!$L$16,Deposits!$O$16,0)</f>
        <v>0</v>
      </c>
      <c r="BE37" s="261" t="n">
        <f aca="false">IF(BE$4=Deposits!$L$16,Deposits!$O$16,0)</f>
        <v>0</v>
      </c>
      <c r="BF37" s="261" t="n">
        <f aca="false">IF(BF$4=Deposits!$L$16,Deposits!$O$16,0)</f>
        <v>0</v>
      </c>
      <c r="BG37" s="261" t="n">
        <f aca="false">IF(BG$4=Deposits!$L$16,Deposits!$O$16,0)</f>
        <v>0</v>
      </c>
      <c r="BH37" s="261" t="n">
        <f aca="false">IF(BH$4=Deposits!$L$16,Deposits!$O$16,0)</f>
        <v>0</v>
      </c>
      <c r="BI37" s="261" t="n">
        <f aca="false">IF(BI$4=Deposits!$L$16,Deposits!$O$16,0)</f>
        <v>0</v>
      </c>
      <c r="BJ37" s="261" t="n">
        <f aca="false">IF(BJ$4=Deposits!$L$16,Deposits!$O$16,0)</f>
        <v>0</v>
      </c>
      <c r="BK37" s="261" t="n">
        <f aca="false">IF(BK$4=Deposits!$L$16,Deposits!$O$16,0)</f>
        <v>0</v>
      </c>
      <c r="BL37" s="261" t="n">
        <f aca="false">IF(BL$4=Deposits!$L$16,Deposits!$O$16,0)</f>
        <v>0</v>
      </c>
      <c r="BM37" s="261" t="n">
        <f aca="false">IF(BM$4=Deposits!$L$16,Deposits!$O$16,0)</f>
        <v>0</v>
      </c>
      <c r="BN37" s="261" t="n">
        <f aca="false">IF(BN$4=Deposits!$L$16,Deposits!$O$16,0)</f>
        <v>0</v>
      </c>
      <c r="BO37" s="261" t="n">
        <f aca="false">IF(BO$4=Deposits!$L$16,Deposits!$O$16,0)</f>
        <v>0</v>
      </c>
      <c r="BP37" s="261" t="n">
        <f aca="false">IF(BP$4=Deposits!$L$16,Deposits!$O$16,0)</f>
        <v>0</v>
      </c>
    </row>
    <row r="38" customFormat="false" ht="15" hidden="false" customHeight="false" outlineLevel="0" collapsed="false">
      <c r="C38" s="260" t="str">
        <f aca="false">Deposits!C17</f>
        <v>Kiegészítő biztosíték 4. részlet</v>
      </c>
      <c r="D38" s="133" t="s">
        <v>125</v>
      </c>
      <c r="E38" s="158"/>
      <c r="F38" s="158"/>
      <c r="G38" s="158" t="n">
        <f aca="false">SUM(H38:BP38)</f>
        <v>0</v>
      </c>
      <c r="H38" s="261" t="n">
        <f aca="false">IF(H$4=Deposits!$L$17,Deposits!$O$17,0)</f>
        <v>0</v>
      </c>
      <c r="I38" s="261" t="n">
        <f aca="false">IF(I$4=Deposits!$L$17,Deposits!$O$17,0)</f>
        <v>0</v>
      </c>
      <c r="J38" s="261" t="n">
        <f aca="false">IF(J$4=Deposits!$L$17,Deposits!$O$17,0)</f>
        <v>0</v>
      </c>
      <c r="K38" s="261" t="n">
        <f aca="false">IF(K$4=Deposits!$L$17,Deposits!$O$17,0)</f>
        <v>0</v>
      </c>
      <c r="L38" s="261" t="n">
        <f aca="false">IF(L$4=Deposits!$L$17,Deposits!$O$17,0)</f>
        <v>0</v>
      </c>
      <c r="M38" s="261" t="n">
        <f aca="false">IF(M$4=Deposits!$L$17,Deposits!$O$17,0)</f>
        <v>0</v>
      </c>
      <c r="N38" s="261" t="n">
        <f aca="false">IF(N$4=Deposits!$L$17,Deposits!$O$17,0)</f>
        <v>0</v>
      </c>
      <c r="O38" s="261" t="n">
        <f aca="false">IF(O$4=Deposits!$L$17,Deposits!$O$17,0)</f>
        <v>0</v>
      </c>
      <c r="P38" s="261" t="n">
        <f aca="false">IF(P$4=Deposits!$L$17,Deposits!$O$17,0)</f>
        <v>0</v>
      </c>
      <c r="Q38" s="261" t="n">
        <f aca="false">IF(Q$4=Deposits!$L$17,Deposits!$O$17,0)</f>
        <v>0</v>
      </c>
      <c r="R38" s="261" t="n">
        <f aca="false">IF(R$4=Deposits!$L$17,Deposits!$O$17,0)</f>
        <v>0</v>
      </c>
      <c r="S38" s="261" t="n">
        <f aca="false">IF(S$4=Deposits!$L$17,Deposits!$O$17,0)</f>
        <v>0</v>
      </c>
      <c r="T38" s="261" t="n">
        <f aca="false">IF(T$4=Deposits!$L$17,Deposits!$O$17,0)</f>
        <v>0</v>
      </c>
      <c r="U38" s="261" t="n">
        <f aca="false">IF(U$4=Deposits!$L$17,Deposits!$O$17,0)</f>
        <v>0</v>
      </c>
      <c r="V38" s="261" t="n">
        <f aca="false">IF(V$4=Deposits!$L$17,Deposits!$O$17,0)</f>
        <v>0</v>
      </c>
      <c r="W38" s="261" t="n">
        <f aca="false">IF(W$4=Deposits!$L$17,Deposits!$O$17,0)</f>
        <v>0</v>
      </c>
      <c r="X38" s="261" t="n">
        <f aca="false">IF(X$4=Deposits!$L$17,Deposits!$O$17,0)</f>
        <v>0</v>
      </c>
      <c r="Y38" s="261" t="n">
        <f aca="false">IF(Y$4=Deposits!$L$17,Deposits!$O$17,0)</f>
        <v>0</v>
      </c>
      <c r="Z38" s="261" t="n">
        <f aca="false">IF(Z$4=Deposits!$L$17,Deposits!$O$17,0)</f>
        <v>0</v>
      </c>
      <c r="AA38" s="261" t="n">
        <f aca="false">IF(AA$4=Deposits!$L$17,Deposits!$O$17,0)</f>
        <v>0</v>
      </c>
      <c r="AB38" s="261" t="n">
        <f aca="false">IF(AB$4=Deposits!$L$17,Deposits!$O$17,0)</f>
        <v>0</v>
      </c>
      <c r="AC38" s="261" t="n">
        <f aca="false">IF(AC$4=Deposits!$L$17,Deposits!$O$17,0)</f>
        <v>0</v>
      </c>
      <c r="AD38" s="261" t="n">
        <f aca="false">IF(AD$4=Deposits!$L$17,Deposits!$O$17,0)</f>
        <v>0</v>
      </c>
      <c r="AE38" s="261" t="n">
        <f aca="false">IF(AE$4=Deposits!$L$17,Deposits!$O$17,0)</f>
        <v>0</v>
      </c>
      <c r="AF38" s="261" t="n">
        <f aca="false">IF(AF$4=Deposits!$L$17,Deposits!$O$17,0)</f>
        <v>0</v>
      </c>
      <c r="AG38" s="261" t="n">
        <f aca="false">IF(AG$4=Deposits!$L$17,Deposits!$O$17,0)</f>
        <v>0</v>
      </c>
      <c r="AH38" s="261" t="n">
        <f aca="false">IF(AH$4=Deposits!$L$17,Deposits!$O$17,0)</f>
        <v>0</v>
      </c>
      <c r="AI38" s="261" t="n">
        <f aca="false">IF(AI$4=Deposits!$L$17,Deposits!$O$17,0)</f>
        <v>0</v>
      </c>
      <c r="AJ38" s="261" t="n">
        <f aca="false">IF(AJ$4=Deposits!$L$17,Deposits!$O$17,0)</f>
        <v>0</v>
      </c>
      <c r="AK38" s="261" t="n">
        <f aca="false">IF(AK$4=Deposits!$L$17,Deposits!$O$17,0)</f>
        <v>0</v>
      </c>
      <c r="AL38" s="261" t="n">
        <f aca="false">IF(AL$4=Deposits!$L$17,Deposits!$O$17,0)</f>
        <v>0</v>
      </c>
      <c r="AM38" s="261" t="n">
        <f aca="false">IF(AM$4=Deposits!$L$17,Deposits!$O$17,0)</f>
        <v>0</v>
      </c>
      <c r="AN38" s="261" t="n">
        <f aca="false">IF(AN$4=Deposits!$L$17,Deposits!$O$17,0)</f>
        <v>0</v>
      </c>
      <c r="AO38" s="261" t="n">
        <f aca="false">IF(AO$4=Deposits!$L$17,Deposits!$O$17,0)</f>
        <v>0</v>
      </c>
      <c r="AP38" s="261" t="n">
        <f aca="false">IF(AP$4=Deposits!$L$17,Deposits!$O$17,0)</f>
        <v>0</v>
      </c>
      <c r="AQ38" s="261" t="n">
        <f aca="false">IF(AQ$4=Deposits!$L$17,Deposits!$O$17,0)</f>
        <v>0</v>
      </c>
      <c r="AR38" s="261" t="n">
        <f aca="false">IF(AR$4=Deposits!$L$17,Deposits!$O$17,0)</f>
        <v>0</v>
      </c>
      <c r="AS38" s="261" t="n">
        <f aca="false">IF(AS$4=Deposits!$L$17,Deposits!$O$17,0)</f>
        <v>0</v>
      </c>
      <c r="AT38" s="261" t="n">
        <f aca="false">IF(AT$4=Deposits!$L$17,Deposits!$O$17,0)</f>
        <v>0</v>
      </c>
      <c r="AU38" s="261" t="n">
        <f aca="false">IF(AU$4=Deposits!$L$17,Deposits!$O$17,0)</f>
        <v>0</v>
      </c>
      <c r="AV38" s="261" t="n">
        <f aca="false">IF(AV$4=Deposits!$L$17,Deposits!$O$17,0)</f>
        <v>0</v>
      </c>
      <c r="AW38" s="261" t="n">
        <f aca="false">IF(AW$4=Deposits!$L$17,Deposits!$O$17,0)</f>
        <v>0</v>
      </c>
      <c r="AX38" s="261" t="n">
        <f aca="false">IF(AX$4=Deposits!$L$17,Deposits!$O$17,0)</f>
        <v>0</v>
      </c>
      <c r="AY38" s="261" t="n">
        <f aca="false">IF(AY$4=Deposits!$L$17,Deposits!$O$17,0)</f>
        <v>0</v>
      </c>
      <c r="AZ38" s="261" t="n">
        <f aca="false">IF(AZ$4=Deposits!$L$17,Deposits!$O$17,0)</f>
        <v>0</v>
      </c>
      <c r="BA38" s="261" t="n">
        <f aca="false">IF(BA$4=Deposits!$L$17,Deposits!$O$17,0)</f>
        <v>0</v>
      </c>
      <c r="BB38" s="261" t="n">
        <f aca="false">IF(BB$4=Deposits!$L$17,Deposits!$O$17,0)</f>
        <v>0</v>
      </c>
      <c r="BC38" s="261" t="n">
        <f aca="false">IF(BC$4=Deposits!$L$17,Deposits!$O$17,0)</f>
        <v>0</v>
      </c>
      <c r="BD38" s="261" t="n">
        <f aca="false">IF(BD$4=Deposits!$L$17,Deposits!$O$17,0)</f>
        <v>0</v>
      </c>
      <c r="BE38" s="261" t="n">
        <f aca="false">IF(BE$4=Deposits!$L$17,Deposits!$O$17,0)</f>
        <v>0</v>
      </c>
      <c r="BF38" s="261" t="n">
        <f aca="false">IF(BF$4=Deposits!$L$17,Deposits!$O$17,0)</f>
        <v>0</v>
      </c>
      <c r="BG38" s="261" t="n">
        <f aca="false">IF(BG$4=Deposits!$L$17,Deposits!$O$17,0)</f>
        <v>0</v>
      </c>
      <c r="BH38" s="261" t="n">
        <f aca="false">IF(BH$4=Deposits!$L$17,Deposits!$O$17,0)</f>
        <v>0</v>
      </c>
      <c r="BI38" s="261" t="n">
        <f aca="false">IF(BI$4=Deposits!$L$17,Deposits!$O$17,0)</f>
        <v>0</v>
      </c>
      <c r="BJ38" s="261" t="n">
        <f aca="false">IF(BJ$4=Deposits!$L$17,Deposits!$O$17,0)</f>
        <v>0</v>
      </c>
      <c r="BK38" s="261" t="n">
        <f aca="false">IF(BK$4=Deposits!$L$17,Deposits!$O$17,0)</f>
        <v>0</v>
      </c>
      <c r="BL38" s="261" t="n">
        <f aca="false">IF(BL$4=Deposits!$L$17,Deposits!$O$17,0)</f>
        <v>0</v>
      </c>
      <c r="BM38" s="261" t="n">
        <f aca="false">IF(BM$4=Deposits!$L$17,Deposits!$O$17,0)</f>
        <v>0</v>
      </c>
      <c r="BN38" s="261" t="n">
        <f aca="false">IF(BN$4=Deposits!$L$17,Deposits!$O$17,0)</f>
        <v>0</v>
      </c>
      <c r="BO38" s="261" t="n">
        <f aca="false">IF(BO$4=Deposits!$L$17,Deposits!$O$17,0)</f>
        <v>0</v>
      </c>
      <c r="BP38" s="261" t="n">
        <f aca="false">IF(BP$4=Deposits!$L$17,Deposits!$O$17,0)</f>
        <v>0</v>
      </c>
    </row>
    <row r="39" customFormat="false" ht="15" hidden="false" customHeight="false" outlineLevel="0" collapsed="false">
      <c r="C39" s="260" t="str">
        <f aca="false">Deposits!C18</f>
        <v>Csatlakozási díj – becsült összeg</v>
      </c>
      <c r="D39" s="133" t="s">
        <v>125</v>
      </c>
      <c r="E39" s="158"/>
      <c r="F39" s="158"/>
      <c r="G39" s="158" t="n">
        <f aca="false">SUM(H39:BP39)</f>
        <v>18786.6591780822</v>
      </c>
      <c r="H39" s="261" t="n">
        <f aca="false">IF(H$4=Deposits!$L$18,Deposits!$O$18,0)</f>
        <v>0</v>
      </c>
      <c r="I39" s="261" t="n">
        <f aca="false">IF(I$4=Deposits!$L$18,Deposits!$O$18,0)</f>
        <v>0</v>
      </c>
      <c r="J39" s="261" t="n">
        <f aca="false">IF(J$4=Deposits!$L$18,Deposits!$O$18,0)</f>
        <v>0</v>
      </c>
      <c r="K39" s="261" t="n">
        <f aca="false">IF(K$4=Deposits!$L$18,Deposits!$O$18,0)</f>
        <v>0</v>
      </c>
      <c r="L39" s="261" t="n">
        <f aca="false">IF(L$4=Deposits!$L$18,Deposits!$O$18,0)</f>
        <v>0</v>
      </c>
      <c r="M39" s="261" t="n">
        <f aca="false">IF(M$4=Deposits!$L$18,Deposits!$O$18,0)</f>
        <v>0</v>
      </c>
      <c r="N39" s="261" t="n">
        <f aca="false">IF(N$4=Deposits!$L$18,Deposits!$O$18,0)</f>
        <v>0</v>
      </c>
      <c r="O39" s="261" t="n">
        <f aca="false">IF(O$4=Deposits!$L$18,Deposits!$O$18,0)</f>
        <v>0</v>
      </c>
      <c r="P39" s="261" t="n">
        <f aca="false">IF(P$4=Deposits!$L$18,Deposits!$O$18,0)</f>
        <v>0</v>
      </c>
      <c r="Q39" s="261" t="n">
        <f aca="false">IF(Q$4=Deposits!$L$18,Deposits!$O$18,0)</f>
        <v>0</v>
      </c>
      <c r="R39" s="261" t="n">
        <f aca="false">IF(R$4=Deposits!$L$18,Deposits!$O$18,0)</f>
        <v>0</v>
      </c>
      <c r="S39" s="261" t="n">
        <f aca="false">IF(S$4=Deposits!$L$18,Deposits!$O$18,0)</f>
        <v>0</v>
      </c>
      <c r="T39" s="261" t="n">
        <f aca="false">IF(T$4=Deposits!$L$18,Deposits!$O$18,0)</f>
        <v>0</v>
      </c>
      <c r="U39" s="261" t="n">
        <f aca="false">IF(U$4=Deposits!$L$18,Deposits!$O$18,0)</f>
        <v>0</v>
      </c>
      <c r="V39" s="261" t="n">
        <f aca="false">IF(V$4=Deposits!$L$18,Deposits!$O$18,0)</f>
        <v>0</v>
      </c>
      <c r="W39" s="261" t="n">
        <f aca="false">IF(W$4=Deposits!$L$18,Deposits!$O$18,0)</f>
        <v>0</v>
      </c>
      <c r="X39" s="261" t="n">
        <f aca="false">IF(X$4=Deposits!$L$18,Deposits!$O$18,0)</f>
        <v>0</v>
      </c>
      <c r="Y39" s="261" t="n">
        <f aca="false">IF(Y$4=Deposits!$L$18,Deposits!$O$18,0)</f>
        <v>0</v>
      </c>
      <c r="Z39" s="261" t="n">
        <f aca="false">IF(Z$4=Deposits!$L$18,Deposits!$O$18,0)</f>
        <v>0</v>
      </c>
      <c r="AA39" s="261" t="n">
        <f aca="false">IF(AA$4=Deposits!$L$18,Deposits!$O$18,0)</f>
        <v>0</v>
      </c>
      <c r="AB39" s="261" t="n">
        <f aca="false">IF(AB$4=Deposits!$L$18,Deposits!$O$18,0)</f>
        <v>0</v>
      </c>
      <c r="AC39" s="261" t="n">
        <f aca="false">IF(AC$4=Deposits!$L$18,Deposits!$O$18,0)</f>
        <v>0</v>
      </c>
      <c r="AD39" s="261" t="n">
        <f aca="false">IF(AD$4=Deposits!$L$18,Deposits!$O$18,0)</f>
        <v>0</v>
      </c>
      <c r="AE39" s="261" t="n">
        <f aca="false">IF(AE$4=Deposits!$L$18,Deposits!$O$18,0)</f>
        <v>0</v>
      </c>
      <c r="AF39" s="261" t="n">
        <f aca="false">IF(AF$4=Deposits!$L$18,Deposits!$O$18,0)</f>
        <v>0</v>
      </c>
      <c r="AG39" s="261" t="n">
        <f aca="false">IF(AG$4=Deposits!$L$18,Deposits!$O$18,0)</f>
        <v>0</v>
      </c>
      <c r="AH39" s="261" t="n">
        <f aca="false">IF(AH$4=Deposits!$L$18,Deposits!$O$18,0)</f>
        <v>0</v>
      </c>
      <c r="AI39" s="261" t="n">
        <f aca="false">IF(AI$4=Deposits!$L$18,Deposits!$O$18,0)</f>
        <v>0</v>
      </c>
      <c r="AJ39" s="261" t="n">
        <f aca="false">IF(AJ$4=Deposits!$L$18,Deposits!$O$18,0)</f>
        <v>0</v>
      </c>
      <c r="AK39" s="261" t="n">
        <f aca="false">IF(AK$4=Deposits!$L$18,Deposits!$O$18,0)</f>
        <v>0</v>
      </c>
      <c r="AL39" s="261" t="n">
        <f aca="false">IF(AL$4=Deposits!$L$18,Deposits!$O$18,0)</f>
        <v>18786.6591780822</v>
      </c>
      <c r="AM39" s="261" t="n">
        <f aca="false">IF(AM$4=Deposits!$L$18,Deposits!$O$18,0)</f>
        <v>0</v>
      </c>
      <c r="AN39" s="261" t="n">
        <f aca="false">IF(AN$4=Deposits!$L$18,Deposits!$O$18,0)</f>
        <v>0</v>
      </c>
      <c r="AO39" s="261" t="n">
        <f aca="false">IF(AO$4=Deposits!$L$18,Deposits!$O$18,0)</f>
        <v>0</v>
      </c>
      <c r="AP39" s="261" t="n">
        <f aca="false">IF(AP$4=Deposits!$L$18,Deposits!$O$18,0)</f>
        <v>0</v>
      </c>
      <c r="AQ39" s="261" t="n">
        <f aca="false">IF(AQ$4=Deposits!$L$18,Deposits!$O$18,0)</f>
        <v>0</v>
      </c>
      <c r="AR39" s="261" t="n">
        <f aca="false">IF(AR$4=Deposits!$L$18,Deposits!$O$18,0)</f>
        <v>0</v>
      </c>
      <c r="AS39" s="261" t="n">
        <f aca="false">IF(AS$4=Deposits!$L$18,Deposits!$O$18,0)</f>
        <v>0</v>
      </c>
      <c r="AT39" s="261" t="n">
        <f aca="false">IF(AT$4=Deposits!$L$18,Deposits!$O$18,0)</f>
        <v>0</v>
      </c>
      <c r="AU39" s="261" t="n">
        <f aca="false">IF(AU$4=Deposits!$L$18,Deposits!$O$18,0)</f>
        <v>0</v>
      </c>
      <c r="AV39" s="261" t="n">
        <f aca="false">IF(AV$4=Deposits!$L$18,Deposits!$O$18,0)</f>
        <v>0</v>
      </c>
      <c r="AW39" s="261" t="n">
        <f aca="false">IF(AW$4=Deposits!$L$18,Deposits!$O$18,0)</f>
        <v>0</v>
      </c>
      <c r="AX39" s="261" t="n">
        <f aca="false">IF(AX$4=Deposits!$L$18,Deposits!$O$18,0)</f>
        <v>0</v>
      </c>
      <c r="AY39" s="261" t="n">
        <f aca="false">IF(AY$4=Deposits!$L$18,Deposits!$O$18,0)</f>
        <v>0</v>
      </c>
      <c r="AZ39" s="261" t="n">
        <f aca="false">IF(AZ$4=Deposits!$L$18,Deposits!$O$18,0)</f>
        <v>0</v>
      </c>
      <c r="BA39" s="261" t="n">
        <f aca="false">IF(BA$4=Deposits!$L$18,Deposits!$O$18,0)</f>
        <v>0</v>
      </c>
      <c r="BB39" s="261" t="n">
        <f aca="false">IF(BB$4=Deposits!$L$18,Deposits!$O$18,0)</f>
        <v>0</v>
      </c>
      <c r="BC39" s="261" t="n">
        <f aca="false">IF(BC$4=Deposits!$L$18,Deposits!$O$18,0)</f>
        <v>0</v>
      </c>
      <c r="BD39" s="261" t="n">
        <f aca="false">IF(BD$4=Deposits!$L$18,Deposits!$O$18,0)</f>
        <v>0</v>
      </c>
      <c r="BE39" s="261" t="n">
        <f aca="false">IF(BE$4=Deposits!$L$18,Deposits!$O$18,0)</f>
        <v>0</v>
      </c>
      <c r="BF39" s="261" t="n">
        <f aca="false">IF(BF$4=Deposits!$L$18,Deposits!$O$18,0)</f>
        <v>0</v>
      </c>
      <c r="BG39" s="261" t="n">
        <f aca="false">IF(BG$4=Deposits!$L$18,Deposits!$O$18,0)</f>
        <v>0</v>
      </c>
      <c r="BH39" s="261" t="n">
        <f aca="false">IF(BH$4=Deposits!$L$18,Deposits!$O$18,0)</f>
        <v>0</v>
      </c>
      <c r="BI39" s="261" t="n">
        <f aca="false">IF(BI$4=Deposits!$L$18,Deposits!$O$18,0)</f>
        <v>0</v>
      </c>
      <c r="BJ39" s="261" t="n">
        <f aca="false">IF(BJ$4=Deposits!$L$18,Deposits!$O$18,0)</f>
        <v>0</v>
      </c>
      <c r="BK39" s="261" t="n">
        <f aca="false">IF(BK$4=Deposits!$L$18,Deposits!$O$18,0)</f>
        <v>0</v>
      </c>
      <c r="BL39" s="261" t="n">
        <f aca="false">IF(BL$4=Deposits!$L$18,Deposits!$O$18,0)</f>
        <v>0</v>
      </c>
      <c r="BM39" s="261" t="n">
        <f aca="false">IF(BM$4=Deposits!$L$18,Deposits!$O$18,0)</f>
        <v>0</v>
      </c>
      <c r="BN39" s="261" t="n">
        <f aca="false">IF(BN$4=Deposits!$L$18,Deposits!$O$18,0)</f>
        <v>0</v>
      </c>
      <c r="BO39" s="261" t="n">
        <f aca="false">IF(BO$4=Deposits!$L$18,Deposits!$O$18,0)</f>
        <v>0</v>
      </c>
      <c r="BP39" s="261" t="n">
        <f aca="false">IF(BP$4=Deposits!$L$18,Deposits!$O$18,0)</f>
        <v>0</v>
      </c>
    </row>
    <row r="40" customFormat="false" ht="15" hidden="false" customHeight="false" outlineLevel="0" collapsed="false">
      <c r="C40" s="205" t="s">
        <v>1053</v>
      </c>
      <c r="D40" s="205" t="s">
        <v>125</v>
      </c>
      <c r="E40" s="251"/>
      <c r="F40" s="251"/>
      <c r="G40" s="251" t="n">
        <f aca="false">SUM(H40:BP40)</f>
        <v>26566.9958958904</v>
      </c>
      <c r="H40" s="251" t="n">
        <f aca="false">SUM(H28:H39)</f>
        <v>0</v>
      </c>
      <c r="I40" s="251" t="n">
        <f aca="false">SUM(I28:I39)</f>
        <v>0</v>
      </c>
      <c r="J40" s="251" t="n">
        <f aca="false">SUM(J28:J39)</f>
        <v>0</v>
      </c>
      <c r="K40" s="251" t="n">
        <f aca="false">SUM(K28:K39)</f>
        <v>1176.79452054795</v>
      </c>
      <c r="L40" s="251" t="n">
        <f aca="false">SUM(L28:L39)</f>
        <v>0</v>
      </c>
      <c r="M40" s="251" t="n">
        <f aca="false">SUM(M28:M39)</f>
        <v>5907.17808219178</v>
      </c>
      <c r="N40" s="251" t="n">
        <f aca="false">SUM(N28:N39)</f>
        <v>0</v>
      </c>
      <c r="O40" s="251" t="n">
        <f aca="false">SUM(O28:O39)</f>
        <v>0</v>
      </c>
      <c r="P40" s="251" t="n">
        <f aca="false">SUM(P28:P39)</f>
        <v>0</v>
      </c>
      <c r="Q40" s="251" t="n">
        <f aca="false">SUM(Q28:Q39)</f>
        <v>0</v>
      </c>
      <c r="R40" s="251" t="n">
        <f aca="false">SUM(R28:R39)</f>
        <v>0</v>
      </c>
      <c r="S40" s="251" t="n">
        <f aca="false">SUM(S28:S39)</f>
        <v>0</v>
      </c>
      <c r="T40" s="251" t="n">
        <f aca="false">SUM(T28:T39)</f>
        <v>0</v>
      </c>
      <c r="U40" s="251" t="n">
        <f aca="false">SUM(U28:U39)</f>
        <v>0</v>
      </c>
      <c r="V40" s="251" t="n">
        <f aca="false">SUM(V28:V39)</f>
        <v>0</v>
      </c>
      <c r="W40" s="251" t="n">
        <f aca="false">SUM(W28:W39)</f>
        <v>0</v>
      </c>
      <c r="X40" s="251" t="n">
        <f aca="false">SUM(X28:X39)</f>
        <v>0</v>
      </c>
      <c r="Y40" s="251" t="n">
        <f aca="false">SUM(Y28:Y39)</f>
        <v>0</v>
      </c>
      <c r="Z40" s="251" t="n">
        <f aca="false">SUM(Z28:Z39)</f>
        <v>0</v>
      </c>
      <c r="AA40" s="251" t="n">
        <f aca="false">SUM(AA28:AA39)</f>
        <v>0</v>
      </c>
      <c r="AB40" s="251" t="n">
        <f aca="false">SUM(AB28:AB39)</f>
        <v>0</v>
      </c>
      <c r="AC40" s="251" t="n">
        <f aca="false">SUM(AC28:AC39)</f>
        <v>0</v>
      </c>
      <c r="AD40" s="251" t="n">
        <f aca="false">SUM(AD28:AD39)</f>
        <v>0</v>
      </c>
      <c r="AE40" s="251" t="n">
        <f aca="false">SUM(AE28:AE39)</f>
        <v>0</v>
      </c>
      <c r="AF40" s="251" t="n">
        <f aca="false">SUM(AF28:AF39)</f>
        <v>0</v>
      </c>
      <c r="AG40" s="251" t="n">
        <f aca="false">SUM(AG28:AG39)</f>
        <v>0</v>
      </c>
      <c r="AH40" s="251" t="n">
        <f aca="false">SUM(AH28:AH39)</f>
        <v>0</v>
      </c>
      <c r="AI40" s="251" t="n">
        <f aca="false">SUM(AI28:AI39)</f>
        <v>0</v>
      </c>
      <c r="AJ40" s="251" t="n">
        <f aca="false">SUM(AJ28:AJ39)</f>
        <v>0</v>
      </c>
      <c r="AK40" s="251" t="n">
        <f aca="false">SUM(AK28:AK39)</f>
        <v>0</v>
      </c>
      <c r="AL40" s="251" t="n">
        <f aca="false">SUM(AL28:AL39)</f>
        <v>19483.0232931507</v>
      </c>
      <c r="AM40" s="251" t="n">
        <f aca="false">SUM(AM28:AM39)</f>
        <v>0</v>
      </c>
      <c r="AN40" s="251" t="n">
        <f aca="false">SUM(AN28:AN39)</f>
        <v>0</v>
      </c>
      <c r="AO40" s="251" t="n">
        <f aca="false">SUM(AO28:AO39)</f>
        <v>0</v>
      </c>
      <c r="AP40" s="251" t="n">
        <f aca="false">SUM(AP28:AP39)</f>
        <v>0</v>
      </c>
      <c r="AQ40" s="251" t="n">
        <f aca="false">SUM(AQ28:AQ39)</f>
        <v>0</v>
      </c>
      <c r="AR40" s="251" t="n">
        <f aca="false">SUM(AR28:AR39)</f>
        <v>0</v>
      </c>
      <c r="AS40" s="251" t="n">
        <f aca="false">SUM(AS28:AS39)</f>
        <v>0</v>
      </c>
      <c r="AT40" s="251" t="n">
        <f aca="false">SUM(AT28:AT39)</f>
        <v>0</v>
      </c>
      <c r="AU40" s="251" t="n">
        <f aca="false">SUM(AU28:AU39)</f>
        <v>0</v>
      </c>
      <c r="AV40" s="251" t="n">
        <f aca="false">SUM(AV28:AV39)</f>
        <v>0</v>
      </c>
      <c r="AW40" s="251" t="n">
        <f aca="false">SUM(AW28:AW39)</f>
        <v>0</v>
      </c>
      <c r="AX40" s="251" t="n">
        <f aca="false">SUM(AX28:AX39)</f>
        <v>0</v>
      </c>
      <c r="AY40" s="251" t="n">
        <f aca="false">SUM(AY28:AY39)</f>
        <v>0</v>
      </c>
      <c r="AZ40" s="251" t="n">
        <f aca="false">SUM(AZ28:AZ39)</f>
        <v>0</v>
      </c>
      <c r="BA40" s="251" t="n">
        <f aca="false">SUM(BA28:BA39)</f>
        <v>0</v>
      </c>
      <c r="BB40" s="251" t="n">
        <f aca="false">SUM(BB28:BB39)</f>
        <v>0</v>
      </c>
      <c r="BC40" s="251" t="n">
        <f aca="false">SUM(BC28:BC39)</f>
        <v>0</v>
      </c>
      <c r="BD40" s="251" t="n">
        <f aca="false">SUM(BD28:BD39)</f>
        <v>0</v>
      </c>
      <c r="BE40" s="251" t="n">
        <f aca="false">SUM(BE28:BE39)</f>
        <v>0</v>
      </c>
      <c r="BF40" s="251" t="n">
        <f aca="false">SUM(BF28:BF39)</f>
        <v>0</v>
      </c>
      <c r="BG40" s="251" t="n">
        <f aca="false">SUM(BG28:BG39)</f>
        <v>0</v>
      </c>
      <c r="BH40" s="251" t="n">
        <f aca="false">SUM(BH28:BH39)</f>
        <v>0</v>
      </c>
      <c r="BI40" s="251" t="n">
        <f aca="false">SUM(BI28:BI39)</f>
        <v>0</v>
      </c>
      <c r="BJ40" s="251" t="n">
        <f aca="false">SUM(BJ28:BJ39)</f>
        <v>0</v>
      </c>
      <c r="BK40" s="251" t="n">
        <f aca="false">SUM(BK28:BK39)</f>
        <v>0</v>
      </c>
      <c r="BL40" s="251" t="n">
        <f aca="false">SUM(BL28:BL39)</f>
        <v>0</v>
      </c>
      <c r="BM40" s="251" t="n">
        <f aca="false">SUM(BM28:BM39)</f>
        <v>0</v>
      </c>
      <c r="BN40" s="251" t="n">
        <f aca="false">SUM(BN28:BN39)</f>
        <v>0</v>
      </c>
      <c r="BO40" s="251" t="n">
        <f aca="false">SUM(BO28:BO39)</f>
        <v>0</v>
      </c>
      <c r="BP40" s="251" t="n">
        <f aca="false">SUM(BP28:BP39)</f>
        <v>0</v>
      </c>
    </row>
    <row r="41" customFormat="false" ht="15" hidden="false" customHeight="false" outlineLevel="0" collapsed="false">
      <c r="C41" s="0" t="s">
        <v>349</v>
      </c>
      <c r="D41" s="0" t="s">
        <v>125</v>
      </c>
      <c r="E41" s="158"/>
      <c r="F41" s="158"/>
      <c r="G41" s="158"/>
      <c r="H41" s="158" t="n">
        <f aca="false">H40</f>
        <v>0</v>
      </c>
      <c r="I41" s="158" t="n">
        <f aca="false">H41+I40</f>
        <v>0</v>
      </c>
      <c r="J41" s="158" t="n">
        <f aca="false">I41+J40</f>
        <v>0</v>
      </c>
      <c r="K41" s="158" t="n">
        <f aca="false">J41+K40</f>
        <v>1176.79452054795</v>
      </c>
      <c r="L41" s="158" t="n">
        <f aca="false">K41+L40</f>
        <v>1176.79452054795</v>
      </c>
      <c r="M41" s="158" t="n">
        <f aca="false">L41+M40</f>
        <v>7083.97260273973</v>
      </c>
      <c r="N41" s="158" t="n">
        <f aca="false">M41+N40</f>
        <v>7083.97260273973</v>
      </c>
      <c r="O41" s="158" t="n">
        <f aca="false">N41+O40</f>
        <v>7083.97260273973</v>
      </c>
      <c r="P41" s="158" t="n">
        <f aca="false">O41+P40</f>
        <v>7083.97260273973</v>
      </c>
      <c r="Q41" s="158" t="n">
        <f aca="false">P41+Q40</f>
        <v>7083.97260273973</v>
      </c>
      <c r="R41" s="158" t="n">
        <f aca="false">Q41+R40</f>
        <v>7083.97260273973</v>
      </c>
      <c r="S41" s="158" t="n">
        <f aca="false">R41+S40</f>
        <v>7083.97260273973</v>
      </c>
      <c r="T41" s="158" t="n">
        <f aca="false">S41+T40</f>
        <v>7083.97260273973</v>
      </c>
      <c r="U41" s="158" t="n">
        <f aca="false">T41+U40</f>
        <v>7083.97260273973</v>
      </c>
      <c r="V41" s="158" t="n">
        <f aca="false">U41+V40</f>
        <v>7083.97260273973</v>
      </c>
      <c r="W41" s="158" t="n">
        <f aca="false">V41+W40</f>
        <v>7083.97260273973</v>
      </c>
      <c r="X41" s="158" t="n">
        <f aca="false">W41+X40</f>
        <v>7083.97260273973</v>
      </c>
      <c r="Y41" s="158" t="n">
        <f aca="false">X41+Y40</f>
        <v>7083.97260273973</v>
      </c>
      <c r="Z41" s="158" t="n">
        <f aca="false">Y41+Z40</f>
        <v>7083.97260273973</v>
      </c>
      <c r="AA41" s="158" t="n">
        <f aca="false">Z41+AA40</f>
        <v>7083.97260273973</v>
      </c>
      <c r="AB41" s="158" t="n">
        <f aca="false">AA41+AB40</f>
        <v>7083.97260273973</v>
      </c>
      <c r="AC41" s="158" t="n">
        <f aca="false">AB41+AC40</f>
        <v>7083.97260273973</v>
      </c>
      <c r="AD41" s="158" t="n">
        <f aca="false">AC41+AD40</f>
        <v>7083.97260273973</v>
      </c>
      <c r="AE41" s="158" t="n">
        <f aca="false">AD41+AE40</f>
        <v>7083.97260273973</v>
      </c>
      <c r="AF41" s="158" t="n">
        <f aca="false">AE41+AF40</f>
        <v>7083.97260273973</v>
      </c>
      <c r="AG41" s="158" t="n">
        <f aca="false">AF41+AG40</f>
        <v>7083.97260273973</v>
      </c>
      <c r="AH41" s="158" t="n">
        <f aca="false">AG41+AH40</f>
        <v>7083.97260273973</v>
      </c>
      <c r="AI41" s="158" t="n">
        <f aca="false">AH41+AI40</f>
        <v>7083.97260273973</v>
      </c>
      <c r="AJ41" s="158" t="n">
        <f aca="false">AI41+AJ40</f>
        <v>7083.97260273973</v>
      </c>
      <c r="AK41" s="158" t="n">
        <f aca="false">AJ41+AK40</f>
        <v>7083.97260273973</v>
      </c>
      <c r="AL41" s="158" t="n">
        <f aca="false">AK41+AL40</f>
        <v>26566.9958958904</v>
      </c>
      <c r="AM41" s="158" t="n">
        <f aca="false">AL41+AM40</f>
        <v>26566.9958958904</v>
      </c>
      <c r="AN41" s="158" t="n">
        <f aca="false">AM41+AN40</f>
        <v>26566.9958958904</v>
      </c>
      <c r="AO41" s="158" t="n">
        <f aca="false">AN41+AO40</f>
        <v>26566.9958958904</v>
      </c>
      <c r="AP41" s="158" t="n">
        <f aca="false">AO41+AP40</f>
        <v>26566.9958958904</v>
      </c>
      <c r="AQ41" s="158" t="n">
        <f aca="false">AP41+AQ40</f>
        <v>26566.9958958904</v>
      </c>
      <c r="AR41" s="158" t="n">
        <f aca="false">AQ41+AR40</f>
        <v>26566.9958958904</v>
      </c>
      <c r="AS41" s="158" t="n">
        <f aca="false">AR41+AS40</f>
        <v>26566.9958958904</v>
      </c>
      <c r="AT41" s="158" t="n">
        <f aca="false">AS41+AT40</f>
        <v>26566.9958958904</v>
      </c>
      <c r="AU41" s="158" t="n">
        <f aca="false">AT41+AU40</f>
        <v>26566.9958958904</v>
      </c>
      <c r="AV41" s="158" t="n">
        <f aca="false">AU41+AV40</f>
        <v>26566.9958958904</v>
      </c>
      <c r="AW41" s="158" t="n">
        <f aca="false">AV41+AW40</f>
        <v>26566.9958958904</v>
      </c>
      <c r="AX41" s="158" t="n">
        <f aca="false">AW41+AX40</f>
        <v>26566.9958958904</v>
      </c>
      <c r="AY41" s="158" t="n">
        <f aca="false">AX41+AY40</f>
        <v>26566.9958958904</v>
      </c>
      <c r="AZ41" s="158" t="n">
        <f aca="false">AY41+AZ40</f>
        <v>26566.9958958904</v>
      </c>
      <c r="BA41" s="158" t="n">
        <f aca="false">AZ41+BA40</f>
        <v>26566.9958958904</v>
      </c>
      <c r="BB41" s="158" t="n">
        <f aca="false">BA41+BB40</f>
        <v>26566.9958958904</v>
      </c>
      <c r="BC41" s="158" t="n">
        <f aca="false">BB41+BC40</f>
        <v>26566.9958958904</v>
      </c>
      <c r="BD41" s="158" t="n">
        <f aca="false">BC41+BD40</f>
        <v>26566.9958958904</v>
      </c>
      <c r="BE41" s="158" t="n">
        <f aca="false">BD41+BE40</f>
        <v>26566.9958958904</v>
      </c>
      <c r="BF41" s="158" t="n">
        <f aca="false">BE41+BF40</f>
        <v>26566.9958958904</v>
      </c>
      <c r="BG41" s="158" t="n">
        <f aca="false">BF41+BG40</f>
        <v>26566.9958958904</v>
      </c>
      <c r="BH41" s="158" t="n">
        <f aca="false">BG41+BH40</f>
        <v>26566.9958958904</v>
      </c>
      <c r="BI41" s="158" t="n">
        <f aca="false">BH41+BI40</f>
        <v>26566.9958958904</v>
      </c>
      <c r="BJ41" s="158" t="n">
        <f aca="false">BI41+BJ40</f>
        <v>26566.9958958904</v>
      </c>
      <c r="BK41" s="158" t="n">
        <f aca="false">BJ41+BK40</f>
        <v>26566.9958958904</v>
      </c>
      <c r="BL41" s="158" t="n">
        <f aca="false">BK41+BL40</f>
        <v>26566.9958958904</v>
      </c>
      <c r="BM41" s="158" t="n">
        <f aca="false">BL41+BM40</f>
        <v>26566.9958958904</v>
      </c>
      <c r="BN41" s="158" t="n">
        <f aca="false">BM41+BN40</f>
        <v>26566.9958958904</v>
      </c>
      <c r="BO41" s="158" t="n">
        <f aca="false">BN41+BO40</f>
        <v>26566.9958958904</v>
      </c>
      <c r="BP41" s="158" t="n">
        <f aca="false">BO41+BP40</f>
        <v>26566.9958958904</v>
      </c>
    </row>
    <row r="42" customFormat="false" ht="15" hidden="false" customHeight="false" outlineLevel="0" collapsed="false">
      <c r="E42" s="158"/>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c r="BF42" s="158"/>
      <c r="BG42" s="158"/>
      <c r="BH42" s="158"/>
      <c r="BI42" s="158"/>
      <c r="BJ42" s="158"/>
      <c r="BK42" s="158"/>
      <c r="BL42" s="158"/>
      <c r="BM42" s="158"/>
      <c r="BN42" s="158"/>
      <c r="BO42" s="158"/>
      <c r="BP42" s="158"/>
    </row>
    <row r="43" customFormat="false" ht="15" hidden="false" customHeight="false" outlineLevel="0" collapsed="false">
      <c r="C43" s="136" t="s">
        <v>1054</v>
      </c>
      <c r="D43" s="136"/>
      <c r="E43" s="259"/>
      <c r="F43" s="259"/>
      <c r="G43" s="259"/>
      <c r="H43" s="259"/>
      <c r="I43" s="259"/>
      <c r="J43" s="259"/>
      <c r="K43" s="259"/>
      <c r="L43" s="259"/>
      <c r="M43" s="259"/>
      <c r="N43" s="259"/>
      <c r="O43" s="259"/>
      <c r="P43" s="259"/>
      <c r="Q43" s="259"/>
      <c r="R43" s="259"/>
      <c r="S43" s="259"/>
      <c r="T43" s="259"/>
      <c r="U43" s="259"/>
      <c r="V43" s="259"/>
      <c r="W43" s="259"/>
      <c r="X43" s="259"/>
      <c r="Y43" s="259"/>
      <c r="Z43" s="259"/>
      <c r="AA43" s="259"/>
      <c r="AB43" s="259"/>
      <c r="AC43" s="259"/>
      <c r="AD43" s="259"/>
      <c r="AE43" s="259"/>
      <c r="AF43" s="259"/>
      <c r="AG43" s="259"/>
      <c r="AH43" s="259"/>
      <c r="AI43" s="259"/>
      <c r="AJ43" s="259"/>
      <c r="AK43" s="259"/>
      <c r="AL43" s="259"/>
      <c r="AM43" s="259"/>
      <c r="AN43" s="259"/>
      <c r="AO43" s="259"/>
      <c r="AP43" s="259"/>
      <c r="AQ43" s="259"/>
      <c r="AR43" s="259"/>
      <c r="AS43" s="259"/>
      <c r="AT43" s="259"/>
      <c r="AU43" s="259"/>
      <c r="AV43" s="259"/>
      <c r="AW43" s="259"/>
      <c r="AX43" s="259"/>
      <c r="AY43" s="259"/>
      <c r="AZ43" s="259"/>
      <c r="BA43" s="259"/>
      <c r="BB43" s="259"/>
      <c r="BC43" s="259"/>
      <c r="BD43" s="259"/>
      <c r="BE43" s="259"/>
      <c r="BF43" s="259"/>
      <c r="BG43" s="259"/>
      <c r="BH43" s="259"/>
      <c r="BI43" s="259"/>
      <c r="BJ43" s="259"/>
      <c r="BK43" s="259"/>
      <c r="BL43" s="259"/>
      <c r="BM43" s="259"/>
      <c r="BN43" s="259"/>
      <c r="BO43" s="259"/>
      <c r="BP43" s="259"/>
    </row>
    <row r="44" customFormat="false" ht="15" hidden="false" customHeight="false" outlineLevel="0" collapsed="false">
      <c r="C44" s="235" t="str">
        <f aca="false">C28</f>
        <v>Részvételi díj</v>
      </c>
      <c r="D44" s="133" t="s">
        <v>125</v>
      </c>
      <c r="E44" s="158"/>
      <c r="F44" s="158"/>
      <c r="G44" s="158" t="n">
        <f aca="false">SUM(H44:BP44)</f>
        <v>8.21917808219178</v>
      </c>
      <c r="H44" s="158" t="n">
        <f aca="false">H28*Deposits!$P$7</f>
        <v>0</v>
      </c>
      <c r="I44" s="158" t="n">
        <f aca="false">I28*Deposits!$P$7</f>
        <v>0</v>
      </c>
      <c r="J44" s="158" t="n">
        <f aca="false">J28*Deposits!$P$7</f>
        <v>0</v>
      </c>
      <c r="K44" s="158" t="n">
        <f aca="false">K28*Deposits!$P$7</f>
        <v>8.21917808219178</v>
      </c>
      <c r="L44" s="158" t="n">
        <f aca="false">L28*Deposits!$P$7</f>
        <v>0</v>
      </c>
      <c r="M44" s="158" t="n">
        <f aca="false">M28*Deposits!$P$7</f>
        <v>0</v>
      </c>
      <c r="N44" s="158" t="n">
        <f aca="false">N28*Deposits!$P$7</f>
        <v>0</v>
      </c>
      <c r="O44" s="158" t="n">
        <f aca="false">O28*Deposits!$P$7</f>
        <v>0</v>
      </c>
      <c r="P44" s="158" t="n">
        <f aca="false">P28*Deposits!$P$7</f>
        <v>0</v>
      </c>
      <c r="Q44" s="158" t="n">
        <f aca="false">Q28*Deposits!$P$7</f>
        <v>0</v>
      </c>
      <c r="R44" s="158" t="n">
        <f aca="false">R28*Deposits!$P$7</f>
        <v>0</v>
      </c>
      <c r="S44" s="158" t="n">
        <f aca="false">S28*Deposits!$P$7</f>
        <v>0</v>
      </c>
      <c r="T44" s="158" t="n">
        <f aca="false">T28*Deposits!$P$7</f>
        <v>0</v>
      </c>
      <c r="U44" s="158" t="n">
        <f aca="false">U28*Deposits!$P$7</f>
        <v>0</v>
      </c>
      <c r="V44" s="158" t="n">
        <f aca="false">V28*Deposits!$P$7</f>
        <v>0</v>
      </c>
      <c r="W44" s="158" t="n">
        <f aca="false">W28*Deposits!$P$7</f>
        <v>0</v>
      </c>
      <c r="X44" s="158" t="n">
        <f aca="false">X28*Deposits!$P$7</f>
        <v>0</v>
      </c>
      <c r="Y44" s="158" t="n">
        <f aca="false">Y28*Deposits!$P$7</f>
        <v>0</v>
      </c>
      <c r="Z44" s="158" t="n">
        <f aca="false">Z28*Deposits!$P$7</f>
        <v>0</v>
      </c>
      <c r="AA44" s="158" t="n">
        <f aca="false">AA28*Deposits!$P$7</f>
        <v>0</v>
      </c>
      <c r="AB44" s="158" t="n">
        <f aca="false">AB28*Deposits!$P$7</f>
        <v>0</v>
      </c>
      <c r="AC44" s="158" t="n">
        <f aca="false">AC28*Deposits!$P$7</f>
        <v>0</v>
      </c>
      <c r="AD44" s="158" t="n">
        <f aca="false">AD28*Deposits!$P$7</f>
        <v>0</v>
      </c>
      <c r="AE44" s="158" t="n">
        <f aca="false">AE28*Deposits!$P$7</f>
        <v>0</v>
      </c>
      <c r="AF44" s="158" t="n">
        <f aca="false">AF28*Deposits!$P$7</f>
        <v>0</v>
      </c>
      <c r="AG44" s="158" t="n">
        <f aca="false">AG28*Deposits!$P$7</f>
        <v>0</v>
      </c>
      <c r="AH44" s="158" t="n">
        <f aca="false">AH28*Deposits!$P$7</f>
        <v>0</v>
      </c>
      <c r="AI44" s="158" t="n">
        <f aca="false">AI28*Deposits!$P$7</f>
        <v>0</v>
      </c>
      <c r="AJ44" s="158" t="n">
        <f aca="false">AJ28*Deposits!$P$7</f>
        <v>0</v>
      </c>
      <c r="AK44" s="158" t="n">
        <f aca="false">AK28*Deposits!$P$7</f>
        <v>0</v>
      </c>
      <c r="AL44" s="158" t="n">
        <f aca="false">AL28*Deposits!$P$7</f>
        <v>0</v>
      </c>
      <c r="AM44" s="158" t="n">
        <f aca="false">AM28*Deposits!$P$7</f>
        <v>0</v>
      </c>
      <c r="AN44" s="158" t="n">
        <f aca="false">AN28*Deposits!$P$7</f>
        <v>0</v>
      </c>
      <c r="AO44" s="158" t="n">
        <f aca="false">AO28*Deposits!$P$7</f>
        <v>0</v>
      </c>
      <c r="AP44" s="158" t="n">
        <f aca="false">AP28*Deposits!$P$7</f>
        <v>0</v>
      </c>
      <c r="AQ44" s="158" t="n">
        <f aca="false">AQ28*Deposits!$P$7</f>
        <v>0</v>
      </c>
      <c r="AR44" s="158" t="n">
        <f aca="false">AR28*Deposits!$P$7</f>
        <v>0</v>
      </c>
      <c r="AS44" s="158" t="n">
        <f aca="false">AS28*Deposits!$P$7</f>
        <v>0</v>
      </c>
      <c r="AT44" s="158" t="n">
        <f aca="false">AT28*Deposits!$P$7</f>
        <v>0</v>
      </c>
      <c r="AU44" s="158" t="n">
        <f aca="false">AU28*Deposits!$P$7</f>
        <v>0</v>
      </c>
      <c r="AV44" s="158" t="n">
        <f aca="false">AV28*Deposits!$P$7</f>
        <v>0</v>
      </c>
      <c r="AW44" s="158" t="n">
        <f aca="false">AW28*Deposits!$P$7</f>
        <v>0</v>
      </c>
      <c r="AX44" s="158" t="n">
        <f aca="false">AX28*Deposits!$P$7</f>
        <v>0</v>
      </c>
      <c r="AY44" s="158" t="n">
        <f aca="false">AY28*Deposits!$P$7</f>
        <v>0</v>
      </c>
      <c r="AZ44" s="158" t="n">
        <f aca="false">AZ28*Deposits!$P$7</f>
        <v>0</v>
      </c>
      <c r="BA44" s="158" t="n">
        <f aca="false">BA28*Deposits!$P$7</f>
        <v>0</v>
      </c>
      <c r="BB44" s="158" t="n">
        <f aca="false">BB28*Deposits!$P$7</f>
        <v>0</v>
      </c>
      <c r="BC44" s="158" t="n">
        <f aca="false">BC28*Deposits!$P$7</f>
        <v>0</v>
      </c>
      <c r="BD44" s="158" t="n">
        <f aca="false">BD28*Deposits!$P$7</f>
        <v>0</v>
      </c>
      <c r="BE44" s="158" t="n">
        <f aca="false">BE28*Deposits!$P$7</f>
        <v>0</v>
      </c>
      <c r="BF44" s="158" t="n">
        <f aca="false">BF28*Deposits!$P$7</f>
        <v>0</v>
      </c>
      <c r="BG44" s="158" t="n">
        <f aca="false">BG28*Deposits!$P$7</f>
        <v>0</v>
      </c>
      <c r="BH44" s="158" t="n">
        <f aca="false">BH28*Deposits!$P$7</f>
        <v>0</v>
      </c>
      <c r="BI44" s="158" t="n">
        <f aca="false">BI28*Deposits!$P$7</f>
        <v>0</v>
      </c>
      <c r="BJ44" s="158" t="n">
        <f aca="false">BJ28*Deposits!$P$7</f>
        <v>0</v>
      </c>
      <c r="BK44" s="158" t="n">
        <f aca="false">BK28*Deposits!$P$7</f>
        <v>0</v>
      </c>
      <c r="BL44" s="158" t="n">
        <f aca="false">BL28*Deposits!$P$7</f>
        <v>0</v>
      </c>
      <c r="BM44" s="158" t="n">
        <f aca="false">BM28*Deposits!$P$7</f>
        <v>0</v>
      </c>
      <c r="BN44" s="158" t="n">
        <f aca="false">BN28*Deposits!$P$7</f>
        <v>0</v>
      </c>
      <c r="BO44" s="158" t="n">
        <f aca="false">BO28*Deposits!$P$7</f>
        <v>0</v>
      </c>
      <c r="BP44" s="158" t="n">
        <f aca="false">BP28*Deposits!$P$7</f>
        <v>0</v>
      </c>
    </row>
    <row r="45" customFormat="false" ht="15" hidden="false" customHeight="false" outlineLevel="0" collapsed="false">
      <c r="C45" s="235" t="str">
        <f aca="false">C29</f>
        <v>Ajánlati biztosíték</v>
      </c>
      <c r="D45" s="133" t="s">
        <v>125</v>
      </c>
      <c r="E45" s="158"/>
      <c r="F45" s="158"/>
      <c r="G45" s="158" t="n">
        <f aca="false">SUM(H45:BP45)</f>
        <v>0</v>
      </c>
      <c r="H45" s="158" t="n">
        <f aca="false">H29*Deposits!$P$8</f>
        <v>0</v>
      </c>
      <c r="I45" s="158" t="n">
        <f aca="false">I29*Deposits!$P$8</f>
        <v>0</v>
      </c>
      <c r="J45" s="158" t="n">
        <f aca="false">J29*Deposits!$P$8</f>
        <v>0</v>
      </c>
      <c r="K45" s="158" t="n">
        <f aca="false">K29*Deposits!$P$8</f>
        <v>0</v>
      </c>
      <c r="L45" s="158" t="n">
        <f aca="false">L29*Deposits!$P$8</f>
        <v>0</v>
      </c>
      <c r="M45" s="158" t="n">
        <f aca="false">M29*Deposits!$P$8</f>
        <v>0</v>
      </c>
      <c r="N45" s="158" t="n">
        <f aca="false">N29*Deposits!$P$8</f>
        <v>0</v>
      </c>
      <c r="O45" s="158" t="n">
        <f aca="false">O29*Deposits!$P$8</f>
        <v>0</v>
      </c>
      <c r="P45" s="158" t="n">
        <f aca="false">P29*Deposits!$P$8</f>
        <v>0</v>
      </c>
      <c r="Q45" s="158" t="n">
        <f aca="false">Q29*Deposits!$P$8</f>
        <v>0</v>
      </c>
      <c r="R45" s="158" t="n">
        <f aca="false">R29*Deposits!$P$8</f>
        <v>0</v>
      </c>
      <c r="S45" s="158" t="n">
        <f aca="false">S29*Deposits!$P$8</f>
        <v>0</v>
      </c>
      <c r="T45" s="158" t="n">
        <f aca="false">T29*Deposits!$P$8</f>
        <v>0</v>
      </c>
      <c r="U45" s="158" t="n">
        <f aca="false">U29*Deposits!$P$8</f>
        <v>0</v>
      </c>
      <c r="V45" s="158" t="n">
        <f aca="false">V29*Deposits!$P$8</f>
        <v>0</v>
      </c>
      <c r="W45" s="158" t="n">
        <f aca="false">W29*Deposits!$P$8</f>
        <v>0</v>
      </c>
      <c r="X45" s="158" t="n">
        <f aca="false">X29*Deposits!$P$8</f>
        <v>0</v>
      </c>
      <c r="Y45" s="158" t="n">
        <f aca="false">Y29*Deposits!$P$8</f>
        <v>0</v>
      </c>
      <c r="Z45" s="158" t="n">
        <f aca="false">Z29*Deposits!$P$8</f>
        <v>0</v>
      </c>
      <c r="AA45" s="158" t="n">
        <f aca="false">AA29*Deposits!$P$8</f>
        <v>0</v>
      </c>
      <c r="AB45" s="158" t="n">
        <f aca="false">AB29*Deposits!$P$8</f>
        <v>0</v>
      </c>
      <c r="AC45" s="158" t="n">
        <f aca="false">AC29*Deposits!$P$8</f>
        <v>0</v>
      </c>
      <c r="AD45" s="158" t="n">
        <f aca="false">AD29*Deposits!$P$8</f>
        <v>0</v>
      </c>
      <c r="AE45" s="158" t="n">
        <f aca="false">AE29*Deposits!$P$8</f>
        <v>0</v>
      </c>
      <c r="AF45" s="158" t="n">
        <f aca="false">AF29*Deposits!$P$8</f>
        <v>0</v>
      </c>
      <c r="AG45" s="158" t="n">
        <f aca="false">AG29*Deposits!$P$8</f>
        <v>0</v>
      </c>
      <c r="AH45" s="158" t="n">
        <f aca="false">AH29*Deposits!$P$8</f>
        <v>0</v>
      </c>
      <c r="AI45" s="158" t="n">
        <f aca="false">AI29*Deposits!$P$8</f>
        <v>0</v>
      </c>
      <c r="AJ45" s="158" t="n">
        <f aca="false">AJ29*Deposits!$P$8</f>
        <v>0</v>
      </c>
      <c r="AK45" s="158" t="n">
        <f aca="false">AK29*Deposits!$P$8</f>
        <v>0</v>
      </c>
      <c r="AL45" s="158" t="n">
        <f aca="false">AL29*Deposits!$P$8</f>
        <v>0</v>
      </c>
      <c r="AM45" s="158" t="n">
        <f aca="false">AM29*Deposits!$P$8</f>
        <v>0</v>
      </c>
      <c r="AN45" s="158" t="n">
        <f aca="false">AN29*Deposits!$P$8</f>
        <v>0</v>
      </c>
      <c r="AO45" s="158" t="n">
        <f aca="false">AO29*Deposits!$P$8</f>
        <v>0</v>
      </c>
      <c r="AP45" s="158" t="n">
        <f aca="false">AP29*Deposits!$P$8</f>
        <v>0</v>
      </c>
      <c r="AQ45" s="158" t="n">
        <f aca="false">AQ29*Deposits!$P$8</f>
        <v>0</v>
      </c>
      <c r="AR45" s="158" t="n">
        <f aca="false">AR29*Deposits!$P$8</f>
        <v>0</v>
      </c>
      <c r="AS45" s="158" t="n">
        <f aca="false">AS29*Deposits!$P$8</f>
        <v>0</v>
      </c>
      <c r="AT45" s="158" t="n">
        <f aca="false">AT29*Deposits!$P$8</f>
        <v>0</v>
      </c>
      <c r="AU45" s="158" t="n">
        <f aca="false">AU29*Deposits!$P$8</f>
        <v>0</v>
      </c>
      <c r="AV45" s="158" t="n">
        <f aca="false">AV29*Deposits!$P$8</f>
        <v>0</v>
      </c>
      <c r="AW45" s="158" t="n">
        <f aca="false">AW29*Deposits!$P$8</f>
        <v>0</v>
      </c>
      <c r="AX45" s="158" t="n">
        <f aca="false">AX29*Deposits!$P$8</f>
        <v>0</v>
      </c>
      <c r="AY45" s="158" t="n">
        <f aca="false">AY29*Deposits!$P$8</f>
        <v>0</v>
      </c>
      <c r="AZ45" s="158" t="n">
        <f aca="false">AZ29*Deposits!$P$8</f>
        <v>0</v>
      </c>
      <c r="BA45" s="158" t="n">
        <f aca="false">BA29*Deposits!$P$8</f>
        <v>0</v>
      </c>
      <c r="BB45" s="158" t="n">
        <f aca="false">BB29*Deposits!$P$8</f>
        <v>0</v>
      </c>
      <c r="BC45" s="158" t="n">
        <f aca="false">BC29*Deposits!$P$8</f>
        <v>0</v>
      </c>
      <c r="BD45" s="158" t="n">
        <f aca="false">BD29*Deposits!$P$8</f>
        <v>0</v>
      </c>
      <c r="BE45" s="158" t="n">
        <f aca="false">BE29*Deposits!$P$8</f>
        <v>0</v>
      </c>
      <c r="BF45" s="158" t="n">
        <f aca="false">BF29*Deposits!$P$8</f>
        <v>0</v>
      </c>
      <c r="BG45" s="158" t="n">
        <f aca="false">BG29*Deposits!$P$8</f>
        <v>0</v>
      </c>
      <c r="BH45" s="158" t="n">
        <f aca="false">BH29*Deposits!$P$8</f>
        <v>0</v>
      </c>
      <c r="BI45" s="158" t="n">
        <f aca="false">BI29*Deposits!$P$8</f>
        <v>0</v>
      </c>
      <c r="BJ45" s="158" t="n">
        <f aca="false">BJ29*Deposits!$P$8</f>
        <v>0</v>
      </c>
      <c r="BK45" s="158" t="n">
        <f aca="false">BK29*Deposits!$P$8</f>
        <v>0</v>
      </c>
      <c r="BL45" s="158" t="n">
        <f aca="false">BL29*Deposits!$P$8</f>
        <v>0</v>
      </c>
      <c r="BM45" s="158" t="n">
        <f aca="false">BM29*Deposits!$P$8</f>
        <v>0</v>
      </c>
      <c r="BN45" s="158" t="n">
        <f aca="false">BN29*Deposits!$P$8</f>
        <v>0</v>
      </c>
      <c r="BO45" s="158" t="n">
        <f aca="false">BO29*Deposits!$P$8</f>
        <v>0</v>
      </c>
      <c r="BP45" s="158" t="n">
        <f aca="false">BP29*Deposits!$P$8</f>
        <v>0</v>
      </c>
    </row>
    <row r="46" customFormat="false" ht="15" hidden="false" customHeight="false" outlineLevel="0" collapsed="false">
      <c r="C46" s="235" t="str">
        <f aca="false">C30</f>
        <v>Ajánlati biztosíték visszatérítés – sikertelen kapacitás</v>
      </c>
      <c r="D46" s="133" t="s">
        <v>125</v>
      </c>
      <c r="E46" s="158"/>
      <c r="F46" s="158"/>
      <c r="G46" s="158" t="n">
        <f aca="false">SUM(H46:BP46)</f>
        <v>0</v>
      </c>
      <c r="H46" s="158" t="n">
        <f aca="false">H30*Deposits!$P$9</f>
        <v>0</v>
      </c>
      <c r="I46" s="158" t="n">
        <f aca="false">I30*Deposits!$P$9</f>
        <v>0</v>
      </c>
      <c r="J46" s="158" t="n">
        <f aca="false">J30*Deposits!$P$9</f>
        <v>0</v>
      </c>
      <c r="K46" s="158" t="n">
        <f aca="false">K30*Deposits!$P$9</f>
        <v>0</v>
      </c>
      <c r="L46" s="158" t="n">
        <f aca="false">L30*Deposits!$P$9</f>
        <v>0</v>
      </c>
      <c r="M46" s="158" t="n">
        <f aca="false">M30*Deposits!$P$9</f>
        <v>0</v>
      </c>
      <c r="N46" s="158" t="n">
        <f aca="false">N30*Deposits!$P$9</f>
        <v>0</v>
      </c>
      <c r="O46" s="158" t="n">
        <f aca="false">O30*Deposits!$P$9</f>
        <v>0</v>
      </c>
      <c r="P46" s="158" t="n">
        <f aca="false">P30*Deposits!$P$9</f>
        <v>0</v>
      </c>
      <c r="Q46" s="158" t="n">
        <f aca="false">Q30*Deposits!$P$9</f>
        <v>0</v>
      </c>
      <c r="R46" s="158" t="n">
        <f aca="false">R30*Deposits!$P$9</f>
        <v>0</v>
      </c>
      <c r="S46" s="158" t="n">
        <f aca="false">S30*Deposits!$P$9</f>
        <v>0</v>
      </c>
      <c r="T46" s="158" t="n">
        <f aca="false">T30*Deposits!$P$9</f>
        <v>0</v>
      </c>
      <c r="U46" s="158" t="n">
        <f aca="false">U30*Deposits!$P$9</f>
        <v>0</v>
      </c>
      <c r="V46" s="158" t="n">
        <f aca="false">V30*Deposits!$P$9</f>
        <v>0</v>
      </c>
      <c r="W46" s="158" t="n">
        <f aca="false">W30*Deposits!$P$9</f>
        <v>0</v>
      </c>
      <c r="X46" s="158" t="n">
        <f aca="false">X30*Deposits!$P$9</f>
        <v>0</v>
      </c>
      <c r="Y46" s="158" t="n">
        <f aca="false">Y30*Deposits!$P$9</f>
        <v>0</v>
      </c>
      <c r="Z46" s="158" t="n">
        <f aca="false">Z30*Deposits!$P$9</f>
        <v>0</v>
      </c>
      <c r="AA46" s="158" t="n">
        <f aca="false">AA30*Deposits!$P$9</f>
        <v>0</v>
      </c>
      <c r="AB46" s="158" t="n">
        <f aca="false">AB30*Deposits!$P$9</f>
        <v>0</v>
      </c>
      <c r="AC46" s="158" t="n">
        <f aca="false">AC30*Deposits!$P$9</f>
        <v>0</v>
      </c>
      <c r="AD46" s="158" t="n">
        <f aca="false">AD30*Deposits!$P$9</f>
        <v>0</v>
      </c>
      <c r="AE46" s="158" t="n">
        <f aca="false">AE30*Deposits!$P$9</f>
        <v>0</v>
      </c>
      <c r="AF46" s="158" t="n">
        <f aca="false">AF30*Deposits!$P$9</f>
        <v>0</v>
      </c>
      <c r="AG46" s="158" t="n">
        <f aca="false">AG30*Deposits!$P$9</f>
        <v>0</v>
      </c>
      <c r="AH46" s="158" t="n">
        <f aca="false">AH30*Deposits!$P$9</f>
        <v>0</v>
      </c>
      <c r="AI46" s="158" t="n">
        <f aca="false">AI30*Deposits!$P$9</f>
        <v>0</v>
      </c>
      <c r="AJ46" s="158" t="n">
        <f aca="false">AJ30*Deposits!$P$9</f>
        <v>0</v>
      </c>
      <c r="AK46" s="158" t="n">
        <f aca="false">AK30*Deposits!$P$9</f>
        <v>0</v>
      </c>
      <c r="AL46" s="158" t="n">
        <f aca="false">AL30*Deposits!$P$9</f>
        <v>0</v>
      </c>
      <c r="AM46" s="158" t="n">
        <f aca="false">AM30*Deposits!$P$9</f>
        <v>0</v>
      </c>
      <c r="AN46" s="158" t="n">
        <f aca="false">AN30*Deposits!$P$9</f>
        <v>0</v>
      </c>
      <c r="AO46" s="158" t="n">
        <f aca="false">AO30*Deposits!$P$9</f>
        <v>0</v>
      </c>
      <c r="AP46" s="158" t="n">
        <f aca="false">AP30*Deposits!$P$9</f>
        <v>0</v>
      </c>
      <c r="AQ46" s="158" t="n">
        <f aca="false">AQ30*Deposits!$P$9</f>
        <v>0</v>
      </c>
      <c r="AR46" s="158" t="n">
        <f aca="false">AR30*Deposits!$P$9</f>
        <v>0</v>
      </c>
      <c r="AS46" s="158" t="n">
        <f aca="false">AS30*Deposits!$P$9</f>
        <v>0</v>
      </c>
      <c r="AT46" s="158" t="n">
        <f aca="false">AT30*Deposits!$P$9</f>
        <v>0</v>
      </c>
      <c r="AU46" s="158" t="n">
        <f aca="false">AU30*Deposits!$P$9</f>
        <v>0</v>
      </c>
      <c r="AV46" s="158" t="n">
        <f aca="false">AV30*Deposits!$P$9</f>
        <v>0</v>
      </c>
      <c r="AW46" s="158" t="n">
        <f aca="false">AW30*Deposits!$P$9</f>
        <v>0</v>
      </c>
      <c r="AX46" s="158" t="n">
        <f aca="false">AX30*Deposits!$P$9</f>
        <v>0</v>
      </c>
      <c r="AY46" s="158" t="n">
        <f aca="false">AY30*Deposits!$P$9</f>
        <v>0</v>
      </c>
      <c r="AZ46" s="158" t="n">
        <f aca="false">AZ30*Deposits!$P$9</f>
        <v>0</v>
      </c>
      <c r="BA46" s="158" t="n">
        <f aca="false">BA30*Deposits!$P$9</f>
        <v>0</v>
      </c>
      <c r="BB46" s="158" t="n">
        <f aca="false">BB30*Deposits!$P$9</f>
        <v>0</v>
      </c>
      <c r="BC46" s="158" t="n">
        <f aca="false">BC30*Deposits!$P$9</f>
        <v>0</v>
      </c>
      <c r="BD46" s="158" t="n">
        <f aca="false">BD30*Deposits!$P$9</f>
        <v>0</v>
      </c>
      <c r="BE46" s="158" t="n">
        <f aca="false">BE30*Deposits!$P$9</f>
        <v>0</v>
      </c>
      <c r="BF46" s="158" t="n">
        <f aca="false">BF30*Deposits!$P$9</f>
        <v>0</v>
      </c>
      <c r="BG46" s="158" t="n">
        <f aca="false">BG30*Deposits!$P$9</f>
        <v>0</v>
      </c>
      <c r="BH46" s="158" t="n">
        <f aca="false">BH30*Deposits!$P$9</f>
        <v>0</v>
      </c>
      <c r="BI46" s="158" t="n">
        <f aca="false">BI30*Deposits!$P$9</f>
        <v>0</v>
      </c>
      <c r="BJ46" s="158" t="n">
        <f aca="false">BJ30*Deposits!$P$9</f>
        <v>0</v>
      </c>
      <c r="BK46" s="158" t="n">
        <f aca="false">BK30*Deposits!$P$9</f>
        <v>0</v>
      </c>
      <c r="BL46" s="158" t="n">
        <f aca="false">BL30*Deposits!$P$9</f>
        <v>0</v>
      </c>
      <c r="BM46" s="158" t="n">
        <f aca="false">BM30*Deposits!$P$9</f>
        <v>0</v>
      </c>
      <c r="BN46" s="158" t="n">
        <f aca="false">BN30*Deposits!$P$9</f>
        <v>0</v>
      </c>
      <c r="BO46" s="158" t="n">
        <f aca="false">BO30*Deposits!$P$9</f>
        <v>0</v>
      </c>
      <c r="BP46" s="158" t="n">
        <f aca="false">BP30*Deposits!$P$9</f>
        <v>0</v>
      </c>
    </row>
    <row r="47" customFormat="false" ht="15" hidden="false" customHeight="false" outlineLevel="0" collapsed="false">
      <c r="C47" s="235" t="str">
        <f aca="false">C31</f>
        <v>Teljesítési biztosíték</v>
      </c>
      <c r="D47" s="133" t="s">
        <v>125</v>
      </c>
      <c r="E47" s="158"/>
      <c r="F47" s="158"/>
      <c r="G47" s="158" t="n">
        <f aca="false">SUM(H47:BP47)</f>
        <v>0</v>
      </c>
      <c r="H47" s="158" t="n">
        <f aca="false">H31*Deposits!$P$10</f>
        <v>0</v>
      </c>
      <c r="I47" s="158" t="n">
        <f aca="false">I31*Deposits!$P$10</f>
        <v>0</v>
      </c>
      <c r="J47" s="158" t="n">
        <f aca="false">J31*Deposits!$P$10</f>
        <v>0</v>
      </c>
      <c r="K47" s="158" t="n">
        <f aca="false">K31*Deposits!$P$10</f>
        <v>0</v>
      </c>
      <c r="L47" s="158" t="n">
        <f aca="false">L31*Deposits!$P$10</f>
        <v>0</v>
      </c>
      <c r="M47" s="158" t="n">
        <f aca="false">M31*Deposits!$P$10</f>
        <v>0</v>
      </c>
      <c r="N47" s="158" t="n">
        <f aca="false">N31*Deposits!$P$10</f>
        <v>0</v>
      </c>
      <c r="O47" s="158" t="n">
        <f aca="false">O31*Deposits!$P$10</f>
        <v>0</v>
      </c>
      <c r="P47" s="158" t="n">
        <f aca="false">P31*Deposits!$P$10</f>
        <v>0</v>
      </c>
      <c r="Q47" s="158" t="n">
        <f aca="false">Q31*Deposits!$P$10</f>
        <v>0</v>
      </c>
      <c r="R47" s="158" t="n">
        <f aca="false">R31*Deposits!$P$10</f>
        <v>0</v>
      </c>
      <c r="S47" s="158" t="n">
        <f aca="false">S31*Deposits!$P$10</f>
        <v>0</v>
      </c>
      <c r="T47" s="158" t="n">
        <f aca="false">T31*Deposits!$P$10</f>
        <v>0</v>
      </c>
      <c r="U47" s="158" t="n">
        <f aca="false">U31*Deposits!$P$10</f>
        <v>0</v>
      </c>
      <c r="V47" s="158" t="n">
        <f aca="false">V31*Deposits!$P$10</f>
        <v>0</v>
      </c>
      <c r="W47" s="158" t="n">
        <f aca="false">W31*Deposits!$P$10</f>
        <v>0</v>
      </c>
      <c r="X47" s="158" t="n">
        <f aca="false">X31*Deposits!$P$10</f>
        <v>0</v>
      </c>
      <c r="Y47" s="158" t="n">
        <f aca="false">Y31*Deposits!$P$10</f>
        <v>0</v>
      </c>
      <c r="Z47" s="158" t="n">
        <f aca="false">Z31*Deposits!$P$10</f>
        <v>0</v>
      </c>
      <c r="AA47" s="158" t="n">
        <f aca="false">AA31*Deposits!$P$10</f>
        <v>0</v>
      </c>
      <c r="AB47" s="158" t="n">
        <f aca="false">AB31*Deposits!$P$10</f>
        <v>0</v>
      </c>
      <c r="AC47" s="158" t="n">
        <f aca="false">AC31*Deposits!$P$10</f>
        <v>0</v>
      </c>
      <c r="AD47" s="158" t="n">
        <f aca="false">AD31*Deposits!$P$10</f>
        <v>0</v>
      </c>
      <c r="AE47" s="158" t="n">
        <f aca="false">AE31*Deposits!$P$10</f>
        <v>0</v>
      </c>
      <c r="AF47" s="158" t="n">
        <f aca="false">AF31*Deposits!$P$10</f>
        <v>0</v>
      </c>
      <c r="AG47" s="158" t="n">
        <f aca="false">AG31*Deposits!$P$10</f>
        <v>0</v>
      </c>
      <c r="AH47" s="158" t="n">
        <f aca="false">AH31*Deposits!$P$10</f>
        <v>0</v>
      </c>
      <c r="AI47" s="158" t="n">
        <f aca="false">AI31*Deposits!$P$10</f>
        <v>0</v>
      </c>
      <c r="AJ47" s="158" t="n">
        <f aca="false">AJ31*Deposits!$P$10</f>
        <v>0</v>
      </c>
      <c r="AK47" s="158" t="n">
        <f aca="false">AK31*Deposits!$P$10</f>
        <v>0</v>
      </c>
      <c r="AL47" s="158" t="n">
        <f aca="false">AL31*Deposits!$P$10</f>
        <v>0</v>
      </c>
      <c r="AM47" s="158" t="n">
        <f aca="false">AM31*Deposits!$P$10</f>
        <v>0</v>
      </c>
      <c r="AN47" s="158" t="n">
        <f aca="false">AN31*Deposits!$P$10</f>
        <v>0</v>
      </c>
      <c r="AO47" s="158" t="n">
        <f aca="false">AO31*Deposits!$P$10</f>
        <v>0</v>
      </c>
      <c r="AP47" s="158" t="n">
        <f aca="false">AP31*Deposits!$P$10</f>
        <v>0</v>
      </c>
      <c r="AQ47" s="158" t="n">
        <f aca="false">AQ31*Deposits!$P$10</f>
        <v>0</v>
      </c>
      <c r="AR47" s="158" t="n">
        <f aca="false">AR31*Deposits!$P$10</f>
        <v>0</v>
      </c>
      <c r="AS47" s="158" t="n">
        <f aca="false">AS31*Deposits!$P$10</f>
        <v>0</v>
      </c>
      <c r="AT47" s="158" t="n">
        <f aca="false">AT31*Deposits!$P$10</f>
        <v>0</v>
      </c>
      <c r="AU47" s="158" t="n">
        <f aca="false">AU31*Deposits!$P$10</f>
        <v>0</v>
      </c>
      <c r="AV47" s="158" t="n">
        <f aca="false">AV31*Deposits!$P$10</f>
        <v>0</v>
      </c>
      <c r="AW47" s="158" t="n">
        <f aca="false">AW31*Deposits!$P$10</f>
        <v>0</v>
      </c>
      <c r="AX47" s="158" t="n">
        <f aca="false">AX31*Deposits!$P$10</f>
        <v>0</v>
      </c>
      <c r="AY47" s="158" t="n">
        <f aca="false">AY31*Deposits!$P$10</f>
        <v>0</v>
      </c>
      <c r="AZ47" s="158" t="n">
        <f aca="false">AZ31*Deposits!$P$10</f>
        <v>0</v>
      </c>
      <c r="BA47" s="158" t="n">
        <f aca="false">BA31*Deposits!$P$10</f>
        <v>0</v>
      </c>
      <c r="BB47" s="158" t="n">
        <f aca="false">BB31*Deposits!$P$10</f>
        <v>0</v>
      </c>
      <c r="BC47" s="158" t="n">
        <f aca="false">BC31*Deposits!$P$10</f>
        <v>0</v>
      </c>
      <c r="BD47" s="158" t="n">
        <f aca="false">BD31*Deposits!$P$10</f>
        <v>0</v>
      </c>
      <c r="BE47" s="158" t="n">
        <f aca="false">BE31*Deposits!$P$10</f>
        <v>0</v>
      </c>
      <c r="BF47" s="158" t="n">
        <f aca="false">BF31*Deposits!$P$10</f>
        <v>0</v>
      </c>
      <c r="BG47" s="158" t="n">
        <f aca="false">BG31*Deposits!$P$10</f>
        <v>0</v>
      </c>
      <c r="BH47" s="158" t="n">
        <f aca="false">BH31*Deposits!$P$10</f>
        <v>0</v>
      </c>
      <c r="BI47" s="158" t="n">
        <f aca="false">BI31*Deposits!$P$10</f>
        <v>0</v>
      </c>
      <c r="BJ47" s="158" t="n">
        <f aca="false">BJ31*Deposits!$P$10</f>
        <v>0</v>
      </c>
      <c r="BK47" s="158" t="n">
        <f aca="false">BK31*Deposits!$P$10</f>
        <v>0</v>
      </c>
      <c r="BL47" s="158" t="n">
        <f aca="false">BL31*Deposits!$P$10</f>
        <v>0</v>
      </c>
      <c r="BM47" s="158" t="n">
        <f aca="false">BM31*Deposits!$P$10</f>
        <v>0</v>
      </c>
      <c r="BN47" s="158" t="n">
        <f aca="false">BN31*Deposits!$P$10</f>
        <v>0</v>
      </c>
      <c r="BO47" s="158" t="n">
        <f aca="false">BO31*Deposits!$P$10</f>
        <v>0</v>
      </c>
      <c r="BP47" s="158" t="n">
        <f aca="false">BP31*Deposits!$P$10</f>
        <v>0</v>
      </c>
    </row>
    <row r="48" customFormat="false" ht="15" hidden="false" customHeight="false" outlineLevel="0" collapsed="false">
      <c r="C48" s="235" t="str">
        <f aca="false">C32</f>
        <v>Igénybejelentési biztosíték</v>
      </c>
      <c r="D48" s="133" t="s">
        <v>125</v>
      </c>
      <c r="E48" s="158"/>
      <c r="F48" s="158"/>
      <c r="G48" s="158" t="n">
        <f aca="false">SUM(H48:BP48)</f>
        <v>1232.87671232877</v>
      </c>
      <c r="H48" s="158" t="n">
        <f aca="false">H32*Deposits!$P$11</f>
        <v>0</v>
      </c>
      <c r="I48" s="158" t="n">
        <f aca="false">I32*Deposits!$P$11</f>
        <v>0</v>
      </c>
      <c r="J48" s="158" t="n">
        <f aca="false">J32*Deposits!$P$11</f>
        <v>0</v>
      </c>
      <c r="K48" s="158" t="n">
        <f aca="false">K32*Deposits!$P$11</f>
        <v>0</v>
      </c>
      <c r="L48" s="158" t="n">
        <f aca="false">L32*Deposits!$P$11</f>
        <v>0</v>
      </c>
      <c r="M48" s="158" t="n">
        <f aca="false">M32*Deposits!$P$11</f>
        <v>1232.87671232877</v>
      </c>
      <c r="N48" s="158" t="n">
        <f aca="false">N32*Deposits!$P$11</f>
        <v>0</v>
      </c>
      <c r="O48" s="158" t="n">
        <f aca="false">O32*Deposits!$P$11</f>
        <v>0</v>
      </c>
      <c r="P48" s="158" t="n">
        <f aca="false">P32*Deposits!$P$11</f>
        <v>0</v>
      </c>
      <c r="Q48" s="158" t="n">
        <f aca="false">Q32*Deposits!$P$11</f>
        <v>0</v>
      </c>
      <c r="R48" s="158" t="n">
        <f aca="false">R32*Deposits!$P$11</f>
        <v>0</v>
      </c>
      <c r="S48" s="158" t="n">
        <f aca="false">S32*Deposits!$P$11</f>
        <v>0</v>
      </c>
      <c r="T48" s="158" t="n">
        <f aca="false">T32*Deposits!$P$11</f>
        <v>0</v>
      </c>
      <c r="U48" s="158" t="n">
        <f aca="false">U32*Deposits!$P$11</f>
        <v>0</v>
      </c>
      <c r="V48" s="158" t="n">
        <f aca="false">V32*Deposits!$P$11</f>
        <v>0</v>
      </c>
      <c r="W48" s="158" t="n">
        <f aca="false">W32*Deposits!$P$11</f>
        <v>0</v>
      </c>
      <c r="X48" s="158" t="n">
        <f aca="false">X32*Deposits!$P$11</f>
        <v>0</v>
      </c>
      <c r="Y48" s="158" t="n">
        <f aca="false">Y32*Deposits!$P$11</f>
        <v>0</v>
      </c>
      <c r="Z48" s="158" t="n">
        <f aca="false">Z32*Deposits!$P$11</f>
        <v>0</v>
      </c>
      <c r="AA48" s="158" t="n">
        <f aca="false">AA32*Deposits!$P$11</f>
        <v>0</v>
      </c>
      <c r="AB48" s="158" t="n">
        <f aca="false">AB32*Deposits!$P$11</f>
        <v>0</v>
      </c>
      <c r="AC48" s="158" t="n">
        <f aca="false">AC32*Deposits!$P$11</f>
        <v>0</v>
      </c>
      <c r="AD48" s="158" t="n">
        <f aca="false">AD32*Deposits!$P$11</f>
        <v>0</v>
      </c>
      <c r="AE48" s="158" t="n">
        <f aca="false">AE32*Deposits!$P$11</f>
        <v>0</v>
      </c>
      <c r="AF48" s="158" t="n">
        <f aca="false">AF32*Deposits!$P$11</f>
        <v>0</v>
      </c>
      <c r="AG48" s="158" t="n">
        <f aca="false">AG32*Deposits!$P$11</f>
        <v>0</v>
      </c>
      <c r="AH48" s="158" t="n">
        <f aca="false">AH32*Deposits!$P$11</f>
        <v>0</v>
      </c>
      <c r="AI48" s="158" t="n">
        <f aca="false">AI32*Deposits!$P$11</f>
        <v>0</v>
      </c>
      <c r="AJ48" s="158" t="n">
        <f aca="false">AJ32*Deposits!$P$11</f>
        <v>0</v>
      </c>
      <c r="AK48" s="158" t="n">
        <f aca="false">AK32*Deposits!$P$11</f>
        <v>0</v>
      </c>
      <c r="AL48" s="158" t="n">
        <f aca="false">AL32*Deposits!$P$11</f>
        <v>0</v>
      </c>
      <c r="AM48" s="158" t="n">
        <f aca="false">AM32*Deposits!$P$11</f>
        <v>0</v>
      </c>
      <c r="AN48" s="158" t="n">
        <f aca="false">AN32*Deposits!$P$11</f>
        <v>0</v>
      </c>
      <c r="AO48" s="158" t="n">
        <f aca="false">AO32*Deposits!$P$11</f>
        <v>0</v>
      </c>
      <c r="AP48" s="158" t="n">
        <f aca="false">AP32*Deposits!$P$11</f>
        <v>0</v>
      </c>
      <c r="AQ48" s="158" t="n">
        <f aca="false">AQ32*Deposits!$P$11</f>
        <v>0</v>
      </c>
      <c r="AR48" s="158" t="n">
        <f aca="false">AR32*Deposits!$P$11</f>
        <v>0</v>
      </c>
      <c r="AS48" s="158" t="n">
        <f aca="false">AS32*Deposits!$P$11</f>
        <v>0</v>
      </c>
      <c r="AT48" s="158" t="n">
        <f aca="false">AT32*Deposits!$P$11</f>
        <v>0</v>
      </c>
      <c r="AU48" s="158" t="n">
        <f aca="false">AU32*Deposits!$P$11</f>
        <v>0</v>
      </c>
      <c r="AV48" s="158" t="n">
        <f aca="false">AV32*Deposits!$P$11</f>
        <v>0</v>
      </c>
      <c r="AW48" s="158" t="n">
        <f aca="false">AW32*Deposits!$P$11</f>
        <v>0</v>
      </c>
      <c r="AX48" s="158" t="n">
        <f aca="false">AX32*Deposits!$P$11</f>
        <v>0</v>
      </c>
      <c r="AY48" s="158" t="n">
        <f aca="false">AY32*Deposits!$P$11</f>
        <v>0</v>
      </c>
      <c r="AZ48" s="158" t="n">
        <f aca="false">AZ32*Deposits!$P$11</f>
        <v>0</v>
      </c>
      <c r="BA48" s="158" t="n">
        <f aca="false">BA32*Deposits!$P$11</f>
        <v>0</v>
      </c>
      <c r="BB48" s="158" t="n">
        <f aca="false">BB32*Deposits!$P$11</f>
        <v>0</v>
      </c>
      <c r="BC48" s="158" t="n">
        <f aca="false">BC32*Deposits!$P$11</f>
        <v>0</v>
      </c>
      <c r="BD48" s="158" t="n">
        <f aca="false">BD32*Deposits!$P$11</f>
        <v>0</v>
      </c>
      <c r="BE48" s="158" t="n">
        <f aca="false">BE32*Deposits!$P$11</f>
        <v>0</v>
      </c>
      <c r="BF48" s="158" t="n">
        <f aca="false">BF32*Deposits!$P$11</f>
        <v>0</v>
      </c>
      <c r="BG48" s="158" t="n">
        <f aca="false">BG32*Deposits!$P$11</f>
        <v>0</v>
      </c>
      <c r="BH48" s="158" t="n">
        <f aca="false">BH32*Deposits!$P$11</f>
        <v>0</v>
      </c>
      <c r="BI48" s="158" t="n">
        <f aca="false">BI32*Deposits!$P$11</f>
        <v>0</v>
      </c>
      <c r="BJ48" s="158" t="n">
        <f aca="false">BJ32*Deposits!$P$11</f>
        <v>0</v>
      </c>
      <c r="BK48" s="158" t="n">
        <f aca="false">BK32*Deposits!$P$11</f>
        <v>0</v>
      </c>
      <c r="BL48" s="158" t="n">
        <f aca="false">BL32*Deposits!$P$11</f>
        <v>0</v>
      </c>
      <c r="BM48" s="158" t="n">
        <f aca="false">BM32*Deposits!$P$11</f>
        <v>0</v>
      </c>
      <c r="BN48" s="158" t="n">
        <f aca="false">BN32*Deposits!$P$11</f>
        <v>0</v>
      </c>
      <c r="BO48" s="158" t="n">
        <f aca="false">BO32*Deposits!$P$11</f>
        <v>0</v>
      </c>
      <c r="BP48" s="158" t="n">
        <f aca="false">BP32*Deposits!$P$11</f>
        <v>0</v>
      </c>
    </row>
    <row r="49" customFormat="false" ht="15" hidden="false" customHeight="false" outlineLevel="0" collapsed="false">
      <c r="C49" s="235" t="str">
        <f aca="false">C33</f>
        <v>Csatlakozási díj – közvetlen</v>
      </c>
      <c r="D49" s="133" t="s">
        <v>125</v>
      </c>
      <c r="E49" s="158"/>
      <c r="F49" s="158"/>
      <c r="G49" s="158" t="n">
        <f aca="false">SUM(H49:BP49)</f>
        <v>696.364115068493</v>
      </c>
      <c r="H49" s="158" t="n">
        <f aca="false">H33*Deposits!$P$12</f>
        <v>0</v>
      </c>
      <c r="I49" s="158" t="n">
        <f aca="false">I33*Deposits!$P$12</f>
        <v>0</v>
      </c>
      <c r="J49" s="158" t="n">
        <f aca="false">J33*Deposits!$P$12</f>
        <v>0</v>
      </c>
      <c r="K49" s="158" t="n">
        <f aca="false">K33*Deposits!$P$12</f>
        <v>0</v>
      </c>
      <c r="L49" s="158" t="n">
        <f aca="false">L33*Deposits!$P$12</f>
        <v>0</v>
      </c>
      <c r="M49" s="158" t="n">
        <f aca="false">M33*Deposits!$P$12</f>
        <v>0</v>
      </c>
      <c r="N49" s="158" t="n">
        <f aca="false">N33*Deposits!$P$12</f>
        <v>0</v>
      </c>
      <c r="O49" s="158" t="n">
        <f aca="false">O33*Deposits!$P$12</f>
        <v>0</v>
      </c>
      <c r="P49" s="158" t="n">
        <f aca="false">P33*Deposits!$P$12</f>
        <v>0</v>
      </c>
      <c r="Q49" s="158" t="n">
        <f aca="false">Q33*Deposits!$P$12</f>
        <v>0</v>
      </c>
      <c r="R49" s="158" t="n">
        <f aca="false">R33*Deposits!$P$12</f>
        <v>0</v>
      </c>
      <c r="S49" s="158" t="n">
        <f aca="false">S33*Deposits!$P$12</f>
        <v>0</v>
      </c>
      <c r="T49" s="158" t="n">
        <f aca="false">T33*Deposits!$P$12</f>
        <v>0</v>
      </c>
      <c r="U49" s="158" t="n">
        <f aca="false">U33*Deposits!$P$12</f>
        <v>0</v>
      </c>
      <c r="V49" s="158" t="n">
        <f aca="false">V33*Deposits!$P$12</f>
        <v>0</v>
      </c>
      <c r="W49" s="158" t="n">
        <f aca="false">W33*Deposits!$P$12</f>
        <v>0</v>
      </c>
      <c r="X49" s="158" t="n">
        <f aca="false">X33*Deposits!$P$12</f>
        <v>0</v>
      </c>
      <c r="Y49" s="158" t="n">
        <f aca="false">Y33*Deposits!$P$12</f>
        <v>0</v>
      </c>
      <c r="Z49" s="158" t="n">
        <f aca="false">Z33*Deposits!$P$12</f>
        <v>0</v>
      </c>
      <c r="AA49" s="158" t="n">
        <f aca="false">AA33*Deposits!$P$12</f>
        <v>0</v>
      </c>
      <c r="AB49" s="158" t="n">
        <f aca="false">AB33*Deposits!$P$12</f>
        <v>0</v>
      </c>
      <c r="AC49" s="158" t="n">
        <f aca="false">AC33*Deposits!$P$12</f>
        <v>0</v>
      </c>
      <c r="AD49" s="158" t="n">
        <f aca="false">AD33*Deposits!$P$12</f>
        <v>0</v>
      </c>
      <c r="AE49" s="158" t="n">
        <f aca="false">AE33*Deposits!$P$12</f>
        <v>0</v>
      </c>
      <c r="AF49" s="158" t="n">
        <f aca="false">AF33*Deposits!$P$12</f>
        <v>0</v>
      </c>
      <c r="AG49" s="158" t="n">
        <f aca="false">AG33*Deposits!$P$12</f>
        <v>0</v>
      </c>
      <c r="AH49" s="158" t="n">
        <f aca="false">AH33*Deposits!$P$12</f>
        <v>0</v>
      </c>
      <c r="AI49" s="158" t="n">
        <f aca="false">AI33*Deposits!$P$12</f>
        <v>0</v>
      </c>
      <c r="AJ49" s="158" t="n">
        <f aca="false">AJ33*Deposits!$P$12</f>
        <v>0</v>
      </c>
      <c r="AK49" s="158" t="n">
        <f aca="false">AK33*Deposits!$P$12</f>
        <v>0</v>
      </c>
      <c r="AL49" s="158" t="n">
        <f aca="false">AL33*Deposits!$P$12</f>
        <v>696.364115068493</v>
      </c>
      <c r="AM49" s="158" t="n">
        <f aca="false">AM33*Deposits!$P$12</f>
        <v>0</v>
      </c>
      <c r="AN49" s="158" t="n">
        <f aca="false">AN33*Deposits!$P$12</f>
        <v>0</v>
      </c>
      <c r="AO49" s="158" t="n">
        <f aca="false">AO33*Deposits!$P$12</f>
        <v>0</v>
      </c>
      <c r="AP49" s="158" t="n">
        <f aca="false">AP33*Deposits!$P$12</f>
        <v>0</v>
      </c>
      <c r="AQ49" s="158" t="n">
        <f aca="false">AQ33*Deposits!$P$12</f>
        <v>0</v>
      </c>
      <c r="AR49" s="158" t="n">
        <f aca="false">AR33*Deposits!$P$12</f>
        <v>0</v>
      </c>
      <c r="AS49" s="158" t="n">
        <f aca="false">AS33*Deposits!$P$12</f>
        <v>0</v>
      </c>
      <c r="AT49" s="158" t="n">
        <f aca="false">AT33*Deposits!$P$12</f>
        <v>0</v>
      </c>
      <c r="AU49" s="158" t="n">
        <f aca="false">AU33*Deposits!$P$12</f>
        <v>0</v>
      </c>
      <c r="AV49" s="158" t="n">
        <f aca="false">AV33*Deposits!$P$12</f>
        <v>0</v>
      </c>
      <c r="AW49" s="158" t="n">
        <f aca="false">AW33*Deposits!$P$12</f>
        <v>0</v>
      </c>
      <c r="AX49" s="158" t="n">
        <f aca="false">AX33*Deposits!$P$12</f>
        <v>0</v>
      </c>
      <c r="AY49" s="158" t="n">
        <f aca="false">AY33*Deposits!$P$12</f>
        <v>0</v>
      </c>
      <c r="AZ49" s="158" t="n">
        <f aca="false">AZ33*Deposits!$P$12</f>
        <v>0</v>
      </c>
      <c r="BA49" s="158" t="n">
        <f aca="false">BA33*Deposits!$P$12</f>
        <v>0</v>
      </c>
      <c r="BB49" s="158" t="n">
        <f aca="false">BB33*Deposits!$P$12</f>
        <v>0</v>
      </c>
      <c r="BC49" s="158" t="n">
        <f aca="false">BC33*Deposits!$P$12</f>
        <v>0</v>
      </c>
      <c r="BD49" s="158" t="n">
        <f aca="false">BD33*Deposits!$P$12</f>
        <v>0</v>
      </c>
      <c r="BE49" s="158" t="n">
        <f aca="false">BE33*Deposits!$P$12</f>
        <v>0</v>
      </c>
      <c r="BF49" s="158" t="n">
        <f aca="false">BF33*Deposits!$P$12</f>
        <v>0</v>
      </c>
      <c r="BG49" s="158" t="n">
        <f aca="false">BG33*Deposits!$P$12</f>
        <v>0</v>
      </c>
      <c r="BH49" s="158" t="n">
        <f aca="false">BH33*Deposits!$P$12</f>
        <v>0</v>
      </c>
      <c r="BI49" s="158" t="n">
        <f aca="false">BI33*Deposits!$P$12</f>
        <v>0</v>
      </c>
      <c r="BJ49" s="158" t="n">
        <f aca="false">BJ33*Deposits!$P$12</f>
        <v>0</v>
      </c>
      <c r="BK49" s="158" t="n">
        <f aca="false">BK33*Deposits!$P$12</f>
        <v>0</v>
      </c>
      <c r="BL49" s="158" t="n">
        <f aca="false">BL33*Deposits!$P$12</f>
        <v>0</v>
      </c>
      <c r="BM49" s="158" t="n">
        <f aca="false">BM33*Deposits!$P$12</f>
        <v>0</v>
      </c>
      <c r="BN49" s="158" t="n">
        <f aca="false">BN33*Deposits!$P$12</f>
        <v>0</v>
      </c>
      <c r="BO49" s="158" t="n">
        <f aca="false">BO33*Deposits!$P$12</f>
        <v>0</v>
      </c>
      <c r="BP49" s="158" t="n">
        <f aca="false">BP33*Deposits!$P$12</f>
        <v>0</v>
      </c>
    </row>
    <row r="50" customFormat="false" ht="15" hidden="false" customHeight="false" outlineLevel="0" collapsed="false">
      <c r="C50" s="235" t="str">
        <f aca="false">C34</f>
        <v>Kiegészítő biztosíték 1. részlet</v>
      </c>
      <c r="D50" s="133" t="s">
        <v>125</v>
      </c>
      <c r="E50" s="158"/>
      <c r="F50" s="158"/>
      <c r="G50" s="158" t="n">
        <f aca="false">SUM(H50:BP50)</f>
        <v>0</v>
      </c>
      <c r="H50" s="158" t="n">
        <f aca="false">H34*Deposits!$P$13</f>
        <v>0</v>
      </c>
      <c r="I50" s="158" t="n">
        <f aca="false">I34*Deposits!$P$13</f>
        <v>0</v>
      </c>
      <c r="J50" s="158" t="n">
        <f aca="false">J34*Deposits!$P$13</f>
        <v>0</v>
      </c>
      <c r="K50" s="158" t="n">
        <f aca="false">K34*Deposits!$P$13</f>
        <v>0</v>
      </c>
      <c r="L50" s="158" t="n">
        <f aca="false">L34*Deposits!$P$13</f>
        <v>0</v>
      </c>
      <c r="M50" s="158" t="n">
        <f aca="false">M34*Deposits!$P$13</f>
        <v>0</v>
      </c>
      <c r="N50" s="158" t="n">
        <f aca="false">N34*Deposits!$P$13</f>
        <v>0</v>
      </c>
      <c r="O50" s="158" t="n">
        <f aca="false">O34*Deposits!$P$13</f>
        <v>0</v>
      </c>
      <c r="P50" s="158" t="n">
        <f aca="false">P34*Deposits!$P$13</f>
        <v>0</v>
      </c>
      <c r="Q50" s="158" t="n">
        <f aca="false">Q34*Deposits!$P$13</f>
        <v>0</v>
      </c>
      <c r="R50" s="158" t="n">
        <f aca="false">R34*Deposits!$P$13</f>
        <v>0</v>
      </c>
      <c r="S50" s="158" t="n">
        <f aca="false">S34*Deposits!$P$13</f>
        <v>0</v>
      </c>
      <c r="T50" s="158" t="n">
        <f aca="false">T34*Deposits!$P$13</f>
        <v>0</v>
      </c>
      <c r="U50" s="158" t="n">
        <f aca="false">U34*Deposits!$P$13</f>
        <v>0</v>
      </c>
      <c r="V50" s="158" t="n">
        <f aca="false">V34*Deposits!$P$13</f>
        <v>0</v>
      </c>
      <c r="W50" s="158" t="n">
        <f aca="false">W34*Deposits!$P$13</f>
        <v>0</v>
      </c>
      <c r="X50" s="158" t="n">
        <f aca="false">X34*Deposits!$P$13</f>
        <v>0</v>
      </c>
      <c r="Y50" s="158" t="n">
        <f aca="false">Y34*Deposits!$P$13</f>
        <v>0</v>
      </c>
      <c r="Z50" s="158" t="n">
        <f aca="false">Z34*Deposits!$P$13</f>
        <v>0</v>
      </c>
      <c r="AA50" s="158" t="n">
        <f aca="false">AA34*Deposits!$P$13</f>
        <v>0</v>
      </c>
      <c r="AB50" s="158" t="n">
        <f aca="false">AB34*Deposits!$P$13</f>
        <v>0</v>
      </c>
      <c r="AC50" s="158" t="n">
        <f aca="false">AC34*Deposits!$P$13</f>
        <v>0</v>
      </c>
      <c r="AD50" s="158" t="n">
        <f aca="false">AD34*Deposits!$P$13</f>
        <v>0</v>
      </c>
      <c r="AE50" s="158" t="n">
        <f aca="false">AE34*Deposits!$P$13</f>
        <v>0</v>
      </c>
      <c r="AF50" s="158" t="n">
        <f aca="false">AF34*Deposits!$P$13</f>
        <v>0</v>
      </c>
      <c r="AG50" s="158" t="n">
        <f aca="false">AG34*Deposits!$P$13</f>
        <v>0</v>
      </c>
      <c r="AH50" s="158" t="n">
        <f aca="false">AH34*Deposits!$P$13</f>
        <v>0</v>
      </c>
      <c r="AI50" s="158" t="n">
        <f aca="false">AI34*Deposits!$P$13</f>
        <v>0</v>
      </c>
      <c r="AJ50" s="158" t="n">
        <f aca="false">AJ34*Deposits!$P$13</f>
        <v>0</v>
      </c>
      <c r="AK50" s="158" t="n">
        <f aca="false">AK34*Deposits!$P$13</f>
        <v>0</v>
      </c>
      <c r="AL50" s="158" t="n">
        <f aca="false">AL34*Deposits!$P$13</f>
        <v>0</v>
      </c>
      <c r="AM50" s="158" t="n">
        <f aca="false">AM34*Deposits!$P$13</f>
        <v>0</v>
      </c>
      <c r="AN50" s="158" t="n">
        <f aca="false">AN34*Deposits!$P$13</f>
        <v>0</v>
      </c>
      <c r="AO50" s="158" t="n">
        <f aca="false">AO34*Deposits!$P$13</f>
        <v>0</v>
      </c>
      <c r="AP50" s="158" t="n">
        <f aca="false">AP34*Deposits!$P$13</f>
        <v>0</v>
      </c>
      <c r="AQ50" s="158" t="n">
        <f aca="false">AQ34*Deposits!$P$13</f>
        <v>0</v>
      </c>
      <c r="AR50" s="158" t="n">
        <f aca="false">AR34*Deposits!$P$13</f>
        <v>0</v>
      </c>
      <c r="AS50" s="158" t="n">
        <f aca="false">AS34*Deposits!$P$13</f>
        <v>0</v>
      </c>
      <c r="AT50" s="158" t="n">
        <f aca="false">AT34*Deposits!$P$13</f>
        <v>0</v>
      </c>
      <c r="AU50" s="158" t="n">
        <f aca="false">AU34*Deposits!$P$13</f>
        <v>0</v>
      </c>
      <c r="AV50" s="158" t="n">
        <f aca="false">AV34*Deposits!$P$13</f>
        <v>0</v>
      </c>
      <c r="AW50" s="158" t="n">
        <f aca="false">AW34*Deposits!$P$13</f>
        <v>0</v>
      </c>
      <c r="AX50" s="158" t="n">
        <f aca="false">AX34*Deposits!$P$13</f>
        <v>0</v>
      </c>
      <c r="AY50" s="158" t="n">
        <f aca="false">AY34*Deposits!$P$13</f>
        <v>0</v>
      </c>
      <c r="AZ50" s="158" t="n">
        <f aca="false">AZ34*Deposits!$P$13</f>
        <v>0</v>
      </c>
      <c r="BA50" s="158" t="n">
        <f aca="false">BA34*Deposits!$P$13</f>
        <v>0</v>
      </c>
      <c r="BB50" s="158" t="n">
        <f aca="false">BB34*Deposits!$P$13</f>
        <v>0</v>
      </c>
      <c r="BC50" s="158" t="n">
        <f aca="false">BC34*Deposits!$P$13</f>
        <v>0</v>
      </c>
      <c r="BD50" s="158" t="n">
        <f aca="false">BD34*Deposits!$P$13</f>
        <v>0</v>
      </c>
      <c r="BE50" s="158" t="n">
        <f aca="false">BE34*Deposits!$P$13</f>
        <v>0</v>
      </c>
      <c r="BF50" s="158" t="n">
        <f aca="false">BF34*Deposits!$P$13</f>
        <v>0</v>
      </c>
      <c r="BG50" s="158" t="n">
        <f aca="false">BG34*Deposits!$P$13</f>
        <v>0</v>
      </c>
      <c r="BH50" s="158" t="n">
        <f aca="false">BH34*Deposits!$P$13</f>
        <v>0</v>
      </c>
      <c r="BI50" s="158" t="n">
        <f aca="false">BI34*Deposits!$P$13</f>
        <v>0</v>
      </c>
      <c r="BJ50" s="158" t="n">
        <f aca="false">BJ34*Deposits!$P$13</f>
        <v>0</v>
      </c>
      <c r="BK50" s="158" t="n">
        <f aca="false">BK34*Deposits!$P$13</f>
        <v>0</v>
      </c>
      <c r="BL50" s="158" t="n">
        <f aca="false">BL34*Deposits!$P$13</f>
        <v>0</v>
      </c>
      <c r="BM50" s="158" t="n">
        <f aca="false">BM34*Deposits!$P$13</f>
        <v>0</v>
      </c>
      <c r="BN50" s="158" t="n">
        <f aca="false">BN34*Deposits!$P$13</f>
        <v>0</v>
      </c>
      <c r="BO50" s="158" t="n">
        <f aca="false">BO34*Deposits!$P$13</f>
        <v>0</v>
      </c>
      <c r="BP50" s="158" t="n">
        <f aca="false">BP34*Deposits!$P$13</f>
        <v>0</v>
      </c>
    </row>
    <row r="51" customFormat="false" ht="15" hidden="false" customHeight="false" outlineLevel="0" collapsed="false">
      <c r="C51" s="235" t="str">
        <f aca="false">C35</f>
        <v>Kiegészítő biztosíték 2. részlet</v>
      </c>
      <c r="D51" s="133" t="s">
        <v>125</v>
      </c>
      <c r="E51" s="158"/>
      <c r="F51" s="158"/>
      <c r="G51" s="158" t="n">
        <f aca="false">SUM(H51:BP51)</f>
        <v>0</v>
      </c>
      <c r="H51" s="158" t="n">
        <f aca="false">H35*Deposits!$P$14</f>
        <v>0</v>
      </c>
      <c r="I51" s="158" t="n">
        <f aca="false">I35*Deposits!$P$14</f>
        <v>0</v>
      </c>
      <c r="J51" s="158" t="n">
        <f aca="false">J35*Deposits!$P$14</f>
        <v>0</v>
      </c>
      <c r="K51" s="158" t="n">
        <f aca="false">K35*Deposits!$P$14</f>
        <v>0</v>
      </c>
      <c r="L51" s="158" t="n">
        <f aca="false">L35*Deposits!$P$14</f>
        <v>0</v>
      </c>
      <c r="M51" s="158" t="n">
        <f aca="false">M35*Deposits!$P$14</f>
        <v>0</v>
      </c>
      <c r="N51" s="158" t="n">
        <f aca="false">N35*Deposits!$P$14</f>
        <v>0</v>
      </c>
      <c r="O51" s="158" t="n">
        <f aca="false">O35*Deposits!$P$14</f>
        <v>0</v>
      </c>
      <c r="P51" s="158" t="n">
        <f aca="false">P35*Deposits!$P$14</f>
        <v>0</v>
      </c>
      <c r="Q51" s="158" t="n">
        <f aca="false">Q35*Deposits!$P$14</f>
        <v>0</v>
      </c>
      <c r="R51" s="158" t="n">
        <f aca="false">R35*Deposits!$P$14</f>
        <v>0</v>
      </c>
      <c r="S51" s="158" t="n">
        <f aca="false">S35*Deposits!$P$14</f>
        <v>0</v>
      </c>
      <c r="T51" s="158" t="n">
        <f aca="false">T35*Deposits!$P$14</f>
        <v>0</v>
      </c>
      <c r="U51" s="158" t="n">
        <f aca="false">U35*Deposits!$P$14</f>
        <v>0</v>
      </c>
      <c r="V51" s="158" t="n">
        <f aca="false">V35*Deposits!$P$14</f>
        <v>0</v>
      </c>
      <c r="W51" s="158" t="n">
        <f aca="false">W35*Deposits!$P$14</f>
        <v>0</v>
      </c>
      <c r="X51" s="158" t="n">
        <f aca="false">X35*Deposits!$P$14</f>
        <v>0</v>
      </c>
      <c r="Y51" s="158" t="n">
        <f aca="false">Y35*Deposits!$P$14</f>
        <v>0</v>
      </c>
      <c r="Z51" s="158" t="n">
        <f aca="false">Z35*Deposits!$P$14</f>
        <v>0</v>
      </c>
      <c r="AA51" s="158" t="n">
        <f aca="false">AA35*Deposits!$P$14</f>
        <v>0</v>
      </c>
      <c r="AB51" s="158" t="n">
        <f aca="false">AB35*Deposits!$P$14</f>
        <v>0</v>
      </c>
      <c r="AC51" s="158" t="n">
        <f aca="false">AC35*Deposits!$P$14</f>
        <v>0</v>
      </c>
      <c r="AD51" s="158" t="n">
        <f aca="false">AD35*Deposits!$P$14</f>
        <v>0</v>
      </c>
      <c r="AE51" s="158" t="n">
        <f aca="false">AE35*Deposits!$P$14</f>
        <v>0</v>
      </c>
      <c r="AF51" s="158" t="n">
        <f aca="false">AF35*Deposits!$P$14</f>
        <v>0</v>
      </c>
      <c r="AG51" s="158" t="n">
        <f aca="false">AG35*Deposits!$P$14</f>
        <v>0</v>
      </c>
      <c r="AH51" s="158" t="n">
        <f aca="false">AH35*Deposits!$P$14</f>
        <v>0</v>
      </c>
      <c r="AI51" s="158" t="n">
        <f aca="false">AI35*Deposits!$P$14</f>
        <v>0</v>
      </c>
      <c r="AJ51" s="158" t="n">
        <f aca="false">AJ35*Deposits!$P$14</f>
        <v>0</v>
      </c>
      <c r="AK51" s="158" t="n">
        <f aca="false">AK35*Deposits!$P$14</f>
        <v>0</v>
      </c>
      <c r="AL51" s="158" t="n">
        <f aca="false">AL35*Deposits!$P$14</f>
        <v>0</v>
      </c>
      <c r="AM51" s="158" t="n">
        <f aca="false">AM35*Deposits!$P$14</f>
        <v>0</v>
      </c>
      <c r="AN51" s="158" t="n">
        <f aca="false">AN35*Deposits!$P$14</f>
        <v>0</v>
      </c>
      <c r="AO51" s="158" t="n">
        <f aca="false">AO35*Deposits!$P$14</f>
        <v>0</v>
      </c>
      <c r="AP51" s="158" t="n">
        <f aca="false">AP35*Deposits!$P$14</f>
        <v>0</v>
      </c>
      <c r="AQ51" s="158" t="n">
        <f aca="false">AQ35*Deposits!$P$14</f>
        <v>0</v>
      </c>
      <c r="AR51" s="158" t="n">
        <f aca="false">AR35*Deposits!$P$14</f>
        <v>0</v>
      </c>
      <c r="AS51" s="158" t="n">
        <f aca="false">AS35*Deposits!$P$14</f>
        <v>0</v>
      </c>
      <c r="AT51" s="158" t="n">
        <f aca="false">AT35*Deposits!$P$14</f>
        <v>0</v>
      </c>
      <c r="AU51" s="158" t="n">
        <f aca="false">AU35*Deposits!$P$14</f>
        <v>0</v>
      </c>
      <c r="AV51" s="158" t="n">
        <f aca="false">AV35*Deposits!$P$14</f>
        <v>0</v>
      </c>
      <c r="AW51" s="158" t="n">
        <f aca="false">AW35*Deposits!$P$14</f>
        <v>0</v>
      </c>
      <c r="AX51" s="158" t="n">
        <f aca="false">AX35*Deposits!$P$14</f>
        <v>0</v>
      </c>
      <c r="AY51" s="158" t="n">
        <f aca="false">AY35*Deposits!$P$14</f>
        <v>0</v>
      </c>
      <c r="AZ51" s="158" t="n">
        <f aca="false">AZ35*Deposits!$P$14</f>
        <v>0</v>
      </c>
      <c r="BA51" s="158" t="n">
        <f aca="false">BA35*Deposits!$P$14</f>
        <v>0</v>
      </c>
      <c r="BB51" s="158" t="n">
        <f aca="false">BB35*Deposits!$P$14</f>
        <v>0</v>
      </c>
      <c r="BC51" s="158" t="n">
        <f aca="false">BC35*Deposits!$P$14</f>
        <v>0</v>
      </c>
      <c r="BD51" s="158" t="n">
        <f aca="false">BD35*Deposits!$P$14</f>
        <v>0</v>
      </c>
      <c r="BE51" s="158" t="n">
        <f aca="false">BE35*Deposits!$P$14</f>
        <v>0</v>
      </c>
      <c r="BF51" s="158" t="n">
        <f aca="false">BF35*Deposits!$P$14</f>
        <v>0</v>
      </c>
      <c r="BG51" s="158" t="n">
        <f aca="false">BG35*Deposits!$P$14</f>
        <v>0</v>
      </c>
      <c r="BH51" s="158" t="n">
        <f aca="false">BH35*Deposits!$P$14</f>
        <v>0</v>
      </c>
      <c r="BI51" s="158" t="n">
        <f aca="false">BI35*Deposits!$P$14</f>
        <v>0</v>
      </c>
      <c r="BJ51" s="158" t="n">
        <f aca="false">BJ35*Deposits!$P$14</f>
        <v>0</v>
      </c>
      <c r="BK51" s="158" t="n">
        <f aca="false">BK35*Deposits!$P$14</f>
        <v>0</v>
      </c>
      <c r="BL51" s="158" t="n">
        <f aca="false">BL35*Deposits!$P$14</f>
        <v>0</v>
      </c>
      <c r="BM51" s="158" t="n">
        <f aca="false">BM35*Deposits!$P$14</f>
        <v>0</v>
      </c>
      <c r="BN51" s="158" t="n">
        <f aca="false">BN35*Deposits!$P$14</f>
        <v>0</v>
      </c>
      <c r="BO51" s="158" t="n">
        <f aca="false">BO35*Deposits!$P$14</f>
        <v>0</v>
      </c>
      <c r="BP51" s="158" t="n">
        <f aca="false">BP35*Deposits!$P$14</f>
        <v>0</v>
      </c>
    </row>
    <row r="52" customFormat="false" ht="15" hidden="false" customHeight="false" outlineLevel="0" collapsed="false">
      <c r="C52" s="235" t="str">
        <f aca="false">C36</f>
        <v>Kiegészítő biztosíték visszautalás építési engedély megszerzésekor</v>
      </c>
      <c r="D52" s="133" t="s">
        <v>125</v>
      </c>
      <c r="E52" s="158"/>
      <c r="F52" s="158"/>
      <c r="G52" s="158" t="n">
        <f aca="false">SUM(H52:BP52)</f>
        <v>0</v>
      </c>
      <c r="H52" s="158" t="n">
        <f aca="false">H36*Deposits!$P$15</f>
        <v>0</v>
      </c>
      <c r="I52" s="158" t="n">
        <f aca="false">I36*Deposits!$P$15</f>
        <v>0</v>
      </c>
      <c r="J52" s="158" t="n">
        <f aca="false">J36*Deposits!$P$15</f>
        <v>0</v>
      </c>
      <c r="K52" s="158" t="n">
        <f aca="false">K36*Deposits!$P$15</f>
        <v>0</v>
      </c>
      <c r="L52" s="158" t="n">
        <f aca="false">L36*Deposits!$P$15</f>
        <v>0</v>
      </c>
      <c r="M52" s="158" t="n">
        <f aca="false">M36*Deposits!$P$15</f>
        <v>0</v>
      </c>
      <c r="N52" s="158" t="n">
        <f aca="false">N36*Deposits!$P$15</f>
        <v>0</v>
      </c>
      <c r="O52" s="158" t="n">
        <f aca="false">O36*Deposits!$P$15</f>
        <v>0</v>
      </c>
      <c r="P52" s="158" t="n">
        <f aca="false">P36*Deposits!$P$15</f>
        <v>0</v>
      </c>
      <c r="Q52" s="158" t="n">
        <f aca="false">Q36*Deposits!$P$15</f>
        <v>0</v>
      </c>
      <c r="R52" s="158" t="n">
        <f aca="false">R36*Deposits!$P$15</f>
        <v>0</v>
      </c>
      <c r="S52" s="158" t="n">
        <f aca="false">S36*Deposits!$P$15</f>
        <v>0</v>
      </c>
      <c r="T52" s="158" t="n">
        <f aca="false">T36*Deposits!$P$15</f>
        <v>0</v>
      </c>
      <c r="U52" s="158" t="n">
        <f aca="false">U36*Deposits!$P$15</f>
        <v>0</v>
      </c>
      <c r="V52" s="158" t="n">
        <f aca="false">V36*Deposits!$P$15</f>
        <v>0</v>
      </c>
      <c r="W52" s="158" t="n">
        <f aca="false">W36*Deposits!$P$15</f>
        <v>0</v>
      </c>
      <c r="X52" s="158" t="n">
        <f aca="false">X36*Deposits!$P$15</f>
        <v>0</v>
      </c>
      <c r="Y52" s="158" t="n">
        <f aca="false">Y36*Deposits!$P$15</f>
        <v>0</v>
      </c>
      <c r="Z52" s="158" t="n">
        <f aca="false">Z36*Deposits!$P$15</f>
        <v>0</v>
      </c>
      <c r="AA52" s="158" t="n">
        <f aca="false">AA36*Deposits!$P$15</f>
        <v>0</v>
      </c>
      <c r="AB52" s="158" t="n">
        <f aca="false">AB36*Deposits!$P$15</f>
        <v>0</v>
      </c>
      <c r="AC52" s="158" t="n">
        <f aca="false">AC36*Deposits!$P$15</f>
        <v>0</v>
      </c>
      <c r="AD52" s="158" t="n">
        <f aca="false">AD36*Deposits!$P$15</f>
        <v>0</v>
      </c>
      <c r="AE52" s="158" t="n">
        <f aca="false">AE36*Deposits!$P$15</f>
        <v>0</v>
      </c>
      <c r="AF52" s="158" t="n">
        <f aca="false">AF36*Deposits!$P$15</f>
        <v>0</v>
      </c>
      <c r="AG52" s="158" t="n">
        <f aca="false">AG36*Deposits!$P$15</f>
        <v>0</v>
      </c>
      <c r="AH52" s="158" t="n">
        <f aca="false">AH36*Deposits!$P$15</f>
        <v>0</v>
      </c>
      <c r="AI52" s="158" t="n">
        <f aca="false">AI36*Deposits!$P$15</f>
        <v>0</v>
      </c>
      <c r="AJ52" s="158" t="n">
        <f aca="false">AJ36*Deposits!$P$15</f>
        <v>0</v>
      </c>
      <c r="AK52" s="158" t="n">
        <f aca="false">AK36*Deposits!$P$15</f>
        <v>0</v>
      </c>
      <c r="AL52" s="158" t="n">
        <f aca="false">AL36*Deposits!$P$15</f>
        <v>0</v>
      </c>
      <c r="AM52" s="158" t="n">
        <f aca="false">AM36*Deposits!$P$15</f>
        <v>0</v>
      </c>
      <c r="AN52" s="158" t="n">
        <f aca="false">AN36*Deposits!$P$15</f>
        <v>0</v>
      </c>
      <c r="AO52" s="158" t="n">
        <f aca="false">AO36*Deposits!$P$15</f>
        <v>0</v>
      </c>
      <c r="AP52" s="158" t="n">
        <f aca="false">AP36*Deposits!$P$15</f>
        <v>0</v>
      </c>
      <c r="AQ52" s="158" t="n">
        <f aca="false">AQ36*Deposits!$P$15</f>
        <v>0</v>
      </c>
      <c r="AR52" s="158" t="n">
        <f aca="false">AR36*Deposits!$P$15</f>
        <v>0</v>
      </c>
      <c r="AS52" s="158" t="n">
        <f aca="false">AS36*Deposits!$P$15</f>
        <v>0</v>
      </c>
      <c r="AT52" s="158" t="n">
        <f aca="false">AT36*Deposits!$P$15</f>
        <v>0</v>
      </c>
      <c r="AU52" s="158" t="n">
        <f aca="false">AU36*Deposits!$P$15</f>
        <v>0</v>
      </c>
      <c r="AV52" s="158" t="n">
        <f aca="false">AV36*Deposits!$P$15</f>
        <v>0</v>
      </c>
      <c r="AW52" s="158" t="n">
        <f aca="false">AW36*Deposits!$P$15</f>
        <v>0</v>
      </c>
      <c r="AX52" s="158" t="n">
        <f aca="false">AX36*Deposits!$P$15</f>
        <v>0</v>
      </c>
      <c r="AY52" s="158" t="n">
        <f aca="false">AY36*Deposits!$P$15</f>
        <v>0</v>
      </c>
      <c r="AZ52" s="158" t="n">
        <f aca="false">AZ36*Deposits!$P$15</f>
        <v>0</v>
      </c>
      <c r="BA52" s="158" t="n">
        <f aca="false">BA36*Deposits!$P$15</f>
        <v>0</v>
      </c>
      <c r="BB52" s="158" t="n">
        <f aca="false">BB36*Deposits!$P$15</f>
        <v>0</v>
      </c>
      <c r="BC52" s="158" t="n">
        <f aca="false">BC36*Deposits!$P$15</f>
        <v>0</v>
      </c>
      <c r="BD52" s="158" t="n">
        <f aca="false">BD36*Deposits!$P$15</f>
        <v>0</v>
      </c>
      <c r="BE52" s="158" t="n">
        <f aca="false">BE36*Deposits!$P$15</f>
        <v>0</v>
      </c>
      <c r="BF52" s="158" t="n">
        <f aca="false">BF36*Deposits!$P$15</f>
        <v>0</v>
      </c>
      <c r="BG52" s="158" t="n">
        <f aca="false">BG36*Deposits!$P$15</f>
        <v>0</v>
      </c>
      <c r="BH52" s="158" t="n">
        <f aca="false">BH36*Deposits!$P$15</f>
        <v>0</v>
      </c>
      <c r="BI52" s="158" t="n">
        <f aca="false">BI36*Deposits!$P$15</f>
        <v>0</v>
      </c>
      <c r="BJ52" s="158" t="n">
        <f aca="false">BJ36*Deposits!$P$15</f>
        <v>0</v>
      </c>
      <c r="BK52" s="158" t="n">
        <f aca="false">BK36*Deposits!$P$15</f>
        <v>0</v>
      </c>
      <c r="BL52" s="158" t="n">
        <f aca="false">BL36*Deposits!$P$15</f>
        <v>0</v>
      </c>
      <c r="BM52" s="158" t="n">
        <f aca="false">BM36*Deposits!$P$15</f>
        <v>0</v>
      </c>
      <c r="BN52" s="158" t="n">
        <f aca="false">BN36*Deposits!$P$15</f>
        <v>0</v>
      </c>
      <c r="BO52" s="158" t="n">
        <f aca="false">BO36*Deposits!$P$15</f>
        <v>0</v>
      </c>
      <c r="BP52" s="158" t="n">
        <f aca="false">BP36*Deposits!$P$15</f>
        <v>0</v>
      </c>
    </row>
    <row r="53" customFormat="false" ht="15" hidden="false" customHeight="false" outlineLevel="0" collapsed="false">
      <c r="C53" s="235" t="str">
        <f aca="false">C37</f>
        <v>Kiegészítő biztosíték 3. részlet</v>
      </c>
      <c r="D53" s="133" t="s">
        <v>125</v>
      </c>
      <c r="E53" s="158"/>
      <c r="F53" s="158"/>
      <c r="G53" s="158" t="n">
        <f aca="false">SUM(H53:BP53)</f>
        <v>0</v>
      </c>
      <c r="H53" s="158" t="n">
        <f aca="false">H37*Deposits!$P$16</f>
        <v>0</v>
      </c>
      <c r="I53" s="158" t="n">
        <f aca="false">I37*Deposits!$P$16</f>
        <v>0</v>
      </c>
      <c r="J53" s="158" t="n">
        <f aca="false">J37*Deposits!$P$16</f>
        <v>0</v>
      </c>
      <c r="K53" s="158" t="n">
        <f aca="false">K37*Deposits!$P$16</f>
        <v>0</v>
      </c>
      <c r="L53" s="158" t="n">
        <f aca="false">L37*Deposits!$P$16</f>
        <v>0</v>
      </c>
      <c r="M53" s="158" t="n">
        <f aca="false">M37*Deposits!$P$16</f>
        <v>0</v>
      </c>
      <c r="N53" s="158" t="n">
        <f aca="false">N37*Deposits!$P$16</f>
        <v>0</v>
      </c>
      <c r="O53" s="158" t="n">
        <f aca="false">O37*Deposits!$P$16</f>
        <v>0</v>
      </c>
      <c r="P53" s="158" t="n">
        <f aca="false">P37*Deposits!$P$16</f>
        <v>0</v>
      </c>
      <c r="Q53" s="158" t="n">
        <f aca="false">Q37*Deposits!$P$16</f>
        <v>0</v>
      </c>
      <c r="R53" s="158" t="n">
        <f aca="false">R37*Deposits!$P$16</f>
        <v>0</v>
      </c>
      <c r="S53" s="158" t="n">
        <f aca="false">S37*Deposits!$P$16</f>
        <v>0</v>
      </c>
      <c r="T53" s="158" t="n">
        <f aca="false">T37*Deposits!$P$16</f>
        <v>0</v>
      </c>
      <c r="U53" s="158" t="n">
        <f aca="false">U37*Deposits!$P$16</f>
        <v>0</v>
      </c>
      <c r="V53" s="158" t="n">
        <f aca="false">V37*Deposits!$P$16</f>
        <v>0</v>
      </c>
      <c r="W53" s="158" t="n">
        <f aca="false">W37*Deposits!$P$16</f>
        <v>0</v>
      </c>
      <c r="X53" s="158" t="n">
        <f aca="false">X37*Deposits!$P$16</f>
        <v>0</v>
      </c>
      <c r="Y53" s="158" t="n">
        <f aca="false">Y37*Deposits!$P$16</f>
        <v>0</v>
      </c>
      <c r="Z53" s="158" t="n">
        <f aca="false">Z37*Deposits!$P$16</f>
        <v>0</v>
      </c>
      <c r="AA53" s="158" t="n">
        <f aca="false">AA37*Deposits!$P$16</f>
        <v>0</v>
      </c>
      <c r="AB53" s="158" t="n">
        <f aca="false">AB37*Deposits!$P$16</f>
        <v>0</v>
      </c>
      <c r="AC53" s="158" t="n">
        <f aca="false">AC37*Deposits!$P$16</f>
        <v>0</v>
      </c>
      <c r="AD53" s="158" t="n">
        <f aca="false">AD37*Deposits!$P$16</f>
        <v>0</v>
      </c>
      <c r="AE53" s="158" t="n">
        <f aca="false">AE37*Deposits!$P$16</f>
        <v>0</v>
      </c>
      <c r="AF53" s="158" t="n">
        <f aca="false">AF37*Deposits!$P$16</f>
        <v>0</v>
      </c>
      <c r="AG53" s="158" t="n">
        <f aca="false">AG37*Deposits!$P$16</f>
        <v>0</v>
      </c>
      <c r="AH53" s="158" t="n">
        <f aca="false">AH37*Deposits!$P$16</f>
        <v>0</v>
      </c>
      <c r="AI53" s="158" t="n">
        <f aca="false">AI37*Deposits!$P$16</f>
        <v>0</v>
      </c>
      <c r="AJ53" s="158" t="n">
        <f aca="false">AJ37*Deposits!$P$16</f>
        <v>0</v>
      </c>
      <c r="AK53" s="158" t="n">
        <f aca="false">AK37*Deposits!$P$16</f>
        <v>0</v>
      </c>
      <c r="AL53" s="158" t="n">
        <f aca="false">AL37*Deposits!$P$16</f>
        <v>0</v>
      </c>
      <c r="AM53" s="158" t="n">
        <f aca="false">AM37*Deposits!$P$16</f>
        <v>0</v>
      </c>
      <c r="AN53" s="158" t="n">
        <f aca="false">AN37*Deposits!$P$16</f>
        <v>0</v>
      </c>
      <c r="AO53" s="158" t="n">
        <f aca="false">AO37*Deposits!$P$16</f>
        <v>0</v>
      </c>
      <c r="AP53" s="158" t="n">
        <f aca="false">AP37*Deposits!$P$16</f>
        <v>0</v>
      </c>
      <c r="AQ53" s="158" t="n">
        <f aca="false">AQ37*Deposits!$P$16</f>
        <v>0</v>
      </c>
      <c r="AR53" s="158" t="n">
        <f aca="false">AR37*Deposits!$P$16</f>
        <v>0</v>
      </c>
      <c r="AS53" s="158" t="n">
        <f aca="false">AS37*Deposits!$P$16</f>
        <v>0</v>
      </c>
      <c r="AT53" s="158" t="n">
        <f aca="false">AT37*Deposits!$P$16</f>
        <v>0</v>
      </c>
      <c r="AU53" s="158" t="n">
        <f aca="false">AU37*Deposits!$P$16</f>
        <v>0</v>
      </c>
      <c r="AV53" s="158" t="n">
        <f aca="false">AV37*Deposits!$P$16</f>
        <v>0</v>
      </c>
      <c r="AW53" s="158" t="n">
        <f aca="false">AW37*Deposits!$P$16</f>
        <v>0</v>
      </c>
      <c r="AX53" s="158" t="n">
        <f aca="false">AX37*Deposits!$P$16</f>
        <v>0</v>
      </c>
      <c r="AY53" s="158" t="n">
        <f aca="false">AY37*Deposits!$P$16</f>
        <v>0</v>
      </c>
      <c r="AZ53" s="158" t="n">
        <f aca="false">AZ37*Deposits!$P$16</f>
        <v>0</v>
      </c>
      <c r="BA53" s="158" t="n">
        <f aca="false">BA37*Deposits!$P$16</f>
        <v>0</v>
      </c>
      <c r="BB53" s="158" t="n">
        <f aca="false">BB37*Deposits!$P$16</f>
        <v>0</v>
      </c>
      <c r="BC53" s="158" t="n">
        <f aca="false">BC37*Deposits!$P$16</f>
        <v>0</v>
      </c>
      <c r="BD53" s="158" t="n">
        <f aca="false">BD37*Deposits!$P$16</f>
        <v>0</v>
      </c>
      <c r="BE53" s="158" t="n">
        <f aca="false">BE37*Deposits!$P$16</f>
        <v>0</v>
      </c>
      <c r="BF53" s="158" t="n">
        <f aca="false">BF37*Deposits!$P$16</f>
        <v>0</v>
      </c>
      <c r="BG53" s="158" t="n">
        <f aca="false">BG37*Deposits!$P$16</f>
        <v>0</v>
      </c>
      <c r="BH53" s="158" t="n">
        <f aca="false">BH37*Deposits!$P$16</f>
        <v>0</v>
      </c>
      <c r="BI53" s="158" t="n">
        <f aca="false">BI37*Deposits!$P$16</f>
        <v>0</v>
      </c>
      <c r="BJ53" s="158" t="n">
        <f aca="false">BJ37*Deposits!$P$16</f>
        <v>0</v>
      </c>
      <c r="BK53" s="158" t="n">
        <f aca="false">BK37*Deposits!$P$16</f>
        <v>0</v>
      </c>
      <c r="BL53" s="158" t="n">
        <f aca="false">BL37*Deposits!$P$16</f>
        <v>0</v>
      </c>
      <c r="BM53" s="158" t="n">
        <f aca="false">BM37*Deposits!$P$16</f>
        <v>0</v>
      </c>
      <c r="BN53" s="158" t="n">
        <f aca="false">BN37*Deposits!$P$16</f>
        <v>0</v>
      </c>
      <c r="BO53" s="158" t="n">
        <f aca="false">BO37*Deposits!$P$16</f>
        <v>0</v>
      </c>
      <c r="BP53" s="158" t="n">
        <f aca="false">BP37*Deposits!$P$16</f>
        <v>0</v>
      </c>
    </row>
    <row r="54" customFormat="false" ht="15" hidden="false" customHeight="false" outlineLevel="0" collapsed="false">
      <c r="C54" s="235" t="str">
        <f aca="false">C38</f>
        <v>Kiegészítő biztosíték 4. részlet</v>
      </c>
      <c r="D54" s="133" t="s">
        <v>125</v>
      </c>
      <c r="E54" s="158"/>
      <c r="F54" s="158"/>
      <c r="G54" s="158" t="n">
        <f aca="false">SUM(H54:BP54)</f>
        <v>0</v>
      </c>
      <c r="H54" s="158" t="n">
        <f aca="false">H38*Deposits!$P$17</f>
        <v>0</v>
      </c>
      <c r="I54" s="158" t="n">
        <f aca="false">I38*Deposits!$P$17</f>
        <v>0</v>
      </c>
      <c r="J54" s="158" t="n">
        <f aca="false">J38*Deposits!$P$17</f>
        <v>0</v>
      </c>
      <c r="K54" s="158" t="n">
        <f aca="false">K38*Deposits!$P$17</f>
        <v>0</v>
      </c>
      <c r="L54" s="158" t="n">
        <f aca="false">L38*Deposits!$P$17</f>
        <v>0</v>
      </c>
      <c r="M54" s="158" t="n">
        <f aca="false">M38*Deposits!$P$17</f>
        <v>0</v>
      </c>
      <c r="N54" s="158" t="n">
        <f aca="false">N38*Deposits!$P$17</f>
        <v>0</v>
      </c>
      <c r="O54" s="158" t="n">
        <f aca="false">O38*Deposits!$P$17</f>
        <v>0</v>
      </c>
      <c r="P54" s="158" t="n">
        <f aca="false">P38*Deposits!$P$17</f>
        <v>0</v>
      </c>
      <c r="Q54" s="158" t="n">
        <f aca="false">Q38*Deposits!$P$17</f>
        <v>0</v>
      </c>
      <c r="R54" s="158" t="n">
        <f aca="false">R38*Deposits!$P$17</f>
        <v>0</v>
      </c>
      <c r="S54" s="158" t="n">
        <f aca="false">S38*Deposits!$P$17</f>
        <v>0</v>
      </c>
      <c r="T54" s="158" t="n">
        <f aca="false">T38*Deposits!$P$17</f>
        <v>0</v>
      </c>
      <c r="U54" s="158" t="n">
        <f aca="false">U38*Deposits!$P$17</f>
        <v>0</v>
      </c>
      <c r="V54" s="158" t="n">
        <f aca="false">V38*Deposits!$P$17</f>
        <v>0</v>
      </c>
      <c r="W54" s="158" t="n">
        <f aca="false">W38*Deposits!$P$17</f>
        <v>0</v>
      </c>
      <c r="X54" s="158" t="n">
        <f aca="false">X38*Deposits!$P$17</f>
        <v>0</v>
      </c>
      <c r="Y54" s="158" t="n">
        <f aca="false">Y38*Deposits!$P$17</f>
        <v>0</v>
      </c>
      <c r="Z54" s="158" t="n">
        <f aca="false">Z38*Deposits!$P$17</f>
        <v>0</v>
      </c>
      <c r="AA54" s="158" t="n">
        <f aca="false">AA38*Deposits!$P$17</f>
        <v>0</v>
      </c>
      <c r="AB54" s="158" t="n">
        <f aca="false">AB38*Deposits!$P$17</f>
        <v>0</v>
      </c>
      <c r="AC54" s="158" t="n">
        <f aca="false">AC38*Deposits!$P$17</f>
        <v>0</v>
      </c>
      <c r="AD54" s="158" t="n">
        <f aca="false">AD38*Deposits!$P$17</f>
        <v>0</v>
      </c>
      <c r="AE54" s="158" t="n">
        <f aca="false">AE38*Deposits!$P$17</f>
        <v>0</v>
      </c>
      <c r="AF54" s="158" t="n">
        <f aca="false">AF38*Deposits!$P$17</f>
        <v>0</v>
      </c>
      <c r="AG54" s="158" t="n">
        <f aca="false">AG38*Deposits!$P$17</f>
        <v>0</v>
      </c>
      <c r="AH54" s="158" t="n">
        <f aca="false">AH38*Deposits!$P$17</f>
        <v>0</v>
      </c>
      <c r="AI54" s="158" t="n">
        <f aca="false">AI38*Deposits!$P$17</f>
        <v>0</v>
      </c>
      <c r="AJ54" s="158" t="n">
        <f aca="false">AJ38*Deposits!$P$17</f>
        <v>0</v>
      </c>
      <c r="AK54" s="158" t="n">
        <f aca="false">AK38*Deposits!$P$17</f>
        <v>0</v>
      </c>
      <c r="AL54" s="158" t="n">
        <f aca="false">AL38*Deposits!$P$17</f>
        <v>0</v>
      </c>
      <c r="AM54" s="158" t="n">
        <f aca="false">AM38*Deposits!$P$17</f>
        <v>0</v>
      </c>
      <c r="AN54" s="158" t="n">
        <f aca="false">AN38*Deposits!$P$17</f>
        <v>0</v>
      </c>
      <c r="AO54" s="158" t="n">
        <f aca="false">AO38*Deposits!$P$17</f>
        <v>0</v>
      </c>
      <c r="AP54" s="158" t="n">
        <f aca="false">AP38*Deposits!$P$17</f>
        <v>0</v>
      </c>
      <c r="AQ54" s="158" t="n">
        <f aca="false">AQ38*Deposits!$P$17</f>
        <v>0</v>
      </c>
      <c r="AR54" s="158" t="n">
        <f aca="false">AR38*Deposits!$P$17</f>
        <v>0</v>
      </c>
      <c r="AS54" s="158" t="n">
        <f aca="false">AS38*Deposits!$P$17</f>
        <v>0</v>
      </c>
      <c r="AT54" s="158" t="n">
        <f aca="false">AT38*Deposits!$P$17</f>
        <v>0</v>
      </c>
      <c r="AU54" s="158" t="n">
        <f aca="false">AU38*Deposits!$P$17</f>
        <v>0</v>
      </c>
      <c r="AV54" s="158" t="n">
        <f aca="false">AV38*Deposits!$P$17</f>
        <v>0</v>
      </c>
      <c r="AW54" s="158" t="n">
        <f aca="false">AW38*Deposits!$P$17</f>
        <v>0</v>
      </c>
      <c r="AX54" s="158" t="n">
        <f aca="false">AX38*Deposits!$P$17</f>
        <v>0</v>
      </c>
      <c r="AY54" s="158" t="n">
        <f aca="false">AY38*Deposits!$P$17</f>
        <v>0</v>
      </c>
      <c r="AZ54" s="158" t="n">
        <f aca="false">AZ38*Deposits!$P$17</f>
        <v>0</v>
      </c>
      <c r="BA54" s="158" t="n">
        <f aca="false">BA38*Deposits!$P$17</f>
        <v>0</v>
      </c>
      <c r="BB54" s="158" t="n">
        <f aca="false">BB38*Deposits!$P$17</f>
        <v>0</v>
      </c>
      <c r="BC54" s="158" t="n">
        <f aca="false">BC38*Deposits!$P$17</f>
        <v>0</v>
      </c>
      <c r="BD54" s="158" t="n">
        <f aca="false">BD38*Deposits!$P$17</f>
        <v>0</v>
      </c>
      <c r="BE54" s="158" t="n">
        <f aca="false">BE38*Deposits!$P$17</f>
        <v>0</v>
      </c>
      <c r="BF54" s="158" t="n">
        <f aca="false">BF38*Deposits!$P$17</f>
        <v>0</v>
      </c>
      <c r="BG54" s="158" t="n">
        <f aca="false">BG38*Deposits!$P$17</f>
        <v>0</v>
      </c>
      <c r="BH54" s="158" t="n">
        <f aca="false">BH38*Deposits!$P$17</f>
        <v>0</v>
      </c>
      <c r="BI54" s="158" t="n">
        <f aca="false">BI38*Deposits!$P$17</f>
        <v>0</v>
      </c>
      <c r="BJ54" s="158" t="n">
        <f aca="false">BJ38*Deposits!$P$17</f>
        <v>0</v>
      </c>
      <c r="BK54" s="158" t="n">
        <f aca="false">BK38*Deposits!$P$17</f>
        <v>0</v>
      </c>
      <c r="BL54" s="158" t="n">
        <f aca="false">BL38*Deposits!$P$17</f>
        <v>0</v>
      </c>
      <c r="BM54" s="158" t="n">
        <f aca="false">BM38*Deposits!$P$17</f>
        <v>0</v>
      </c>
      <c r="BN54" s="158" t="n">
        <f aca="false">BN38*Deposits!$P$17</f>
        <v>0</v>
      </c>
      <c r="BO54" s="158" t="n">
        <f aca="false">BO38*Deposits!$P$17</f>
        <v>0</v>
      </c>
      <c r="BP54" s="158" t="n">
        <f aca="false">BP38*Deposits!$P$17</f>
        <v>0</v>
      </c>
    </row>
    <row r="55" customFormat="false" ht="15" hidden="false" customHeight="false" outlineLevel="0" collapsed="false">
      <c r="C55" s="235" t="str">
        <f aca="false">C39</f>
        <v>Csatlakozási díj – becsült összeg</v>
      </c>
      <c r="D55" s="133" t="s">
        <v>125</v>
      </c>
      <c r="E55" s="158"/>
      <c r="F55" s="158"/>
      <c r="G55" s="158" t="n">
        <f aca="false">SUM(H55:BP55)</f>
        <v>18786.6591780822</v>
      </c>
      <c r="H55" s="158" t="n">
        <f aca="false">H39*Deposits!$P$18</f>
        <v>0</v>
      </c>
      <c r="I55" s="158" t="n">
        <f aca="false">I39*Deposits!$P$18</f>
        <v>0</v>
      </c>
      <c r="J55" s="158" t="n">
        <f aca="false">J39*Deposits!$P$18</f>
        <v>0</v>
      </c>
      <c r="K55" s="158" t="n">
        <f aca="false">K39*Deposits!$P$18</f>
        <v>0</v>
      </c>
      <c r="L55" s="158" t="n">
        <f aca="false">L39*Deposits!$P$18</f>
        <v>0</v>
      </c>
      <c r="M55" s="158" t="n">
        <f aca="false">M39*Deposits!$P$18</f>
        <v>0</v>
      </c>
      <c r="N55" s="158" t="n">
        <f aca="false">N39*Deposits!$P$18</f>
        <v>0</v>
      </c>
      <c r="O55" s="158" t="n">
        <f aca="false">O39*Deposits!$P$18</f>
        <v>0</v>
      </c>
      <c r="P55" s="158" t="n">
        <f aca="false">P39*Deposits!$P$18</f>
        <v>0</v>
      </c>
      <c r="Q55" s="158" t="n">
        <f aca="false">Q39*Deposits!$P$18</f>
        <v>0</v>
      </c>
      <c r="R55" s="158" t="n">
        <f aca="false">R39*Deposits!$P$18</f>
        <v>0</v>
      </c>
      <c r="S55" s="158" t="n">
        <f aca="false">S39*Deposits!$P$18</f>
        <v>0</v>
      </c>
      <c r="T55" s="158" t="n">
        <f aca="false">T39*Deposits!$P$18</f>
        <v>0</v>
      </c>
      <c r="U55" s="158" t="n">
        <f aca="false">U39*Deposits!$P$18</f>
        <v>0</v>
      </c>
      <c r="V55" s="158" t="n">
        <f aca="false">V39*Deposits!$P$18</f>
        <v>0</v>
      </c>
      <c r="W55" s="158" t="n">
        <f aca="false">W39*Deposits!$P$18</f>
        <v>0</v>
      </c>
      <c r="X55" s="158" t="n">
        <f aca="false">X39*Deposits!$P$18</f>
        <v>0</v>
      </c>
      <c r="Y55" s="158" t="n">
        <f aca="false">Y39*Deposits!$P$18</f>
        <v>0</v>
      </c>
      <c r="Z55" s="158" t="n">
        <f aca="false">Z39*Deposits!$P$18</f>
        <v>0</v>
      </c>
      <c r="AA55" s="158" t="n">
        <f aca="false">AA39*Deposits!$P$18</f>
        <v>0</v>
      </c>
      <c r="AB55" s="158" t="n">
        <f aca="false">AB39*Deposits!$P$18</f>
        <v>0</v>
      </c>
      <c r="AC55" s="158" t="n">
        <f aca="false">AC39*Deposits!$P$18</f>
        <v>0</v>
      </c>
      <c r="AD55" s="158" t="n">
        <f aca="false">AD39*Deposits!$P$18</f>
        <v>0</v>
      </c>
      <c r="AE55" s="158" t="n">
        <f aca="false">AE39*Deposits!$P$18</f>
        <v>0</v>
      </c>
      <c r="AF55" s="158" t="n">
        <f aca="false">AF39*Deposits!$P$18</f>
        <v>0</v>
      </c>
      <c r="AG55" s="158" t="n">
        <f aca="false">AG39*Deposits!$P$18</f>
        <v>0</v>
      </c>
      <c r="AH55" s="158" t="n">
        <f aca="false">AH39*Deposits!$P$18</f>
        <v>0</v>
      </c>
      <c r="AI55" s="158" t="n">
        <f aca="false">AI39*Deposits!$P$18</f>
        <v>0</v>
      </c>
      <c r="AJ55" s="158" t="n">
        <f aca="false">AJ39*Deposits!$P$18</f>
        <v>0</v>
      </c>
      <c r="AK55" s="158" t="n">
        <f aca="false">AK39*Deposits!$P$18</f>
        <v>0</v>
      </c>
      <c r="AL55" s="158" t="n">
        <f aca="false">AL39*Deposits!$P$18</f>
        <v>18786.6591780822</v>
      </c>
      <c r="AM55" s="158" t="n">
        <f aca="false">AM39*Deposits!$P$18</f>
        <v>0</v>
      </c>
      <c r="AN55" s="158" t="n">
        <f aca="false">AN39*Deposits!$P$18</f>
        <v>0</v>
      </c>
      <c r="AO55" s="158" t="n">
        <f aca="false">AO39*Deposits!$P$18</f>
        <v>0</v>
      </c>
      <c r="AP55" s="158" t="n">
        <f aca="false">AP39*Deposits!$P$18</f>
        <v>0</v>
      </c>
      <c r="AQ55" s="158" t="n">
        <f aca="false">AQ39*Deposits!$P$18</f>
        <v>0</v>
      </c>
      <c r="AR55" s="158" t="n">
        <f aca="false">AR39*Deposits!$P$18</f>
        <v>0</v>
      </c>
      <c r="AS55" s="158" t="n">
        <f aca="false">AS39*Deposits!$P$18</f>
        <v>0</v>
      </c>
      <c r="AT55" s="158" t="n">
        <f aca="false">AT39*Deposits!$P$18</f>
        <v>0</v>
      </c>
      <c r="AU55" s="158" t="n">
        <f aca="false">AU39*Deposits!$P$18</f>
        <v>0</v>
      </c>
      <c r="AV55" s="158" t="n">
        <f aca="false">AV39*Deposits!$P$18</f>
        <v>0</v>
      </c>
      <c r="AW55" s="158" t="n">
        <f aca="false">AW39*Deposits!$P$18</f>
        <v>0</v>
      </c>
      <c r="AX55" s="158" t="n">
        <f aca="false">AX39*Deposits!$P$18</f>
        <v>0</v>
      </c>
      <c r="AY55" s="158" t="n">
        <f aca="false">AY39*Deposits!$P$18</f>
        <v>0</v>
      </c>
      <c r="AZ55" s="158" t="n">
        <f aca="false">AZ39*Deposits!$P$18</f>
        <v>0</v>
      </c>
      <c r="BA55" s="158" t="n">
        <f aca="false">BA39*Deposits!$P$18</f>
        <v>0</v>
      </c>
      <c r="BB55" s="158" t="n">
        <f aca="false">BB39*Deposits!$P$18</f>
        <v>0</v>
      </c>
      <c r="BC55" s="158" t="n">
        <f aca="false">BC39*Deposits!$P$18</f>
        <v>0</v>
      </c>
      <c r="BD55" s="158" t="n">
        <f aca="false">BD39*Deposits!$P$18</f>
        <v>0</v>
      </c>
      <c r="BE55" s="158" t="n">
        <f aca="false">BE39*Deposits!$P$18</f>
        <v>0</v>
      </c>
      <c r="BF55" s="158" t="n">
        <f aca="false">BF39*Deposits!$P$18</f>
        <v>0</v>
      </c>
      <c r="BG55" s="158" t="n">
        <f aca="false">BG39*Deposits!$P$18</f>
        <v>0</v>
      </c>
      <c r="BH55" s="158" t="n">
        <f aca="false">BH39*Deposits!$P$18</f>
        <v>0</v>
      </c>
      <c r="BI55" s="158" t="n">
        <f aca="false">BI39*Deposits!$P$18</f>
        <v>0</v>
      </c>
      <c r="BJ55" s="158" t="n">
        <f aca="false">BJ39*Deposits!$P$18</f>
        <v>0</v>
      </c>
      <c r="BK55" s="158" t="n">
        <f aca="false">BK39*Deposits!$P$18</f>
        <v>0</v>
      </c>
      <c r="BL55" s="158" t="n">
        <f aca="false">BL39*Deposits!$P$18</f>
        <v>0</v>
      </c>
      <c r="BM55" s="158" t="n">
        <f aca="false">BM39*Deposits!$P$18</f>
        <v>0</v>
      </c>
      <c r="BN55" s="158" t="n">
        <f aca="false">BN39*Deposits!$P$18</f>
        <v>0</v>
      </c>
      <c r="BO55" s="158" t="n">
        <f aca="false">BO39*Deposits!$P$18</f>
        <v>0</v>
      </c>
      <c r="BP55" s="158" t="n">
        <f aca="false">BP39*Deposits!$P$18</f>
        <v>0</v>
      </c>
    </row>
    <row r="56" customFormat="false" ht="15" hidden="false" customHeight="false" outlineLevel="0" collapsed="false">
      <c r="C56" s="205" t="s">
        <v>1055</v>
      </c>
      <c r="D56" s="205" t="s">
        <v>125</v>
      </c>
      <c r="E56" s="251"/>
      <c r="F56" s="251"/>
      <c r="G56" s="251" t="n">
        <f aca="false">SUM(H56:BP56)</f>
        <v>20724.1191835616</v>
      </c>
      <c r="H56" s="251" t="n">
        <f aca="false">SUM(H44:H55)</f>
        <v>0</v>
      </c>
      <c r="I56" s="251" t="n">
        <f aca="false">SUM(I44:I55)</f>
        <v>0</v>
      </c>
      <c r="J56" s="251" t="n">
        <f aca="false">SUM(J44:J55)</f>
        <v>0</v>
      </c>
      <c r="K56" s="251" t="n">
        <f aca="false">SUM(K44:K55)</f>
        <v>8.21917808219178</v>
      </c>
      <c r="L56" s="251" t="n">
        <f aca="false">SUM(L44:L55)</f>
        <v>0</v>
      </c>
      <c r="M56" s="251" t="n">
        <f aca="false">SUM(M44:M55)</f>
        <v>1232.87671232877</v>
      </c>
      <c r="N56" s="251" t="n">
        <f aca="false">SUM(N44:N55)</f>
        <v>0</v>
      </c>
      <c r="O56" s="251" t="n">
        <f aca="false">SUM(O44:O55)</f>
        <v>0</v>
      </c>
      <c r="P56" s="251" t="n">
        <f aca="false">SUM(P44:P55)</f>
        <v>0</v>
      </c>
      <c r="Q56" s="251" t="n">
        <f aca="false">SUM(Q44:Q55)</f>
        <v>0</v>
      </c>
      <c r="R56" s="251" t="n">
        <f aca="false">SUM(R44:R55)</f>
        <v>0</v>
      </c>
      <c r="S56" s="251" t="n">
        <f aca="false">SUM(S44:S55)</f>
        <v>0</v>
      </c>
      <c r="T56" s="251" t="n">
        <f aca="false">SUM(T44:T55)</f>
        <v>0</v>
      </c>
      <c r="U56" s="251" t="n">
        <f aca="false">SUM(U44:U55)</f>
        <v>0</v>
      </c>
      <c r="V56" s="251" t="n">
        <f aca="false">SUM(V44:V55)</f>
        <v>0</v>
      </c>
      <c r="W56" s="251" t="n">
        <f aca="false">SUM(W44:W55)</f>
        <v>0</v>
      </c>
      <c r="X56" s="251" t="n">
        <f aca="false">SUM(X44:X55)</f>
        <v>0</v>
      </c>
      <c r="Y56" s="251" t="n">
        <f aca="false">SUM(Y44:Y55)</f>
        <v>0</v>
      </c>
      <c r="Z56" s="251" t="n">
        <f aca="false">SUM(Z44:Z55)</f>
        <v>0</v>
      </c>
      <c r="AA56" s="251" t="n">
        <f aca="false">SUM(AA44:AA55)</f>
        <v>0</v>
      </c>
      <c r="AB56" s="251" t="n">
        <f aca="false">SUM(AB44:AB55)</f>
        <v>0</v>
      </c>
      <c r="AC56" s="251" t="n">
        <f aca="false">SUM(AC44:AC55)</f>
        <v>0</v>
      </c>
      <c r="AD56" s="251" t="n">
        <f aca="false">SUM(AD44:AD55)</f>
        <v>0</v>
      </c>
      <c r="AE56" s="251" t="n">
        <f aca="false">SUM(AE44:AE55)</f>
        <v>0</v>
      </c>
      <c r="AF56" s="251" t="n">
        <f aca="false">SUM(AF44:AF55)</f>
        <v>0</v>
      </c>
      <c r="AG56" s="251" t="n">
        <f aca="false">SUM(AG44:AG55)</f>
        <v>0</v>
      </c>
      <c r="AH56" s="251" t="n">
        <f aca="false">SUM(AH44:AH55)</f>
        <v>0</v>
      </c>
      <c r="AI56" s="251" t="n">
        <f aca="false">SUM(AI44:AI55)</f>
        <v>0</v>
      </c>
      <c r="AJ56" s="251" t="n">
        <f aca="false">SUM(AJ44:AJ55)</f>
        <v>0</v>
      </c>
      <c r="AK56" s="251" t="n">
        <f aca="false">SUM(AK44:AK55)</f>
        <v>0</v>
      </c>
      <c r="AL56" s="251" t="n">
        <f aca="false">SUM(AL44:AL55)</f>
        <v>19483.0232931507</v>
      </c>
      <c r="AM56" s="251" t="n">
        <f aca="false">SUM(AM44:AM55)</f>
        <v>0</v>
      </c>
      <c r="AN56" s="251" t="n">
        <f aca="false">SUM(AN44:AN55)</f>
        <v>0</v>
      </c>
      <c r="AO56" s="251" t="n">
        <f aca="false">SUM(AO44:AO55)</f>
        <v>0</v>
      </c>
      <c r="AP56" s="251" t="n">
        <f aca="false">SUM(AP44:AP55)</f>
        <v>0</v>
      </c>
      <c r="AQ56" s="251" t="n">
        <f aca="false">SUM(AQ44:AQ55)</f>
        <v>0</v>
      </c>
      <c r="AR56" s="251" t="n">
        <f aca="false">SUM(AR44:AR55)</f>
        <v>0</v>
      </c>
      <c r="AS56" s="251" t="n">
        <f aca="false">SUM(AS44:AS55)</f>
        <v>0</v>
      </c>
      <c r="AT56" s="251" t="n">
        <f aca="false">SUM(AT44:AT55)</f>
        <v>0</v>
      </c>
      <c r="AU56" s="251" t="n">
        <f aca="false">SUM(AU44:AU55)</f>
        <v>0</v>
      </c>
      <c r="AV56" s="251" t="n">
        <f aca="false">SUM(AV44:AV55)</f>
        <v>0</v>
      </c>
      <c r="AW56" s="251" t="n">
        <f aca="false">SUM(AW44:AW55)</f>
        <v>0</v>
      </c>
      <c r="AX56" s="251" t="n">
        <f aca="false">SUM(AX44:AX55)</f>
        <v>0</v>
      </c>
      <c r="AY56" s="251" t="n">
        <f aca="false">SUM(AY44:AY55)</f>
        <v>0</v>
      </c>
      <c r="AZ56" s="251" t="n">
        <f aca="false">SUM(AZ44:AZ55)</f>
        <v>0</v>
      </c>
      <c r="BA56" s="251" t="n">
        <f aca="false">SUM(BA44:BA55)</f>
        <v>0</v>
      </c>
      <c r="BB56" s="251" t="n">
        <f aca="false">SUM(BB44:BB55)</f>
        <v>0</v>
      </c>
      <c r="BC56" s="251" t="n">
        <f aca="false">SUM(BC44:BC55)</f>
        <v>0</v>
      </c>
      <c r="BD56" s="251" t="n">
        <f aca="false">SUM(BD44:BD55)</f>
        <v>0</v>
      </c>
      <c r="BE56" s="251" t="n">
        <f aca="false">SUM(BE44:BE55)</f>
        <v>0</v>
      </c>
      <c r="BF56" s="251" t="n">
        <f aca="false">SUM(BF44:BF55)</f>
        <v>0</v>
      </c>
      <c r="BG56" s="251" t="n">
        <f aca="false">SUM(BG44:BG55)</f>
        <v>0</v>
      </c>
      <c r="BH56" s="251" t="n">
        <f aca="false">SUM(BH44:BH55)</f>
        <v>0</v>
      </c>
      <c r="BI56" s="251" t="n">
        <f aca="false">SUM(BI44:BI55)</f>
        <v>0</v>
      </c>
      <c r="BJ56" s="251" t="n">
        <f aca="false">SUM(BJ44:BJ55)</f>
        <v>0</v>
      </c>
      <c r="BK56" s="251" t="n">
        <f aca="false">SUM(BK44:BK55)</f>
        <v>0</v>
      </c>
      <c r="BL56" s="251" t="n">
        <f aca="false">SUM(BL44:BL55)</f>
        <v>0</v>
      </c>
      <c r="BM56" s="251" t="n">
        <f aca="false">SUM(BM44:BM55)</f>
        <v>0</v>
      </c>
      <c r="BN56" s="251" t="n">
        <f aca="false">SUM(BN44:BN55)</f>
        <v>0</v>
      </c>
      <c r="BO56" s="251" t="n">
        <f aca="false">SUM(BO44:BO55)</f>
        <v>0</v>
      </c>
      <c r="BP56" s="251" t="n">
        <f aca="false">SUM(BP44:BP55)</f>
        <v>0</v>
      </c>
    </row>
    <row r="57" customFormat="false" ht="15" hidden="false" customHeight="false" outlineLevel="0" collapsed="false">
      <c r="C57" s="0" t="s">
        <v>1056</v>
      </c>
      <c r="D57" s="0" t="s">
        <v>125</v>
      </c>
      <c r="E57" s="158"/>
      <c r="F57" s="158"/>
      <c r="G57" s="158" t="n">
        <f aca="false">MAX(H57:BP57)</f>
        <v>20724.1191835616</v>
      </c>
      <c r="H57" s="158" t="n">
        <f aca="false">H56</f>
        <v>0</v>
      </c>
      <c r="I57" s="158" t="n">
        <f aca="false">H57+I56</f>
        <v>0</v>
      </c>
      <c r="J57" s="158" t="n">
        <f aca="false">I57+J56</f>
        <v>0</v>
      </c>
      <c r="K57" s="158" t="n">
        <f aca="false">J57+K56</f>
        <v>8.21917808219178</v>
      </c>
      <c r="L57" s="158" t="n">
        <f aca="false">K57+L56</f>
        <v>8.21917808219178</v>
      </c>
      <c r="M57" s="158" t="n">
        <f aca="false">L57+M56</f>
        <v>1241.09589041096</v>
      </c>
      <c r="N57" s="158" t="n">
        <f aca="false">M57+N56</f>
        <v>1241.09589041096</v>
      </c>
      <c r="O57" s="158" t="n">
        <f aca="false">N57+O56</f>
        <v>1241.09589041096</v>
      </c>
      <c r="P57" s="158" t="n">
        <f aca="false">O57+P56</f>
        <v>1241.09589041096</v>
      </c>
      <c r="Q57" s="158" t="n">
        <f aca="false">P57+Q56</f>
        <v>1241.09589041096</v>
      </c>
      <c r="R57" s="158" t="n">
        <f aca="false">Q57+R56</f>
        <v>1241.09589041096</v>
      </c>
      <c r="S57" s="158" t="n">
        <f aca="false">R57+S56</f>
        <v>1241.09589041096</v>
      </c>
      <c r="T57" s="158" t="n">
        <f aca="false">S57+T56</f>
        <v>1241.09589041096</v>
      </c>
      <c r="U57" s="158" t="n">
        <f aca="false">T57+U56</f>
        <v>1241.09589041096</v>
      </c>
      <c r="V57" s="158" t="n">
        <f aca="false">U57+V56</f>
        <v>1241.09589041096</v>
      </c>
      <c r="W57" s="158" t="n">
        <f aca="false">V57+W56</f>
        <v>1241.09589041096</v>
      </c>
      <c r="X57" s="158" t="n">
        <f aca="false">W57+X56</f>
        <v>1241.09589041096</v>
      </c>
      <c r="Y57" s="158" t="n">
        <f aca="false">X57+Y56</f>
        <v>1241.09589041096</v>
      </c>
      <c r="Z57" s="158" t="n">
        <f aca="false">Y57+Z56</f>
        <v>1241.09589041096</v>
      </c>
      <c r="AA57" s="158" t="n">
        <f aca="false">Z57+AA56</f>
        <v>1241.09589041096</v>
      </c>
      <c r="AB57" s="158" t="n">
        <f aca="false">AA57+AB56</f>
        <v>1241.09589041096</v>
      </c>
      <c r="AC57" s="158" t="n">
        <f aca="false">AB57+AC56</f>
        <v>1241.09589041096</v>
      </c>
      <c r="AD57" s="158" t="n">
        <f aca="false">AC57+AD56</f>
        <v>1241.09589041096</v>
      </c>
      <c r="AE57" s="158" t="n">
        <f aca="false">AD57+AE56</f>
        <v>1241.09589041096</v>
      </c>
      <c r="AF57" s="158" t="n">
        <f aca="false">AE57+AF56</f>
        <v>1241.09589041096</v>
      </c>
      <c r="AG57" s="158" t="n">
        <f aca="false">AF57+AG56</f>
        <v>1241.09589041096</v>
      </c>
      <c r="AH57" s="158" t="n">
        <f aca="false">AG57+AH56</f>
        <v>1241.09589041096</v>
      </c>
      <c r="AI57" s="158" t="n">
        <f aca="false">AH57+AI56</f>
        <v>1241.09589041096</v>
      </c>
      <c r="AJ57" s="158" t="n">
        <f aca="false">AI57+AJ56</f>
        <v>1241.09589041096</v>
      </c>
      <c r="AK57" s="158" t="n">
        <f aca="false">AJ57+AK56</f>
        <v>1241.09589041096</v>
      </c>
      <c r="AL57" s="158" t="n">
        <f aca="false">AK57+AL56</f>
        <v>20724.1191835616</v>
      </c>
      <c r="AM57" s="158" t="n">
        <f aca="false">AL57+AM56</f>
        <v>20724.1191835616</v>
      </c>
      <c r="AN57" s="158" t="n">
        <f aca="false">AM57+AN56</f>
        <v>20724.1191835616</v>
      </c>
      <c r="AO57" s="158" t="n">
        <f aca="false">AN57+AO56</f>
        <v>20724.1191835616</v>
      </c>
      <c r="AP57" s="158" t="n">
        <f aca="false">AO57+AP56</f>
        <v>20724.1191835616</v>
      </c>
      <c r="AQ57" s="158" t="n">
        <f aca="false">AP57+AQ56</f>
        <v>20724.1191835616</v>
      </c>
      <c r="AR57" s="158" t="n">
        <f aca="false">AQ57+AR56</f>
        <v>20724.1191835616</v>
      </c>
      <c r="AS57" s="158" t="n">
        <f aca="false">AR57+AS56</f>
        <v>20724.1191835616</v>
      </c>
      <c r="AT57" s="158" t="n">
        <f aca="false">AS57+AT56</f>
        <v>20724.1191835616</v>
      </c>
      <c r="AU57" s="158" t="n">
        <f aca="false">AT57+AU56</f>
        <v>20724.1191835616</v>
      </c>
      <c r="AV57" s="158" t="n">
        <f aca="false">AU57+AV56</f>
        <v>20724.1191835616</v>
      </c>
      <c r="AW57" s="158" t="n">
        <f aca="false">AV57+AW56</f>
        <v>20724.1191835616</v>
      </c>
      <c r="AX57" s="158" t="n">
        <f aca="false">AW57+AX56</f>
        <v>20724.1191835616</v>
      </c>
      <c r="AY57" s="158" t="n">
        <f aca="false">AX57+AY56</f>
        <v>20724.1191835616</v>
      </c>
      <c r="AZ57" s="158" t="n">
        <f aca="false">AY57+AZ56</f>
        <v>20724.1191835616</v>
      </c>
      <c r="BA57" s="158" t="n">
        <f aca="false">AZ57+BA56</f>
        <v>20724.1191835616</v>
      </c>
      <c r="BB57" s="158" t="n">
        <f aca="false">BA57+BB56</f>
        <v>20724.1191835616</v>
      </c>
      <c r="BC57" s="158" t="n">
        <f aca="false">BB57+BC56</f>
        <v>20724.1191835616</v>
      </c>
      <c r="BD57" s="158" t="n">
        <f aca="false">BC57+BD56</f>
        <v>20724.1191835616</v>
      </c>
      <c r="BE57" s="158" t="n">
        <f aca="false">BD57+BE56</f>
        <v>20724.1191835616</v>
      </c>
      <c r="BF57" s="158" t="n">
        <f aca="false">BE57+BF56</f>
        <v>20724.1191835616</v>
      </c>
      <c r="BG57" s="158" t="n">
        <f aca="false">BF57+BG56</f>
        <v>20724.1191835616</v>
      </c>
      <c r="BH57" s="158" t="n">
        <f aca="false">BG57+BH56</f>
        <v>20724.1191835616</v>
      </c>
      <c r="BI57" s="158" t="n">
        <f aca="false">BH57+BI56</f>
        <v>20724.1191835616</v>
      </c>
      <c r="BJ57" s="158" t="n">
        <f aca="false">BI57+BJ56</f>
        <v>20724.1191835616</v>
      </c>
      <c r="BK57" s="158" t="n">
        <f aca="false">BJ57+BK56</f>
        <v>20724.1191835616</v>
      </c>
      <c r="BL57" s="158" t="n">
        <f aca="false">BK57+BL56</f>
        <v>20724.1191835616</v>
      </c>
      <c r="BM57" s="158" t="n">
        <f aca="false">BL57+BM56</f>
        <v>20724.1191835616</v>
      </c>
      <c r="BN57" s="158" t="n">
        <f aca="false">BM57+BN56</f>
        <v>20724.1191835616</v>
      </c>
      <c r="BO57" s="158" t="n">
        <f aca="false">BN57+BO56</f>
        <v>20724.1191835616</v>
      </c>
      <c r="BP57" s="158" t="n">
        <f aca="false">BO57+BP56</f>
        <v>20724.1191835616</v>
      </c>
    </row>
    <row r="58" customFormat="false" ht="15" hidden="false" customHeight="false" outlineLevel="0" collapsed="false">
      <c r="E58" s="158"/>
      <c r="F58" s="158"/>
      <c r="G58" s="158"/>
      <c r="H58" s="158"/>
      <c r="I58" s="158"/>
      <c r="J58" s="158"/>
      <c r="K58" s="158"/>
      <c r="L58" s="158"/>
      <c r="M58" s="158"/>
      <c r="N58" s="158"/>
      <c r="O58" s="158"/>
      <c r="P58" s="158"/>
      <c r="Q58" s="158"/>
      <c r="R58" s="158"/>
      <c r="S58" s="158"/>
      <c r="T58" s="158"/>
      <c r="U58" s="158"/>
      <c r="V58" s="158"/>
      <c r="W58" s="158"/>
      <c r="X58" s="158"/>
      <c r="Y58" s="158"/>
      <c r="Z58" s="158"/>
      <c r="AA58" s="158"/>
      <c r="AB58" s="158"/>
      <c r="AC58" s="158"/>
      <c r="AD58" s="158"/>
      <c r="AE58" s="158"/>
      <c r="AF58" s="158"/>
      <c r="AG58" s="158"/>
      <c r="AH58" s="158"/>
      <c r="AI58" s="158"/>
      <c r="AJ58" s="158"/>
      <c r="AK58" s="158"/>
      <c r="AL58" s="158"/>
      <c r="AM58" s="158"/>
      <c r="AN58" s="158"/>
      <c r="AO58" s="158"/>
      <c r="AP58" s="158"/>
      <c r="AQ58" s="158"/>
      <c r="AR58" s="158"/>
      <c r="AS58" s="158"/>
      <c r="AT58" s="158"/>
      <c r="AU58" s="158"/>
      <c r="AV58" s="158"/>
      <c r="AW58" s="158"/>
      <c r="AX58" s="158"/>
      <c r="AY58" s="158"/>
      <c r="AZ58" s="158"/>
      <c r="BA58" s="158"/>
      <c r="BB58" s="158"/>
      <c r="BC58" s="158"/>
      <c r="BD58" s="158"/>
      <c r="BE58" s="158"/>
      <c r="BF58" s="158"/>
      <c r="BG58" s="158"/>
      <c r="BH58" s="158"/>
      <c r="BI58" s="158"/>
      <c r="BJ58" s="158"/>
      <c r="BK58" s="158"/>
      <c r="BL58" s="158"/>
      <c r="BM58" s="158"/>
      <c r="BN58" s="158"/>
      <c r="BO58" s="158"/>
      <c r="BP58" s="158"/>
    </row>
    <row r="59" customFormat="false" ht="15" hidden="false" customHeight="false" outlineLevel="0" collapsed="false">
      <c r="C59" s="136" t="s">
        <v>1057</v>
      </c>
      <c r="D59" s="136"/>
      <c r="E59" s="259"/>
      <c r="F59" s="259"/>
      <c r="G59" s="259"/>
      <c r="H59" s="259"/>
      <c r="I59" s="259"/>
      <c r="J59" s="259"/>
      <c r="K59" s="259"/>
      <c r="L59" s="259"/>
      <c r="M59" s="259"/>
      <c r="N59" s="259"/>
      <c r="O59" s="259"/>
      <c r="P59" s="259"/>
      <c r="Q59" s="259"/>
      <c r="R59" s="259"/>
      <c r="S59" s="259"/>
      <c r="T59" s="259"/>
      <c r="U59" s="259"/>
      <c r="V59" s="259"/>
      <c r="W59" s="259"/>
      <c r="X59" s="259"/>
      <c r="Y59" s="259"/>
      <c r="Z59" s="259"/>
      <c r="AA59" s="259"/>
      <c r="AB59" s="259"/>
      <c r="AC59" s="259"/>
      <c r="AD59" s="259"/>
      <c r="AE59" s="259"/>
      <c r="AF59" s="259"/>
      <c r="AG59" s="259"/>
      <c r="AH59" s="259"/>
      <c r="AI59" s="259"/>
      <c r="AJ59" s="259"/>
      <c r="AK59" s="259"/>
      <c r="AL59" s="259"/>
      <c r="AM59" s="259"/>
      <c r="AN59" s="259"/>
      <c r="AO59" s="259"/>
      <c r="AP59" s="259"/>
      <c r="AQ59" s="259"/>
      <c r="AR59" s="259"/>
      <c r="AS59" s="259"/>
      <c r="AT59" s="259"/>
      <c r="AU59" s="259"/>
      <c r="AV59" s="259"/>
      <c r="AW59" s="259"/>
      <c r="AX59" s="259"/>
      <c r="AY59" s="259"/>
      <c r="AZ59" s="259"/>
      <c r="BA59" s="259"/>
      <c r="BB59" s="259"/>
      <c r="BC59" s="259"/>
      <c r="BD59" s="259"/>
      <c r="BE59" s="259"/>
      <c r="BF59" s="259"/>
      <c r="BG59" s="259"/>
      <c r="BH59" s="259"/>
      <c r="BI59" s="259"/>
      <c r="BJ59" s="259"/>
      <c r="BK59" s="259"/>
      <c r="BL59" s="259"/>
      <c r="BM59" s="259"/>
      <c r="BN59" s="259"/>
      <c r="BO59" s="259"/>
      <c r="BP59" s="259"/>
    </row>
    <row r="60" customFormat="false" ht="15" hidden="false" customHeight="false" outlineLevel="0" collapsed="false">
      <c r="C60" s="235" t="str">
        <f aca="false">C28</f>
        <v>Részvételi díj</v>
      </c>
      <c r="D60" s="133" t="s">
        <v>125</v>
      </c>
      <c r="E60" s="158"/>
      <c r="F60" s="158"/>
      <c r="G60" s="158" t="n">
        <f aca="false">SUM(H60:BP60)</f>
        <v>0</v>
      </c>
      <c r="H60" s="158" t="n">
        <f aca="false">H28*(1-Deposits!$P$7)</f>
        <v>0</v>
      </c>
      <c r="I60" s="158" t="n">
        <f aca="false">I28*(1-Deposits!$P$7)</f>
        <v>0</v>
      </c>
      <c r="J60" s="158" t="n">
        <f aca="false">J28*(1-Deposits!$P$7)</f>
        <v>0</v>
      </c>
      <c r="K60" s="158" t="n">
        <f aca="false">K28*(1-Deposits!$P$7)</f>
        <v>0</v>
      </c>
      <c r="L60" s="158" t="n">
        <f aca="false">L28*(1-Deposits!$P$7)</f>
        <v>0</v>
      </c>
      <c r="M60" s="158" t="n">
        <f aca="false">M28*(1-Deposits!$P$7)</f>
        <v>0</v>
      </c>
      <c r="N60" s="158" t="n">
        <f aca="false">N28*(1-Deposits!$P$7)</f>
        <v>0</v>
      </c>
      <c r="O60" s="158" t="n">
        <f aca="false">O28*(1-Deposits!$P$7)</f>
        <v>0</v>
      </c>
      <c r="P60" s="158" t="n">
        <f aca="false">P28*(1-Deposits!$P$7)</f>
        <v>0</v>
      </c>
      <c r="Q60" s="158" t="n">
        <f aca="false">Q28*(1-Deposits!$P$7)</f>
        <v>0</v>
      </c>
      <c r="R60" s="158" t="n">
        <f aca="false">R28*(1-Deposits!$P$7)</f>
        <v>0</v>
      </c>
      <c r="S60" s="158" t="n">
        <f aca="false">S28*(1-Deposits!$P$7)</f>
        <v>0</v>
      </c>
      <c r="T60" s="158" t="n">
        <f aca="false">T28*(1-Deposits!$P$7)</f>
        <v>0</v>
      </c>
      <c r="U60" s="158" t="n">
        <f aca="false">U28*(1-Deposits!$P$7)</f>
        <v>0</v>
      </c>
      <c r="V60" s="158" t="n">
        <f aca="false">V28*(1-Deposits!$P$7)</f>
        <v>0</v>
      </c>
      <c r="W60" s="158" t="n">
        <f aca="false">W28*(1-Deposits!$P$7)</f>
        <v>0</v>
      </c>
      <c r="X60" s="158" t="n">
        <f aca="false">X28*(1-Deposits!$P$7)</f>
        <v>0</v>
      </c>
      <c r="Y60" s="158" t="n">
        <f aca="false">Y28*(1-Deposits!$P$7)</f>
        <v>0</v>
      </c>
      <c r="Z60" s="158" t="n">
        <f aca="false">Z28*(1-Deposits!$P$7)</f>
        <v>0</v>
      </c>
      <c r="AA60" s="158" t="n">
        <f aca="false">AA28*(1-Deposits!$P$7)</f>
        <v>0</v>
      </c>
      <c r="AB60" s="158" t="n">
        <f aca="false">AB28*(1-Deposits!$P$7)</f>
        <v>0</v>
      </c>
      <c r="AC60" s="158" t="n">
        <f aca="false">AC28*(1-Deposits!$P$7)</f>
        <v>0</v>
      </c>
      <c r="AD60" s="158" t="n">
        <f aca="false">AD28*(1-Deposits!$P$7)</f>
        <v>0</v>
      </c>
      <c r="AE60" s="158" t="n">
        <f aca="false">AE28*(1-Deposits!$P$7)</f>
        <v>0</v>
      </c>
      <c r="AF60" s="158" t="n">
        <f aca="false">AF28*(1-Deposits!$P$7)</f>
        <v>0</v>
      </c>
      <c r="AG60" s="158" t="n">
        <f aca="false">AG28*(1-Deposits!$P$7)</f>
        <v>0</v>
      </c>
      <c r="AH60" s="158" t="n">
        <f aca="false">AH28*(1-Deposits!$P$7)</f>
        <v>0</v>
      </c>
      <c r="AI60" s="158" t="n">
        <f aca="false">AI28*(1-Deposits!$P$7)</f>
        <v>0</v>
      </c>
      <c r="AJ60" s="158" t="n">
        <f aca="false">AJ28*(1-Deposits!$P$7)</f>
        <v>0</v>
      </c>
      <c r="AK60" s="158" t="n">
        <f aca="false">AK28*(1-Deposits!$P$7)</f>
        <v>0</v>
      </c>
      <c r="AL60" s="158" t="n">
        <f aca="false">AL28*(1-Deposits!$P$7)</f>
        <v>0</v>
      </c>
      <c r="AM60" s="158" t="n">
        <f aca="false">AM28*(1-Deposits!$P$7)</f>
        <v>0</v>
      </c>
      <c r="AN60" s="158" t="n">
        <f aca="false">AN28*(1-Deposits!$P$7)</f>
        <v>0</v>
      </c>
      <c r="AO60" s="158" t="n">
        <f aca="false">AO28*(1-Deposits!$P$7)</f>
        <v>0</v>
      </c>
      <c r="AP60" s="158" t="n">
        <f aca="false">AP28*(1-Deposits!$P$7)</f>
        <v>0</v>
      </c>
      <c r="AQ60" s="158" t="n">
        <f aca="false">AQ28*(1-Deposits!$P$7)</f>
        <v>0</v>
      </c>
      <c r="AR60" s="158" t="n">
        <f aca="false">AR28*(1-Deposits!$P$7)</f>
        <v>0</v>
      </c>
      <c r="AS60" s="158" t="n">
        <f aca="false">AS28*(1-Deposits!$P$7)</f>
        <v>0</v>
      </c>
      <c r="AT60" s="158" t="n">
        <f aca="false">AT28*(1-Deposits!$P$7)</f>
        <v>0</v>
      </c>
      <c r="AU60" s="158" t="n">
        <f aca="false">AU28*(1-Deposits!$P$7)</f>
        <v>0</v>
      </c>
      <c r="AV60" s="158" t="n">
        <f aca="false">AV28*(1-Deposits!$P$7)</f>
        <v>0</v>
      </c>
      <c r="AW60" s="158" t="n">
        <f aca="false">AW28*(1-Deposits!$P$7)</f>
        <v>0</v>
      </c>
      <c r="AX60" s="158" t="n">
        <f aca="false">AX28*(1-Deposits!$P$7)</f>
        <v>0</v>
      </c>
      <c r="AY60" s="158" t="n">
        <f aca="false">AY28*(1-Deposits!$P$7)</f>
        <v>0</v>
      </c>
      <c r="AZ60" s="158" t="n">
        <f aca="false">AZ28*(1-Deposits!$P$7)</f>
        <v>0</v>
      </c>
      <c r="BA60" s="158" t="n">
        <f aca="false">BA28*(1-Deposits!$P$7)</f>
        <v>0</v>
      </c>
      <c r="BB60" s="158" t="n">
        <f aca="false">BB28*(1-Deposits!$P$7)</f>
        <v>0</v>
      </c>
      <c r="BC60" s="158" t="n">
        <f aca="false">BC28*(1-Deposits!$P$7)</f>
        <v>0</v>
      </c>
      <c r="BD60" s="158" t="n">
        <f aca="false">BD28*(1-Deposits!$P$7)</f>
        <v>0</v>
      </c>
      <c r="BE60" s="158" t="n">
        <f aca="false">BE28*(1-Deposits!$P$7)</f>
        <v>0</v>
      </c>
      <c r="BF60" s="158" t="n">
        <f aca="false">BF28*(1-Deposits!$P$7)</f>
        <v>0</v>
      </c>
      <c r="BG60" s="158" t="n">
        <f aca="false">BG28*(1-Deposits!$P$7)</f>
        <v>0</v>
      </c>
      <c r="BH60" s="158" t="n">
        <f aca="false">BH28*(1-Deposits!$P$7)</f>
        <v>0</v>
      </c>
      <c r="BI60" s="158" t="n">
        <f aca="false">BI28*(1-Deposits!$P$7)</f>
        <v>0</v>
      </c>
      <c r="BJ60" s="158" t="n">
        <f aca="false">BJ28*(1-Deposits!$P$7)</f>
        <v>0</v>
      </c>
      <c r="BK60" s="158" t="n">
        <f aca="false">BK28*(1-Deposits!$P$7)</f>
        <v>0</v>
      </c>
      <c r="BL60" s="158" t="n">
        <f aca="false">BL28*(1-Deposits!$P$7)</f>
        <v>0</v>
      </c>
      <c r="BM60" s="158" t="n">
        <f aca="false">BM28*(1-Deposits!$P$7)</f>
        <v>0</v>
      </c>
      <c r="BN60" s="158" t="n">
        <f aca="false">BN28*(1-Deposits!$P$7)</f>
        <v>0</v>
      </c>
      <c r="BO60" s="158" t="n">
        <f aca="false">BO28*(1-Deposits!$P$7)</f>
        <v>0</v>
      </c>
      <c r="BP60" s="158" t="n">
        <f aca="false">BP28*(1-Deposits!$P$7)</f>
        <v>0</v>
      </c>
    </row>
    <row r="61" customFormat="false" ht="15" hidden="false" customHeight="false" outlineLevel="0" collapsed="false">
      <c r="C61" s="235" t="str">
        <f aca="false">C29</f>
        <v>Ajánlati biztosíték</v>
      </c>
      <c r="D61" s="133" t="s">
        <v>125</v>
      </c>
      <c r="E61" s="158"/>
      <c r="F61" s="158"/>
      <c r="G61" s="158" t="n">
        <f aca="false">SUM(H61:BP61)</f>
        <v>1168.57534246575</v>
      </c>
      <c r="H61" s="158" t="n">
        <f aca="false">H29*(1-Deposits!$P$8)</f>
        <v>0</v>
      </c>
      <c r="I61" s="158" t="n">
        <f aca="false">I29*(1-Deposits!$P$8)</f>
        <v>0</v>
      </c>
      <c r="J61" s="158" t="n">
        <f aca="false">J29*(1-Deposits!$P$8)</f>
        <v>0</v>
      </c>
      <c r="K61" s="158" t="n">
        <f aca="false">K29*(1-Deposits!$P$8)</f>
        <v>1168.57534246575</v>
      </c>
      <c r="L61" s="158" t="n">
        <f aca="false">L29*(1-Deposits!$P$8)</f>
        <v>0</v>
      </c>
      <c r="M61" s="158" t="n">
        <f aca="false">M29*(1-Deposits!$P$8)</f>
        <v>0</v>
      </c>
      <c r="N61" s="158" t="n">
        <f aca="false">N29*(1-Deposits!$P$8)</f>
        <v>0</v>
      </c>
      <c r="O61" s="158" t="n">
        <f aca="false">O29*(1-Deposits!$P$8)</f>
        <v>0</v>
      </c>
      <c r="P61" s="158" t="n">
        <f aca="false">P29*(1-Deposits!$P$8)</f>
        <v>0</v>
      </c>
      <c r="Q61" s="158" t="n">
        <f aca="false">Q29*(1-Deposits!$P$8)</f>
        <v>0</v>
      </c>
      <c r="R61" s="158" t="n">
        <f aca="false">R29*(1-Deposits!$P$8)</f>
        <v>0</v>
      </c>
      <c r="S61" s="158" t="n">
        <f aca="false">S29*(1-Deposits!$P$8)</f>
        <v>0</v>
      </c>
      <c r="T61" s="158" t="n">
        <f aca="false">T29*(1-Deposits!$P$8)</f>
        <v>0</v>
      </c>
      <c r="U61" s="158" t="n">
        <f aca="false">U29*(1-Deposits!$P$8)</f>
        <v>0</v>
      </c>
      <c r="V61" s="158" t="n">
        <f aca="false">V29*(1-Deposits!$P$8)</f>
        <v>0</v>
      </c>
      <c r="W61" s="158" t="n">
        <f aca="false">W29*(1-Deposits!$P$8)</f>
        <v>0</v>
      </c>
      <c r="X61" s="158" t="n">
        <f aca="false">X29*(1-Deposits!$P$8)</f>
        <v>0</v>
      </c>
      <c r="Y61" s="158" t="n">
        <f aca="false">Y29*(1-Deposits!$P$8)</f>
        <v>0</v>
      </c>
      <c r="Z61" s="158" t="n">
        <f aca="false">Z29*(1-Deposits!$P$8)</f>
        <v>0</v>
      </c>
      <c r="AA61" s="158" t="n">
        <f aca="false">AA29*(1-Deposits!$P$8)</f>
        <v>0</v>
      </c>
      <c r="AB61" s="158" t="n">
        <f aca="false">AB29*(1-Deposits!$P$8)</f>
        <v>0</v>
      </c>
      <c r="AC61" s="158" t="n">
        <f aca="false">AC29*(1-Deposits!$P$8)</f>
        <v>0</v>
      </c>
      <c r="AD61" s="158" t="n">
        <f aca="false">AD29*(1-Deposits!$P$8)</f>
        <v>0</v>
      </c>
      <c r="AE61" s="158" t="n">
        <f aca="false">AE29*(1-Deposits!$P$8)</f>
        <v>0</v>
      </c>
      <c r="AF61" s="158" t="n">
        <f aca="false">AF29*(1-Deposits!$P$8)</f>
        <v>0</v>
      </c>
      <c r="AG61" s="158" t="n">
        <f aca="false">AG29*(1-Deposits!$P$8)</f>
        <v>0</v>
      </c>
      <c r="AH61" s="158" t="n">
        <f aca="false">AH29*(1-Deposits!$P$8)</f>
        <v>0</v>
      </c>
      <c r="AI61" s="158" t="n">
        <f aca="false">AI29*(1-Deposits!$P$8)</f>
        <v>0</v>
      </c>
      <c r="AJ61" s="158" t="n">
        <f aca="false">AJ29*(1-Deposits!$P$8)</f>
        <v>0</v>
      </c>
      <c r="AK61" s="158" t="n">
        <f aca="false">AK29*(1-Deposits!$P$8)</f>
        <v>0</v>
      </c>
      <c r="AL61" s="158" t="n">
        <f aca="false">AL29*(1-Deposits!$P$8)</f>
        <v>0</v>
      </c>
      <c r="AM61" s="158" t="n">
        <f aca="false">AM29*(1-Deposits!$P$8)</f>
        <v>0</v>
      </c>
      <c r="AN61" s="158" t="n">
        <f aca="false">AN29*(1-Deposits!$P$8)</f>
        <v>0</v>
      </c>
      <c r="AO61" s="158" t="n">
        <f aca="false">AO29*(1-Deposits!$P$8)</f>
        <v>0</v>
      </c>
      <c r="AP61" s="158" t="n">
        <f aca="false">AP29*(1-Deposits!$P$8)</f>
        <v>0</v>
      </c>
      <c r="AQ61" s="158" t="n">
        <f aca="false">AQ29*(1-Deposits!$P$8)</f>
        <v>0</v>
      </c>
      <c r="AR61" s="158" t="n">
        <f aca="false">AR29*(1-Deposits!$P$8)</f>
        <v>0</v>
      </c>
      <c r="AS61" s="158" t="n">
        <f aca="false">AS29*(1-Deposits!$P$8)</f>
        <v>0</v>
      </c>
      <c r="AT61" s="158" t="n">
        <f aca="false">AT29*(1-Deposits!$P$8)</f>
        <v>0</v>
      </c>
      <c r="AU61" s="158" t="n">
        <f aca="false">AU29*(1-Deposits!$P$8)</f>
        <v>0</v>
      </c>
      <c r="AV61" s="158" t="n">
        <f aca="false">AV29*(1-Deposits!$P$8)</f>
        <v>0</v>
      </c>
      <c r="AW61" s="158" t="n">
        <f aca="false">AW29*(1-Deposits!$P$8)</f>
        <v>0</v>
      </c>
      <c r="AX61" s="158" t="n">
        <f aca="false">AX29*(1-Deposits!$P$8)</f>
        <v>0</v>
      </c>
      <c r="AY61" s="158" t="n">
        <f aca="false">AY29*(1-Deposits!$P$8)</f>
        <v>0</v>
      </c>
      <c r="AZ61" s="158" t="n">
        <f aca="false">AZ29*(1-Deposits!$P$8)</f>
        <v>0</v>
      </c>
      <c r="BA61" s="158" t="n">
        <f aca="false">BA29*(1-Deposits!$P$8)</f>
        <v>0</v>
      </c>
      <c r="BB61" s="158" t="n">
        <f aca="false">BB29*(1-Deposits!$P$8)</f>
        <v>0</v>
      </c>
      <c r="BC61" s="158" t="n">
        <f aca="false">BC29*(1-Deposits!$P$8)</f>
        <v>0</v>
      </c>
      <c r="BD61" s="158" t="n">
        <f aca="false">BD29*(1-Deposits!$P$8)</f>
        <v>0</v>
      </c>
      <c r="BE61" s="158" t="n">
        <f aca="false">BE29*(1-Deposits!$P$8)</f>
        <v>0</v>
      </c>
      <c r="BF61" s="158" t="n">
        <f aca="false">BF29*(1-Deposits!$P$8)</f>
        <v>0</v>
      </c>
      <c r="BG61" s="158" t="n">
        <f aca="false">BG29*(1-Deposits!$P$8)</f>
        <v>0</v>
      </c>
      <c r="BH61" s="158" t="n">
        <f aca="false">BH29*(1-Deposits!$P$8)</f>
        <v>0</v>
      </c>
      <c r="BI61" s="158" t="n">
        <f aca="false">BI29*(1-Deposits!$P$8)</f>
        <v>0</v>
      </c>
      <c r="BJ61" s="158" t="n">
        <f aca="false">BJ29*(1-Deposits!$P$8)</f>
        <v>0</v>
      </c>
      <c r="BK61" s="158" t="n">
        <f aca="false">BK29*(1-Deposits!$P$8)</f>
        <v>0</v>
      </c>
      <c r="BL61" s="158" t="n">
        <f aca="false">BL29*(1-Deposits!$P$8)</f>
        <v>0</v>
      </c>
      <c r="BM61" s="158" t="n">
        <f aca="false">BM29*(1-Deposits!$P$8)</f>
        <v>0</v>
      </c>
      <c r="BN61" s="158" t="n">
        <f aca="false">BN29*(1-Deposits!$P$8)</f>
        <v>0</v>
      </c>
      <c r="BO61" s="158" t="n">
        <f aca="false">BO29*(1-Deposits!$P$8)</f>
        <v>0</v>
      </c>
      <c r="BP61" s="158" t="n">
        <f aca="false">BP29*(1-Deposits!$P$8)</f>
        <v>0</v>
      </c>
    </row>
    <row r="62" customFormat="false" ht="15" hidden="false" customHeight="false" outlineLevel="0" collapsed="false">
      <c r="C62" s="235" t="str">
        <f aca="false">C30</f>
        <v>Ajánlati biztosíték visszatérítés – sikertelen kapacitás</v>
      </c>
      <c r="D62" s="133" t="s">
        <v>125</v>
      </c>
      <c r="E62" s="158"/>
      <c r="F62" s="158"/>
      <c r="G62" s="158" t="n">
        <f aca="false">SUM(H62:BP62)</f>
        <v>0</v>
      </c>
      <c r="H62" s="158" t="n">
        <f aca="false">H30*(1-Deposits!$P$9)</f>
        <v>0</v>
      </c>
      <c r="I62" s="158" t="n">
        <f aca="false">I30*(1-Deposits!$P$9)</f>
        <v>0</v>
      </c>
      <c r="J62" s="158" t="n">
        <f aca="false">J30*(1-Deposits!$P$9)</f>
        <v>0</v>
      </c>
      <c r="K62" s="158" t="n">
        <f aca="false">K30*(1-Deposits!$P$9)</f>
        <v>0</v>
      </c>
      <c r="L62" s="158" t="n">
        <f aca="false">L30*(1-Deposits!$P$9)</f>
        <v>0</v>
      </c>
      <c r="M62" s="158" t="n">
        <f aca="false">M30*(1-Deposits!$P$9)</f>
        <v>0</v>
      </c>
      <c r="N62" s="158" t="n">
        <f aca="false">N30*(1-Deposits!$P$9)</f>
        <v>0</v>
      </c>
      <c r="O62" s="158" t="n">
        <f aca="false">O30*(1-Deposits!$P$9)</f>
        <v>0</v>
      </c>
      <c r="P62" s="158" t="n">
        <f aca="false">P30*(1-Deposits!$P$9)</f>
        <v>0</v>
      </c>
      <c r="Q62" s="158" t="n">
        <f aca="false">Q30*(1-Deposits!$P$9)</f>
        <v>0</v>
      </c>
      <c r="R62" s="158" t="n">
        <f aca="false">R30*(1-Deposits!$P$9)</f>
        <v>0</v>
      </c>
      <c r="S62" s="158" t="n">
        <f aca="false">S30*(1-Deposits!$P$9)</f>
        <v>0</v>
      </c>
      <c r="T62" s="158" t="n">
        <f aca="false">T30*(1-Deposits!$P$9)</f>
        <v>0</v>
      </c>
      <c r="U62" s="158" t="n">
        <f aca="false">U30*(1-Deposits!$P$9)</f>
        <v>0</v>
      </c>
      <c r="V62" s="158" t="n">
        <f aca="false">V30*(1-Deposits!$P$9)</f>
        <v>0</v>
      </c>
      <c r="W62" s="158" t="n">
        <f aca="false">W30*(1-Deposits!$P$9)</f>
        <v>0</v>
      </c>
      <c r="X62" s="158" t="n">
        <f aca="false">X30*(1-Deposits!$P$9)</f>
        <v>0</v>
      </c>
      <c r="Y62" s="158" t="n">
        <f aca="false">Y30*(1-Deposits!$P$9)</f>
        <v>0</v>
      </c>
      <c r="Z62" s="158" t="n">
        <f aca="false">Z30*(1-Deposits!$P$9)</f>
        <v>0</v>
      </c>
      <c r="AA62" s="158" t="n">
        <f aca="false">AA30*(1-Deposits!$P$9)</f>
        <v>0</v>
      </c>
      <c r="AB62" s="158" t="n">
        <f aca="false">AB30*(1-Deposits!$P$9)</f>
        <v>0</v>
      </c>
      <c r="AC62" s="158" t="n">
        <f aca="false">AC30*(1-Deposits!$P$9)</f>
        <v>0</v>
      </c>
      <c r="AD62" s="158" t="n">
        <f aca="false">AD30*(1-Deposits!$P$9)</f>
        <v>0</v>
      </c>
      <c r="AE62" s="158" t="n">
        <f aca="false">AE30*(1-Deposits!$P$9)</f>
        <v>0</v>
      </c>
      <c r="AF62" s="158" t="n">
        <f aca="false">AF30*(1-Deposits!$P$9)</f>
        <v>0</v>
      </c>
      <c r="AG62" s="158" t="n">
        <f aca="false">AG30*(1-Deposits!$P$9)</f>
        <v>0</v>
      </c>
      <c r="AH62" s="158" t="n">
        <f aca="false">AH30*(1-Deposits!$P$9)</f>
        <v>0</v>
      </c>
      <c r="AI62" s="158" t="n">
        <f aca="false">AI30*(1-Deposits!$P$9)</f>
        <v>0</v>
      </c>
      <c r="AJ62" s="158" t="n">
        <f aca="false">AJ30*(1-Deposits!$P$9)</f>
        <v>0</v>
      </c>
      <c r="AK62" s="158" t="n">
        <f aca="false">AK30*(1-Deposits!$P$9)</f>
        <v>0</v>
      </c>
      <c r="AL62" s="158" t="n">
        <f aca="false">AL30*(1-Deposits!$P$9)</f>
        <v>0</v>
      </c>
      <c r="AM62" s="158" t="n">
        <f aca="false">AM30*(1-Deposits!$P$9)</f>
        <v>0</v>
      </c>
      <c r="AN62" s="158" t="n">
        <f aca="false">AN30*(1-Deposits!$P$9)</f>
        <v>0</v>
      </c>
      <c r="AO62" s="158" t="n">
        <f aca="false">AO30*(1-Deposits!$P$9)</f>
        <v>0</v>
      </c>
      <c r="AP62" s="158" t="n">
        <f aca="false">AP30*(1-Deposits!$P$9)</f>
        <v>0</v>
      </c>
      <c r="AQ62" s="158" t="n">
        <f aca="false">AQ30*(1-Deposits!$P$9)</f>
        <v>0</v>
      </c>
      <c r="AR62" s="158" t="n">
        <f aca="false">AR30*(1-Deposits!$P$9)</f>
        <v>0</v>
      </c>
      <c r="AS62" s="158" t="n">
        <f aca="false">AS30*(1-Deposits!$P$9)</f>
        <v>0</v>
      </c>
      <c r="AT62" s="158" t="n">
        <f aca="false">AT30*(1-Deposits!$P$9)</f>
        <v>0</v>
      </c>
      <c r="AU62" s="158" t="n">
        <f aca="false">AU30*(1-Deposits!$P$9)</f>
        <v>0</v>
      </c>
      <c r="AV62" s="158" t="n">
        <f aca="false">AV30*(1-Deposits!$P$9)</f>
        <v>0</v>
      </c>
      <c r="AW62" s="158" t="n">
        <f aca="false">AW30*(1-Deposits!$P$9)</f>
        <v>0</v>
      </c>
      <c r="AX62" s="158" t="n">
        <f aca="false">AX30*(1-Deposits!$P$9)</f>
        <v>0</v>
      </c>
      <c r="AY62" s="158" t="n">
        <f aca="false">AY30*(1-Deposits!$P$9)</f>
        <v>0</v>
      </c>
      <c r="AZ62" s="158" t="n">
        <f aca="false">AZ30*(1-Deposits!$P$9)</f>
        <v>0</v>
      </c>
      <c r="BA62" s="158" t="n">
        <f aca="false">BA30*(1-Deposits!$P$9)</f>
        <v>0</v>
      </c>
      <c r="BB62" s="158" t="n">
        <f aca="false">BB30*(1-Deposits!$P$9)</f>
        <v>0</v>
      </c>
      <c r="BC62" s="158" t="n">
        <f aca="false">BC30*(1-Deposits!$P$9)</f>
        <v>0</v>
      </c>
      <c r="BD62" s="158" t="n">
        <f aca="false">BD30*(1-Deposits!$P$9)</f>
        <v>0</v>
      </c>
      <c r="BE62" s="158" t="n">
        <f aca="false">BE30*(1-Deposits!$P$9)</f>
        <v>0</v>
      </c>
      <c r="BF62" s="158" t="n">
        <f aca="false">BF30*(1-Deposits!$P$9)</f>
        <v>0</v>
      </c>
      <c r="BG62" s="158" t="n">
        <f aca="false">BG30*(1-Deposits!$P$9)</f>
        <v>0</v>
      </c>
      <c r="BH62" s="158" t="n">
        <f aca="false">BH30*(1-Deposits!$P$9)</f>
        <v>0</v>
      </c>
      <c r="BI62" s="158" t="n">
        <f aca="false">BI30*(1-Deposits!$P$9)</f>
        <v>0</v>
      </c>
      <c r="BJ62" s="158" t="n">
        <f aca="false">BJ30*(1-Deposits!$P$9)</f>
        <v>0</v>
      </c>
      <c r="BK62" s="158" t="n">
        <f aca="false">BK30*(1-Deposits!$P$9)</f>
        <v>0</v>
      </c>
      <c r="BL62" s="158" t="n">
        <f aca="false">BL30*(1-Deposits!$P$9)</f>
        <v>0</v>
      </c>
      <c r="BM62" s="158" t="n">
        <f aca="false">BM30*(1-Deposits!$P$9)</f>
        <v>0</v>
      </c>
      <c r="BN62" s="158" t="n">
        <f aca="false">BN30*(1-Deposits!$P$9)</f>
        <v>0</v>
      </c>
      <c r="BO62" s="158" t="n">
        <f aca="false">BO30*(1-Deposits!$P$9)</f>
        <v>0</v>
      </c>
      <c r="BP62" s="158" t="n">
        <f aca="false">BP30*(1-Deposits!$P$9)</f>
        <v>0</v>
      </c>
    </row>
    <row r="63" customFormat="false" ht="15" hidden="false" customHeight="false" outlineLevel="0" collapsed="false">
      <c r="C63" s="235" t="str">
        <f aca="false">C31</f>
        <v>Teljesítési biztosíték</v>
      </c>
      <c r="D63" s="133" t="s">
        <v>125</v>
      </c>
      <c r="E63" s="158"/>
      <c r="F63" s="158"/>
      <c r="G63" s="158" t="n">
        <f aca="false">SUM(H63:BP63)</f>
        <v>4674.30136986302</v>
      </c>
      <c r="H63" s="158" t="n">
        <f aca="false">H31*(1-Deposits!$P$10)</f>
        <v>0</v>
      </c>
      <c r="I63" s="158" t="n">
        <f aca="false">I31*(1-Deposits!$P$10)</f>
        <v>0</v>
      </c>
      <c r="J63" s="158" t="n">
        <f aca="false">J31*(1-Deposits!$P$10)</f>
        <v>0</v>
      </c>
      <c r="K63" s="158" t="n">
        <f aca="false">K31*(1-Deposits!$P$10)</f>
        <v>0</v>
      </c>
      <c r="L63" s="158" t="n">
        <f aca="false">L31*(1-Deposits!$P$10)</f>
        <v>0</v>
      </c>
      <c r="M63" s="158" t="n">
        <f aca="false">M31*(1-Deposits!$P$10)</f>
        <v>4674.30136986302</v>
      </c>
      <c r="N63" s="158" t="n">
        <f aca="false">N31*(1-Deposits!$P$10)</f>
        <v>0</v>
      </c>
      <c r="O63" s="158" t="n">
        <f aca="false">O31*(1-Deposits!$P$10)</f>
        <v>0</v>
      </c>
      <c r="P63" s="158" t="n">
        <f aca="false">P31*(1-Deposits!$P$10)</f>
        <v>0</v>
      </c>
      <c r="Q63" s="158" t="n">
        <f aca="false">Q31*(1-Deposits!$P$10)</f>
        <v>0</v>
      </c>
      <c r="R63" s="158" t="n">
        <f aca="false">R31*(1-Deposits!$P$10)</f>
        <v>0</v>
      </c>
      <c r="S63" s="158" t="n">
        <f aca="false">S31*(1-Deposits!$P$10)</f>
        <v>0</v>
      </c>
      <c r="T63" s="158" t="n">
        <f aca="false">T31*(1-Deposits!$P$10)</f>
        <v>0</v>
      </c>
      <c r="U63" s="158" t="n">
        <f aca="false">U31*(1-Deposits!$P$10)</f>
        <v>0</v>
      </c>
      <c r="V63" s="158" t="n">
        <f aca="false">V31*(1-Deposits!$P$10)</f>
        <v>0</v>
      </c>
      <c r="W63" s="158" t="n">
        <f aca="false">W31*(1-Deposits!$P$10)</f>
        <v>0</v>
      </c>
      <c r="X63" s="158" t="n">
        <f aca="false">X31*(1-Deposits!$P$10)</f>
        <v>0</v>
      </c>
      <c r="Y63" s="158" t="n">
        <f aca="false">Y31*(1-Deposits!$P$10)</f>
        <v>0</v>
      </c>
      <c r="Z63" s="158" t="n">
        <f aca="false">Z31*(1-Deposits!$P$10)</f>
        <v>0</v>
      </c>
      <c r="AA63" s="158" t="n">
        <f aca="false">AA31*(1-Deposits!$P$10)</f>
        <v>0</v>
      </c>
      <c r="AB63" s="158" t="n">
        <f aca="false">AB31*(1-Deposits!$P$10)</f>
        <v>0</v>
      </c>
      <c r="AC63" s="158" t="n">
        <f aca="false">AC31*(1-Deposits!$P$10)</f>
        <v>0</v>
      </c>
      <c r="AD63" s="158" t="n">
        <f aca="false">AD31*(1-Deposits!$P$10)</f>
        <v>0</v>
      </c>
      <c r="AE63" s="158" t="n">
        <f aca="false">AE31*(1-Deposits!$P$10)</f>
        <v>0</v>
      </c>
      <c r="AF63" s="158" t="n">
        <f aca="false">AF31*(1-Deposits!$P$10)</f>
        <v>0</v>
      </c>
      <c r="AG63" s="158" t="n">
        <f aca="false">AG31*(1-Deposits!$P$10)</f>
        <v>0</v>
      </c>
      <c r="AH63" s="158" t="n">
        <f aca="false">AH31*(1-Deposits!$P$10)</f>
        <v>0</v>
      </c>
      <c r="AI63" s="158" t="n">
        <f aca="false">AI31*(1-Deposits!$P$10)</f>
        <v>0</v>
      </c>
      <c r="AJ63" s="158" t="n">
        <f aca="false">AJ31*(1-Deposits!$P$10)</f>
        <v>0</v>
      </c>
      <c r="AK63" s="158" t="n">
        <f aca="false">AK31*(1-Deposits!$P$10)</f>
        <v>0</v>
      </c>
      <c r="AL63" s="158" t="n">
        <f aca="false">AL31*(1-Deposits!$P$10)</f>
        <v>0</v>
      </c>
      <c r="AM63" s="158" t="n">
        <f aca="false">AM31*(1-Deposits!$P$10)</f>
        <v>0</v>
      </c>
      <c r="AN63" s="158" t="n">
        <f aca="false">AN31*(1-Deposits!$P$10)</f>
        <v>0</v>
      </c>
      <c r="AO63" s="158" t="n">
        <f aca="false">AO31*(1-Deposits!$P$10)</f>
        <v>0</v>
      </c>
      <c r="AP63" s="158" t="n">
        <f aca="false">AP31*(1-Deposits!$P$10)</f>
        <v>0</v>
      </c>
      <c r="AQ63" s="158" t="n">
        <f aca="false">AQ31*(1-Deposits!$P$10)</f>
        <v>0</v>
      </c>
      <c r="AR63" s="158" t="n">
        <f aca="false">AR31*(1-Deposits!$P$10)</f>
        <v>0</v>
      </c>
      <c r="AS63" s="158" t="n">
        <f aca="false">AS31*(1-Deposits!$P$10)</f>
        <v>0</v>
      </c>
      <c r="AT63" s="158" t="n">
        <f aca="false">AT31*(1-Deposits!$P$10)</f>
        <v>0</v>
      </c>
      <c r="AU63" s="158" t="n">
        <f aca="false">AU31*(1-Deposits!$P$10)</f>
        <v>0</v>
      </c>
      <c r="AV63" s="158" t="n">
        <f aca="false">AV31*(1-Deposits!$P$10)</f>
        <v>0</v>
      </c>
      <c r="AW63" s="158" t="n">
        <f aca="false">AW31*(1-Deposits!$P$10)</f>
        <v>0</v>
      </c>
      <c r="AX63" s="158" t="n">
        <f aca="false">AX31*(1-Deposits!$P$10)</f>
        <v>0</v>
      </c>
      <c r="AY63" s="158" t="n">
        <f aca="false">AY31*(1-Deposits!$P$10)</f>
        <v>0</v>
      </c>
      <c r="AZ63" s="158" t="n">
        <f aca="false">AZ31*(1-Deposits!$P$10)</f>
        <v>0</v>
      </c>
      <c r="BA63" s="158" t="n">
        <f aca="false">BA31*(1-Deposits!$P$10)</f>
        <v>0</v>
      </c>
      <c r="BB63" s="158" t="n">
        <f aca="false">BB31*(1-Deposits!$P$10)</f>
        <v>0</v>
      </c>
      <c r="BC63" s="158" t="n">
        <f aca="false">BC31*(1-Deposits!$P$10)</f>
        <v>0</v>
      </c>
      <c r="BD63" s="158" t="n">
        <f aca="false">BD31*(1-Deposits!$P$10)</f>
        <v>0</v>
      </c>
      <c r="BE63" s="158" t="n">
        <f aca="false">BE31*(1-Deposits!$P$10)</f>
        <v>0</v>
      </c>
      <c r="BF63" s="158" t="n">
        <f aca="false">BF31*(1-Deposits!$P$10)</f>
        <v>0</v>
      </c>
      <c r="BG63" s="158" t="n">
        <f aca="false">BG31*(1-Deposits!$P$10)</f>
        <v>0</v>
      </c>
      <c r="BH63" s="158" t="n">
        <f aca="false">BH31*(1-Deposits!$P$10)</f>
        <v>0</v>
      </c>
      <c r="BI63" s="158" t="n">
        <f aca="false">BI31*(1-Deposits!$P$10)</f>
        <v>0</v>
      </c>
      <c r="BJ63" s="158" t="n">
        <f aca="false">BJ31*(1-Deposits!$P$10)</f>
        <v>0</v>
      </c>
      <c r="BK63" s="158" t="n">
        <f aca="false">BK31*(1-Deposits!$P$10)</f>
        <v>0</v>
      </c>
      <c r="BL63" s="158" t="n">
        <f aca="false">BL31*(1-Deposits!$P$10)</f>
        <v>0</v>
      </c>
      <c r="BM63" s="158" t="n">
        <f aca="false">BM31*(1-Deposits!$P$10)</f>
        <v>0</v>
      </c>
      <c r="BN63" s="158" t="n">
        <f aca="false">BN31*(1-Deposits!$P$10)</f>
        <v>0</v>
      </c>
      <c r="BO63" s="158" t="n">
        <f aca="false">BO31*(1-Deposits!$P$10)</f>
        <v>0</v>
      </c>
      <c r="BP63" s="158" t="n">
        <f aca="false">BP31*(1-Deposits!$P$10)</f>
        <v>0</v>
      </c>
    </row>
    <row r="64" customFormat="false" ht="15" hidden="false" customHeight="false" outlineLevel="0" collapsed="false">
      <c r="C64" s="235" t="str">
        <f aca="false">C32</f>
        <v>Igénybejelentési biztosíték</v>
      </c>
      <c r="D64" s="133" t="s">
        <v>125</v>
      </c>
      <c r="E64" s="158"/>
      <c r="F64" s="158"/>
      <c r="G64" s="158" t="n">
        <f aca="false">SUM(H64:BP64)</f>
        <v>0</v>
      </c>
      <c r="H64" s="158" t="n">
        <f aca="false">H32*(1-Deposits!$P$11)</f>
        <v>0</v>
      </c>
      <c r="I64" s="158" t="n">
        <f aca="false">I32*(1-Deposits!$P$11)</f>
        <v>0</v>
      </c>
      <c r="J64" s="158" t="n">
        <f aca="false">J32*(1-Deposits!$P$11)</f>
        <v>0</v>
      </c>
      <c r="K64" s="158" t="n">
        <f aca="false">K32*(1-Deposits!$P$11)</f>
        <v>0</v>
      </c>
      <c r="L64" s="158" t="n">
        <f aca="false">L32*(1-Deposits!$P$11)</f>
        <v>0</v>
      </c>
      <c r="M64" s="158" t="n">
        <f aca="false">M32*(1-Deposits!$P$11)</f>
        <v>0</v>
      </c>
      <c r="N64" s="158" t="n">
        <f aca="false">N32*(1-Deposits!$P$11)</f>
        <v>0</v>
      </c>
      <c r="O64" s="158" t="n">
        <f aca="false">O32*(1-Deposits!$P$11)</f>
        <v>0</v>
      </c>
      <c r="P64" s="158" t="n">
        <f aca="false">P32*(1-Deposits!$P$11)</f>
        <v>0</v>
      </c>
      <c r="Q64" s="158" t="n">
        <f aca="false">Q32*(1-Deposits!$P$11)</f>
        <v>0</v>
      </c>
      <c r="R64" s="158" t="n">
        <f aca="false">R32*(1-Deposits!$P$11)</f>
        <v>0</v>
      </c>
      <c r="S64" s="158" t="n">
        <f aca="false">S32*(1-Deposits!$P$11)</f>
        <v>0</v>
      </c>
      <c r="T64" s="158" t="n">
        <f aca="false">T32*(1-Deposits!$P$11)</f>
        <v>0</v>
      </c>
      <c r="U64" s="158" t="n">
        <f aca="false">U32*(1-Deposits!$P$11)</f>
        <v>0</v>
      </c>
      <c r="V64" s="158" t="n">
        <f aca="false">V32*(1-Deposits!$P$11)</f>
        <v>0</v>
      </c>
      <c r="W64" s="158" t="n">
        <f aca="false">W32*(1-Deposits!$P$11)</f>
        <v>0</v>
      </c>
      <c r="X64" s="158" t="n">
        <f aca="false">X32*(1-Deposits!$P$11)</f>
        <v>0</v>
      </c>
      <c r="Y64" s="158" t="n">
        <f aca="false">Y32*(1-Deposits!$P$11)</f>
        <v>0</v>
      </c>
      <c r="Z64" s="158" t="n">
        <f aca="false">Z32*(1-Deposits!$P$11)</f>
        <v>0</v>
      </c>
      <c r="AA64" s="158" t="n">
        <f aca="false">AA32*(1-Deposits!$P$11)</f>
        <v>0</v>
      </c>
      <c r="AB64" s="158" t="n">
        <f aca="false">AB32*(1-Deposits!$P$11)</f>
        <v>0</v>
      </c>
      <c r="AC64" s="158" t="n">
        <f aca="false">AC32*(1-Deposits!$P$11)</f>
        <v>0</v>
      </c>
      <c r="AD64" s="158" t="n">
        <f aca="false">AD32*(1-Deposits!$P$11)</f>
        <v>0</v>
      </c>
      <c r="AE64" s="158" t="n">
        <f aca="false">AE32*(1-Deposits!$P$11)</f>
        <v>0</v>
      </c>
      <c r="AF64" s="158" t="n">
        <f aca="false">AF32*(1-Deposits!$P$11)</f>
        <v>0</v>
      </c>
      <c r="AG64" s="158" t="n">
        <f aca="false">AG32*(1-Deposits!$P$11)</f>
        <v>0</v>
      </c>
      <c r="AH64" s="158" t="n">
        <f aca="false">AH32*(1-Deposits!$P$11)</f>
        <v>0</v>
      </c>
      <c r="AI64" s="158" t="n">
        <f aca="false">AI32*(1-Deposits!$P$11)</f>
        <v>0</v>
      </c>
      <c r="AJ64" s="158" t="n">
        <f aca="false">AJ32*(1-Deposits!$P$11)</f>
        <v>0</v>
      </c>
      <c r="AK64" s="158" t="n">
        <f aca="false">AK32*(1-Deposits!$P$11)</f>
        <v>0</v>
      </c>
      <c r="AL64" s="158" t="n">
        <f aca="false">AL32*(1-Deposits!$P$11)</f>
        <v>0</v>
      </c>
      <c r="AM64" s="158" t="n">
        <f aca="false">AM32*(1-Deposits!$P$11)</f>
        <v>0</v>
      </c>
      <c r="AN64" s="158" t="n">
        <f aca="false">AN32*(1-Deposits!$P$11)</f>
        <v>0</v>
      </c>
      <c r="AO64" s="158" t="n">
        <f aca="false">AO32*(1-Deposits!$P$11)</f>
        <v>0</v>
      </c>
      <c r="AP64" s="158" t="n">
        <f aca="false">AP32*(1-Deposits!$P$11)</f>
        <v>0</v>
      </c>
      <c r="AQ64" s="158" t="n">
        <f aca="false">AQ32*(1-Deposits!$P$11)</f>
        <v>0</v>
      </c>
      <c r="AR64" s="158" t="n">
        <f aca="false">AR32*(1-Deposits!$P$11)</f>
        <v>0</v>
      </c>
      <c r="AS64" s="158" t="n">
        <f aca="false">AS32*(1-Deposits!$P$11)</f>
        <v>0</v>
      </c>
      <c r="AT64" s="158" t="n">
        <f aca="false">AT32*(1-Deposits!$P$11)</f>
        <v>0</v>
      </c>
      <c r="AU64" s="158" t="n">
        <f aca="false">AU32*(1-Deposits!$P$11)</f>
        <v>0</v>
      </c>
      <c r="AV64" s="158" t="n">
        <f aca="false">AV32*(1-Deposits!$P$11)</f>
        <v>0</v>
      </c>
      <c r="AW64" s="158" t="n">
        <f aca="false">AW32*(1-Deposits!$P$11)</f>
        <v>0</v>
      </c>
      <c r="AX64" s="158" t="n">
        <f aca="false">AX32*(1-Deposits!$P$11)</f>
        <v>0</v>
      </c>
      <c r="AY64" s="158" t="n">
        <f aca="false">AY32*(1-Deposits!$P$11)</f>
        <v>0</v>
      </c>
      <c r="AZ64" s="158" t="n">
        <f aca="false">AZ32*(1-Deposits!$P$11)</f>
        <v>0</v>
      </c>
      <c r="BA64" s="158" t="n">
        <f aca="false">BA32*(1-Deposits!$P$11)</f>
        <v>0</v>
      </c>
      <c r="BB64" s="158" t="n">
        <f aca="false">BB32*(1-Deposits!$P$11)</f>
        <v>0</v>
      </c>
      <c r="BC64" s="158" t="n">
        <f aca="false">BC32*(1-Deposits!$P$11)</f>
        <v>0</v>
      </c>
      <c r="BD64" s="158" t="n">
        <f aca="false">BD32*(1-Deposits!$P$11)</f>
        <v>0</v>
      </c>
      <c r="BE64" s="158" t="n">
        <f aca="false">BE32*(1-Deposits!$P$11)</f>
        <v>0</v>
      </c>
      <c r="BF64" s="158" t="n">
        <f aca="false">BF32*(1-Deposits!$P$11)</f>
        <v>0</v>
      </c>
      <c r="BG64" s="158" t="n">
        <f aca="false">BG32*(1-Deposits!$P$11)</f>
        <v>0</v>
      </c>
      <c r="BH64" s="158" t="n">
        <f aca="false">BH32*(1-Deposits!$P$11)</f>
        <v>0</v>
      </c>
      <c r="BI64" s="158" t="n">
        <f aca="false">BI32*(1-Deposits!$P$11)</f>
        <v>0</v>
      </c>
      <c r="BJ64" s="158" t="n">
        <f aca="false">BJ32*(1-Deposits!$P$11)</f>
        <v>0</v>
      </c>
      <c r="BK64" s="158" t="n">
        <f aca="false">BK32*(1-Deposits!$P$11)</f>
        <v>0</v>
      </c>
      <c r="BL64" s="158" t="n">
        <f aca="false">BL32*(1-Deposits!$P$11)</f>
        <v>0</v>
      </c>
      <c r="BM64" s="158" t="n">
        <f aca="false">BM32*(1-Deposits!$P$11)</f>
        <v>0</v>
      </c>
      <c r="BN64" s="158" t="n">
        <f aca="false">BN32*(1-Deposits!$P$11)</f>
        <v>0</v>
      </c>
      <c r="BO64" s="158" t="n">
        <f aca="false">BO32*(1-Deposits!$P$11)</f>
        <v>0</v>
      </c>
      <c r="BP64" s="158" t="n">
        <f aca="false">BP32*(1-Deposits!$P$11)</f>
        <v>0</v>
      </c>
    </row>
    <row r="65" customFormat="false" ht="15" hidden="false" customHeight="false" outlineLevel="0" collapsed="false">
      <c r="C65" s="235" t="str">
        <f aca="false">C33</f>
        <v>Csatlakozási díj – közvetlen</v>
      </c>
      <c r="D65" s="133" t="s">
        <v>125</v>
      </c>
      <c r="E65" s="158"/>
      <c r="F65" s="158"/>
      <c r="G65" s="158" t="n">
        <f aca="false">SUM(H65:BP65)</f>
        <v>0</v>
      </c>
      <c r="H65" s="158" t="n">
        <f aca="false">H33*(1-Deposits!$P$12)</f>
        <v>0</v>
      </c>
      <c r="I65" s="158" t="n">
        <f aca="false">I33*(1-Deposits!$P$12)</f>
        <v>0</v>
      </c>
      <c r="J65" s="158" t="n">
        <f aca="false">J33*(1-Deposits!$P$12)</f>
        <v>0</v>
      </c>
      <c r="K65" s="158" t="n">
        <f aca="false">K33*(1-Deposits!$P$12)</f>
        <v>0</v>
      </c>
      <c r="L65" s="158" t="n">
        <f aca="false">L33*(1-Deposits!$P$12)</f>
        <v>0</v>
      </c>
      <c r="M65" s="158" t="n">
        <f aca="false">M33*(1-Deposits!$P$12)</f>
        <v>0</v>
      </c>
      <c r="N65" s="158" t="n">
        <f aca="false">N33*(1-Deposits!$P$12)</f>
        <v>0</v>
      </c>
      <c r="O65" s="158" t="n">
        <f aca="false">O33*(1-Deposits!$P$12)</f>
        <v>0</v>
      </c>
      <c r="P65" s="158" t="n">
        <f aca="false">P33*(1-Deposits!$P$12)</f>
        <v>0</v>
      </c>
      <c r="Q65" s="158" t="n">
        <f aca="false">Q33*(1-Deposits!$P$12)</f>
        <v>0</v>
      </c>
      <c r="R65" s="158" t="n">
        <f aca="false">R33*(1-Deposits!$P$12)</f>
        <v>0</v>
      </c>
      <c r="S65" s="158" t="n">
        <f aca="false">S33*(1-Deposits!$P$12)</f>
        <v>0</v>
      </c>
      <c r="T65" s="158" t="n">
        <f aca="false">T33*(1-Deposits!$P$12)</f>
        <v>0</v>
      </c>
      <c r="U65" s="158" t="n">
        <f aca="false">U33*(1-Deposits!$P$12)</f>
        <v>0</v>
      </c>
      <c r="V65" s="158" t="n">
        <f aca="false">V33*(1-Deposits!$P$12)</f>
        <v>0</v>
      </c>
      <c r="W65" s="158" t="n">
        <f aca="false">W33*(1-Deposits!$P$12)</f>
        <v>0</v>
      </c>
      <c r="X65" s="158" t="n">
        <f aca="false">X33*(1-Deposits!$P$12)</f>
        <v>0</v>
      </c>
      <c r="Y65" s="158" t="n">
        <f aca="false">Y33*(1-Deposits!$P$12)</f>
        <v>0</v>
      </c>
      <c r="Z65" s="158" t="n">
        <f aca="false">Z33*(1-Deposits!$P$12)</f>
        <v>0</v>
      </c>
      <c r="AA65" s="158" t="n">
        <f aca="false">AA33*(1-Deposits!$P$12)</f>
        <v>0</v>
      </c>
      <c r="AB65" s="158" t="n">
        <f aca="false">AB33*(1-Deposits!$P$12)</f>
        <v>0</v>
      </c>
      <c r="AC65" s="158" t="n">
        <f aca="false">AC33*(1-Deposits!$P$12)</f>
        <v>0</v>
      </c>
      <c r="AD65" s="158" t="n">
        <f aca="false">AD33*(1-Deposits!$P$12)</f>
        <v>0</v>
      </c>
      <c r="AE65" s="158" t="n">
        <f aca="false">AE33*(1-Deposits!$P$12)</f>
        <v>0</v>
      </c>
      <c r="AF65" s="158" t="n">
        <f aca="false">AF33*(1-Deposits!$P$12)</f>
        <v>0</v>
      </c>
      <c r="AG65" s="158" t="n">
        <f aca="false">AG33*(1-Deposits!$P$12)</f>
        <v>0</v>
      </c>
      <c r="AH65" s="158" t="n">
        <f aca="false">AH33*(1-Deposits!$P$12)</f>
        <v>0</v>
      </c>
      <c r="AI65" s="158" t="n">
        <f aca="false">AI33*(1-Deposits!$P$12)</f>
        <v>0</v>
      </c>
      <c r="AJ65" s="158" t="n">
        <f aca="false">AJ33*(1-Deposits!$P$12)</f>
        <v>0</v>
      </c>
      <c r="AK65" s="158" t="n">
        <f aca="false">AK33*(1-Deposits!$P$12)</f>
        <v>0</v>
      </c>
      <c r="AL65" s="158" t="n">
        <f aca="false">AL33*(1-Deposits!$P$12)</f>
        <v>0</v>
      </c>
      <c r="AM65" s="158" t="n">
        <f aca="false">AM33*(1-Deposits!$P$12)</f>
        <v>0</v>
      </c>
      <c r="AN65" s="158" t="n">
        <f aca="false">AN33*(1-Deposits!$P$12)</f>
        <v>0</v>
      </c>
      <c r="AO65" s="158" t="n">
        <f aca="false">AO33*(1-Deposits!$P$12)</f>
        <v>0</v>
      </c>
      <c r="AP65" s="158" t="n">
        <f aca="false">AP33*(1-Deposits!$P$12)</f>
        <v>0</v>
      </c>
      <c r="AQ65" s="158" t="n">
        <f aca="false">AQ33*(1-Deposits!$P$12)</f>
        <v>0</v>
      </c>
      <c r="AR65" s="158" t="n">
        <f aca="false">AR33*(1-Deposits!$P$12)</f>
        <v>0</v>
      </c>
      <c r="AS65" s="158" t="n">
        <f aca="false">AS33*(1-Deposits!$P$12)</f>
        <v>0</v>
      </c>
      <c r="AT65" s="158" t="n">
        <f aca="false">AT33*(1-Deposits!$P$12)</f>
        <v>0</v>
      </c>
      <c r="AU65" s="158" t="n">
        <f aca="false">AU33*(1-Deposits!$P$12)</f>
        <v>0</v>
      </c>
      <c r="AV65" s="158" t="n">
        <f aca="false">AV33*(1-Deposits!$P$12)</f>
        <v>0</v>
      </c>
      <c r="AW65" s="158" t="n">
        <f aca="false">AW33*(1-Deposits!$P$12)</f>
        <v>0</v>
      </c>
      <c r="AX65" s="158" t="n">
        <f aca="false">AX33*(1-Deposits!$P$12)</f>
        <v>0</v>
      </c>
      <c r="AY65" s="158" t="n">
        <f aca="false">AY33*(1-Deposits!$P$12)</f>
        <v>0</v>
      </c>
      <c r="AZ65" s="158" t="n">
        <f aca="false">AZ33*(1-Deposits!$P$12)</f>
        <v>0</v>
      </c>
      <c r="BA65" s="158" t="n">
        <f aca="false">BA33*(1-Deposits!$P$12)</f>
        <v>0</v>
      </c>
      <c r="BB65" s="158" t="n">
        <f aca="false">BB33*(1-Deposits!$P$12)</f>
        <v>0</v>
      </c>
      <c r="BC65" s="158" t="n">
        <f aca="false">BC33*(1-Deposits!$P$12)</f>
        <v>0</v>
      </c>
      <c r="BD65" s="158" t="n">
        <f aca="false">BD33*(1-Deposits!$P$12)</f>
        <v>0</v>
      </c>
      <c r="BE65" s="158" t="n">
        <f aca="false">BE33*(1-Deposits!$P$12)</f>
        <v>0</v>
      </c>
      <c r="BF65" s="158" t="n">
        <f aca="false">BF33*(1-Deposits!$P$12)</f>
        <v>0</v>
      </c>
      <c r="BG65" s="158" t="n">
        <f aca="false">BG33*(1-Deposits!$P$12)</f>
        <v>0</v>
      </c>
      <c r="BH65" s="158" t="n">
        <f aca="false">BH33*(1-Deposits!$P$12)</f>
        <v>0</v>
      </c>
      <c r="BI65" s="158" t="n">
        <f aca="false">BI33*(1-Deposits!$P$12)</f>
        <v>0</v>
      </c>
      <c r="BJ65" s="158" t="n">
        <f aca="false">BJ33*(1-Deposits!$P$12)</f>
        <v>0</v>
      </c>
      <c r="BK65" s="158" t="n">
        <f aca="false">BK33*(1-Deposits!$P$12)</f>
        <v>0</v>
      </c>
      <c r="BL65" s="158" t="n">
        <f aca="false">BL33*(1-Deposits!$P$12)</f>
        <v>0</v>
      </c>
      <c r="BM65" s="158" t="n">
        <f aca="false">BM33*(1-Deposits!$P$12)</f>
        <v>0</v>
      </c>
      <c r="BN65" s="158" t="n">
        <f aca="false">BN33*(1-Deposits!$P$12)</f>
        <v>0</v>
      </c>
      <c r="BO65" s="158" t="n">
        <f aca="false">BO33*(1-Deposits!$P$12)</f>
        <v>0</v>
      </c>
      <c r="BP65" s="158" t="n">
        <f aca="false">BP33*(1-Deposits!$P$12)</f>
        <v>0</v>
      </c>
    </row>
    <row r="66" customFormat="false" ht="15" hidden="false" customHeight="false" outlineLevel="0" collapsed="false">
      <c r="C66" s="235" t="str">
        <f aca="false">C34</f>
        <v>Kiegészítő biztosíték 1. részlet</v>
      </c>
      <c r="D66" s="133" t="s">
        <v>125</v>
      </c>
      <c r="E66" s="158"/>
      <c r="F66" s="158"/>
      <c r="G66" s="158" t="n">
        <f aca="false">SUM(H66:BP66)</f>
        <v>0</v>
      </c>
      <c r="H66" s="158" t="n">
        <f aca="false">H34*(1-Deposits!$P$13)</f>
        <v>0</v>
      </c>
      <c r="I66" s="158" t="n">
        <f aca="false">I34*(1-Deposits!$P$13)</f>
        <v>0</v>
      </c>
      <c r="J66" s="158" t="n">
        <f aca="false">J34*(1-Deposits!$P$13)</f>
        <v>0</v>
      </c>
      <c r="K66" s="158" t="n">
        <f aca="false">K34*(1-Deposits!$P$13)</f>
        <v>0</v>
      </c>
      <c r="L66" s="158" t="n">
        <f aca="false">L34*(1-Deposits!$P$13)</f>
        <v>0</v>
      </c>
      <c r="M66" s="158" t="n">
        <f aca="false">M34*(1-Deposits!$P$13)</f>
        <v>0</v>
      </c>
      <c r="N66" s="158" t="n">
        <f aca="false">N34*(1-Deposits!$P$13)</f>
        <v>0</v>
      </c>
      <c r="O66" s="158" t="n">
        <f aca="false">O34*(1-Deposits!$P$13)</f>
        <v>0</v>
      </c>
      <c r="P66" s="158" t="n">
        <f aca="false">P34*(1-Deposits!$P$13)</f>
        <v>0</v>
      </c>
      <c r="Q66" s="158" t="n">
        <f aca="false">Q34*(1-Deposits!$P$13)</f>
        <v>0</v>
      </c>
      <c r="R66" s="158" t="n">
        <f aca="false">R34*(1-Deposits!$P$13)</f>
        <v>0</v>
      </c>
      <c r="S66" s="158" t="n">
        <f aca="false">S34*(1-Deposits!$P$13)</f>
        <v>0</v>
      </c>
      <c r="T66" s="158" t="n">
        <f aca="false">T34*(1-Deposits!$P$13)</f>
        <v>0</v>
      </c>
      <c r="U66" s="158" t="n">
        <f aca="false">U34*(1-Deposits!$P$13)</f>
        <v>0</v>
      </c>
      <c r="V66" s="158" t="n">
        <f aca="false">V34*(1-Deposits!$P$13)</f>
        <v>0</v>
      </c>
      <c r="W66" s="158" t="n">
        <f aca="false">W34*(1-Deposits!$P$13)</f>
        <v>0</v>
      </c>
      <c r="X66" s="158" t="n">
        <f aca="false">X34*(1-Deposits!$P$13)</f>
        <v>0</v>
      </c>
      <c r="Y66" s="158" t="n">
        <f aca="false">Y34*(1-Deposits!$P$13)</f>
        <v>0</v>
      </c>
      <c r="Z66" s="158" t="n">
        <f aca="false">Z34*(1-Deposits!$P$13)</f>
        <v>0</v>
      </c>
      <c r="AA66" s="158" t="n">
        <f aca="false">AA34*(1-Deposits!$P$13)</f>
        <v>0</v>
      </c>
      <c r="AB66" s="158" t="n">
        <f aca="false">AB34*(1-Deposits!$P$13)</f>
        <v>0</v>
      </c>
      <c r="AC66" s="158" t="n">
        <f aca="false">AC34*(1-Deposits!$P$13)</f>
        <v>0</v>
      </c>
      <c r="AD66" s="158" t="n">
        <f aca="false">AD34*(1-Deposits!$P$13)</f>
        <v>0</v>
      </c>
      <c r="AE66" s="158" t="n">
        <f aca="false">AE34*(1-Deposits!$P$13)</f>
        <v>0</v>
      </c>
      <c r="AF66" s="158" t="n">
        <f aca="false">AF34*(1-Deposits!$P$13)</f>
        <v>0</v>
      </c>
      <c r="AG66" s="158" t="n">
        <f aca="false">AG34*(1-Deposits!$P$13)</f>
        <v>0</v>
      </c>
      <c r="AH66" s="158" t="n">
        <f aca="false">AH34*(1-Deposits!$P$13)</f>
        <v>0</v>
      </c>
      <c r="AI66" s="158" t="n">
        <f aca="false">AI34*(1-Deposits!$P$13)</f>
        <v>0</v>
      </c>
      <c r="AJ66" s="158" t="n">
        <f aca="false">AJ34*(1-Deposits!$P$13)</f>
        <v>0</v>
      </c>
      <c r="AK66" s="158" t="n">
        <f aca="false">AK34*(1-Deposits!$P$13)</f>
        <v>0</v>
      </c>
      <c r="AL66" s="158" t="n">
        <f aca="false">AL34*(1-Deposits!$P$13)</f>
        <v>0</v>
      </c>
      <c r="AM66" s="158" t="n">
        <f aca="false">AM34*(1-Deposits!$P$13)</f>
        <v>0</v>
      </c>
      <c r="AN66" s="158" t="n">
        <f aca="false">AN34*(1-Deposits!$P$13)</f>
        <v>0</v>
      </c>
      <c r="AO66" s="158" t="n">
        <f aca="false">AO34*(1-Deposits!$P$13)</f>
        <v>0</v>
      </c>
      <c r="AP66" s="158" t="n">
        <f aca="false">AP34*(1-Deposits!$P$13)</f>
        <v>0</v>
      </c>
      <c r="AQ66" s="158" t="n">
        <f aca="false">AQ34*(1-Deposits!$P$13)</f>
        <v>0</v>
      </c>
      <c r="AR66" s="158" t="n">
        <f aca="false">AR34*(1-Deposits!$P$13)</f>
        <v>0</v>
      </c>
      <c r="AS66" s="158" t="n">
        <f aca="false">AS34*(1-Deposits!$P$13)</f>
        <v>0</v>
      </c>
      <c r="AT66" s="158" t="n">
        <f aca="false">AT34*(1-Deposits!$P$13)</f>
        <v>0</v>
      </c>
      <c r="AU66" s="158" t="n">
        <f aca="false">AU34*(1-Deposits!$P$13)</f>
        <v>0</v>
      </c>
      <c r="AV66" s="158" t="n">
        <f aca="false">AV34*(1-Deposits!$P$13)</f>
        <v>0</v>
      </c>
      <c r="AW66" s="158" t="n">
        <f aca="false">AW34*(1-Deposits!$P$13)</f>
        <v>0</v>
      </c>
      <c r="AX66" s="158" t="n">
        <f aca="false">AX34*(1-Deposits!$P$13)</f>
        <v>0</v>
      </c>
      <c r="AY66" s="158" t="n">
        <f aca="false">AY34*(1-Deposits!$P$13)</f>
        <v>0</v>
      </c>
      <c r="AZ66" s="158" t="n">
        <f aca="false">AZ34*(1-Deposits!$P$13)</f>
        <v>0</v>
      </c>
      <c r="BA66" s="158" t="n">
        <f aca="false">BA34*(1-Deposits!$P$13)</f>
        <v>0</v>
      </c>
      <c r="BB66" s="158" t="n">
        <f aca="false">BB34*(1-Deposits!$P$13)</f>
        <v>0</v>
      </c>
      <c r="BC66" s="158" t="n">
        <f aca="false">BC34*(1-Deposits!$P$13)</f>
        <v>0</v>
      </c>
      <c r="BD66" s="158" t="n">
        <f aca="false">BD34*(1-Deposits!$P$13)</f>
        <v>0</v>
      </c>
      <c r="BE66" s="158" t="n">
        <f aca="false">BE34*(1-Deposits!$P$13)</f>
        <v>0</v>
      </c>
      <c r="BF66" s="158" t="n">
        <f aca="false">BF34*(1-Deposits!$P$13)</f>
        <v>0</v>
      </c>
      <c r="BG66" s="158" t="n">
        <f aca="false">BG34*(1-Deposits!$P$13)</f>
        <v>0</v>
      </c>
      <c r="BH66" s="158" t="n">
        <f aca="false">BH34*(1-Deposits!$P$13)</f>
        <v>0</v>
      </c>
      <c r="BI66" s="158" t="n">
        <f aca="false">BI34*(1-Deposits!$P$13)</f>
        <v>0</v>
      </c>
      <c r="BJ66" s="158" t="n">
        <f aca="false">BJ34*(1-Deposits!$P$13)</f>
        <v>0</v>
      </c>
      <c r="BK66" s="158" t="n">
        <f aca="false">BK34*(1-Deposits!$P$13)</f>
        <v>0</v>
      </c>
      <c r="BL66" s="158" t="n">
        <f aca="false">BL34*(1-Deposits!$P$13)</f>
        <v>0</v>
      </c>
      <c r="BM66" s="158" t="n">
        <f aca="false">BM34*(1-Deposits!$P$13)</f>
        <v>0</v>
      </c>
      <c r="BN66" s="158" t="n">
        <f aca="false">BN34*(1-Deposits!$P$13)</f>
        <v>0</v>
      </c>
      <c r="BO66" s="158" t="n">
        <f aca="false">BO34*(1-Deposits!$P$13)</f>
        <v>0</v>
      </c>
      <c r="BP66" s="158" t="n">
        <f aca="false">BP34*(1-Deposits!$P$13)</f>
        <v>0</v>
      </c>
    </row>
    <row r="67" customFormat="false" ht="15" hidden="false" customHeight="false" outlineLevel="0" collapsed="false">
      <c r="C67" s="235" t="str">
        <f aca="false">C35</f>
        <v>Kiegészítő biztosíték 2. részlet</v>
      </c>
      <c r="D67" s="133" t="s">
        <v>125</v>
      </c>
      <c r="E67" s="158"/>
      <c r="F67" s="158"/>
      <c r="G67" s="158" t="n">
        <f aca="false">SUM(H67:BP67)</f>
        <v>0</v>
      </c>
      <c r="H67" s="158" t="n">
        <f aca="false">H35*(1-Deposits!$P$14)</f>
        <v>0</v>
      </c>
      <c r="I67" s="158" t="n">
        <f aca="false">I35*(1-Deposits!$P$14)</f>
        <v>0</v>
      </c>
      <c r="J67" s="158" t="n">
        <f aca="false">J35*(1-Deposits!$P$14)</f>
        <v>0</v>
      </c>
      <c r="K67" s="158" t="n">
        <f aca="false">K35*(1-Deposits!$P$14)</f>
        <v>0</v>
      </c>
      <c r="L67" s="158" t="n">
        <f aca="false">L35*(1-Deposits!$P$14)</f>
        <v>0</v>
      </c>
      <c r="M67" s="158" t="n">
        <f aca="false">M35*(1-Deposits!$P$14)</f>
        <v>0</v>
      </c>
      <c r="N67" s="158" t="n">
        <f aca="false">N35*(1-Deposits!$P$14)</f>
        <v>0</v>
      </c>
      <c r="O67" s="158" t="n">
        <f aca="false">O35*(1-Deposits!$P$14)</f>
        <v>0</v>
      </c>
      <c r="P67" s="158" t="n">
        <f aca="false">P35*(1-Deposits!$P$14)</f>
        <v>0</v>
      </c>
      <c r="Q67" s="158" t="n">
        <f aca="false">Q35*(1-Deposits!$P$14)</f>
        <v>0</v>
      </c>
      <c r="R67" s="158" t="n">
        <f aca="false">R35*(1-Deposits!$P$14)</f>
        <v>0</v>
      </c>
      <c r="S67" s="158" t="n">
        <f aca="false">S35*(1-Deposits!$P$14)</f>
        <v>0</v>
      </c>
      <c r="T67" s="158" t="n">
        <f aca="false">T35*(1-Deposits!$P$14)</f>
        <v>0</v>
      </c>
      <c r="U67" s="158" t="n">
        <f aca="false">U35*(1-Deposits!$P$14)</f>
        <v>0</v>
      </c>
      <c r="V67" s="158" t="n">
        <f aca="false">V35*(1-Deposits!$P$14)</f>
        <v>0</v>
      </c>
      <c r="W67" s="158" t="n">
        <f aca="false">W35*(1-Deposits!$P$14)</f>
        <v>0</v>
      </c>
      <c r="X67" s="158" t="n">
        <f aca="false">X35*(1-Deposits!$P$14)</f>
        <v>0</v>
      </c>
      <c r="Y67" s="158" t="n">
        <f aca="false">Y35*(1-Deposits!$P$14)</f>
        <v>0</v>
      </c>
      <c r="Z67" s="158" t="n">
        <f aca="false">Z35*(1-Deposits!$P$14)</f>
        <v>0</v>
      </c>
      <c r="AA67" s="158" t="n">
        <f aca="false">AA35*(1-Deposits!$P$14)</f>
        <v>0</v>
      </c>
      <c r="AB67" s="158" t="n">
        <f aca="false">AB35*(1-Deposits!$P$14)</f>
        <v>0</v>
      </c>
      <c r="AC67" s="158" t="n">
        <f aca="false">AC35*(1-Deposits!$P$14)</f>
        <v>0</v>
      </c>
      <c r="AD67" s="158" t="n">
        <f aca="false">AD35*(1-Deposits!$P$14)</f>
        <v>0</v>
      </c>
      <c r="AE67" s="158" t="n">
        <f aca="false">AE35*(1-Deposits!$P$14)</f>
        <v>0</v>
      </c>
      <c r="AF67" s="158" t="n">
        <f aca="false">AF35*(1-Deposits!$P$14)</f>
        <v>0</v>
      </c>
      <c r="AG67" s="158" t="n">
        <f aca="false">AG35*(1-Deposits!$P$14)</f>
        <v>0</v>
      </c>
      <c r="AH67" s="158" t="n">
        <f aca="false">AH35*(1-Deposits!$P$14)</f>
        <v>0</v>
      </c>
      <c r="AI67" s="158" t="n">
        <f aca="false">AI35*(1-Deposits!$P$14)</f>
        <v>0</v>
      </c>
      <c r="AJ67" s="158" t="n">
        <f aca="false">AJ35*(1-Deposits!$P$14)</f>
        <v>0</v>
      </c>
      <c r="AK67" s="158" t="n">
        <f aca="false">AK35*(1-Deposits!$P$14)</f>
        <v>0</v>
      </c>
      <c r="AL67" s="158" t="n">
        <f aca="false">AL35*(1-Deposits!$P$14)</f>
        <v>0</v>
      </c>
      <c r="AM67" s="158" t="n">
        <f aca="false">AM35*(1-Deposits!$P$14)</f>
        <v>0</v>
      </c>
      <c r="AN67" s="158" t="n">
        <f aca="false">AN35*(1-Deposits!$P$14)</f>
        <v>0</v>
      </c>
      <c r="AO67" s="158" t="n">
        <f aca="false">AO35*(1-Deposits!$P$14)</f>
        <v>0</v>
      </c>
      <c r="AP67" s="158" t="n">
        <f aca="false">AP35*(1-Deposits!$P$14)</f>
        <v>0</v>
      </c>
      <c r="AQ67" s="158" t="n">
        <f aca="false">AQ35*(1-Deposits!$P$14)</f>
        <v>0</v>
      </c>
      <c r="AR67" s="158" t="n">
        <f aca="false">AR35*(1-Deposits!$P$14)</f>
        <v>0</v>
      </c>
      <c r="AS67" s="158" t="n">
        <f aca="false">AS35*(1-Deposits!$P$14)</f>
        <v>0</v>
      </c>
      <c r="AT67" s="158" t="n">
        <f aca="false">AT35*(1-Deposits!$P$14)</f>
        <v>0</v>
      </c>
      <c r="AU67" s="158" t="n">
        <f aca="false">AU35*(1-Deposits!$P$14)</f>
        <v>0</v>
      </c>
      <c r="AV67" s="158" t="n">
        <f aca="false">AV35*(1-Deposits!$P$14)</f>
        <v>0</v>
      </c>
      <c r="AW67" s="158" t="n">
        <f aca="false">AW35*(1-Deposits!$P$14)</f>
        <v>0</v>
      </c>
      <c r="AX67" s="158" t="n">
        <f aca="false">AX35*(1-Deposits!$P$14)</f>
        <v>0</v>
      </c>
      <c r="AY67" s="158" t="n">
        <f aca="false">AY35*(1-Deposits!$P$14)</f>
        <v>0</v>
      </c>
      <c r="AZ67" s="158" t="n">
        <f aca="false">AZ35*(1-Deposits!$P$14)</f>
        <v>0</v>
      </c>
      <c r="BA67" s="158" t="n">
        <f aca="false">BA35*(1-Deposits!$P$14)</f>
        <v>0</v>
      </c>
      <c r="BB67" s="158" t="n">
        <f aca="false">BB35*(1-Deposits!$P$14)</f>
        <v>0</v>
      </c>
      <c r="BC67" s="158" t="n">
        <f aca="false">BC35*(1-Deposits!$P$14)</f>
        <v>0</v>
      </c>
      <c r="BD67" s="158" t="n">
        <f aca="false">BD35*(1-Deposits!$P$14)</f>
        <v>0</v>
      </c>
      <c r="BE67" s="158" t="n">
        <f aca="false">BE35*(1-Deposits!$P$14)</f>
        <v>0</v>
      </c>
      <c r="BF67" s="158" t="n">
        <f aca="false">BF35*(1-Deposits!$P$14)</f>
        <v>0</v>
      </c>
      <c r="BG67" s="158" t="n">
        <f aca="false">BG35*(1-Deposits!$P$14)</f>
        <v>0</v>
      </c>
      <c r="BH67" s="158" t="n">
        <f aca="false">BH35*(1-Deposits!$P$14)</f>
        <v>0</v>
      </c>
      <c r="BI67" s="158" t="n">
        <f aca="false">BI35*(1-Deposits!$P$14)</f>
        <v>0</v>
      </c>
      <c r="BJ67" s="158" t="n">
        <f aca="false">BJ35*(1-Deposits!$P$14)</f>
        <v>0</v>
      </c>
      <c r="BK67" s="158" t="n">
        <f aca="false">BK35*(1-Deposits!$P$14)</f>
        <v>0</v>
      </c>
      <c r="BL67" s="158" t="n">
        <f aca="false">BL35*(1-Deposits!$P$14)</f>
        <v>0</v>
      </c>
      <c r="BM67" s="158" t="n">
        <f aca="false">BM35*(1-Deposits!$P$14)</f>
        <v>0</v>
      </c>
      <c r="BN67" s="158" t="n">
        <f aca="false">BN35*(1-Deposits!$P$14)</f>
        <v>0</v>
      </c>
      <c r="BO67" s="158" t="n">
        <f aca="false">BO35*(1-Deposits!$P$14)</f>
        <v>0</v>
      </c>
      <c r="BP67" s="158" t="n">
        <f aca="false">BP35*(1-Deposits!$P$14)</f>
        <v>0</v>
      </c>
    </row>
    <row r="68" customFormat="false" ht="15" hidden="false" customHeight="false" outlineLevel="0" collapsed="false">
      <c r="C68" s="235" t="str">
        <f aca="false">C36</f>
        <v>Kiegészítő biztosíték visszautalás építési engedély megszerzésekor</v>
      </c>
      <c r="D68" s="133" t="s">
        <v>125</v>
      </c>
      <c r="E68" s="158"/>
      <c r="F68" s="158"/>
      <c r="G68" s="158" t="n">
        <f aca="false">SUM(H68:BP68)</f>
        <v>0</v>
      </c>
      <c r="H68" s="158" t="n">
        <f aca="false">H36*(1-Deposits!$P$15)</f>
        <v>0</v>
      </c>
      <c r="I68" s="158" t="n">
        <f aca="false">I36*(1-Deposits!$P$15)</f>
        <v>0</v>
      </c>
      <c r="J68" s="158" t="n">
        <f aca="false">J36*(1-Deposits!$P$15)</f>
        <v>0</v>
      </c>
      <c r="K68" s="158" t="n">
        <f aca="false">K36*(1-Deposits!$P$15)</f>
        <v>0</v>
      </c>
      <c r="L68" s="158" t="n">
        <f aca="false">L36*(1-Deposits!$P$15)</f>
        <v>0</v>
      </c>
      <c r="M68" s="158" t="n">
        <f aca="false">M36*(1-Deposits!$P$15)</f>
        <v>0</v>
      </c>
      <c r="N68" s="158" t="n">
        <f aca="false">N36*(1-Deposits!$P$15)</f>
        <v>0</v>
      </c>
      <c r="O68" s="158" t="n">
        <f aca="false">O36*(1-Deposits!$P$15)</f>
        <v>0</v>
      </c>
      <c r="P68" s="158" t="n">
        <f aca="false">P36*(1-Deposits!$P$15)</f>
        <v>0</v>
      </c>
      <c r="Q68" s="158" t="n">
        <f aca="false">Q36*(1-Deposits!$P$15)</f>
        <v>0</v>
      </c>
      <c r="R68" s="158" t="n">
        <f aca="false">R36*(1-Deposits!$P$15)</f>
        <v>0</v>
      </c>
      <c r="S68" s="158" t="n">
        <f aca="false">S36*(1-Deposits!$P$15)</f>
        <v>0</v>
      </c>
      <c r="T68" s="158" t="n">
        <f aca="false">T36*(1-Deposits!$P$15)</f>
        <v>0</v>
      </c>
      <c r="U68" s="158" t="n">
        <f aca="false">U36*(1-Deposits!$P$15)</f>
        <v>0</v>
      </c>
      <c r="V68" s="158" t="n">
        <f aca="false">V36*(1-Deposits!$P$15)</f>
        <v>0</v>
      </c>
      <c r="W68" s="158" t="n">
        <f aca="false">W36*(1-Deposits!$P$15)</f>
        <v>0</v>
      </c>
      <c r="X68" s="158" t="n">
        <f aca="false">X36*(1-Deposits!$P$15)</f>
        <v>0</v>
      </c>
      <c r="Y68" s="158" t="n">
        <f aca="false">Y36*(1-Deposits!$P$15)</f>
        <v>0</v>
      </c>
      <c r="Z68" s="158" t="n">
        <f aca="false">Z36*(1-Deposits!$P$15)</f>
        <v>0</v>
      </c>
      <c r="AA68" s="158" t="n">
        <f aca="false">AA36*(1-Deposits!$P$15)</f>
        <v>0</v>
      </c>
      <c r="AB68" s="158" t="n">
        <f aca="false">AB36*(1-Deposits!$P$15)</f>
        <v>0</v>
      </c>
      <c r="AC68" s="158" t="n">
        <f aca="false">AC36*(1-Deposits!$P$15)</f>
        <v>0</v>
      </c>
      <c r="AD68" s="158" t="n">
        <f aca="false">AD36*(1-Deposits!$P$15)</f>
        <v>0</v>
      </c>
      <c r="AE68" s="158" t="n">
        <f aca="false">AE36*(1-Deposits!$P$15)</f>
        <v>0</v>
      </c>
      <c r="AF68" s="158" t="n">
        <f aca="false">AF36*(1-Deposits!$P$15)</f>
        <v>0</v>
      </c>
      <c r="AG68" s="158" t="n">
        <f aca="false">AG36*(1-Deposits!$P$15)</f>
        <v>0</v>
      </c>
      <c r="AH68" s="158" t="n">
        <f aca="false">AH36*(1-Deposits!$P$15)</f>
        <v>0</v>
      </c>
      <c r="AI68" s="158" t="n">
        <f aca="false">AI36*(1-Deposits!$P$15)</f>
        <v>0</v>
      </c>
      <c r="AJ68" s="158" t="n">
        <f aca="false">AJ36*(1-Deposits!$P$15)</f>
        <v>0</v>
      </c>
      <c r="AK68" s="158" t="n">
        <f aca="false">AK36*(1-Deposits!$P$15)</f>
        <v>0</v>
      </c>
      <c r="AL68" s="158" t="n">
        <f aca="false">AL36*(1-Deposits!$P$15)</f>
        <v>0</v>
      </c>
      <c r="AM68" s="158" t="n">
        <f aca="false">AM36*(1-Deposits!$P$15)</f>
        <v>0</v>
      </c>
      <c r="AN68" s="158" t="n">
        <f aca="false">AN36*(1-Deposits!$P$15)</f>
        <v>0</v>
      </c>
      <c r="AO68" s="158" t="n">
        <f aca="false">AO36*(1-Deposits!$P$15)</f>
        <v>0</v>
      </c>
      <c r="AP68" s="158" t="n">
        <f aca="false">AP36*(1-Deposits!$P$15)</f>
        <v>0</v>
      </c>
      <c r="AQ68" s="158" t="n">
        <f aca="false">AQ36*(1-Deposits!$P$15)</f>
        <v>0</v>
      </c>
      <c r="AR68" s="158" t="n">
        <f aca="false">AR36*(1-Deposits!$P$15)</f>
        <v>0</v>
      </c>
      <c r="AS68" s="158" t="n">
        <f aca="false">AS36*(1-Deposits!$P$15)</f>
        <v>0</v>
      </c>
      <c r="AT68" s="158" t="n">
        <f aca="false">AT36*(1-Deposits!$P$15)</f>
        <v>0</v>
      </c>
      <c r="AU68" s="158" t="n">
        <f aca="false">AU36*(1-Deposits!$P$15)</f>
        <v>0</v>
      </c>
      <c r="AV68" s="158" t="n">
        <f aca="false">AV36*(1-Deposits!$P$15)</f>
        <v>0</v>
      </c>
      <c r="AW68" s="158" t="n">
        <f aca="false">AW36*(1-Deposits!$P$15)</f>
        <v>0</v>
      </c>
      <c r="AX68" s="158" t="n">
        <f aca="false">AX36*(1-Deposits!$P$15)</f>
        <v>0</v>
      </c>
      <c r="AY68" s="158" t="n">
        <f aca="false">AY36*(1-Deposits!$P$15)</f>
        <v>0</v>
      </c>
      <c r="AZ68" s="158" t="n">
        <f aca="false">AZ36*(1-Deposits!$P$15)</f>
        <v>0</v>
      </c>
      <c r="BA68" s="158" t="n">
        <f aca="false">BA36*(1-Deposits!$P$15)</f>
        <v>0</v>
      </c>
      <c r="BB68" s="158" t="n">
        <f aca="false">BB36*(1-Deposits!$P$15)</f>
        <v>0</v>
      </c>
      <c r="BC68" s="158" t="n">
        <f aca="false">BC36*(1-Deposits!$P$15)</f>
        <v>0</v>
      </c>
      <c r="BD68" s="158" t="n">
        <f aca="false">BD36*(1-Deposits!$P$15)</f>
        <v>0</v>
      </c>
      <c r="BE68" s="158" t="n">
        <f aca="false">BE36*(1-Deposits!$P$15)</f>
        <v>0</v>
      </c>
      <c r="BF68" s="158" t="n">
        <f aca="false">BF36*(1-Deposits!$P$15)</f>
        <v>0</v>
      </c>
      <c r="BG68" s="158" t="n">
        <f aca="false">BG36*(1-Deposits!$P$15)</f>
        <v>0</v>
      </c>
      <c r="BH68" s="158" t="n">
        <f aca="false">BH36*(1-Deposits!$P$15)</f>
        <v>0</v>
      </c>
      <c r="BI68" s="158" t="n">
        <f aca="false">BI36*(1-Deposits!$P$15)</f>
        <v>0</v>
      </c>
      <c r="BJ68" s="158" t="n">
        <f aca="false">BJ36*(1-Deposits!$P$15)</f>
        <v>0</v>
      </c>
      <c r="BK68" s="158" t="n">
        <f aca="false">BK36*(1-Deposits!$P$15)</f>
        <v>0</v>
      </c>
      <c r="BL68" s="158" t="n">
        <f aca="false">BL36*(1-Deposits!$P$15)</f>
        <v>0</v>
      </c>
      <c r="BM68" s="158" t="n">
        <f aca="false">BM36*(1-Deposits!$P$15)</f>
        <v>0</v>
      </c>
      <c r="BN68" s="158" t="n">
        <f aca="false">BN36*(1-Deposits!$P$15)</f>
        <v>0</v>
      </c>
      <c r="BO68" s="158" t="n">
        <f aca="false">BO36*(1-Deposits!$P$15)</f>
        <v>0</v>
      </c>
      <c r="BP68" s="158" t="n">
        <f aca="false">BP36*(1-Deposits!$P$15)</f>
        <v>0</v>
      </c>
    </row>
    <row r="69" customFormat="false" ht="15" hidden="false" customHeight="false" outlineLevel="0" collapsed="false">
      <c r="C69" s="235" t="str">
        <f aca="false">C37</f>
        <v>Kiegészítő biztosíték 3. részlet</v>
      </c>
      <c r="D69" s="133" t="s">
        <v>125</v>
      </c>
      <c r="E69" s="158"/>
      <c r="F69" s="158"/>
      <c r="G69" s="158" t="n">
        <f aca="false">SUM(H69:BP69)</f>
        <v>0</v>
      </c>
      <c r="H69" s="158" t="n">
        <f aca="false">H37*(1-Deposits!$P$16)</f>
        <v>0</v>
      </c>
      <c r="I69" s="158" t="n">
        <f aca="false">I37*(1-Deposits!$P$16)</f>
        <v>0</v>
      </c>
      <c r="J69" s="158" t="n">
        <f aca="false">J37*(1-Deposits!$P$16)</f>
        <v>0</v>
      </c>
      <c r="K69" s="158" t="n">
        <f aca="false">K37*(1-Deposits!$P$16)</f>
        <v>0</v>
      </c>
      <c r="L69" s="158" t="n">
        <f aca="false">L37*(1-Deposits!$P$16)</f>
        <v>0</v>
      </c>
      <c r="M69" s="158" t="n">
        <f aca="false">M37*(1-Deposits!$P$16)</f>
        <v>0</v>
      </c>
      <c r="N69" s="158" t="n">
        <f aca="false">N37*(1-Deposits!$P$16)</f>
        <v>0</v>
      </c>
      <c r="O69" s="158" t="n">
        <f aca="false">O37*(1-Deposits!$P$16)</f>
        <v>0</v>
      </c>
      <c r="P69" s="158" t="n">
        <f aca="false">P37*(1-Deposits!$P$16)</f>
        <v>0</v>
      </c>
      <c r="Q69" s="158" t="n">
        <f aca="false">Q37*(1-Deposits!$P$16)</f>
        <v>0</v>
      </c>
      <c r="R69" s="158" t="n">
        <f aca="false">R37*(1-Deposits!$P$16)</f>
        <v>0</v>
      </c>
      <c r="S69" s="158" t="n">
        <f aca="false">S37*(1-Deposits!$P$16)</f>
        <v>0</v>
      </c>
      <c r="T69" s="158" t="n">
        <f aca="false">T37*(1-Deposits!$P$16)</f>
        <v>0</v>
      </c>
      <c r="U69" s="158" t="n">
        <f aca="false">U37*(1-Deposits!$P$16)</f>
        <v>0</v>
      </c>
      <c r="V69" s="158" t="n">
        <f aca="false">V37*(1-Deposits!$P$16)</f>
        <v>0</v>
      </c>
      <c r="W69" s="158" t="n">
        <f aca="false">W37*(1-Deposits!$P$16)</f>
        <v>0</v>
      </c>
      <c r="X69" s="158" t="n">
        <f aca="false">X37*(1-Deposits!$P$16)</f>
        <v>0</v>
      </c>
      <c r="Y69" s="158" t="n">
        <f aca="false">Y37*(1-Deposits!$P$16)</f>
        <v>0</v>
      </c>
      <c r="Z69" s="158" t="n">
        <f aca="false">Z37*(1-Deposits!$P$16)</f>
        <v>0</v>
      </c>
      <c r="AA69" s="158" t="n">
        <f aca="false">AA37*(1-Deposits!$P$16)</f>
        <v>0</v>
      </c>
      <c r="AB69" s="158" t="n">
        <f aca="false">AB37*(1-Deposits!$P$16)</f>
        <v>0</v>
      </c>
      <c r="AC69" s="158" t="n">
        <f aca="false">AC37*(1-Deposits!$P$16)</f>
        <v>0</v>
      </c>
      <c r="AD69" s="158" t="n">
        <f aca="false">AD37*(1-Deposits!$P$16)</f>
        <v>0</v>
      </c>
      <c r="AE69" s="158" t="n">
        <f aca="false">AE37*(1-Deposits!$P$16)</f>
        <v>0</v>
      </c>
      <c r="AF69" s="158" t="n">
        <f aca="false">AF37*(1-Deposits!$P$16)</f>
        <v>0</v>
      </c>
      <c r="AG69" s="158" t="n">
        <f aca="false">AG37*(1-Deposits!$P$16)</f>
        <v>0</v>
      </c>
      <c r="AH69" s="158" t="n">
        <f aca="false">AH37*(1-Deposits!$P$16)</f>
        <v>0</v>
      </c>
      <c r="AI69" s="158" t="n">
        <f aca="false">AI37*(1-Deposits!$P$16)</f>
        <v>0</v>
      </c>
      <c r="AJ69" s="158" t="n">
        <f aca="false">AJ37*(1-Deposits!$P$16)</f>
        <v>0</v>
      </c>
      <c r="AK69" s="158" t="n">
        <f aca="false">AK37*(1-Deposits!$P$16)</f>
        <v>0</v>
      </c>
      <c r="AL69" s="158" t="n">
        <f aca="false">AL37*(1-Deposits!$P$16)</f>
        <v>0</v>
      </c>
      <c r="AM69" s="158" t="n">
        <f aca="false">AM37*(1-Deposits!$P$16)</f>
        <v>0</v>
      </c>
      <c r="AN69" s="158" t="n">
        <f aca="false">AN37*(1-Deposits!$P$16)</f>
        <v>0</v>
      </c>
      <c r="AO69" s="158" t="n">
        <f aca="false">AO37*(1-Deposits!$P$16)</f>
        <v>0</v>
      </c>
      <c r="AP69" s="158" t="n">
        <f aca="false">AP37*(1-Deposits!$P$16)</f>
        <v>0</v>
      </c>
      <c r="AQ69" s="158" t="n">
        <f aca="false">AQ37*(1-Deposits!$P$16)</f>
        <v>0</v>
      </c>
      <c r="AR69" s="158" t="n">
        <f aca="false">AR37*(1-Deposits!$P$16)</f>
        <v>0</v>
      </c>
      <c r="AS69" s="158" t="n">
        <f aca="false">AS37*(1-Deposits!$P$16)</f>
        <v>0</v>
      </c>
      <c r="AT69" s="158" t="n">
        <f aca="false">AT37*(1-Deposits!$P$16)</f>
        <v>0</v>
      </c>
      <c r="AU69" s="158" t="n">
        <f aca="false">AU37*(1-Deposits!$P$16)</f>
        <v>0</v>
      </c>
      <c r="AV69" s="158" t="n">
        <f aca="false">AV37*(1-Deposits!$P$16)</f>
        <v>0</v>
      </c>
      <c r="AW69" s="158" t="n">
        <f aca="false">AW37*(1-Deposits!$P$16)</f>
        <v>0</v>
      </c>
      <c r="AX69" s="158" t="n">
        <f aca="false">AX37*(1-Deposits!$P$16)</f>
        <v>0</v>
      </c>
      <c r="AY69" s="158" t="n">
        <f aca="false">AY37*(1-Deposits!$P$16)</f>
        <v>0</v>
      </c>
      <c r="AZ69" s="158" t="n">
        <f aca="false">AZ37*(1-Deposits!$P$16)</f>
        <v>0</v>
      </c>
      <c r="BA69" s="158" t="n">
        <f aca="false">BA37*(1-Deposits!$P$16)</f>
        <v>0</v>
      </c>
      <c r="BB69" s="158" t="n">
        <f aca="false">BB37*(1-Deposits!$P$16)</f>
        <v>0</v>
      </c>
      <c r="BC69" s="158" t="n">
        <f aca="false">BC37*(1-Deposits!$P$16)</f>
        <v>0</v>
      </c>
      <c r="BD69" s="158" t="n">
        <f aca="false">BD37*(1-Deposits!$P$16)</f>
        <v>0</v>
      </c>
      <c r="BE69" s="158" t="n">
        <f aca="false">BE37*(1-Deposits!$P$16)</f>
        <v>0</v>
      </c>
      <c r="BF69" s="158" t="n">
        <f aca="false">BF37*(1-Deposits!$P$16)</f>
        <v>0</v>
      </c>
      <c r="BG69" s="158" t="n">
        <f aca="false">BG37*(1-Deposits!$P$16)</f>
        <v>0</v>
      </c>
      <c r="BH69" s="158" t="n">
        <f aca="false">BH37*(1-Deposits!$P$16)</f>
        <v>0</v>
      </c>
      <c r="BI69" s="158" t="n">
        <f aca="false">BI37*(1-Deposits!$P$16)</f>
        <v>0</v>
      </c>
      <c r="BJ69" s="158" t="n">
        <f aca="false">BJ37*(1-Deposits!$P$16)</f>
        <v>0</v>
      </c>
      <c r="BK69" s="158" t="n">
        <f aca="false">BK37*(1-Deposits!$P$16)</f>
        <v>0</v>
      </c>
      <c r="BL69" s="158" t="n">
        <f aca="false">BL37*(1-Deposits!$P$16)</f>
        <v>0</v>
      </c>
      <c r="BM69" s="158" t="n">
        <f aca="false">BM37*(1-Deposits!$P$16)</f>
        <v>0</v>
      </c>
      <c r="BN69" s="158" t="n">
        <f aca="false">BN37*(1-Deposits!$P$16)</f>
        <v>0</v>
      </c>
      <c r="BO69" s="158" t="n">
        <f aca="false">BO37*(1-Deposits!$P$16)</f>
        <v>0</v>
      </c>
      <c r="BP69" s="158" t="n">
        <f aca="false">BP37*(1-Deposits!$P$16)</f>
        <v>0</v>
      </c>
    </row>
    <row r="70" customFormat="false" ht="15" hidden="false" customHeight="false" outlineLevel="0" collapsed="false">
      <c r="C70" s="235" t="str">
        <f aca="false">C38</f>
        <v>Kiegészítő biztosíték 4. részlet</v>
      </c>
      <c r="D70" s="133" t="s">
        <v>125</v>
      </c>
      <c r="E70" s="158"/>
      <c r="F70" s="158"/>
      <c r="G70" s="158" t="n">
        <f aca="false">SUM(H70:BP70)</f>
        <v>0</v>
      </c>
      <c r="H70" s="158" t="n">
        <f aca="false">H38*(1-Deposits!$P$17)</f>
        <v>0</v>
      </c>
      <c r="I70" s="158" t="n">
        <f aca="false">I38*(1-Deposits!$P$17)</f>
        <v>0</v>
      </c>
      <c r="J70" s="158" t="n">
        <f aca="false">J38*(1-Deposits!$P$17)</f>
        <v>0</v>
      </c>
      <c r="K70" s="158" t="n">
        <f aca="false">K38*(1-Deposits!$P$17)</f>
        <v>0</v>
      </c>
      <c r="L70" s="158" t="n">
        <f aca="false">L38*(1-Deposits!$P$17)</f>
        <v>0</v>
      </c>
      <c r="M70" s="158" t="n">
        <f aca="false">M38*(1-Deposits!$P$17)</f>
        <v>0</v>
      </c>
      <c r="N70" s="158" t="n">
        <f aca="false">N38*(1-Deposits!$P$17)</f>
        <v>0</v>
      </c>
      <c r="O70" s="158" t="n">
        <f aca="false">O38*(1-Deposits!$P$17)</f>
        <v>0</v>
      </c>
      <c r="P70" s="158" t="n">
        <f aca="false">P38*(1-Deposits!$P$17)</f>
        <v>0</v>
      </c>
      <c r="Q70" s="158" t="n">
        <f aca="false">Q38*(1-Deposits!$P$17)</f>
        <v>0</v>
      </c>
      <c r="R70" s="158" t="n">
        <f aca="false">R38*(1-Deposits!$P$17)</f>
        <v>0</v>
      </c>
      <c r="S70" s="158" t="n">
        <f aca="false">S38*(1-Deposits!$P$17)</f>
        <v>0</v>
      </c>
      <c r="T70" s="158" t="n">
        <f aca="false">T38*(1-Deposits!$P$17)</f>
        <v>0</v>
      </c>
      <c r="U70" s="158" t="n">
        <f aca="false">U38*(1-Deposits!$P$17)</f>
        <v>0</v>
      </c>
      <c r="V70" s="158" t="n">
        <f aca="false">V38*(1-Deposits!$P$17)</f>
        <v>0</v>
      </c>
      <c r="W70" s="158" t="n">
        <f aca="false">W38*(1-Deposits!$P$17)</f>
        <v>0</v>
      </c>
      <c r="X70" s="158" t="n">
        <f aca="false">X38*(1-Deposits!$P$17)</f>
        <v>0</v>
      </c>
      <c r="Y70" s="158" t="n">
        <f aca="false">Y38*(1-Deposits!$P$17)</f>
        <v>0</v>
      </c>
      <c r="Z70" s="158" t="n">
        <f aca="false">Z38*(1-Deposits!$P$17)</f>
        <v>0</v>
      </c>
      <c r="AA70" s="158" t="n">
        <f aca="false">AA38*(1-Deposits!$P$17)</f>
        <v>0</v>
      </c>
      <c r="AB70" s="158" t="n">
        <f aca="false">AB38*(1-Deposits!$P$17)</f>
        <v>0</v>
      </c>
      <c r="AC70" s="158" t="n">
        <f aca="false">AC38*(1-Deposits!$P$17)</f>
        <v>0</v>
      </c>
      <c r="AD70" s="158" t="n">
        <f aca="false">AD38*(1-Deposits!$P$17)</f>
        <v>0</v>
      </c>
      <c r="AE70" s="158" t="n">
        <f aca="false">AE38*(1-Deposits!$P$17)</f>
        <v>0</v>
      </c>
      <c r="AF70" s="158" t="n">
        <f aca="false">AF38*(1-Deposits!$P$17)</f>
        <v>0</v>
      </c>
      <c r="AG70" s="158" t="n">
        <f aca="false">AG38*(1-Deposits!$P$17)</f>
        <v>0</v>
      </c>
      <c r="AH70" s="158" t="n">
        <f aca="false">AH38*(1-Deposits!$P$17)</f>
        <v>0</v>
      </c>
      <c r="AI70" s="158" t="n">
        <f aca="false">AI38*(1-Deposits!$P$17)</f>
        <v>0</v>
      </c>
      <c r="AJ70" s="158" t="n">
        <f aca="false">AJ38*(1-Deposits!$P$17)</f>
        <v>0</v>
      </c>
      <c r="AK70" s="158" t="n">
        <f aca="false">AK38*(1-Deposits!$P$17)</f>
        <v>0</v>
      </c>
      <c r="AL70" s="158" t="n">
        <f aca="false">AL38*(1-Deposits!$P$17)</f>
        <v>0</v>
      </c>
      <c r="AM70" s="158" t="n">
        <f aca="false">AM38*(1-Deposits!$P$17)</f>
        <v>0</v>
      </c>
      <c r="AN70" s="158" t="n">
        <f aca="false">AN38*(1-Deposits!$P$17)</f>
        <v>0</v>
      </c>
      <c r="AO70" s="158" t="n">
        <f aca="false">AO38*(1-Deposits!$P$17)</f>
        <v>0</v>
      </c>
      <c r="AP70" s="158" t="n">
        <f aca="false">AP38*(1-Deposits!$P$17)</f>
        <v>0</v>
      </c>
      <c r="AQ70" s="158" t="n">
        <f aca="false">AQ38*(1-Deposits!$P$17)</f>
        <v>0</v>
      </c>
      <c r="AR70" s="158" t="n">
        <f aca="false">AR38*(1-Deposits!$P$17)</f>
        <v>0</v>
      </c>
      <c r="AS70" s="158" t="n">
        <f aca="false">AS38*(1-Deposits!$P$17)</f>
        <v>0</v>
      </c>
      <c r="AT70" s="158" t="n">
        <f aca="false">AT38*(1-Deposits!$P$17)</f>
        <v>0</v>
      </c>
      <c r="AU70" s="158" t="n">
        <f aca="false">AU38*(1-Deposits!$P$17)</f>
        <v>0</v>
      </c>
      <c r="AV70" s="158" t="n">
        <f aca="false">AV38*(1-Deposits!$P$17)</f>
        <v>0</v>
      </c>
      <c r="AW70" s="158" t="n">
        <f aca="false">AW38*(1-Deposits!$P$17)</f>
        <v>0</v>
      </c>
      <c r="AX70" s="158" t="n">
        <f aca="false">AX38*(1-Deposits!$P$17)</f>
        <v>0</v>
      </c>
      <c r="AY70" s="158" t="n">
        <f aca="false">AY38*(1-Deposits!$P$17)</f>
        <v>0</v>
      </c>
      <c r="AZ70" s="158" t="n">
        <f aca="false">AZ38*(1-Deposits!$P$17)</f>
        <v>0</v>
      </c>
      <c r="BA70" s="158" t="n">
        <f aca="false">BA38*(1-Deposits!$P$17)</f>
        <v>0</v>
      </c>
      <c r="BB70" s="158" t="n">
        <f aca="false">BB38*(1-Deposits!$P$17)</f>
        <v>0</v>
      </c>
      <c r="BC70" s="158" t="n">
        <f aca="false">BC38*(1-Deposits!$P$17)</f>
        <v>0</v>
      </c>
      <c r="BD70" s="158" t="n">
        <f aca="false">BD38*(1-Deposits!$P$17)</f>
        <v>0</v>
      </c>
      <c r="BE70" s="158" t="n">
        <f aca="false">BE38*(1-Deposits!$P$17)</f>
        <v>0</v>
      </c>
      <c r="BF70" s="158" t="n">
        <f aca="false">BF38*(1-Deposits!$P$17)</f>
        <v>0</v>
      </c>
      <c r="BG70" s="158" t="n">
        <f aca="false">BG38*(1-Deposits!$P$17)</f>
        <v>0</v>
      </c>
      <c r="BH70" s="158" t="n">
        <f aca="false">BH38*(1-Deposits!$P$17)</f>
        <v>0</v>
      </c>
      <c r="BI70" s="158" t="n">
        <f aca="false">BI38*(1-Deposits!$P$17)</f>
        <v>0</v>
      </c>
      <c r="BJ70" s="158" t="n">
        <f aca="false">BJ38*(1-Deposits!$P$17)</f>
        <v>0</v>
      </c>
      <c r="BK70" s="158" t="n">
        <f aca="false">BK38*(1-Deposits!$P$17)</f>
        <v>0</v>
      </c>
      <c r="BL70" s="158" t="n">
        <f aca="false">BL38*(1-Deposits!$P$17)</f>
        <v>0</v>
      </c>
      <c r="BM70" s="158" t="n">
        <f aca="false">BM38*(1-Deposits!$P$17)</f>
        <v>0</v>
      </c>
      <c r="BN70" s="158" t="n">
        <f aca="false">BN38*(1-Deposits!$P$17)</f>
        <v>0</v>
      </c>
      <c r="BO70" s="158" t="n">
        <f aca="false">BO38*(1-Deposits!$P$17)</f>
        <v>0</v>
      </c>
      <c r="BP70" s="158" t="n">
        <f aca="false">BP38*(1-Deposits!$P$17)</f>
        <v>0</v>
      </c>
    </row>
    <row r="71" customFormat="false" ht="15" hidden="false" customHeight="false" outlineLevel="0" collapsed="false">
      <c r="C71" s="235" t="str">
        <f aca="false">C39</f>
        <v>Csatlakozási díj – becsült összeg</v>
      </c>
      <c r="D71" s="133" t="s">
        <v>125</v>
      </c>
      <c r="E71" s="158"/>
      <c r="F71" s="158"/>
      <c r="G71" s="158" t="n">
        <f aca="false">SUM(H71:BP71)</f>
        <v>0</v>
      </c>
      <c r="H71" s="158" t="n">
        <f aca="false">H39*(1-Deposits!$P$18)</f>
        <v>0</v>
      </c>
      <c r="I71" s="158" t="n">
        <f aca="false">I39*(1-Deposits!$P$18)</f>
        <v>0</v>
      </c>
      <c r="J71" s="158" t="n">
        <f aca="false">J39*(1-Deposits!$P$18)</f>
        <v>0</v>
      </c>
      <c r="K71" s="158" t="n">
        <f aca="false">K39*(1-Deposits!$P$18)</f>
        <v>0</v>
      </c>
      <c r="L71" s="158" t="n">
        <f aca="false">L39*(1-Deposits!$P$18)</f>
        <v>0</v>
      </c>
      <c r="M71" s="158" t="n">
        <f aca="false">M39*(1-Deposits!$P$18)</f>
        <v>0</v>
      </c>
      <c r="N71" s="158" t="n">
        <f aca="false">N39*(1-Deposits!$P$18)</f>
        <v>0</v>
      </c>
      <c r="O71" s="158" t="n">
        <f aca="false">O39*(1-Deposits!$P$18)</f>
        <v>0</v>
      </c>
      <c r="P71" s="158" t="n">
        <f aca="false">P39*(1-Deposits!$P$18)</f>
        <v>0</v>
      </c>
      <c r="Q71" s="158" t="n">
        <f aca="false">Q39*(1-Deposits!$P$18)</f>
        <v>0</v>
      </c>
      <c r="R71" s="158" t="n">
        <f aca="false">R39*(1-Deposits!$P$18)</f>
        <v>0</v>
      </c>
      <c r="S71" s="158" t="n">
        <f aca="false">S39*(1-Deposits!$P$18)</f>
        <v>0</v>
      </c>
      <c r="T71" s="158" t="n">
        <f aca="false">T39*(1-Deposits!$P$18)</f>
        <v>0</v>
      </c>
      <c r="U71" s="158" t="n">
        <f aca="false">U39*(1-Deposits!$P$18)</f>
        <v>0</v>
      </c>
      <c r="V71" s="158" t="n">
        <f aca="false">V39*(1-Deposits!$P$18)</f>
        <v>0</v>
      </c>
      <c r="W71" s="158" t="n">
        <f aca="false">W39*(1-Deposits!$P$18)</f>
        <v>0</v>
      </c>
      <c r="X71" s="158" t="n">
        <f aca="false">X39*(1-Deposits!$P$18)</f>
        <v>0</v>
      </c>
      <c r="Y71" s="158" t="n">
        <f aca="false">Y39*(1-Deposits!$P$18)</f>
        <v>0</v>
      </c>
      <c r="Z71" s="158" t="n">
        <f aca="false">Z39*(1-Deposits!$P$18)</f>
        <v>0</v>
      </c>
      <c r="AA71" s="158" t="n">
        <f aca="false">AA39*(1-Deposits!$P$18)</f>
        <v>0</v>
      </c>
      <c r="AB71" s="158" t="n">
        <f aca="false">AB39*(1-Deposits!$P$18)</f>
        <v>0</v>
      </c>
      <c r="AC71" s="158" t="n">
        <f aca="false">AC39*(1-Deposits!$P$18)</f>
        <v>0</v>
      </c>
      <c r="AD71" s="158" t="n">
        <f aca="false">AD39*(1-Deposits!$P$18)</f>
        <v>0</v>
      </c>
      <c r="AE71" s="158" t="n">
        <f aca="false">AE39*(1-Deposits!$P$18)</f>
        <v>0</v>
      </c>
      <c r="AF71" s="158" t="n">
        <f aca="false">AF39*(1-Deposits!$P$18)</f>
        <v>0</v>
      </c>
      <c r="AG71" s="158" t="n">
        <f aca="false">AG39*(1-Deposits!$P$18)</f>
        <v>0</v>
      </c>
      <c r="AH71" s="158" t="n">
        <f aca="false">AH39*(1-Deposits!$P$18)</f>
        <v>0</v>
      </c>
      <c r="AI71" s="158" t="n">
        <f aca="false">AI39*(1-Deposits!$P$18)</f>
        <v>0</v>
      </c>
      <c r="AJ71" s="158" t="n">
        <f aca="false">AJ39*(1-Deposits!$P$18)</f>
        <v>0</v>
      </c>
      <c r="AK71" s="158" t="n">
        <f aca="false">AK39*(1-Deposits!$P$18)</f>
        <v>0</v>
      </c>
      <c r="AL71" s="158" t="n">
        <f aca="false">AL39*(1-Deposits!$P$18)</f>
        <v>0</v>
      </c>
      <c r="AM71" s="158" t="n">
        <f aca="false">AM39*(1-Deposits!$P$18)</f>
        <v>0</v>
      </c>
      <c r="AN71" s="158" t="n">
        <f aca="false">AN39*(1-Deposits!$P$18)</f>
        <v>0</v>
      </c>
      <c r="AO71" s="158" t="n">
        <f aca="false">AO39*(1-Deposits!$P$18)</f>
        <v>0</v>
      </c>
      <c r="AP71" s="158" t="n">
        <f aca="false">AP39*(1-Deposits!$P$18)</f>
        <v>0</v>
      </c>
      <c r="AQ71" s="158" t="n">
        <f aca="false">AQ39*(1-Deposits!$P$18)</f>
        <v>0</v>
      </c>
      <c r="AR71" s="158" t="n">
        <f aca="false">AR39*(1-Deposits!$P$18)</f>
        <v>0</v>
      </c>
      <c r="AS71" s="158" t="n">
        <f aca="false">AS39*(1-Deposits!$P$18)</f>
        <v>0</v>
      </c>
      <c r="AT71" s="158" t="n">
        <f aca="false">AT39*(1-Deposits!$P$18)</f>
        <v>0</v>
      </c>
      <c r="AU71" s="158" t="n">
        <f aca="false">AU39*(1-Deposits!$P$18)</f>
        <v>0</v>
      </c>
      <c r="AV71" s="158" t="n">
        <f aca="false">AV39*(1-Deposits!$P$18)</f>
        <v>0</v>
      </c>
      <c r="AW71" s="158" t="n">
        <f aca="false">AW39*(1-Deposits!$P$18)</f>
        <v>0</v>
      </c>
      <c r="AX71" s="158" t="n">
        <f aca="false">AX39*(1-Deposits!$P$18)</f>
        <v>0</v>
      </c>
      <c r="AY71" s="158" t="n">
        <f aca="false">AY39*(1-Deposits!$P$18)</f>
        <v>0</v>
      </c>
      <c r="AZ71" s="158" t="n">
        <f aca="false">AZ39*(1-Deposits!$P$18)</f>
        <v>0</v>
      </c>
      <c r="BA71" s="158" t="n">
        <f aca="false">BA39*(1-Deposits!$P$18)</f>
        <v>0</v>
      </c>
      <c r="BB71" s="158" t="n">
        <f aca="false">BB39*(1-Deposits!$P$18)</f>
        <v>0</v>
      </c>
      <c r="BC71" s="158" t="n">
        <f aca="false">BC39*(1-Deposits!$P$18)</f>
        <v>0</v>
      </c>
      <c r="BD71" s="158" t="n">
        <f aca="false">BD39*(1-Deposits!$P$18)</f>
        <v>0</v>
      </c>
      <c r="BE71" s="158" t="n">
        <f aca="false">BE39*(1-Deposits!$P$18)</f>
        <v>0</v>
      </c>
      <c r="BF71" s="158" t="n">
        <f aca="false">BF39*(1-Deposits!$P$18)</f>
        <v>0</v>
      </c>
      <c r="BG71" s="158" t="n">
        <f aca="false">BG39*(1-Deposits!$P$18)</f>
        <v>0</v>
      </c>
      <c r="BH71" s="158" t="n">
        <f aca="false">BH39*(1-Deposits!$P$18)</f>
        <v>0</v>
      </c>
      <c r="BI71" s="158" t="n">
        <f aca="false">BI39*(1-Deposits!$P$18)</f>
        <v>0</v>
      </c>
      <c r="BJ71" s="158" t="n">
        <f aca="false">BJ39*(1-Deposits!$P$18)</f>
        <v>0</v>
      </c>
      <c r="BK71" s="158" t="n">
        <f aca="false">BK39*(1-Deposits!$P$18)</f>
        <v>0</v>
      </c>
      <c r="BL71" s="158" t="n">
        <f aca="false">BL39*(1-Deposits!$P$18)</f>
        <v>0</v>
      </c>
      <c r="BM71" s="158" t="n">
        <f aca="false">BM39*(1-Deposits!$P$18)</f>
        <v>0</v>
      </c>
      <c r="BN71" s="158" t="n">
        <f aca="false">BN39*(1-Deposits!$P$18)</f>
        <v>0</v>
      </c>
      <c r="BO71" s="158" t="n">
        <f aca="false">BO39*(1-Deposits!$P$18)</f>
        <v>0</v>
      </c>
      <c r="BP71" s="158" t="n">
        <f aca="false">BP39*(1-Deposits!$P$18)</f>
        <v>0</v>
      </c>
    </row>
    <row r="72" customFormat="false" ht="15" hidden="false" customHeight="false" outlineLevel="0" collapsed="false">
      <c r="C72" s="205" t="s">
        <v>1058</v>
      </c>
      <c r="D72" s="205" t="s">
        <v>125</v>
      </c>
      <c r="E72" s="251"/>
      <c r="F72" s="251"/>
      <c r="G72" s="251" t="n">
        <f aca="false">SUM(H72:BP72)</f>
        <v>5842.87671232877</v>
      </c>
      <c r="H72" s="251" t="n">
        <f aca="false">SUM(H60:H71)</f>
        <v>0</v>
      </c>
      <c r="I72" s="251" t="n">
        <f aca="false">SUM(I60:I71)</f>
        <v>0</v>
      </c>
      <c r="J72" s="251" t="n">
        <f aca="false">SUM(J60:J71)</f>
        <v>0</v>
      </c>
      <c r="K72" s="251" t="n">
        <f aca="false">SUM(K60:K71)</f>
        <v>1168.57534246575</v>
      </c>
      <c r="L72" s="251" t="n">
        <f aca="false">SUM(L60:L71)</f>
        <v>0</v>
      </c>
      <c r="M72" s="251" t="n">
        <f aca="false">SUM(M60:M71)</f>
        <v>4674.30136986302</v>
      </c>
      <c r="N72" s="251" t="n">
        <f aca="false">SUM(N60:N71)</f>
        <v>0</v>
      </c>
      <c r="O72" s="251" t="n">
        <f aca="false">SUM(O60:O71)</f>
        <v>0</v>
      </c>
      <c r="P72" s="251" t="n">
        <f aca="false">SUM(P60:P71)</f>
        <v>0</v>
      </c>
      <c r="Q72" s="251" t="n">
        <f aca="false">SUM(Q60:Q71)</f>
        <v>0</v>
      </c>
      <c r="R72" s="251" t="n">
        <f aca="false">SUM(R60:R71)</f>
        <v>0</v>
      </c>
      <c r="S72" s="251" t="n">
        <f aca="false">SUM(S60:S71)</f>
        <v>0</v>
      </c>
      <c r="T72" s="251" t="n">
        <f aca="false">SUM(T60:T71)</f>
        <v>0</v>
      </c>
      <c r="U72" s="251" t="n">
        <f aca="false">SUM(U60:U71)</f>
        <v>0</v>
      </c>
      <c r="V72" s="251" t="n">
        <f aca="false">SUM(V60:V71)</f>
        <v>0</v>
      </c>
      <c r="W72" s="251" t="n">
        <f aca="false">SUM(W60:W71)</f>
        <v>0</v>
      </c>
      <c r="X72" s="251" t="n">
        <f aca="false">SUM(X60:X71)</f>
        <v>0</v>
      </c>
      <c r="Y72" s="251" t="n">
        <f aca="false">SUM(Y60:Y71)</f>
        <v>0</v>
      </c>
      <c r="Z72" s="251" t="n">
        <f aca="false">SUM(Z60:Z71)</f>
        <v>0</v>
      </c>
      <c r="AA72" s="251" t="n">
        <f aca="false">SUM(AA60:AA71)</f>
        <v>0</v>
      </c>
      <c r="AB72" s="251" t="n">
        <f aca="false">SUM(AB60:AB71)</f>
        <v>0</v>
      </c>
      <c r="AC72" s="251" t="n">
        <f aca="false">SUM(AC60:AC71)</f>
        <v>0</v>
      </c>
      <c r="AD72" s="251" t="n">
        <f aca="false">SUM(AD60:AD71)</f>
        <v>0</v>
      </c>
      <c r="AE72" s="251" t="n">
        <f aca="false">SUM(AE60:AE71)</f>
        <v>0</v>
      </c>
      <c r="AF72" s="251" t="n">
        <f aca="false">SUM(AF60:AF71)</f>
        <v>0</v>
      </c>
      <c r="AG72" s="251" t="n">
        <f aca="false">SUM(AG60:AG71)</f>
        <v>0</v>
      </c>
      <c r="AH72" s="251" t="n">
        <f aca="false">SUM(AH60:AH71)</f>
        <v>0</v>
      </c>
      <c r="AI72" s="251" t="n">
        <f aca="false">SUM(AI60:AI71)</f>
        <v>0</v>
      </c>
      <c r="AJ72" s="251" t="n">
        <f aca="false">SUM(AJ60:AJ71)</f>
        <v>0</v>
      </c>
      <c r="AK72" s="251" t="n">
        <f aca="false">SUM(AK60:AK71)</f>
        <v>0</v>
      </c>
      <c r="AL72" s="251" t="n">
        <f aca="false">SUM(AL60:AL71)</f>
        <v>0</v>
      </c>
      <c r="AM72" s="251" t="n">
        <f aca="false">SUM(AM60:AM71)</f>
        <v>0</v>
      </c>
      <c r="AN72" s="251" t="n">
        <f aca="false">SUM(AN60:AN71)</f>
        <v>0</v>
      </c>
      <c r="AO72" s="251" t="n">
        <f aca="false">SUM(AO60:AO71)</f>
        <v>0</v>
      </c>
      <c r="AP72" s="251" t="n">
        <f aca="false">SUM(AP60:AP71)</f>
        <v>0</v>
      </c>
      <c r="AQ72" s="251" t="n">
        <f aca="false">SUM(AQ60:AQ71)</f>
        <v>0</v>
      </c>
      <c r="AR72" s="251" t="n">
        <f aca="false">SUM(AR60:AR71)</f>
        <v>0</v>
      </c>
      <c r="AS72" s="251" t="n">
        <f aca="false">SUM(AS60:AS71)</f>
        <v>0</v>
      </c>
      <c r="AT72" s="251" t="n">
        <f aca="false">SUM(AT60:AT71)</f>
        <v>0</v>
      </c>
      <c r="AU72" s="251" t="n">
        <f aca="false">SUM(AU60:AU71)</f>
        <v>0</v>
      </c>
      <c r="AV72" s="251" t="n">
        <f aca="false">SUM(AV60:AV71)</f>
        <v>0</v>
      </c>
      <c r="AW72" s="251" t="n">
        <f aca="false">SUM(AW60:AW71)</f>
        <v>0</v>
      </c>
      <c r="AX72" s="251" t="n">
        <f aca="false">SUM(AX60:AX71)</f>
        <v>0</v>
      </c>
      <c r="AY72" s="251" t="n">
        <f aca="false">SUM(AY60:AY71)</f>
        <v>0</v>
      </c>
      <c r="AZ72" s="251" t="n">
        <f aca="false">SUM(AZ60:AZ71)</f>
        <v>0</v>
      </c>
      <c r="BA72" s="251" t="n">
        <f aca="false">SUM(BA60:BA71)</f>
        <v>0</v>
      </c>
      <c r="BB72" s="251" t="n">
        <f aca="false">SUM(BB60:BB71)</f>
        <v>0</v>
      </c>
      <c r="BC72" s="251" t="n">
        <f aca="false">SUM(BC60:BC71)</f>
        <v>0</v>
      </c>
      <c r="BD72" s="251" t="n">
        <f aca="false">SUM(BD60:BD71)</f>
        <v>0</v>
      </c>
      <c r="BE72" s="251" t="n">
        <f aca="false">SUM(BE60:BE71)</f>
        <v>0</v>
      </c>
      <c r="BF72" s="251" t="n">
        <f aca="false">SUM(BF60:BF71)</f>
        <v>0</v>
      </c>
      <c r="BG72" s="251" t="n">
        <f aca="false">SUM(BG60:BG71)</f>
        <v>0</v>
      </c>
      <c r="BH72" s="251" t="n">
        <f aca="false">SUM(BH60:BH71)</f>
        <v>0</v>
      </c>
      <c r="BI72" s="251" t="n">
        <f aca="false">SUM(BI60:BI71)</f>
        <v>0</v>
      </c>
      <c r="BJ72" s="251" t="n">
        <f aca="false">SUM(BJ60:BJ71)</f>
        <v>0</v>
      </c>
      <c r="BK72" s="251" t="n">
        <f aca="false">SUM(BK60:BK71)</f>
        <v>0</v>
      </c>
      <c r="BL72" s="251" t="n">
        <f aca="false">SUM(BL60:BL71)</f>
        <v>0</v>
      </c>
      <c r="BM72" s="251" t="n">
        <f aca="false">SUM(BM60:BM71)</f>
        <v>0</v>
      </c>
      <c r="BN72" s="251" t="n">
        <f aca="false">SUM(BN60:BN71)</f>
        <v>0</v>
      </c>
      <c r="BO72" s="251" t="n">
        <f aca="false">SUM(BO60:BO71)</f>
        <v>0</v>
      </c>
      <c r="BP72" s="251" t="n">
        <f aca="false">SUM(BP60:BP71)</f>
        <v>0</v>
      </c>
    </row>
    <row r="73" customFormat="false" ht="15" hidden="false" customHeight="false" outlineLevel="0" collapsed="false">
      <c r="C73" s="0" t="s">
        <v>1059</v>
      </c>
      <c r="D73" s="0" t="s">
        <v>125</v>
      </c>
      <c r="E73" s="158"/>
      <c r="F73" s="158"/>
      <c r="G73" s="158"/>
      <c r="H73" s="158" t="n">
        <v>0</v>
      </c>
      <c r="I73" s="158" t="n">
        <f aca="false">H76</f>
        <v>0</v>
      </c>
      <c r="J73" s="158" t="n">
        <f aca="false">I76</f>
        <v>0</v>
      </c>
      <c r="K73" s="158" t="n">
        <f aca="false">J76</f>
        <v>0</v>
      </c>
      <c r="L73" s="158" t="n">
        <f aca="false">K76</f>
        <v>1168.57534246575</v>
      </c>
      <c r="M73" s="158" t="n">
        <f aca="false">L76</f>
        <v>1168.57534246575</v>
      </c>
      <c r="N73" s="158" t="n">
        <f aca="false">M76</f>
        <v>5842.87671232877</v>
      </c>
      <c r="O73" s="158" t="n">
        <f aca="false">N76</f>
        <v>5842.87671232877</v>
      </c>
      <c r="P73" s="158" t="n">
        <f aca="false">O76</f>
        <v>5842.87671232877</v>
      </c>
      <c r="Q73" s="158" t="n">
        <f aca="false">P76</f>
        <v>5842.87671232877</v>
      </c>
      <c r="R73" s="158" t="n">
        <f aca="false">Q76</f>
        <v>5842.87671232877</v>
      </c>
      <c r="S73" s="158" t="n">
        <f aca="false">R76</f>
        <v>5842.87671232877</v>
      </c>
      <c r="T73" s="158" t="n">
        <f aca="false">S76</f>
        <v>5842.87671232877</v>
      </c>
      <c r="U73" s="158" t="n">
        <f aca="false">T76</f>
        <v>5842.87671232877</v>
      </c>
      <c r="V73" s="158" t="n">
        <f aca="false">U76</f>
        <v>5842.87671232877</v>
      </c>
      <c r="W73" s="158" t="n">
        <f aca="false">V76</f>
        <v>5842.87671232877</v>
      </c>
      <c r="X73" s="158" t="n">
        <f aca="false">W76</f>
        <v>5842.87671232877</v>
      </c>
      <c r="Y73" s="158" t="n">
        <f aca="false">X76</f>
        <v>5842.87671232877</v>
      </c>
      <c r="Z73" s="158" t="n">
        <f aca="false">Y76</f>
        <v>5842.87671232877</v>
      </c>
      <c r="AA73" s="158" t="n">
        <f aca="false">Z76</f>
        <v>5842.87671232877</v>
      </c>
      <c r="AB73" s="158" t="n">
        <f aca="false">AA76</f>
        <v>5842.87671232877</v>
      </c>
      <c r="AC73" s="158" t="n">
        <f aca="false">AB76</f>
        <v>5842.87671232877</v>
      </c>
      <c r="AD73" s="158" t="n">
        <f aca="false">AC76</f>
        <v>5842.87671232877</v>
      </c>
      <c r="AE73" s="158" t="n">
        <f aca="false">AD76</f>
        <v>5842.87671232877</v>
      </c>
      <c r="AF73" s="158" t="n">
        <f aca="false">AE76</f>
        <v>5842.87671232877</v>
      </c>
      <c r="AG73" s="158" t="n">
        <f aca="false">AF76</f>
        <v>5842.87671232877</v>
      </c>
      <c r="AH73" s="158" t="n">
        <f aca="false">AG76</f>
        <v>5842.87671232877</v>
      </c>
      <c r="AI73" s="158" t="n">
        <f aca="false">AH76</f>
        <v>5842.87671232877</v>
      </c>
      <c r="AJ73" s="158" t="n">
        <f aca="false">AI76</f>
        <v>5842.87671232877</v>
      </c>
      <c r="AK73" s="158" t="n">
        <f aca="false">AJ76</f>
        <v>5842.87671232877</v>
      </c>
      <c r="AL73" s="158" t="n">
        <f aca="false">AK76</f>
        <v>5842.87671232877</v>
      </c>
      <c r="AM73" s="158" t="n">
        <f aca="false">AL76</f>
        <v>5842.87671232877</v>
      </c>
      <c r="AN73" s="158" t="n">
        <f aca="false">AM76</f>
        <v>5842.87671232877</v>
      </c>
      <c r="AO73" s="158" t="n">
        <f aca="false">AN76</f>
        <v>5842.87671232877</v>
      </c>
      <c r="AP73" s="158" t="n">
        <f aca="false">AO76</f>
        <v>5842.87671232877</v>
      </c>
      <c r="AQ73" s="158" t="n">
        <f aca="false">AP76</f>
        <v>5842.87671232877</v>
      </c>
      <c r="AR73" s="158" t="n">
        <f aca="false">AQ76</f>
        <v>5842.87671232877</v>
      </c>
      <c r="AS73" s="158" t="n">
        <f aca="false">AR76</f>
        <v>5842.87671232877</v>
      </c>
      <c r="AT73" s="158" t="n">
        <f aca="false">AS76</f>
        <v>5842.87671232877</v>
      </c>
      <c r="AU73" s="158" t="n">
        <f aca="false">AT76</f>
        <v>0</v>
      </c>
      <c r="AV73" s="158" t="n">
        <f aca="false">AU76</f>
        <v>0</v>
      </c>
      <c r="AW73" s="158" t="n">
        <f aca="false">AV76</f>
        <v>0</v>
      </c>
      <c r="AX73" s="158" t="n">
        <f aca="false">AW76</f>
        <v>0</v>
      </c>
      <c r="AY73" s="158" t="n">
        <f aca="false">AX76</f>
        <v>0</v>
      </c>
      <c r="AZ73" s="158" t="n">
        <f aca="false">AY76</f>
        <v>0</v>
      </c>
      <c r="BA73" s="158" t="n">
        <f aca="false">AZ76</f>
        <v>0</v>
      </c>
      <c r="BB73" s="158" t="n">
        <f aca="false">BA76</f>
        <v>0</v>
      </c>
      <c r="BC73" s="158" t="n">
        <f aca="false">BB76</f>
        <v>0</v>
      </c>
      <c r="BD73" s="158" t="n">
        <f aca="false">BC76</f>
        <v>0</v>
      </c>
      <c r="BE73" s="158" t="n">
        <f aca="false">BD76</f>
        <v>0</v>
      </c>
      <c r="BF73" s="158" t="n">
        <f aca="false">BE76</f>
        <v>0</v>
      </c>
      <c r="BG73" s="158" t="n">
        <f aca="false">BF76</f>
        <v>0</v>
      </c>
      <c r="BH73" s="158" t="n">
        <f aca="false">BG76</f>
        <v>0</v>
      </c>
      <c r="BI73" s="158" t="n">
        <f aca="false">BH76</f>
        <v>0</v>
      </c>
      <c r="BJ73" s="158" t="n">
        <f aca="false">BI76</f>
        <v>0</v>
      </c>
      <c r="BK73" s="158" t="n">
        <f aca="false">BJ76</f>
        <v>0</v>
      </c>
      <c r="BL73" s="158" t="n">
        <f aca="false">BK76</f>
        <v>0</v>
      </c>
      <c r="BM73" s="158" t="n">
        <f aca="false">BL76</f>
        <v>0</v>
      </c>
      <c r="BN73" s="158" t="n">
        <f aca="false">BM76</f>
        <v>0</v>
      </c>
      <c r="BO73" s="158" t="n">
        <f aca="false">BN76</f>
        <v>0</v>
      </c>
      <c r="BP73" s="158" t="n">
        <f aca="false">BO76</f>
        <v>0</v>
      </c>
    </row>
    <row r="74" customFormat="false" ht="15" hidden="false" customHeight="false" outlineLevel="0" collapsed="false">
      <c r="C74" s="0" t="s">
        <v>1060</v>
      </c>
      <c r="D74" s="0" t="s">
        <v>125</v>
      </c>
      <c r="E74" s="158"/>
      <c r="F74" s="158"/>
      <c r="G74" s="158"/>
      <c r="H74" s="158" t="n">
        <f aca="false">H72</f>
        <v>0</v>
      </c>
      <c r="I74" s="158" t="n">
        <f aca="false">I72</f>
        <v>0</v>
      </c>
      <c r="J74" s="158" t="n">
        <f aca="false">J72</f>
        <v>0</v>
      </c>
      <c r="K74" s="158" t="n">
        <f aca="false">K72</f>
        <v>1168.57534246575</v>
      </c>
      <c r="L74" s="158" t="n">
        <f aca="false">L72</f>
        <v>0</v>
      </c>
      <c r="M74" s="158" t="n">
        <f aca="false">M72</f>
        <v>4674.30136986302</v>
      </c>
      <c r="N74" s="158" t="n">
        <f aca="false">N72</f>
        <v>0</v>
      </c>
      <c r="O74" s="158" t="n">
        <f aca="false">O72</f>
        <v>0</v>
      </c>
      <c r="P74" s="158" t="n">
        <f aca="false">P72</f>
        <v>0</v>
      </c>
      <c r="Q74" s="158" t="n">
        <f aca="false">Q72</f>
        <v>0</v>
      </c>
      <c r="R74" s="158" t="n">
        <f aca="false">R72</f>
        <v>0</v>
      </c>
      <c r="S74" s="158" t="n">
        <f aca="false">S72</f>
        <v>0</v>
      </c>
      <c r="T74" s="158" t="n">
        <f aca="false">T72</f>
        <v>0</v>
      </c>
      <c r="U74" s="158" t="n">
        <f aca="false">U72</f>
        <v>0</v>
      </c>
      <c r="V74" s="158" t="n">
        <f aca="false">V72</f>
        <v>0</v>
      </c>
      <c r="W74" s="158" t="n">
        <f aca="false">W72</f>
        <v>0</v>
      </c>
      <c r="X74" s="158" t="n">
        <f aca="false">X72</f>
        <v>0</v>
      </c>
      <c r="Y74" s="158" t="n">
        <f aca="false">Y72</f>
        <v>0</v>
      </c>
      <c r="Z74" s="158" t="n">
        <f aca="false">Z72</f>
        <v>0</v>
      </c>
      <c r="AA74" s="158" t="n">
        <f aca="false">AA72</f>
        <v>0</v>
      </c>
      <c r="AB74" s="158" t="n">
        <f aca="false">AB72</f>
        <v>0</v>
      </c>
      <c r="AC74" s="158" t="n">
        <f aca="false">AC72</f>
        <v>0</v>
      </c>
      <c r="AD74" s="158" t="n">
        <f aca="false">AD72</f>
        <v>0</v>
      </c>
      <c r="AE74" s="158" t="n">
        <f aca="false">AE72</f>
        <v>0</v>
      </c>
      <c r="AF74" s="158" t="n">
        <f aca="false">AF72</f>
        <v>0</v>
      </c>
      <c r="AG74" s="158" t="n">
        <f aca="false">AG72</f>
        <v>0</v>
      </c>
      <c r="AH74" s="158" t="n">
        <f aca="false">AH72</f>
        <v>0</v>
      </c>
      <c r="AI74" s="158" t="n">
        <f aca="false">AI72</f>
        <v>0</v>
      </c>
      <c r="AJ74" s="158" t="n">
        <f aca="false">AJ72</f>
        <v>0</v>
      </c>
      <c r="AK74" s="158" t="n">
        <f aca="false">AK72</f>
        <v>0</v>
      </c>
      <c r="AL74" s="158" t="n">
        <f aca="false">AL72</f>
        <v>0</v>
      </c>
      <c r="AM74" s="158" t="n">
        <f aca="false">AM72</f>
        <v>0</v>
      </c>
      <c r="AN74" s="158" t="n">
        <f aca="false">AN72</f>
        <v>0</v>
      </c>
      <c r="AO74" s="158" t="n">
        <f aca="false">AO72</f>
        <v>0</v>
      </c>
      <c r="AP74" s="158" t="n">
        <f aca="false">AP72</f>
        <v>0</v>
      </c>
      <c r="AQ74" s="158" t="n">
        <f aca="false">AQ72</f>
        <v>0</v>
      </c>
      <c r="AR74" s="158" t="n">
        <f aca="false">AR72</f>
        <v>0</v>
      </c>
      <c r="AS74" s="158" t="n">
        <f aca="false">AS72</f>
        <v>0</v>
      </c>
      <c r="AT74" s="158" t="n">
        <f aca="false">AT72</f>
        <v>0</v>
      </c>
      <c r="AU74" s="158" t="n">
        <f aca="false">AU72</f>
        <v>0</v>
      </c>
      <c r="AV74" s="158" t="n">
        <f aca="false">AV72</f>
        <v>0</v>
      </c>
      <c r="AW74" s="158" t="n">
        <f aca="false">AW72</f>
        <v>0</v>
      </c>
      <c r="AX74" s="158" t="n">
        <f aca="false">AX72</f>
        <v>0</v>
      </c>
      <c r="AY74" s="158" t="n">
        <f aca="false">AY72</f>
        <v>0</v>
      </c>
      <c r="AZ74" s="158" t="n">
        <f aca="false">AZ72</f>
        <v>0</v>
      </c>
      <c r="BA74" s="158" t="n">
        <f aca="false">BA72</f>
        <v>0</v>
      </c>
      <c r="BB74" s="158" t="n">
        <f aca="false">BB72</f>
        <v>0</v>
      </c>
      <c r="BC74" s="158" t="n">
        <f aca="false">BC72</f>
        <v>0</v>
      </c>
      <c r="BD74" s="158" t="n">
        <f aca="false">BD72</f>
        <v>0</v>
      </c>
      <c r="BE74" s="158" t="n">
        <f aca="false">BE72</f>
        <v>0</v>
      </c>
      <c r="BF74" s="158" t="n">
        <f aca="false">BF72</f>
        <v>0</v>
      </c>
      <c r="BG74" s="158" t="n">
        <f aca="false">BG72</f>
        <v>0</v>
      </c>
      <c r="BH74" s="158" t="n">
        <f aca="false">BH72</f>
        <v>0</v>
      </c>
      <c r="BI74" s="158" t="n">
        <f aca="false">BI72</f>
        <v>0</v>
      </c>
      <c r="BJ74" s="158" t="n">
        <f aca="false">BJ72</f>
        <v>0</v>
      </c>
      <c r="BK74" s="158" t="n">
        <f aca="false">BK72</f>
        <v>0</v>
      </c>
      <c r="BL74" s="158" t="n">
        <f aca="false">BL72</f>
        <v>0</v>
      </c>
      <c r="BM74" s="158" t="n">
        <f aca="false">BM72</f>
        <v>0</v>
      </c>
      <c r="BN74" s="158" t="n">
        <f aca="false">BN72</f>
        <v>0</v>
      </c>
      <c r="BO74" s="158" t="n">
        <f aca="false">BO72</f>
        <v>0</v>
      </c>
      <c r="BP74" s="158" t="n">
        <f aca="false">BP72</f>
        <v>0</v>
      </c>
    </row>
    <row r="75" customFormat="false" ht="15" hidden="false" customHeight="false" outlineLevel="0" collapsed="false">
      <c r="C75" s="0" t="s">
        <v>1061</v>
      </c>
      <c r="D75" s="0" t="s">
        <v>125</v>
      </c>
      <c r="E75" s="158"/>
      <c r="F75" s="158"/>
      <c r="G75" s="158" t="n">
        <f aca="false">SUM(H75:BP75)</f>
        <v>-5842.87671232877</v>
      </c>
      <c r="H75" s="158" t="n">
        <f aca="false">-H$7*(H73+H74)</f>
        <v>-0</v>
      </c>
      <c r="I75" s="158" t="n">
        <f aca="false">-I$7*(I73+I74)</f>
        <v>-0</v>
      </c>
      <c r="J75" s="158" t="n">
        <f aca="false">-J$7*(J73+J74)</f>
        <v>-0</v>
      </c>
      <c r="K75" s="158" t="n">
        <f aca="false">-K$7*(K73+K74)</f>
        <v>-0</v>
      </c>
      <c r="L75" s="158" t="n">
        <f aca="false">-L$7*(L73+L74)</f>
        <v>-0</v>
      </c>
      <c r="M75" s="158" t="n">
        <f aca="false">-M$7*(M73+M74)</f>
        <v>-0</v>
      </c>
      <c r="N75" s="158" t="n">
        <f aca="false">-N$7*(N73+N74)</f>
        <v>-0</v>
      </c>
      <c r="O75" s="158" t="n">
        <f aca="false">-O$7*(O73+O74)</f>
        <v>-0</v>
      </c>
      <c r="P75" s="158" t="n">
        <f aca="false">-P$7*(P73+P74)</f>
        <v>-0</v>
      </c>
      <c r="Q75" s="158" t="n">
        <f aca="false">-Q$7*(Q73+Q74)</f>
        <v>-0</v>
      </c>
      <c r="R75" s="158" t="n">
        <f aca="false">-R$7*(R73+R74)</f>
        <v>-0</v>
      </c>
      <c r="S75" s="158" t="n">
        <f aca="false">-S$7*(S73+S74)</f>
        <v>-0</v>
      </c>
      <c r="T75" s="158" t="n">
        <f aca="false">-T$7*(T73+T74)</f>
        <v>-0</v>
      </c>
      <c r="U75" s="158" t="n">
        <f aca="false">-U$7*(U73+U74)</f>
        <v>-0</v>
      </c>
      <c r="V75" s="158" t="n">
        <f aca="false">-V$7*(V73+V74)</f>
        <v>-0</v>
      </c>
      <c r="W75" s="158" t="n">
        <f aca="false">-W$7*(W73+W74)</f>
        <v>-0</v>
      </c>
      <c r="X75" s="158" t="n">
        <f aca="false">-X$7*(X73+X74)</f>
        <v>-0</v>
      </c>
      <c r="Y75" s="158" t="n">
        <f aca="false">-Y$7*(Y73+Y74)</f>
        <v>-0</v>
      </c>
      <c r="Z75" s="158" t="n">
        <f aca="false">-Z$7*(Z73+Z74)</f>
        <v>-0</v>
      </c>
      <c r="AA75" s="158" t="n">
        <f aca="false">-AA$7*(AA73+AA74)</f>
        <v>-0</v>
      </c>
      <c r="AB75" s="158" t="n">
        <f aca="false">-AB$7*(AB73+AB74)</f>
        <v>-0</v>
      </c>
      <c r="AC75" s="158" t="n">
        <f aca="false">-AC$7*(AC73+AC74)</f>
        <v>-0</v>
      </c>
      <c r="AD75" s="158" t="n">
        <f aca="false">-AD$7*(AD73+AD74)</f>
        <v>-0</v>
      </c>
      <c r="AE75" s="158" t="n">
        <f aca="false">-AE$7*(AE73+AE74)</f>
        <v>-0</v>
      </c>
      <c r="AF75" s="158" t="n">
        <f aca="false">-AF$7*(AF73+AF74)</f>
        <v>-0</v>
      </c>
      <c r="AG75" s="158" t="n">
        <f aca="false">-AG$7*(AG73+AG74)</f>
        <v>-0</v>
      </c>
      <c r="AH75" s="158" t="n">
        <f aca="false">-AH$7*(AH73+AH74)</f>
        <v>-0</v>
      </c>
      <c r="AI75" s="158" t="n">
        <f aca="false">-AI$7*(AI73+AI74)</f>
        <v>-0</v>
      </c>
      <c r="AJ75" s="158" t="n">
        <f aca="false">-AJ$7*(AJ73+AJ74)</f>
        <v>-0</v>
      </c>
      <c r="AK75" s="158" t="n">
        <f aca="false">-AK$7*(AK73+AK74)</f>
        <v>-0</v>
      </c>
      <c r="AL75" s="158" t="n">
        <f aca="false">-AL$7*(AL73+AL74)</f>
        <v>-0</v>
      </c>
      <c r="AM75" s="158" t="n">
        <f aca="false">-AM$7*(AM73+AM74)</f>
        <v>-0</v>
      </c>
      <c r="AN75" s="158" t="n">
        <f aca="false">-AN$7*(AN73+AN74)</f>
        <v>-0</v>
      </c>
      <c r="AO75" s="158" t="n">
        <f aca="false">-AO$7*(AO73+AO74)</f>
        <v>-0</v>
      </c>
      <c r="AP75" s="158" t="n">
        <f aca="false">-AP$7*(AP73+AP74)</f>
        <v>-0</v>
      </c>
      <c r="AQ75" s="158" t="n">
        <f aca="false">-AQ$7*(AQ73+AQ74)</f>
        <v>-0</v>
      </c>
      <c r="AR75" s="158" t="n">
        <f aca="false">-AR$7*(AR73+AR74)</f>
        <v>-0</v>
      </c>
      <c r="AS75" s="158" t="n">
        <f aca="false">-AS$7*(AS73+AS74)</f>
        <v>-0</v>
      </c>
      <c r="AT75" s="158" t="n">
        <f aca="false">-AT$7*(AT73+AT74)</f>
        <v>-5842.87671232877</v>
      </c>
      <c r="AU75" s="158" t="n">
        <f aca="false">-AU$7*(AU73+AU74)</f>
        <v>-0</v>
      </c>
      <c r="AV75" s="158" t="n">
        <f aca="false">-AV$7*(AV73+AV74)</f>
        <v>-0</v>
      </c>
      <c r="AW75" s="158" t="n">
        <f aca="false">-AW$7*(AW73+AW74)</f>
        <v>-0</v>
      </c>
      <c r="AX75" s="158" t="n">
        <f aca="false">-AX$7*(AX73+AX74)</f>
        <v>-0</v>
      </c>
      <c r="AY75" s="158" t="n">
        <f aca="false">-AY$7*(AY73+AY74)</f>
        <v>-0</v>
      </c>
      <c r="AZ75" s="158" t="n">
        <f aca="false">-AZ$7*(AZ73+AZ74)</f>
        <v>-0</v>
      </c>
      <c r="BA75" s="158" t="n">
        <f aca="false">-BA$7*(BA73+BA74)</f>
        <v>-0</v>
      </c>
      <c r="BB75" s="158" t="n">
        <f aca="false">-BB$7*(BB73+BB74)</f>
        <v>-0</v>
      </c>
      <c r="BC75" s="158" t="n">
        <f aca="false">-BC$7*(BC73+BC74)</f>
        <v>-0</v>
      </c>
      <c r="BD75" s="158" t="n">
        <f aca="false">-BD$7*(BD73+BD74)</f>
        <v>-0</v>
      </c>
      <c r="BE75" s="158" t="n">
        <f aca="false">-BE$7*(BE73+BE74)</f>
        <v>-0</v>
      </c>
      <c r="BF75" s="158" t="n">
        <f aca="false">-BF$7*(BF73+BF74)</f>
        <v>-0</v>
      </c>
      <c r="BG75" s="158" t="n">
        <f aca="false">-BG$7*(BG73+BG74)</f>
        <v>-0</v>
      </c>
      <c r="BH75" s="158" t="n">
        <f aca="false">-BH$7*(BH73+BH74)</f>
        <v>-0</v>
      </c>
      <c r="BI75" s="158" t="n">
        <f aca="false">-BI$7*(BI73+BI74)</f>
        <v>-0</v>
      </c>
      <c r="BJ75" s="158" t="n">
        <f aca="false">-BJ$7*(BJ73+BJ74)</f>
        <v>-0</v>
      </c>
      <c r="BK75" s="158" t="n">
        <f aca="false">-BK$7*(BK73+BK74)</f>
        <v>-0</v>
      </c>
      <c r="BL75" s="158" t="n">
        <f aca="false">-BL$7*(BL73+BL74)</f>
        <v>-0</v>
      </c>
      <c r="BM75" s="158" t="n">
        <f aca="false">-BM$7*(BM73+BM74)</f>
        <v>-0</v>
      </c>
      <c r="BN75" s="158" t="n">
        <f aca="false">-BN$7*(BN73+BN74)</f>
        <v>-0</v>
      </c>
      <c r="BO75" s="158" t="n">
        <f aca="false">-BO$7*(BO73+BO74)</f>
        <v>-0</v>
      </c>
      <c r="BP75" s="158" t="n">
        <f aca="false">-BP$7*(BP73+BP74)</f>
        <v>-0</v>
      </c>
    </row>
    <row r="76" customFormat="false" ht="15" hidden="false" customHeight="false" outlineLevel="0" collapsed="false">
      <c r="C76" s="0" t="s">
        <v>1062</v>
      </c>
      <c r="D76" s="0" t="s">
        <v>125</v>
      </c>
      <c r="E76" s="158"/>
      <c r="F76" s="158"/>
      <c r="G76" s="158" t="n">
        <f aca="false">MAX(H76:BP76)</f>
        <v>5842.87671232877</v>
      </c>
      <c r="H76" s="158" t="n">
        <f aca="false">H73+H74+H75</f>
        <v>0</v>
      </c>
      <c r="I76" s="158" t="n">
        <f aca="false">I73+I74+I75</f>
        <v>0</v>
      </c>
      <c r="J76" s="158" t="n">
        <f aca="false">J73+J74+J75</f>
        <v>0</v>
      </c>
      <c r="K76" s="158" t="n">
        <f aca="false">K73+K74+K75</f>
        <v>1168.57534246575</v>
      </c>
      <c r="L76" s="158" t="n">
        <f aca="false">L73+L74+L75</f>
        <v>1168.57534246575</v>
      </c>
      <c r="M76" s="158" t="n">
        <f aca="false">M73+M74+M75</f>
        <v>5842.87671232877</v>
      </c>
      <c r="N76" s="158" t="n">
        <f aca="false">N73+N74+N75</f>
        <v>5842.87671232877</v>
      </c>
      <c r="O76" s="158" t="n">
        <f aca="false">O73+O74+O75</f>
        <v>5842.87671232877</v>
      </c>
      <c r="P76" s="158" t="n">
        <f aca="false">P73+P74+P75</f>
        <v>5842.87671232877</v>
      </c>
      <c r="Q76" s="158" t="n">
        <f aca="false">Q73+Q74+Q75</f>
        <v>5842.87671232877</v>
      </c>
      <c r="R76" s="158" t="n">
        <f aca="false">R73+R74+R75</f>
        <v>5842.87671232877</v>
      </c>
      <c r="S76" s="158" t="n">
        <f aca="false">S73+S74+S75</f>
        <v>5842.87671232877</v>
      </c>
      <c r="T76" s="158" t="n">
        <f aca="false">T73+T74+T75</f>
        <v>5842.87671232877</v>
      </c>
      <c r="U76" s="158" t="n">
        <f aca="false">U73+U74+U75</f>
        <v>5842.87671232877</v>
      </c>
      <c r="V76" s="158" t="n">
        <f aca="false">V73+V74+V75</f>
        <v>5842.87671232877</v>
      </c>
      <c r="W76" s="158" t="n">
        <f aca="false">W73+W74+W75</f>
        <v>5842.87671232877</v>
      </c>
      <c r="X76" s="158" t="n">
        <f aca="false">X73+X74+X75</f>
        <v>5842.87671232877</v>
      </c>
      <c r="Y76" s="158" t="n">
        <f aca="false">Y73+Y74+Y75</f>
        <v>5842.87671232877</v>
      </c>
      <c r="Z76" s="158" t="n">
        <f aca="false">Z73+Z74+Z75</f>
        <v>5842.87671232877</v>
      </c>
      <c r="AA76" s="158" t="n">
        <f aca="false">AA73+AA74+AA75</f>
        <v>5842.87671232877</v>
      </c>
      <c r="AB76" s="158" t="n">
        <f aca="false">AB73+AB74+AB75</f>
        <v>5842.87671232877</v>
      </c>
      <c r="AC76" s="158" t="n">
        <f aca="false">AC73+AC74+AC75</f>
        <v>5842.87671232877</v>
      </c>
      <c r="AD76" s="158" t="n">
        <f aca="false">AD73+AD74+AD75</f>
        <v>5842.87671232877</v>
      </c>
      <c r="AE76" s="158" t="n">
        <f aca="false">AE73+AE74+AE75</f>
        <v>5842.87671232877</v>
      </c>
      <c r="AF76" s="158" t="n">
        <f aca="false">AF73+AF74+AF75</f>
        <v>5842.87671232877</v>
      </c>
      <c r="AG76" s="158" t="n">
        <f aca="false">AG73+AG74+AG75</f>
        <v>5842.87671232877</v>
      </c>
      <c r="AH76" s="158" t="n">
        <f aca="false">AH73+AH74+AH75</f>
        <v>5842.87671232877</v>
      </c>
      <c r="AI76" s="158" t="n">
        <f aca="false">AI73+AI74+AI75</f>
        <v>5842.87671232877</v>
      </c>
      <c r="AJ76" s="158" t="n">
        <f aca="false">AJ73+AJ74+AJ75</f>
        <v>5842.87671232877</v>
      </c>
      <c r="AK76" s="158" t="n">
        <f aca="false">AK73+AK74+AK75</f>
        <v>5842.87671232877</v>
      </c>
      <c r="AL76" s="158" t="n">
        <f aca="false">AL73+AL74+AL75</f>
        <v>5842.87671232877</v>
      </c>
      <c r="AM76" s="158" t="n">
        <f aca="false">AM73+AM74+AM75</f>
        <v>5842.87671232877</v>
      </c>
      <c r="AN76" s="158" t="n">
        <f aca="false">AN73+AN74+AN75</f>
        <v>5842.87671232877</v>
      </c>
      <c r="AO76" s="158" t="n">
        <f aca="false">AO73+AO74+AO75</f>
        <v>5842.87671232877</v>
      </c>
      <c r="AP76" s="158" t="n">
        <f aca="false">AP73+AP74+AP75</f>
        <v>5842.87671232877</v>
      </c>
      <c r="AQ76" s="158" t="n">
        <f aca="false">AQ73+AQ74+AQ75</f>
        <v>5842.87671232877</v>
      </c>
      <c r="AR76" s="158" t="n">
        <f aca="false">AR73+AR74+AR75</f>
        <v>5842.87671232877</v>
      </c>
      <c r="AS76" s="158" t="n">
        <f aca="false">AS73+AS74+AS75</f>
        <v>5842.87671232877</v>
      </c>
      <c r="AT76" s="158" t="n">
        <f aca="false">AT73+AT74+AT75</f>
        <v>0</v>
      </c>
      <c r="AU76" s="158" t="n">
        <f aca="false">AU73+AU74+AU75</f>
        <v>0</v>
      </c>
      <c r="AV76" s="158" t="n">
        <f aca="false">AV73+AV74+AV75</f>
        <v>0</v>
      </c>
      <c r="AW76" s="158" t="n">
        <f aca="false">AW73+AW74+AW75</f>
        <v>0</v>
      </c>
      <c r="AX76" s="158" t="n">
        <f aca="false">AX73+AX74+AX75</f>
        <v>0</v>
      </c>
      <c r="AY76" s="158" t="n">
        <f aca="false">AY73+AY74+AY75</f>
        <v>0</v>
      </c>
      <c r="AZ76" s="158" t="n">
        <f aca="false">AZ73+AZ74+AZ75</f>
        <v>0</v>
      </c>
      <c r="BA76" s="158" t="n">
        <f aca="false">BA73+BA74+BA75</f>
        <v>0</v>
      </c>
      <c r="BB76" s="158" t="n">
        <f aca="false">BB73+BB74+BB75</f>
        <v>0</v>
      </c>
      <c r="BC76" s="158" t="n">
        <f aca="false">BC73+BC74+BC75</f>
        <v>0</v>
      </c>
      <c r="BD76" s="158" t="n">
        <f aca="false">BD73+BD74+BD75</f>
        <v>0</v>
      </c>
      <c r="BE76" s="158" t="n">
        <f aca="false">BE73+BE74+BE75</f>
        <v>0</v>
      </c>
      <c r="BF76" s="158" t="n">
        <f aca="false">BF73+BF74+BF75</f>
        <v>0</v>
      </c>
      <c r="BG76" s="158" t="n">
        <f aca="false">BG73+BG74+BG75</f>
        <v>0</v>
      </c>
      <c r="BH76" s="158" t="n">
        <f aca="false">BH73+BH74+BH75</f>
        <v>0</v>
      </c>
      <c r="BI76" s="158" t="n">
        <f aca="false">BI73+BI74+BI75</f>
        <v>0</v>
      </c>
      <c r="BJ76" s="158" t="n">
        <f aca="false">BJ73+BJ74+BJ75</f>
        <v>0</v>
      </c>
      <c r="BK76" s="158" t="n">
        <f aca="false">BK73+BK74+BK75</f>
        <v>0</v>
      </c>
      <c r="BL76" s="158" t="n">
        <f aca="false">BL73+BL74+BL75</f>
        <v>0</v>
      </c>
      <c r="BM76" s="158" t="n">
        <f aca="false">BM73+BM74+BM75</f>
        <v>0</v>
      </c>
      <c r="BN76" s="158" t="n">
        <f aca="false">BN73+BN74+BN75</f>
        <v>0</v>
      </c>
      <c r="BO76" s="158" t="n">
        <f aca="false">BO73+BO74+BO75</f>
        <v>0</v>
      </c>
      <c r="BP76" s="158" t="n">
        <f aca="false">BP73+BP74+BP75</f>
        <v>0</v>
      </c>
    </row>
    <row r="77" customFormat="false" ht="15" hidden="false" customHeight="false" outlineLevel="0" collapsed="false">
      <c r="C77" s="0" t="s">
        <v>1063</v>
      </c>
      <c r="D77" s="0" t="s">
        <v>486</v>
      </c>
      <c r="E77" s="158"/>
      <c r="F77" s="158"/>
      <c r="G77" s="158"/>
      <c r="H77" s="262" t="n">
        <f aca="false">Curves!H7</f>
        <v>0.02204</v>
      </c>
      <c r="I77" s="262" t="n">
        <f aca="false">Curves!I7</f>
        <v>0.0230337</v>
      </c>
      <c r="J77" s="262" t="n">
        <f aca="false">Curves!J7</f>
        <v>0.0239429</v>
      </c>
      <c r="K77" s="262" t="n">
        <f aca="false">Curves!K7</f>
        <v>0.0248091</v>
      </c>
      <c r="L77" s="262" t="n">
        <f aca="false">Curves!L7</f>
        <v>0.0256369</v>
      </c>
      <c r="M77" s="262" t="n">
        <f aca="false">Curves!M7</f>
        <v>0.0263515</v>
      </c>
      <c r="N77" s="262" t="n">
        <f aca="false">Curves!N7</f>
        <v>0.0270143</v>
      </c>
      <c r="O77" s="262" t="n">
        <f aca="false">Curves!O7</f>
        <v>0.0274756</v>
      </c>
      <c r="P77" s="262" t="n">
        <f aca="false">Curves!P7</f>
        <v>0.0278202</v>
      </c>
      <c r="Q77" s="262" t="n">
        <f aca="false">Curves!Q7</f>
        <v>0.0280983</v>
      </c>
      <c r="R77" s="262" t="n">
        <f aca="false">Curves!R7</f>
        <v>0.0282812</v>
      </c>
      <c r="S77" s="262" t="n">
        <f aca="false">Curves!S7</f>
        <v>0.0283804</v>
      </c>
      <c r="T77" s="262" t="n">
        <f aca="false">Curves!T7</f>
        <v>0.0284156</v>
      </c>
      <c r="U77" s="262" t="n">
        <f aca="false">Curves!U7</f>
        <v>0.0283978</v>
      </c>
      <c r="V77" s="262" t="n">
        <f aca="false">Curves!V7</f>
        <v>0.0283387</v>
      </c>
      <c r="W77" s="262" t="n">
        <f aca="false">Curves!W7</f>
        <v>0.0282487</v>
      </c>
      <c r="X77" s="262" t="n">
        <f aca="false">Curves!X7</f>
        <v>0.0281543</v>
      </c>
      <c r="Y77" s="262" t="n">
        <f aca="false">Curves!Y7</f>
        <v>0.028056</v>
      </c>
      <c r="Z77" s="262" t="n">
        <f aca="false">Curves!Z7</f>
        <v>0.0279639</v>
      </c>
      <c r="AA77" s="262" t="n">
        <f aca="false">Curves!AA7</f>
        <v>0.0278951</v>
      </c>
      <c r="AB77" s="262" t="n">
        <f aca="false">Curves!AB7</f>
        <v>0.0278436</v>
      </c>
      <c r="AC77" s="262" t="n">
        <f aca="false">Curves!AC7</f>
        <v>0.0278026</v>
      </c>
      <c r="AD77" s="262" t="n">
        <f aca="false">Curves!AD7</f>
        <v>0.0277784</v>
      </c>
      <c r="AE77" s="262" t="n">
        <f aca="false">Curves!AE7</f>
        <v>0.027765</v>
      </c>
      <c r="AF77" s="262" t="n">
        <f aca="false">Curves!AF7</f>
        <v>0.0277628</v>
      </c>
      <c r="AG77" s="262" t="n">
        <f aca="false">Curves!AG7</f>
        <v>0.0277702</v>
      </c>
      <c r="AH77" s="262" t="n">
        <f aca="false">Curves!AH7</f>
        <v>0.0277875</v>
      </c>
      <c r="AI77" s="262" t="n">
        <f aca="false">Curves!AI7</f>
        <v>0.0278085</v>
      </c>
      <c r="AJ77" s="262" t="n">
        <f aca="false">Curves!AJ7</f>
        <v>0.0278372</v>
      </c>
      <c r="AK77" s="262" t="n">
        <f aca="false">Curves!AK7</f>
        <v>0.0278735</v>
      </c>
      <c r="AL77" s="262" t="n">
        <f aca="false">Curves!AL7</f>
        <v>0.0278735</v>
      </c>
      <c r="AM77" s="262" t="n">
        <f aca="false">Curves!AM7</f>
        <v>0.0278735</v>
      </c>
      <c r="AN77" s="262" t="n">
        <f aca="false">Curves!AN7</f>
        <v>0.0278735</v>
      </c>
      <c r="AO77" s="262" t="n">
        <f aca="false">Curves!AO7</f>
        <v>0.0278735</v>
      </c>
      <c r="AP77" s="262" t="n">
        <f aca="false">Curves!AP7</f>
        <v>0.0278735</v>
      </c>
      <c r="AQ77" s="262" t="n">
        <f aca="false">Curves!AQ7</f>
        <v>0.0278735</v>
      </c>
      <c r="AR77" s="262" t="n">
        <f aca="false">Curves!AR7</f>
        <v>0.0278735</v>
      </c>
      <c r="AS77" s="262" t="n">
        <f aca="false">Curves!AS7</f>
        <v>0.0278735</v>
      </c>
      <c r="AT77" s="262" t="n">
        <f aca="false">Curves!AT7</f>
        <v>0.0278735</v>
      </c>
      <c r="AU77" s="262" t="n">
        <f aca="false">Curves!AU7</f>
        <v>0.0278735</v>
      </c>
      <c r="AV77" s="262" t="n">
        <f aca="false">Curves!AV7</f>
        <v>0.0278735</v>
      </c>
      <c r="AW77" s="262" t="n">
        <f aca="false">Curves!AW7</f>
        <v>0.0278735</v>
      </c>
      <c r="AX77" s="262" t="n">
        <f aca="false">Curves!AX7</f>
        <v>0.0278735</v>
      </c>
      <c r="AY77" s="262" t="n">
        <f aca="false">Curves!AY7</f>
        <v>0.0278735</v>
      </c>
      <c r="AZ77" s="262" t="n">
        <f aca="false">Curves!AZ7</f>
        <v>0.0278735</v>
      </c>
      <c r="BA77" s="262" t="n">
        <f aca="false">Curves!BA7</f>
        <v>0.0278735</v>
      </c>
      <c r="BB77" s="262" t="n">
        <f aca="false">Curves!BB7</f>
        <v>0.0278735</v>
      </c>
      <c r="BC77" s="262" t="n">
        <f aca="false">Curves!BC7</f>
        <v>0.0278735</v>
      </c>
      <c r="BD77" s="262" t="n">
        <f aca="false">Curves!BD7</f>
        <v>0.0278735</v>
      </c>
      <c r="BE77" s="262" t="n">
        <f aca="false">Curves!BE7</f>
        <v>0.0278735</v>
      </c>
      <c r="BF77" s="262" t="n">
        <f aca="false">Curves!BF7</f>
        <v>0.0278735</v>
      </c>
      <c r="BG77" s="262" t="n">
        <f aca="false">Curves!BG7</f>
        <v>0.0278735</v>
      </c>
      <c r="BH77" s="262" t="n">
        <f aca="false">Curves!BH7</f>
        <v>0.0278735</v>
      </c>
      <c r="BI77" s="262" t="n">
        <f aca="false">Curves!BI7</f>
        <v>0.0278735</v>
      </c>
      <c r="BJ77" s="262" t="n">
        <f aca="false">Curves!BJ7</f>
        <v>0.0278735</v>
      </c>
      <c r="BK77" s="262" t="n">
        <f aca="false">Curves!BK7</f>
        <v>0.0278735</v>
      </c>
      <c r="BL77" s="262" t="n">
        <f aca="false">Curves!BL7</f>
        <v>0.0278735</v>
      </c>
      <c r="BM77" s="262" t="n">
        <f aca="false">Curves!BM7</f>
        <v>0.0278735</v>
      </c>
      <c r="BN77" s="262" t="n">
        <f aca="false">Curves!BN7</f>
        <v>0.0278735</v>
      </c>
      <c r="BO77" s="262" t="n">
        <f aca="false">Curves!BO7</f>
        <v>0.0278735</v>
      </c>
      <c r="BP77" s="262" t="n">
        <f aca="false">Curves!BP7</f>
        <v>0.0278735</v>
      </c>
    </row>
    <row r="78" customFormat="false" ht="15" hidden="false" customHeight="false" outlineLevel="0" collapsed="false">
      <c r="C78" s="0" t="s">
        <v>1064</v>
      </c>
      <c r="D78" s="0" t="s">
        <v>486</v>
      </c>
      <c r="E78" s="158"/>
      <c r="F78" s="158"/>
      <c r="G78" s="158"/>
      <c r="H78" s="225" t="n">
        <f aca="false">IF(Inputs!$E$114=1,Inputs!$E$113,H77+Inputs!$E$111)</f>
        <v>0.06</v>
      </c>
      <c r="I78" s="225" t="n">
        <f aca="false">IF(Inputs!$E$114=1,Inputs!$E$113,I77+Inputs!$E$111)</f>
        <v>0.06</v>
      </c>
      <c r="J78" s="225" t="n">
        <f aca="false">IF(Inputs!$E$114=1,Inputs!$E$113,J77+Inputs!$E$111)</f>
        <v>0.06</v>
      </c>
      <c r="K78" s="225" t="n">
        <f aca="false">IF(Inputs!$E$114=1,Inputs!$E$113,K77+Inputs!$E$111)</f>
        <v>0.06</v>
      </c>
      <c r="L78" s="225" t="n">
        <f aca="false">IF(Inputs!$E$114=1,Inputs!$E$113,L77+Inputs!$E$111)</f>
        <v>0.06</v>
      </c>
      <c r="M78" s="225" t="n">
        <f aca="false">IF(Inputs!$E$114=1,Inputs!$E$113,M77+Inputs!$E$111)</f>
        <v>0.06</v>
      </c>
      <c r="N78" s="225" t="n">
        <f aca="false">IF(Inputs!$E$114=1,Inputs!$E$113,N77+Inputs!$E$111)</f>
        <v>0.06</v>
      </c>
      <c r="O78" s="225" t="n">
        <f aca="false">IF(Inputs!$E$114=1,Inputs!$E$113,O77+Inputs!$E$111)</f>
        <v>0.06</v>
      </c>
      <c r="P78" s="225" t="n">
        <f aca="false">IF(Inputs!$E$114=1,Inputs!$E$113,P77+Inputs!$E$111)</f>
        <v>0.06</v>
      </c>
      <c r="Q78" s="225" t="n">
        <f aca="false">IF(Inputs!$E$114=1,Inputs!$E$113,Q77+Inputs!$E$111)</f>
        <v>0.06</v>
      </c>
      <c r="R78" s="225" t="n">
        <f aca="false">IF(Inputs!$E$114=1,Inputs!$E$113,R77+Inputs!$E$111)</f>
        <v>0.06</v>
      </c>
      <c r="S78" s="225" t="n">
        <f aca="false">IF(Inputs!$E$114=1,Inputs!$E$113,S77+Inputs!$E$111)</f>
        <v>0.06</v>
      </c>
      <c r="T78" s="225" t="n">
        <f aca="false">IF(Inputs!$E$114=1,Inputs!$E$113,T77+Inputs!$E$111)</f>
        <v>0.06</v>
      </c>
      <c r="U78" s="225" t="n">
        <f aca="false">IF(Inputs!$E$114=1,Inputs!$E$113,U77+Inputs!$E$111)</f>
        <v>0.06</v>
      </c>
      <c r="V78" s="225" t="n">
        <f aca="false">IF(Inputs!$E$114=1,Inputs!$E$113,V77+Inputs!$E$111)</f>
        <v>0.06</v>
      </c>
      <c r="W78" s="225" t="n">
        <f aca="false">IF(Inputs!$E$114=1,Inputs!$E$113,W77+Inputs!$E$111)</f>
        <v>0.06</v>
      </c>
      <c r="X78" s="225" t="n">
        <f aca="false">IF(Inputs!$E$114=1,Inputs!$E$113,X77+Inputs!$E$111)</f>
        <v>0.06</v>
      </c>
      <c r="Y78" s="225" t="n">
        <f aca="false">IF(Inputs!$E$114=1,Inputs!$E$113,Y77+Inputs!$E$111)</f>
        <v>0.06</v>
      </c>
      <c r="Z78" s="225" t="n">
        <f aca="false">IF(Inputs!$E$114=1,Inputs!$E$113,Z77+Inputs!$E$111)</f>
        <v>0.06</v>
      </c>
      <c r="AA78" s="225" t="n">
        <f aca="false">IF(Inputs!$E$114=1,Inputs!$E$113,AA77+Inputs!$E$111)</f>
        <v>0.06</v>
      </c>
      <c r="AB78" s="225" t="n">
        <f aca="false">IF(Inputs!$E$114=1,Inputs!$E$113,AB77+Inputs!$E$111)</f>
        <v>0.06</v>
      </c>
      <c r="AC78" s="225" t="n">
        <f aca="false">IF(Inputs!$E$114=1,Inputs!$E$113,AC77+Inputs!$E$111)</f>
        <v>0.06</v>
      </c>
      <c r="AD78" s="225" t="n">
        <f aca="false">IF(Inputs!$E$114=1,Inputs!$E$113,AD77+Inputs!$E$111)</f>
        <v>0.06</v>
      </c>
      <c r="AE78" s="225" t="n">
        <f aca="false">IF(Inputs!$E$114=1,Inputs!$E$113,AE77+Inputs!$E$111)</f>
        <v>0.06</v>
      </c>
      <c r="AF78" s="225" t="n">
        <f aca="false">IF(Inputs!$E$114=1,Inputs!$E$113,AF77+Inputs!$E$111)</f>
        <v>0.06</v>
      </c>
      <c r="AG78" s="225" t="n">
        <f aca="false">IF(Inputs!$E$114=1,Inputs!$E$113,AG77+Inputs!$E$111)</f>
        <v>0.06</v>
      </c>
      <c r="AH78" s="225" t="n">
        <f aca="false">IF(Inputs!$E$114=1,Inputs!$E$113,AH77+Inputs!$E$111)</f>
        <v>0.06</v>
      </c>
      <c r="AI78" s="225" t="n">
        <f aca="false">IF(Inputs!$E$114=1,Inputs!$E$113,AI77+Inputs!$E$111)</f>
        <v>0.06</v>
      </c>
      <c r="AJ78" s="225" t="n">
        <f aca="false">IF(Inputs!$E$114=1,Inputs!$E$113,AJ77+Inputs!$E$111)</f>
        <v>0.06</v>
      </c>
      <c r="AK78" s="225" t="n">
        <f aca="false">IF(Inputs!$E$114=1,Inputs!$E$113,AK77+Inputs!$E$111)</f>
        <v>0.06</v>
      </c>
      <c r="AL78" s="225" t="n">
        <f aca="false">IF(Inputs!$E$114=1,Inputs!$E$113,AL77+Inputs!$E$111)</f>
        <v>0.06</v>
      </c>
      <c r="AM78" s="225" t="n">
        <f aca="false">IF(Inputs!$E$114=1,Inputs!$E$113,AM77+Inputs!$E$111)</f>
        <v>0.06</v>
      </c>
      <c r="AN78" s="225" t="n">
        <f aca="false">IF(Inputs!$E$114=1,Inputs!$E$113,AN77+Inputs!$E$111)</f>
        <v>0.06</v>
      </c>
      <c r="AO78" s="225" t="n">
        <f aca="false">IF(Inputs!$E$114=1,Inputs!$E$113,AO77+Inputs!$E$111)</f>
        <v>0.06</v>
      </c>
      <c r="AP78" s="225" t="n">
        <f aca="false">IF(Inputs!$E$114=1,Inputs!$E$113,AP77+Inputs!$E$111)</f>
        <v>0.06</v>
      </c>
      <c r="AQ78" s="225" t="n">
        <f aca="false">IF(Inputs!$E$114=1,Inputs!$E$113,AQ77+Inputs!$E$111)</f>
        <v>0.06</v>
      </c>
      <c r="AR78" s="225" t="n">
        <f aca="false">IF(Inputs!$E$114=1,Inputs!$E$113,AR77+Inputs!$E$111)</f>
        <v>0.06</v>
      </c>
      <c r="AS78" s="225" t="n">
        <f aca="false">IF(Inputs!$E$114=1,Inputs!$E$113,AS77+Inputs!$E$111)</f>
        <v>0.06</v>
      </c>
      <c r="AT78" s="225" t="n">
        <f aca="false">IF(Inputs!$E$114=1,Inputs!$E$113,AT77+Inputs!$E$111)</f>
        <v>0.06</v>
      </c>
      <c r="AU78" s="225" t="n">
        <f aca="false">IF(Inputs!$E$114=1,Inputs!$E$113,AU77+Inputs!$E$111)</f>
        <v>0.06</v>
      </c>
      <c r="AV78" s="225" t="n">
        <f aca="false">IF(Inputs!$E$114=1,Inputs!$E$113,AV77+Inputs!$E$111)</f>
        <v>0.06</v>
      </c>
      <c r="AW78" s="225" t="n">
        <f aca="false">IF(Inputs!$E$114=1,Inputs!$E$113,AW77+Inputs!$E$111)</f>
        <v>0.06</v>
      </c>
      <c r="AX78" s="225" t="n">
        <f aca="false">IF(Inputs!$E$114=1,Inputs!$E$113,AX77+Inputs!$E$111)</f>
        <v>0.06</v>
      </c>
      <c r="AY78" s="225" t="n">
        <f aca="false">IF(Inputs!$E$114=1,Inputs!$E$113,AY77+Inputs!$E$111)</f>
        <v>0.06</v>
      </c>
      <c r="AZ78" s="225" t="n">
        <f aca="false">IF(Inputs!$E$114=1,Inputs!$E$113,AZ77+Inputs!$E$111)</f>
        <v>0.06</v>
      </c>
      <c r="BA78" s="225" t="n">
        <f aca="false">IF(Inputs!$E$114=1,Inputs!$E$113,BA77+Inputs!$E$111)</f>
        <v>0.06</v>
      </c>
      <c r="BB78" s="225" t="n">
        <f aca="false">IF(Inputs!$E$114=1,Inputs!$E$113,BB77+Inputs!$E$111)</f>
        <v>0.06</v>
      </c>
      <c r="BC78" s="225" t="n">
        <f aca="false">IF(Inputs!$E$114=1,Inputs!$E$113,BC77+Inputs!$E$111)</f>
        <v>0.06</v>
      </c>
      <c r="BD78" s="225" t="n">
        <f aca="false">IF(Inputs!$E$114=1,Inputs!$E$113,BD77+Inputs!$E$111)</f>
        <v>0.06</v>
      </c>
      <c r="BE78" s="225" t="n">
        <f aca="false">IF(Inputs!$E$114=1,Inputs!$E$113,BE77+Inputs!$E$111)</f>
        <v>0.06</v>
      </c>
      <c r="BF78" s="225" t="n">
        <f aca="false">IF(Inputs!$E$114=1,Inputs!$E$113,BF77+Inputs!$E$111)</f>
        <v>0.06</v>
      </c>
      <c r="BG78" s="225" t="n">
        <f aca="false">IF(Inputs!$E$114=1,Inputs!$E$113,BG77+Inputs!$E$111)</f>
        <v>0.06</v>
      </c>
      <c r="BH78" s="225" t="n">
        <f aca="false">IF(Inputs!$E$114=1,Inputs!$E$113,BH77+Inputs!$E$111)</f>
        <v>0.06</v>
      </c>
      <c r="BI78" s="225" t="n">
        <f aca="false">IF(Inputs!$E$114=1,Inputs!$E$113,BI77+Inputs!$E$111)</f>
        <v>0.06</v>
      </c>
      <c r="BJ78" s="225" t="n">
        <f aca="false">IF(Inputs!$E$114=1,Inputs!$E$113,BJ77+Inputs!$E$111)</f>
        <v>0.06</v>
      </c>
      <c r="BK78" s="225" t="n">
        <f aca="false">IF(Inputs!$E$114=1,Inputs!$E$113,BK77+Inputs!$E$111)</f>
        <v>0.06</v>
      </c>
      <c r="BL78" s="225" t="n">
        <f aca="false">IF(Inputs!$E$114=1,Inputs!$E$113,BL77+Inputs!$E$111)</f>
        <v>0.06</v>
      </c>
      <c r="BM78" s="225" t="n">
        <f aca="false">IF(Inputs!$E$114=1,Inputs!$E$113,BM77+Inputs!$E$111)</f>
        <v>0.06</v>
      </c>
      <c r="BN78" s="225" t="n">
        <f aca="false">IF(Inputs!$E$114=1,Inputs!$E$113,BN77+Inputs!$E$111)</f>
        <v>0.06</v>
      </c>
      <c r="BO78" s="225" t="n">
        <f aca="false">IF(Inputs!$E$114=1,Inputs!$E$113,BO77+Inputs!$E$111)</f>
        <v>0.06</v>
      </c>
      <c r="BP78" s="225" t="n">
        <f aca="false">IF(Inputs!$E$114=1,Inputs!$E$113,BP77+Inputs!$E$111)</f>
        <v>0.06</v>
      </c>
    </row>
    <row r="79" customFormat="false" ht="15" hidden="false" customHeight="false" outlineLevel="0" collapsed="false">
      <c r="C79" s="205" t="s">
        <v>1065</v>
      </c>
      <c r="D79" s="205" t="s">
        <v>125</v>
      </c>
      <c r="E79" s="251"/>
      <c r="F79" s="251"/>
      <c r="G79" s="251" t="n">
        <f aca="false">SUM(H79:BP79)</f>
        <v>1004.97479452055</v>
      </c>
      <c r="H79" s="251" t="n">
        <f aca="false">(H73+H74)*H78/12</f>
        <v>0</v>
      </c>
      <c r="I79" s="251" t="n">
        <f aca="false">(I73+I74)*I78/12</f>
        <v>0</v>
      </c>
      <c r="J79" s="251" t="n">
        <f aca="false">(J73+J74)*J78/12</f>
        <v>0</v>
      </c>
      <c r="K79" s="251" t="n">
        <f aca="false">(K73+K74)*K78/12</f>
        <v>5.84287671232877</v>
      </c>
      <c r="L79" s="251" t="n">
        <f aca="false">(L73+L74)*L78/12</f>
        <v>5.84287671232877</v>
      </c>
      <c r="M79" s="251" t="n">
        <f aca="false">(M73+M74)*M78/12</f>
        <v>29.2143835616438</v>
      </c>
      <c r="N79" s="251" t="n">
        <f aca="false">(N73+N74)*N78/12</f>
        <v>29.2143835616438</v>
      </c>
      <c r="O79" s="251" t="n">
        <f aca="false">(O73+O74)*O78/12</f>
        <v>29.2143835616438</v>
      </c>
      <c r="P79" s="251" t="n">
        <f aca="false">(P73+P74)*P78/12</f>
        <v>29.2143835616438</v>
      </c>
      <c r="Q79" s="251" t="n">
        <f aca="false">(Q73+Q74)*Q78/12</f>
        <v>29.2143835616438</v>
      </c>
      <c r="R79" s="251" t="n">
        <f aca="false">(R73+R74)*R78/12</f>
        <v>29.2143835616438</v>
      </c>
      <c r="S79" s="251" t="n">
        <f aca="false">(S73+S74)*S78/12</f>
        <v>29.2143835616438</v>
      </c>
      <c r="T79" s="251" t="n">
        <f aca="false">(T73+T74)*T78/12</f>
        <v>29.2143835616438</v>
      </c>
      <c r="U79" s="251" t="n">
        <f aca="false">(U73+U74)*U78/12</f>
        <v>29.2143835616438</v>
      </c>
      <c r="V79" s="251" t="n">
        <f aca="false">(V73+V74)*V78/12</f>
        <v>29.2143835616438</v>
      </c>
      <c r="W79" s="251" t="n">
        <f aca="false">(W73+W74)*W78/12</f>
        <v>29.2143835616438</v>
      </c>
      <c r="X79" s="251" t="n">
        <f aca="false">(X73+X74)*X78/12</f>
        <v>29.2143835616438</v>
      </c>
      <c r="Y79" s="251" t="n">
        <f aca="false">(Y73+Y74)*Y78/12</f>
        <v>29.2143835616438</v>
      </c>
      <c r="Z79" s="251" t="n">
        <f aca="false">(Z73+Z74)*Z78/12</f>
        <v>29.2143835616438</v>
      </c>
      <c r="AA79" s="251" t="n">
        <f aca="false">(AA73+AA74)*AA78/12</f>
        <v>29.2143835616438</v>
      </c>
      <c r="AB79" s="251" t="n">
        <f aca="false">(AB73+AB74)*AB78/12</f>
        <v>29.2143835616438</v>
      </c>
      <c r="AC79" s="251" t="n">
        <f aca="false">(AC73+AC74)*AC78/12</f>
        <v>29.2143835616438</v>
      </c>
      <c r="AD79" s="251" t="n">
        <f aca="false">(AD73+AD74)*AD78/12</f>
        <v>29.2143835616438</v>
      </c>
      <c r="AE79" s="251" t="n">
        <f aca="false">(AE73+AE74)*AE78/12</f>
        <v>29.2143835616438</v>
      </c>
      <c r="AF79" s="251" t="n">
        <f aca="false">(AF73+AF74)*AF78/12</f>
        <v>29.2143835616438</v>
      </c>
      <c r="AG79" s="251" t="n">
        <f aca="false">(AG73+AG74)*AG78/12</f>
        <v>29.2143835616438</v>
      </c>
      <c r="AH79" s="251" t="n">
        <f aca="false">(AH73+AH74)*AH78/12</f>
        <v>29.2143835616438</v>
      </c>
      <c r="AI79" s="251" t="n">
        <f aca="false">(AI73+AI74)*AI78/12</f>
        <v>29.2143835616438</v>
      </c>
      <c r="AJ79" s="251" t="n">
        <f aca="false">(AJ73+AJ74)*AJ78/12</f>
        <v>29.2143835616438</v>
      </c>
      <c r="AK79" s="251" t="n">
        <f aca="false">(AK73+AK74)*AK78/12</f>
        <v>29.2143835616438</v>
      </c>
      <c r="AL79" s="251" t="n">
        <f aca="false">(AL73+AL74)*AL78/12</f>
        <v>29.2143835616438</v>
      </c>
      <c r="AM79" s="251" t="n">
        <f aca="false">(AM73+AM74)*AM78/12</f>
        <v>29.2143835616438</v>
      </c>
      <c r="AN79" s="251" t="n">
        <f aca="false">(AN73+AN74)*AN78/12</f>
        <v>29.2143835616438</v>
      </c>
      <c r="AO79" s="251" t="n">
        <f aca="false">(AO73+AO74)*AO78/12</f>
        <v>29.2143835616438</v>
      </c>
      <c r="AP79" s="251" t="n">
        <f aca="false">(AP73+AP74)*AP78/12</f>
        <v>29.2143835616438</v>
      </c>
      <c r="AQ79" s="251" t="n">
        <f aca="false">(AQ73+AQ74)*AQ78/12</f>
        <v>29.2143835616438</v>
      </c>
      <c r="AR79" s="251" t="n">
        <f aca="false">(AR73+AR74)*AR78/12</f>
        <v>29.2143835616438</v>
      </c>
      <c r="AS79" s="251" t="n">
        <f aca="false">(AS73+AS74)*AS78/12</f>
        <v>29.2143835616438</v>
      </c>
      <c r="AT79" s="251" t="n">
        <f aca="false">(AT73+AT74)*AT78/12</f>
        <v>29.2143835616438</v>
      </c>
      <c r="AU79" s="251" t="n">
        <f aca="false">(AU73+AU74)*AU78/12</f>
        <v>0</v>
      </c>
      <c r="AV79" s="251" t="n">
        <f aca="false">(AV73+AV74)*AV78/12</f>
        <v>0</v>
      </c>
      <c r="AW79" s="251" t="n">
        <f aca="false">(AW73+AW74)*AW78/12</f>
        <v>0</v>
      </c>
      <c r="AX79" s="251" t="n">
        <f aca="false">(AX73+AX74)*AX78/12</f>
        <v>0</v>
      </c>
      <c r="AY79" s="251" t="n">
        <f aca="false">(AY73+AY74)*AY78/12</f>
        <v>0</v>
      </c>
      <c r="AZ79" s="251" t="n">
        <f aca="false">(AZ73+AZ74)*AZ78/12</f>
        <v>0</v>
      </c>
      <c r="BA79" s="251" t="n">
        <f aca="false">(BA73+BA74)*BA78/12</f>
        <v>0</v>
      </c>
      <c r="BB79" s="251" t="n">
        <f aca="false">(BB73+BB74)*BB78/12</f>
        <v>0</v>
      </c>
      <c r="BC79" s="251" t="n">
        <f aca="false">(BC73+BC74)*BC78/12</f>
        <v>0</v>
      </c>
      <c r="BD79" s="251" t="n">
        <f aca="false">(BD73+BD74)*BD78/12</f>
        <v>0</v>
      </c>
      <c r="BE79" s="251" t="n">
        <f aca="false">(BE73+BE74)*BE78/12</f>
        <v>0</v>
      </c>
      <c r="BF79" s="251" t="n">
        <f aca="false">(BF73+BF74)*BF78/12</f>
        <v>0</v>
      </c>
      <c r="BG79" s="251" t="n">
        <f aca="false">(BG73+BG74)*BG78/12</f>
        <v>0</v>
      </c>
      <c r="BH79" s="251" t="n">
        <f aca="false">(BH73+BH74)*BH78/12</f>
        <v>0</v>
      </c>
      <c r="BI79" s="251" t="n">
        <f aca="false">(BI73+BI74)*BI78/12</f>
        <v>0</v>
      </c>
      <c r="BJ79" s="251" t="n">
        <f aca="false">(BJ73+BJ74)*BJ78/12</f>
        <v>0</v>
      </c>
      <c r="BK79" s="251" t="n">
        <f aca="false">(BK73+BK74)*BK78/12</f>
        <v>0</v>
      </c>
      <c r="BL79" s="251" t="n">
        <f aca="false">(BL73+BL74)*BL78/12</f>
        <v>0</v>
      </c>
      <c r="BM79" s="251" t="n">
        <f aca="false">(BM73+BM74)*BM78/12</f>
        <v>0</v>
      </c>
      <c r="BN79" s="251" t="n">
        <f aca="false">(BN73+BN74)*BN78/12</f>
        <v>0</v>
      </c>
      <c r="BO79" s="251" t="n">
        <f aca="false">(BO73+BO74)*BO78/12</f>
        <v>0</v>
      </c>
      <c r="BP79" s="251" t="n">
        <f aca="false">(BP73+BP74)*BP78/12</f>
        <v>0</v>
      </c>
    </row>
    <row r="80" customFormat="false" ht="15" hidden="false" customHeight="false" outlineLevel="0" collapsed="false">
      <c r="C80" s="0" t="s">
        <v>1066</v>
      </c>
      <c r="D80" s="0" t="s">
        <v>486</v>
      </c>
      <c r="E80" s="263" t="n">
        <f aca="false">Inputs!$E$65</f>
        <v>0.06</v>
      </c>
      <c r="F80" s="158"/>
      <c r="G80" s="158"/>
      <c r="H80" s="158"/>
      <c r="I80" s="158"/>
      <c r="J80" s="158"/>
      <c r="K80" s="158"/>
      <c r="L80" s="158"/>
      <c r="M80" s="158"/>
      <c r="N80" s="158"/>
      <c r="O80" s="158"/>
      <c r="P80" s="158"/>
      <c r="Q80" s="158"/>
      <c r="R80" s="158"/>
      <c r="S80" s="158"/>
      <c r="T80" s="158"/>
      <c r="U80" s="158"/>
      <c r="V80" s="158"/>
      <c r="W80" s="158"/>
      <c r="X80" s="158"/>
      <c r="Y80" s="158"/>
      <c r="Z80" s="158"/>
      <c r="AA80" s="158"/>
      <c r="AB80" s="158"/>
      <c r="AC80" s="158"/>
      <c r="AD80" s="158"/>
      <c r="AE80" s="158"/>
      <c r="AF80" s="158"/>
      <c r="AG80" s="158"/>
      <c r="AH80" s="158"/>
      <c r="AI80" s="158"/>
      <c r="AJ80" s="158"/>
      <c r="AK80" s="158"/>
      <c r="AL80" s="158"/>
      <c r="AM80" s="158"/>
      <c r="AN80" s="158"/>
      <c r="AO80" s="158"/>
      <c r="AP80" s="158"/>
      <c r="AQ80" s="158"/>
      <c r="AR80" s="158"/>
      <c r="AS80" s="158"/>
      <c r="AT80" s="158"/>
      <c r="AU80" s="158"/>
      <c r="AV80" s="158"/>
      <c r="AW80" s="158"/>
      <c r="AX80" s="158"/>
      <c r="AY80" s="158"/>
      <c r="AZ80" s="158"/>
      <c r="BA80" s="158"/>
      <c r="BB80" s="158"/>
      <c r="BC80" s="158"/>
      <c r="BD80" s="158"/>
      <c r="BE80" s="158"/>
      <c r="BF80" s="158"/>
      <c r="BG80" s="158"/>
      <c r="BH80" s="158"/>
      <c r="BI80" s="158"/>
      <c r="BJ80" s="158"/>
      <c r="BK80" s="158"/>
      <c r="BL80" s="158"/>
      <c r="BM80" s="158"/>
      <c r="BN80" s="158"/>
      <c r="BO80" s="158"/>
      <c r="BP80" s="158"/>
    </row>
    <row r="81" customFormat="false" ht="15" hidden="false" customHeight="false" outlineLevel="0" collapsed="false">
      <c r="C81" s="0" t="s">
        <v>1067</v>
      </c>
      <c r="D81" s="0" t="s">
        <v>125</v>
      </c>
      <c r="E81" s="158"/>
      <c r="F81" s="158"/>
      <c r="G81" s="158"/>
      <c r="H81" s="158" t="n">
        <v>0</v>
      </c>
      <c r="I81" s="158" t="n">
        <f aca="false">H84</f>
        <v>0</v>
      </c>
      <c r="J81" s="158" t="n">
        <f aca="false">I84</f>
        <v>0</v>
      </c>
      <c r="K81" s="158" t="n">
        <f aca="false">J84</f>
        <v>0</v>
      </c>
      <c r="L81" s="158" t="n">
        <f aca="false">K84</f>
        <v>5.68809956886513</v>
      </c>
      <c r="M81" s="158" t="n">
        <f aca="false">L84</f>
        <v>11.4038862500024</v>
      </c>
      <c r="N81" s="158" t="n">
        <f aca="false">M84</f>
        <v>39.8998930872913</v>
      </c>
      <c r="O81" s="158" t="n">
        <f aca="false">N84</f>
        <v>68.5346056787712</v>
      </c>
      <c r="P81" s="158" t="n">
        <f aca="false">O84</f>
        <v>97.3086991817141</v>
      </c>
      <c r="Q81" s="158" t="n">
        <f aca="false">P84</f>
        <v>126.222852039754</v>
      </c>
      <c r="R81" s="158" t="n">
        <f aca="false">Q84</f>
        <v>155.277745998885</v>
      </c>
      <c r="S81" s="158" t="n">
        <f aca="false">R84</f>
        <v>184.474066123533</v>
      </c>
      <c r="T81" s="158" t="n">
        <f aca="false">S84</f>
        <v>213.812500812709</v>
      </c>
      <c r="U81" s="158" t="n">
        <f aca="false">T84</f>
        <v>243.293741816243</v>
      </c>
      <c r="V81" s="158" t="n">
        <f aca="false">U84</f>
        <v>272.918484251091</v>
      </c>
      <c r="W81" s="158" t="n">
        <f aca="false">V84</f>
        <v>302.687426617726</v>
      </c>
      <c r="X81" s="158" t="n">
        <f aca="false">W84</f>
        <v>332.601270816607</v>
      </c>
      <c r="Y81" s="158" t="n">
        <f aca="false">X84</f>
        <v>362.660722164729</v>
      </c>
      <c r="Z81" s="158" t="n">
        <f aca="false">Y84</f>
        <v>392.866489412256</v>
      </c>
      <c r="AA81" s="158" t="n">
        <f aca="false">Z84</f>
        <v>423.219284759224</v>
      </c>
      <c r="AB81" s="158" t="n">
        <f aca="false">AA84</f>
        <v>453.719823872344</v>
      </c>
      <c r="AC81" s="158" t="n">
        <f aca="false">AB84</f>
        <v>484.368825901867</v>
      </c>
      <c r="AD81" s="158" t="n">
        <f aca="false">AC84</f>
        <v>515.167013498545</v>
      </c>
      <c r="AE81" s="158" t="n">
        <f aca="false">AD84</f>
        <v>546.115112830672</v>
      </c>
      <c r="AF81" s="158" t="n">
        <f aca="false">AE84</f>
        <v>577.213853601199</v>
      </c>
      <c r="AG81" s="158" t="n">
        <f aca="false">AF84</f>
        <v>608.463969064945</v>
      </c>
      <c r="AH81" s="158" t="n">
        <f aca="false">AG84</f>
        <v>639.866196045884</v>
      </c>
      <c r="AI81" s="158" t="n">
        <f aca="false">AH84</f>
        <v>671.421274954516</v>
      </c>
      <c r="AJ81" s="158" t="n">
        <f aca="false">AI84</f>
        <v>703.12994980533</v>
      </c>
      <c r="AK81" s="158" t="n">
        <f aca="false">AJ84</f>
        <v>734.99296823434</v>
      </c>
      <c r="AL81" s="158" t="n">
        <f aca="false">AK84</f>
        <v>767.011081516718</v>
      </c>
      <c r="AM81" s="158" t="n">
        <f aca="false">AL84</f>
        <v>799.185044584505</v>
      </c>
      <c r="AN81" s="158" t="n">
        <f aca="false">AM84</f>
        <v>831.515616044412</v>
      </c>
      <c r="AO81" s="158" t="n">
        <f aca="false">AN84</f>
        <v>864.003558195706</v>
      </c>
      <c r="AP81" s="158" t="n">
        <f aca="false">AO84</f>
        <v>896.649637048185</v>
      </c>
      <c r="AQ81" s="158" t="n">
        <f aca="false">AP84</f>
        <v>929.45462234024</v>
      </c>
      <c r="AR81" s="158" t="n">
        <f aca="false">AQ84</f>
        <v>962.419287556998</v>
      </c>
      <c r="AS81" s="158" t="n">
        <f aca="false">AR84</f>
        <v>962.419287556998</v>
      </c>
      <c r="AT81" s="158" t="n">
        <f aca="false">AS84</f>
        <v>962.419287556998</v>
      </c>
      <c r="AU81" s="158" t="n">
        <f aca="false">AT84</f>
        <v>0</v>
      </c>
      <c r="AV81" s="158" t="n">
        <f aca="false">AU84</f>
        <v>0</v>
      </c>
      <c r="AW81" s="158" t="n">
        <f aca="false">AV84</f>
        <v>0</v>
      </c>
      <c r="AX81" s="158" t="n">
        <f aca="false">AW84</f>
        <v>0</v>
      </c>
      <c r="AY81" s="158" t="n">
        <f aca="false">AX84</f>
        <v>0</v>
      </c>
      <c r="AZ81" s="158" t="n">
        <f aca="false">AY84</f>
        <v>0</v>
      </c>
      <c r="BA81" s="158" t="n">
        <f aca="false">AZ84</f>
        <v>0</v>
      </c>
      <c r="BB81" s="158" t="n">
        <f aca="false">BA84</f>
        <v>0</v>
      </c>
      <c r="BC81" s="158" t="n">
        <f aca="false">BB84</f>
        <v>0</v>
      </c>
      <c r="BD81" s="158" t="n">
        <f aca="false">BC84</f>
        <v>0</v>
      </c>
      <c r="BE81" s="158" t="n">
        <f aca="false">BD84</f>
        <v>0</v>
      </c>
      <c r="BF81" s="158" t="n">
        <f aca="false">BE84</f>
        <v>0</v>
      </c>
      <c r="BG81" s="158" t="n">
        <f aca="false">BF84</f>
        <v>0</v>
      </c>
      <c r="BH81" s="158" t="n">
        <f aca="false">BG84</f>
        <v>0</v>
      </c>
      <c r="BI81" s="158" t="n">
        <f aca="false">BH84</f>
        <v>0</v>
      </c>
      <c r="BJ81" s="158" t="n">
        <f aca="false">BI84</f>
        <v>0</v>
      </c>
      <c r="BK81" s="158" t="n">
        <f aca="false">BJ84</f>
        <v>0</v>
      </c>
      <c r="BL81" s="158" t="n">
        <f aca="false">BK84</f>
        <v>0</v>
      </c>
      <c r="BM81" s="158" t="n">
        <f aca="false">BL84</f>
        <v>0</v>
      </c>
      <c r="BN81" s="158" t="n">
        <f aca="false">BM84</f>
        <v>0</v>
      </c>
      <c r="BO81" s="158" t="n">
        <f aca="false">BN84</f>
        <v>0</v>
      </c>
      <c r="BP81" s="158" t="n">
        <f aca="false">BO84</f>
        <v>0</v>
      </c>
    </row>
    <row r="82" customFormat="false" ht="15" hidden="false" customHeight="false" outlineLevel="0" collapsed="false">
      <c r="C82" s="0" t="s">
        <v>1068</v>
      </c>
      <c r="D82" s="0" t="s">
        <v>125</v>
      </c>
      <c r="E82" s="158"/>
      <c r="F82" s="158"/>
      <c r="G82" s="158" t="n">
        <f aca="false">SUM(H82:BP82)</f>
        <v>962.419287556998</v>
      </c>
      <c r="H82" s="158" t="n">
        <f aca="false">IF(Inputs!$E$69=1,(1+$E$80)^(1/12)-1,$E$80/12)*(H73+H74+H81)*H$10</f>
        <v>0</v>
      </c>
      <c r="I82" s="158" t="n">
        <f aca="false">IF(Inputs!$E$69=1,(1+$E$80)^(1/12)-1,$E$80/12)*(I73+I74+I81)*I$10</f>
        <v>0</v>
      </c>
      <c r="J82" s="158" t="n">
        <f aca="false">IF(Inputs!$E$69=1,(1+$E$80)^(1/12)-1,$E$80/12)*(J73+J74+J81)*J$10</f>
        <v>0</v>
      </c>
      <c r="K82" s="158" t="n">
        <f aca="false">IF(Inputs!$E$69=1,(1+$E$80)^(1/12)-1,$E$80/12)*(K73+K74+K81)*K$10</f>
        <v>5.68809956886513</v>
      </c>
      <c r="L82" s="158" t="n">
        <f aca="false">IF(Inputs!$E$69=1,(1+$E$80)^(1/12)-1,$E$80/12)*(L73+L74+L81)*L$10</f>
        <v>5.71578668113728</v>
      </c>
      <c r="M82" s="158" t="n">
        <f aca="false">IF(Inputs!$E$69=1,(1+$E$80)^(1/12)-1,$E$80/12)*(M73+M74+M81)*M$10</f>
        <v>28.4960068372889</v>
      </c>
      <c r="N82" s="158" t="n">
        <f aca="false">IF(Inputs!$E$69=1,(1+$E$80)^(1/12)-1,$E$80/12)*(N73+N74+N81)*N$10</f>
        <v>28.6347125914798</v>
      </c>
      <c r="O82" s="158" t="n">
        <f aca="false">IF(Inputs!$E$69=1,(1+$E$80)^(1/12)-1,$E$80/12)*(O73+O74+O81)*O$10</f>
        <v>28.7740935029429</v>
      </c>
      <c r="P82" s="158" t="n">
        <f aca="false">IF(Inputs!$E$69=1,(1+$E$80)^(1/12)-1,$E$80/12)*(P73+P74+P81)*P$10</f>
        <v>28.9141528580404</v>
      </c>
      <c r="Q82" s="158" t="n">
        <f aca="false">IF(Inputs!$E$69=1,(1+$E$80)^(1/12)-1,$E$80/12)*(Q73+Q74+Q81)*Q$10</f>
        <v>29.054893959131</v>
      </c>
      <c r="R82" s="158" t="n">
        <f aca="false">IF(Inputs!$E$69=1,(1+$E$80)^(1/12)-1,$E$80/12)*(R73+R74+R81)*R$10</f>
        <v>29.1963201246477</v>
      </c>
      <c r="S82" s="158" t="n">
        <f aca="false">IF(Inputs!$E$69=1,(1+$E$80)^(1/12)-1,$E$80/12)*(S73+S74+S81)*S$10</f>
        <v>29.3384346891764</v>
      </c>
      <c r="T82" s="158" t="n">
        <f aca="false">IF(Inputs!$E$69=1,(1+$E$80)^(1/12)-1,$E$80/12)*(T73+T74+T81)*T$10</f>
        <v>29.481241003534</v>
      </c>
      <c r="U82" s="158" t="n">
        <f aca="false">IF(Inputs!$E$69=1,(1+$E$80)^(1/12)-1,$E$80/12)*(U73+U74+U81)*U$10</f>
        <v>29.6247424348477</v>
      </c>
      <c r="V82" s="158" t="n">
        <f aca="false">IF(Inputs!$E$69=1,(1+$E$80)^(1/12)-1,$E$80/12)*(V73+V74+V81)*V$10</f>
        <v>29.7689423666346</v>
      </c>
      <c r="W82" s="158" t="n">
        <f aca="false">IF(Inputs!$E$69=1,(1+$E$80)^(1/12)-1,$E$80/12)*(W73+W74+W81)*W$10</f>
        <v>29.913844198881</v>
      </c>
      <c r="X82" s="158" t="n">
        <f aca="false">IF(Inputs!$E$69=1,(1+$E$80)^(1/12)-1,$E$80/12)*(X73+X74+X81)*X$10</f>
        <v>30.0594513481228</v>
      </c>
      <c r="Y82" s="158" t="n">
        <f aca="false">IF(Inputs!$E$69=1,(1+$E$80)^(1/12)-1,$E$80/12)*(Y73+Y74+Y81)*Y$10</f>
        <v>30.2057672475263</v>
      </c>
      <c r="Z82" s="158" t="n">
        <f aca="false">IF(Inputs!$E$69=1,(1+$E$80)^(1/12)-1,$E$80/12)*(Z73+Z74+Z81)*Z$10</f>
        <v>30.3527953469686</v>
      </c>
      <c r="AA82" s="158" t="n">
        <f aca="false">IF(Inputs!$E$69=1,(1+$E$80)^(1/12)-1,$E$80/12)*(AA73+AA74+AA81)*AA$10</f>
        <v>30.5005391131195</v>
      </c>
      <c r="AB82" s="158" t="n">
        <f aca="false">IF(Inputs!$E$69=1,(1+$E$80)^(1/12)-1,$E$80/12)*(AB73+AB74+AB81)*AB$10</f>
        <v>30.6490020295228</v>
      </c>
      <c r="AC82" s="158" t="n">
        <f aca="false">IF(Inputs!$E$69=1,(1+$E$80)^(1/12)-1,$E$80/12)*(AC73+AC74+AC81)*AC$10</f>
        <v>30.7981875966788</v>
      </c>
      <c r="AD82" s="158" t="n">
        <f aca="false">IF(Inputs!$E$69=1,(1+$E$80)^(1/12)-1,$E$80/12)*(AD73+AD74+AD81)*AD$10</f>
        <v>30.9480993321266</v>
      </c>
      <c r="AE82" s="158" t="n">
        <f aca="false">IF(Inputs!$E$69=1,(1+$E$80)^(1/12)-1,$E$80/12)*(AE73+AE74+AE81)*AE$10</f>
        <v>31.098740770527</v>
      </c>
      <c r="AF82" s="158" t="n">
        <f aca="false">IF(Inputs!$E$69=1,(1+$E$80)^(1/12)-1,$E$80/12)*(AF73+AF74+AF81)*AF$10</f>
        <v>31.250115463746</v>
      </c>
      <c r="AG82" s="158" t="n">
        <f aca="false">IF(Inputs!$E$69=1,(1+$E$80)^(1/12)-1,$E$80/12)*(AG73+AG74+AG81)*AG$10</f>
        <v>31.4022269809386</v>
      </c>
      <c r="AH82" s="158" t="n">
        <f aca="false">IF(Inputs!$E$69=1,(1+$E$80)^(1/12)-1,$E$80/12)*(AH73+AH74+AH81)*AH$10</f>
        <v>31.5550789086327</v>
      </c>
      <c r="AI82" s="158" t="n">
        <f aca="false">IF(Inputs!$E$69=1,(1+$E$80)^(1/12)-1,$E$80/12)*(AI73+AI74+AI81)*AI$10</f>
        <v>31.7086748508138</v>
      </c>
      <c r="AJ82" s="158" t="n">
        <f aca="false">IF(Inputs!$E$69=1,(1+$E$80)^(1/12)-1,$E$80/12)*(AJ73+AJ74+AJ81)*AJ$10</f>
        <v>31.8630184290102</v>
      </c>
      <c r="AK82" s="158" t="n">
        <f aca="false">IF(Inputs!$E$69=1,(1+$E$80)^(1/12)-1,$E$80/12)*(AK73+AK74+AK81)*AK$10</f>
        <v>32.0181132823779</v>
      </c>
      <c r="AL82" s="158" t="n">
        <f aca="false">IF(Inputs!$E$69=1,(1+$E$80)^(1/12)-1,$E$80/12)*(AL73+AL74+AL81)*AL$10</f>
        <v>32.1739630677867</v>
      </c>
      <c r="AM82" s="158" t="n">
        <f aca="false">IF(Inputs!$E$69=1,(1+$E$80)^(1/12)-1,$E$80/12)*(AM73+AM74+AM81)*AM$10</f>
        <v>32.3305714599066</v>
      </c>
      <c r="AN82" s="158" t="n">
        <f aca="false">IF(Inputs!$E$69=1,(1+$E$80)^(1/12)-1,$E$80/12)*(AN73+AN74+AN81)*AN$10</f>
        <v>32.4879421512942</v>
      </c>
      <c r="AO82" s="158" t="n">
        <f aca="false">IF(Inputs!$E$69=1,(1+$E$80)^(1/12)-1,$E$80/12)*(AO73+AO74+AO81)*AO$10</f>
        <v>32.6460788524795</v>
      </c>
      <c r="AP82" s="158" t="n">
        <f aca="false">IF(Inputs!$E$69=1,(1+$E$80)^(1/12)-1,$E$80/12)*(AP73+AP74+AP81)*AP$10</f>
        <v>32.8049852920542</v>
      </c>
      <c r="AQ82" s="158" t="n">
        <f aca="false">IF(Inputs!$E$69=1,(1+$E$80)^(1/12)-1,$E$80/12)*(AQ73+AQ74+AQ81)*AQ$10</f>
        <v>32.9646652167586</v>
      </c>
      <c r="AR82" s="158" t="n">
        <f aca="false">IF(Inputs!$E$69=1,(1+$E$80)^(1/12)-1,$E$80/12)*(AR73+AR74+AR81)*AR$10</f>
        <v>0</v>
      </c>
      <c r="AS82" s="158" t="n">
        <f aca="false">IF(Inputs!$E$69=1,(1+$E$80)^(1/12)-1,$E$80/12)*(AS73+AS74+AS81)*AS$10</f>
        <v>0</v>
      </c>
      <c r="AT82" s="158" t="n">
        <f aca="false">IF(Inputs!$E$69=1,(1+$E$80)^(1/12)-1,$E$80/12)*(AT73+AT74+AT81)*AT$10</f>
        <v>0</v>
      </c>
      <c r="AU82" s="158" t="n">
        <f aca="false">IF(Inputs!$E$69=1,(1+$E$80)^(1/12)-1,$E$80/12)*(AU73+AU74+AU81)*AU$10</f>
        <v>0</v>
      </c>
      <c r="AV82" s="158" t="n">
        <f aca="false">IF(Inputs!$E$69=1,(1+$E$80)^(1/12)-1,$E$80/12)*(AV73+AV74+AV81)*AV$10</f>
        <v>0</v>
      </c>
      <c r="AW82" s="158" t="n">
        <f aca="false">IF(Inputs!$E$69=1,(1+$E$80)^(1/12)-1,$E$80/12)*(AW73+AW74+AW81)*AW$10</f>
        <v>0</v>
      </c>
      <c r="AX82" s="158" t="n">
        <f aca="false">IF(Inputs!$E$69=1,(1+$E$80)^(1/12)-1,$E$80/12)*(AX73+AX74+AX81)*AX$10</f>
        <v>0</v>
      </c>
      <c r="AY82" s="158" t="n">
        <f aca="false">IF(Inputs!$E$69=1,(1+$E$80)^(1/12)-1,$E$80/12)*(AY73+AY74+AY81)*AY$10</f>
        <v>0</v>
      </c>
      <c r="AZ82" s="158" t="n">
        <f aca="false">IF(Inputs!$E$69=1,(1+$E$80)^(1/12)-1,$E$80/12)*(AZ73+AZ74+AZ81)*AZ$10</f>
        <v>0</v>
      </c>
      <c r="BA82" s="158" t="n">
        <f aca="false">IF(Inputs!$E$69=1,(1+$E$80)^(1/12)-1,$E$80/12)*(BA73+BA74+BA81)*BA$10</f>
        <v>0</v>
      </c>
      <c r="BB82" s="158" t="n">
        <f aca="false">IF(Inputs!$E$69=1,(1+$E$80)^(1/12)-1,$E$80/12)*(BB73+BB74+BB81)*BB$10</f>
        <v>0</v>
      </c>
      <c r="BC82" s="158" t="n">
        <f aca="false">IF(Inputs!$E$69=1,(1+$E$80)^(1/12)-1,$E$80/12)*(BC73+BC74+BC81)*BC$10</f>
        <v>0</v>
      </c>
      <c r="BD82" s="158" t="n">
        <f aca="false">IF(Inputs!$E$69=1,(1+$E$80)^(1/12)-1,$E$80/12)*(BD73+BD74+BD81)*BD$10</f>
        <v>0</v>
      </c>
      <c r="BE82" s="158" t="n">
        <f aca="false">IF(Inputs!$E$69=1,(1+$E$80)^(1/12)-1,$E$80/12)*(BE73+BE74+BE81)*BE$10</f>
        <v>0</v>
      </c>
      <c r="BF82" s="158" t="n">
        <f aca="false">IF(Inputs!$E$69=1,(1+$E$80)^(1/12)-1,$E$80/12)*(BF73+BF74+BF81)*BF$10</f>
        <v>0</v>
      </c>
      <c r="BG82" s="158" t="n">
        <f aca="false">IF(Inputs!$E$69=1,(1+$E$80)^(1/12)-1,$E$80/12)*(BG73+BG74+BG81)*BG$10</f>
        <v>0</v>
      </c>
      <c r="BH82" s="158" t="n">
        <f aca="false">IF(Inputs!$E$69=1,(1+$E$80)^(1/12)-1,$E$80/12)*(BH73+BH74+BH81)*BH$10</f>
        <v>0</v>
      </c>
      <c r="BI82" s="158" t="n">
        <f aca="false">IF(Inputs!$E$69=1,(1+$E$80)^(1/12)-1,$E$80/12)*(BI73+BI74+BI81)*BI$10</f>
        <v>0</v>
      </c>
      <c r="BJ82" s="158" t="n">
        <f aca="false">IF(Inputs!$E$69=1,(1+$E$80)^(1/12)-1,$E$80/12)*(BJ73+BJ74+BJ81)*BJ$10</f>
        <v>0</v>
      </c>
      <c r="BK82" s="158" t="n">
        <f aca="false">IF(Inputs!$E$69=1,(1+$E$80)^(1/12)-1,$E$80/12)*(BK73+BK74+BK81)*BK$10</f>
        <v>0</v>
      </c>
      <c r="BL82" s="158" t="n">
        <f aca="false">IF(Inputs!$E$69=1,(1+$E$80)^(1/12)-1,$E$80/12)*(BL73+BL74+BL81)*BL$10</f>
        <v>0</v>
      </c>
      <c r="BM82" s="158" t="n">
        <f aca="false">IF(Inputs!$E$69=1,(1+$E$80)^(1/12)-1,$E$80/12)*(BM73+BM74+BM81)*BM$10</f>
        <v>0</v>
      </c>
      <c r="BN82" s="158" t="n">
        <f aca="false">IF(Inputs!$E$69=1,(1+$E$80)^(1/12)-1,$E$80/12)*(BN73+BN74+BN81)*BN$10</f>
        <v>0</v>
      </c>
      <c r="BO82" s="158" t="n">
        <f aca="false">IF(Inputs!$E$69=1,(1+$E$80)^(1/12)-1,$E$80/12)*(BO73+BO74+BO81)*BO$10</f>
        <v>0</v>
      </c>
      <c r="BP82" s="158" t="n">
        <f aca="false">IF(Inputs!$E$69=1,(1+$E$80)^(1/12)-1,$E$80/12)*(BP73+BP74+BP81)*BP$10</f>
        <v>0</v>
      </c>
    </row>
    <row r="83" customFormat="false" ht="15" hidden="false" customHeight="false" outlineLevel="0" collapsed="false">
      <c r="C83" s="0" t="s">
        <v>1069</v>
      </c>
      <c r="D83" s="0" t="s">
        <v>125</v>
      </c>
      <c r="E83" s="158"/>
      <c r="F83" s="158"/>
      <c r="G83" s="158" t="n">
        <f aca="false">SUM(H83:BP83)</f>
        <v>-962.419287556998</v>
      </c>
      <c r="H83" s="158" t="n">
        <f aca="false">-H$7*(H81+H82)</f>
        <v>-0</v>
      </c>
      <c r="I83" s="158" t="n">
        <f aca="false">-I$7*(I81+I82)</f>
        <v>-0</v>
      </c>
      <c r="J83" s="158" t="n">
        <f aca="false">-J$7*(J81+J82)</f>
        <v>-0</v>
      </c>
      <c r="K83" s="158" t="n">
        <f aca="false">-K$7*(K81+K82)</f>
        <v>-0</v>
      </c>
      <c r="L83" s="158" t="n">
        <f aca="false">-L$7*(L81+L82)</f>
        <v>-0</v>
      </c>
      <c r="M83" s="158" t="n">
        <f aca="false">-M$7*(M81+M82)</f>
        <v>-0</v>
      </c>
      <c r="N83" s="158" t="n">
        <f aca="false">-N$7*(N81+N82)</f>
        <v>-0</v>
      </c>
      <c r="O83" s="158" t="n">
        <f aca="false">-O$7*(O81+O82)</f>
        <v>-0</v>
      </c>
      <c r="P83" s="158" t="n">
        <f aca="false">-P$7*(P81+P82)</f>
        <v>-0</v>
      </c>
      <c r="Q83" s="158" t="n">
        <f aca="false">-Q$7*(Q81+Q82)</f>
        <v>-0</v>
      </c>
      <c r="R83" s="158" t="n">
        <f aca="false">-R$7*(R81+R82)</f>
        <v>-0</v>
      </c>
      <c r="S83" s="158" t="n">
        <f aca="false">-S$7*(S81+S82)</f>
        <v>-0</v>
      </c>
      <c r="T83" s="158" t="n">
        <f aca="false">-T$7*(T81+T82)</f>
        <v>-0</v>
      </c>
      <c r="U83" s="158" t="n">
        <f aca="false">-U$7*(U81+U82)</f>
        <v>-0</v>
      </c>
      <c r="V83" s="158" t="n">
        <f aca="false">-V$7*(V81+V82)</f>
        <v>-0</v>
      </c>
      <c r="W83" s="158" t="n">
        <f aca="false">-W$7*(W81+W82)</f>
        <v>-0</v>
      </c>
      <c r="X83" s="158" t="n">
        <f aca="false">-X$7*(X81+X82)</f>
        <v>-0</v>
      </c>
      <c r="Y83" s="158" t="n">
        <f aca="false">-Y$7*(Y81+Y82)</f>
        <v>-0</v>
      </c>
      <c r="Z83" s="158" t="n">
        <f aca="false">-Z$7*(Z81+Z82)</f>
        <v>-0</v>
      </c>
      <c r="AA83" s="158" t="n">
        <f aca="false">-AA$7*(AA81+AA82)</f>
        <v>-0</v>
      </c>
      <c r="AB83" s="158" t="n">
        <f aca="false">-AB$7*(AB81+AB82)</f>
        <v>-0</v>
      </c>
      <c r="AC83" s="158" t="n">
        <f aca="false">-AC$7*(AC81+AC82)</f>
        <v>-0</v>
      </c>
      <c r="AD83" s="158" t="n">
        <f aca="false">-AD$7*(AD81+AD82)</f>
        <v>-0</v>
      </c>
      <c r="AE83" s="158" t="n">
        <f aca="false">-AE$7*(AE81+AE82)</f>
        <v>-0</v>
      </c>
      <c r="AF83" s="158" t="n">
        <f aca="false">-AF$7*(AF81+AF82)</f>
        <v>-0</v>
      </c>
      <c r="AG83" s="158" t="n">
        <f aca="false">-AG$7*(AG81+AG82)</f>
        <v>-0</v>
      </c>
      <c r="AH83" s="158" t="n">
        <f aca="false">-AH$7*(AH81+AH82)</f>
        <v>-0</v>
      </c>
      <c r="AI83" s="158" t="n">
        <f aca="false">-AI$7*(AI81+AI82)</f>
        <v>-0</v>
      </c>
      <c r="AJ83" s="158" t="n">
        <f aca="false">-AJ$7*(AJ81+AJ82)</f>
        <v>-0</v>
      </c>
      <c r="AK83" s="158" t="n">
        <f aca="false">-AK$7*(AK81+AK82)</f>
        <v>-0</v>
      </c>
      <c r="AL83" s="158" t="n">
        <f aca="false">-AL$7*(AL81+AL82)</f>
        <v>-0</v>
      </c>
      <c r="AM83" s="158" t="n">
        <f aca="false">-AM$7*(AM81+AM82)</f>
        <v>-0</v>
      </c>
      <c r="AN83" s="158" t="n">
        <f aca="false">-AN$7*(AN81+AN82)</f>
        <v>-0</v>
      </c>
      <c r="AO83" s="158" t="n">
        <f aca="false">-AO$7*(AO81+AO82)</f>
        <v>-0</v>
      </c>
      <c r="AP83" s="158" t="n">
        <f aca="false">-AP$7*(AP81+AP82)</f>
        <v>-0</v>
      </c>
      <c r="AQ83" s="158" t="n">
        <f aca="false">-AQ$7*(AQ81+AQ82)</f>
        <v>-0</v>
      </c>
      <c r="AR83" s="158" t="n">
        <f aca="false">-AR$7*(AR81+AR82)</f>
        <v>-0</v>
      </c>
      <c r="AS83" s="158" t="n">
        <f aca="false">-AS$7*(AS81+AS82)</f>
        <v>-0</v>
      </c>
      <c r="AT83" s="158" t="n">
        <f aca="false">-AT$7*(AT81+AT82)</f>
        <v>-962.419287556998</v>
      </c>
      <c r="AU83" s="158" t="n">
        <f aca="false">-AU$7*(AU81+AU82)</f>
        <v>-0</v>
      </c>
      <c r="AV83" s="158" t="n">
        <f aca="false">-AV$7*(AV81+AV82)</f>
        <v>-0</v>
      </c>
      <c r="AW83" s="158" t="n">
        <f aca="false">-AW$7*(AW81+AW82)</f>
        <v>-0</v>
      </c>
      <c r="AX83" s="158" t="n">
        <f aca="false">-AX$7*(AX81+AX82)</f>
        <v>-0</v>
      </c>
      <c r="AY83" s="158" t="n">
        <f aca="false">-AY$7*(AY81+AY82)</f>
        <v>-0</v>
      </c>
      <c r="AZ83" s="158" t="n">
        <f aca="false">-AZ$7*(AZ81+AZ82)</f>
        <v>-0</v>
      </c>
      <c r="BA83" s="158" t="n">
        <f aca="false">-BA$7*(BA81+BA82)</f>
        <v>-0</v>
      </c>
      <c r="BB83" s="158" t="n">
        <f aca="false">-BB$7*(BB81+BB82)</f>
        <v>-0</v>
      </c>
      <c r="BC83" s="158" t="n">
        <f aca="false">-BC$7*(BC81+BC82)</f>
        <v>-0</v>
      </c>
      <c r="BD83" s="158" t="n">
        <f aca="false">-BD$7*(BD81+BD82)</f>
        <v>-0</v>
      </c>
      <c r="BE83" s="158" t="n">
        <f aca="false">-BE$7*(BE81+BE82)</f>
        <v>-0</v>
      </c>
      <c r="BF83" s="158" t="n">
        <f aca="false">-BF$7*(BF81+BF82)</f>
        <v>-0</v>
      </c>
      <c r="BG83" s="158" t="n">
        <f aca="false">-BG$7*(BG81+BG82)</f>
        <v>-0</v>
      </c>
      <c r="BH83" s="158" t="n">
        <f aca="false">-BH$7*(BH81+BH82)</f>
        <v>-0</v>
      </c>
      <c r="BI83" s="158" t="n">
        <f aca="false">-BI$7*(BI81+BI82)</f>
        <v>-0</v>
      </c>
      <c r="BJ83" s="158" t="n">
        <f aca="false">-BJ$7*(BJ81+BJ82)</f>
        <v>-0</v>
      </c>
      <c r="BK83" s="158" t="n">
        <f aca="false">-BK$7*(BK81+BK82)</f>
        <v>-0</v>
      </c>
      <c r="BL83" s="158" t="n">
        <f aca="false">-BL$7*(BL81+BL82)</f>
        <v>-0</v>
      </c>
      <c r="BM83" s="158" t="n">
        <f aca="false">-BM$7*(BM81+BM82)</f>
        <v>-0</v>
      </c>
      <c r="BN83" s="158" t="n">
        <f aca="false">-BN$7*(BN81+BN82)</f>
        <v>-0</v>
      </c>
      <c r="BO83" s="158" t="n">
        <f aca="false">-BO$7*(BO81+BO82)</f>
        <v>-0</v>
      </c>
      <c r="BP83" s="158" t="n">
        <f aca="false">-BP$7*(BP81+BP82)</f>
        <v>-0</v>
      </c>
    </row>
    <row r="84" customFormat="false" ht="15" hidden="false" customHeight="false" outlineLevel="0" collapsed="false">
      <c r="C84" s="0" t="s">
        <v>1070</v>
      </c>
      <c r="D84" s="0" t="s">
        <v>125</v>
      </c>
      <c r="E84" s="158"/>
      <c r="F84" s="158"/>
      <c r="G84" s="158"/>
      <c r="H84" s="158" t="n">
        <f aca="false">SUM(H81:H83)</f>
        <v>0</v>
      </c>
      <c r="I84" s="158" t="n">
        <f aca="false">SUM(I81:I83)</f>
        <v>0</v>
      </c>
      <c r="J84" s="158" t="n">
        <f aca="false">SUM(J81:J83)</f>
        <v>0</v>
      </c>
      <c r="K84" s="158" t="n">
        <f aca="false">SUM(K81:K83)</f>
        <v>5.68809956886513</v>
      </c>
      <c r="L84" s="158" t="n">
        <f aca="false">SUM(L81:L83)</f>
        <v>11.4038862500024</v>
      </c>
      <c r="M84" s="158" t="n">
        <f aca="false">SUM(M81:M83)</f>
        <v>39.8998930872913</v>
      </c>
      <c r="N84" s="158" t="n">
        <f aca="false">SUM(N81:N83)</f>
        <v>68.5346056787712</v>
      </c>
      <c r="O84" s="158" t="n">
        <f aca="false">SUM(O81:O83)</f>
        <v>97.3086991817141</v>
      </c>
      <c r="P84" s="158" t="n">
        <f aca="false">SUM(P81:P83)</f>
        <v>126.222852039754</v>
      </c>
      <c r="Q84" s="158" t="n">
        <f aca="false">SUM(Q81:Q83)</f>
        <v>155.277745998885</v>
      </c>
      <c r="R84" s="158" t="n">
        <f aca="false">SUM(R81:R83)</f>
        <v>184.474066123533</v>
      </c>
      <c r="S84" s="158" t="n">
        <f aca="false">SUM(S81:S83)</f>
        <v>213.812500812709</v>
      </c>
      <c r="T84" s="158" t="n">
        <f aca="false">SUM(T81:T83)</f>
        <v>243.293741816243</v>
      </c>
      <c r="U84" s="158" t="n">
        <f aca="false">SUM(U81:U83)</f>
        <v>272.918484251091</v>
      </c>
      <c r="V84" s="158" t="n">
        <f aca="false">SUM(V81:V83)</f>
        <v>302.687426617726</v>
      </c>
      <c r="W84" s="158" t="n">
        <f aca="false">SUM(W81:W83)</f>
        <v>332.601270816607</v>
      </c>
      <c r="X84" s="158" t="n">
        <f aca="false">SUM(X81:X83)</f>
        <v>362.660722164729</v>
      </c>
      <c r="Y84" s="158" t="n">
        <f aca="false">SUM(Y81:Y83)</f>
        <v>392.866489412256</v>
      </c>
      <c r="Z84" s="158" t="n">
        <f aca="false">SUM(Z81:Z83)</f>
        <v>423.219284759224</v>
      </c>
      <c r="AA84" s="158" t="n">
        <f aca="false">SUM(AA81:AA83)</f>
        <v>453.719823872344</v>
      </c>
      <c r="AB84" s="158" t="n">
        <f aca="false">SUM(AB81:AB83)</f>
        <v>484.368825901867</v>
      </c>
      <c r="AC84" s="158" t="n">
        <f aca="false">SUM(AC81:AC83)</f>
        <v>515.167013498545</v>
      </c>
      <c r="AD84" s="158" t="n">
        <f aca="false">SUM(AD81:AD83)</f>
        <v>546.115112830672</v>
      </c>
      <c r="AE84" s="158" t="n">
        <f aca="false">SUM(AE81:AE83)</f>
        <v>577.213853601199</v>
      </c>
      <c r="AF84" s="158" t="n">
        <f aca="false">SUM(AF81:AF83)</f>
        <v>608.463969064945</v>
      </c>
      <c r="AG84" s="158" t="n">
        <f aca="false">SUM(AG81:AG83)</f>
        <v>639.866196045884</v>
      </c>
      <c r="AH84" s="158" t="n">
        <f aca="false">SUM(AH81:AH83)</f>
        <v>671.421274954516</v>
      </c>
      <c r="AI84" s="158" t="n">
        <f aca="false">SUM(AI81:AI83)</f>
        <v>703.12994980533</v>
      </c>
      <c r="AJ84" s="158" t="n">
        <f aca="false">SUM(AJ81:AJ83)</f>
        <v>734.99296823434</v>
      </c>
      <c r="AK84" s="158" t="n">
        <f aca="false">SUM(AK81:AK83)</f>
        <v>767.011081516718</v>
      </c>
      <c r="AL84" s="158" t="n">
        <f aca="false">SUM(AL81:AL83)</f>
        <v>799.185044584505</v>
      </c>
      <c r="AM84" s="158" t="n">
        <f aca="false">SUM(AM81:AM83)</f>
        <v>831.515616044412</v>
      </c>
      <c r="AN84" s="158" t="n">
        <f aca="false">SUM(AN81:AN83)</f>
        <v>864.003558195706</v>
      </c>
      <c r="AO84" s="158" t="n">
        <f aca="false">SUM(AO81:AO83)</f>
        <v>896.649637048185</v>
      </c>
      <c r="AP84" s="158" t="n">
        <f aca="false">SUM(AP81:AP83)</f>
        <v>929.45462234024</v>
      </c>
      <c r="AQ84" s="158" t="n">
        <f aca="false">SUM(AQ81:AQ83)</f>
        <v>962.419287556998</v>
      </c>
      <c r="AR84" s="158" t="n">
        <f aca="false">SUM(AR81:AR83)</f>
        <v>962.419287556998</v>
      </c>
      <c r="AS84" s="158" t="n">
        <f aca="false">SUM(AS81:AS83)</f>
        <v>962.419287556998</v>
      </c>
      <c r="AT84" s="158" t="n">
        <f aca="false">SUM(AT81:AT83)</f>
        <v>0</v>
      </c>
      <c r="AU84" s="158" t="n">
        <f aca="false">SUM(AU81:AU83)</f>
        <v>0</v>
      </c>
      <c r="AV84" s="158" t="n">
        <f aca="false">SUM(AV81:AV83)</f>
        <v>0</v>
      </c>
      <c r="AW84" s="158" t="n">
        <f aca="false">SUM(AW81:AW83)</f>
        <v>0</v>
      </c>
      <c r="AX84" s="158" t="n">
        <f aca="false">SUM(AX81:AX83)</f>
        <v>0</v>
      </c>
      <c r="AY84" s="158" t="n">
        <f aca="false">SUM(AY81:AY83)</f>
        <v>0</v>
      </c>
      <c r="AZ84" s="158" t="n">
        <f aca="false">SUM(AZ81:AZ83)</f>
        <v>0</v>
      </c>
      <c r="BA84" s="158" t="n">
        <f aca="false">SUM(BA81:BA83)</f>
        <v>0</v>
      </c>
      <c r="BB84" s="158" t="n">
        <f aca="false">SUM(BB81:BB83)</f>
        <v>0</v>
      </c>
      <c r="BC84" s="158" t="n">
        <f aca="false">SUM(BC81:BC83)</f>
        <v>0</v>
      </c>
      <c r="BD84" s="158" t="n">
        <f aca="false">SUM(BD81:BD83)</f>
        <v>0</v>
      </c>
      <c r="BE84" s="158" t="n">
        <f aca="false">SUM(BE81:BE83)</f>
        <v>0</v>
      </c>
      <c r="BF84" s="158" t="n">
        <f aca="false">SUM(BF81:BF83)</f>
        <v>0</v>
      </c>
      <c r="BG84" s="158" t="n">
        <f aca="false">SUM(BG81:BG83)</f>
        <v>0</v>
      </c>
      <c r="BH84" s="158" t="n">
        <f aca="false">SUM(BH81:BH83)</f>
        <v>0</v>
      </c>
      <c r="BI84" s="158" t="n">
        <f aca="false">SUM(BI81:BI83)</f>
        <v>0</v>
      </c>
      <c r="BJ84" s="158" t="n">
        <f aca="false">SUM(BJ81:BJ83)</f>
        <v>0</v>
      </c>
      <c r="BK84" s="158" t="n">
        <f aca="false">SUM(BK81:BK83)</f>
        <v>0</v>
      </c>
      <c r="BL84" s="158" t="n">
        <f aca="false">SUM(BL81:BL83)</f>
        <v>0</v>
      </c>
      <c r="BM84" s="158" t="n">
        <f aca="false">SUM(BM81:BM83)</f>
        <v>0</v>
      </c>
      <c r="BN84" s="158" t="n">
        <f aca="false">SUM(BN81:BN83)</f>
        <v>0</v>
      </c>
      <c r="BO84" s="158" t="n">
        <f aca="false">SUM(BO81:BO83)</f>
        <v>0</v>
      </c>
      <c r="BP84" s="158" t="n">
        <f aca="false">SUM(BP81:BP83)</f>
        <v>0</v>
      </c>
    </row>
    <row r="85" customFormat="false" ht="15" hidden="false" customHeight="false" outlineLevel="0" collapsed="false">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c r="BH85" s="158"/>
      <c r="BI85" s="158"/>
      <c r="BJ85" s="158"/>
      <c r="BK85" s="158"/>
      <c r="BL85" s="158"/>
      <c r="BM85" s="158"/>
      <c r="BN85" s="158"/>
      <c r="BO85" s="158"/>
      <c r="BP85" s="158"/>
    </row>
    <row r="86" customFormat="false" ht="15" hidden="false" customHeight="false" outlineLevel="0" collapsed="false">
      <c r="C86" s="136" t="s">
        <v>1071</v>
      </c>
      <c r="D86" s="136"/>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c r="AE86" s="259"/>
      <c r="AF86" s="259"/>
      <c r="AG86" s="259"/>
      <c r="AH86" s="259"/>
      <c r="AI86" s="259"/>
      <c r="AJ86" s="259"/>
      <c r="AK86" s="259"/>
      <c r="AL86" s="259"/>
      <c r="AM86" s="259"/>
      <c r="AN86" s="259"/>
      <c r="AO86" s="259"/>
      <c r="AP86" s="259"/>
      <c r="AQ86" s="259"/>
      <c r="AR86" s="259"/>
      <c r="AS86" s="259"/>
      <c r="AT86" s="259"/>
      <c r="AU86" s="259"/>
      <c r="AV86" s="259"/>
      <c r="AW86" s="259"/>
      <c r="AX86" s="259"/>
      <c r="AY86" s="259"/>
      <c r="AZ86" s="259"/>
      <c r="BA86" s="259"/>
      <c r="BB86" s="259"/>
      <c r="BC86" s="259"/>
      <c r="BD86" s="259"/>
      <c r="BE86" s="259"/>
      <c r="BF86" s="259"/>
      <c r="BG86" s="259"/>
      <c r="BH86" s="259"/>
      <c r="BI86" s="259"/>
      <c r="BJ86" s="259"/>
      <c r="BK86" s="259"/>
      <c r="BL86" s="259"/>
      <c r="BM86" s="259"/>
      <c r="BN86" s="259"/>
      <c r="BO86" s="259"/>
      <c r="BP86" s="259"/>
    </row>
    <row r="87" customFormat="false" ht="15" hidden="false" customHeight="false" outlineLevel="0" collapsed="false">
      <c r="C87" s="235" t="str">
        <f aca="false">C28</f>
        <v>Részvételi díj</v>
      </c>
      <c r="D87" s="133" t="s">
        <v>125</v>
      </c>
      <c r="E87" s="158"/>
      <c r="F87" s="158"/>
      <c r="G87" s="158" t="n">
        <f aca="false">SUM(H87:BP87)</f>
        <v>0</v>
      </c>
      <c r="H87" s="158" t="n">
        <f aca="false">H$7*SUM($H44:H44)*Deposits!$Q$7</f>
        <v>0</v>
      </c>
      <c r="I87" s="158" t="n">
        <f aca="false">I$7*SUM($H44:I44)*Deposits!$Q$7</f>
        <v>0</v>
      </c>
      <c r="J87" s="158" t="n">
        <f aca="false">J$7*SUM($H44:J44)*Deposits!$Q$7</f>
        <v>0</v>
      </c>
      <c r="K87" s="158" t="n">
        <f aca="false">K$7*SUM($H44:K44)*Deposits!$Q$7</f>
        <v>0</v>
      </c>
      <c r="L87" s="158" t="n">
        <f aca="false">L$7*SUM($H44:L44)*Deposits!$Q$7</f>
        <v>0</v>
      </c>
      <c r="M87" s="158" t="n">
        <f aca="false">M$7*SUM($H44:M44)*Deposits!$Q$7</f>
        <v>0</v>
      </c>
      <c r="N87" s="158" t="n">
        <f aca="false">N$7*SUM($H44:N44)*Deposits!$Q$7</f>
        <v>0</v>
      </c>
      <c r="O87" s="158" t="n">
        <f aca="false">O$7*SUM($H44:O44)*Deposits!$Q$7</f>
        <v>0</v>
      </c>
      <c r="P87" s="158" t="n">
        <f aca="false">P$7*SUM($H44:P44)*Deposits!$Q$7</f>
        <v>0</v>
      </c>
      <c r="Q87" s="158" t="n">
        <f aca="false">Q$7*SUM($H44:Q44)*Deposits!$Q$7</f>
        <v>0</v>
      </c>
      <c r="R87" s="158" t="n">
        <f aca="false">R$7*SUM($H44:R44)*Deposits!$Q$7</f>
        <v>0</v>
      </c>
      <c r="S87" s="158" t="n">
        <f aca="false">S$7*SUM($H44:S44)*Deposits!$Q$7</f>
        <v>0</v>
      </c>
      <c r="T87" s="158" t="n">
        <f aca="false">T$7*SUM($H44:T44)*Deposits!$Q$7</f>
        <v>0</v>
      </c>
      <c r="U87" s="158" t="n">
        <f aca="false">U$7*SUM($H44:U44)*Deposits!$Q$7</f>
        <v>0</v>
      </c>
      <c r="V87" s="158" t="n">
        <f aca="false">V$7*SUM($H44:V44)*Deposits!$Q$7</f>
        <v>0</v>
      </c>
      <c r="W87" s="158" t="n">
        <f aca="false">W$7*SUM($H44:W44)*Deposits!$Q$7</f>
        <v>0</v>
      </c>
      <c r="X87" s="158" t="n">
        <f aca="false">X$7*SUM($H44:X44)*Deposits!$Q$7</f>
        <v>0</v>
      </c>
      <c r="Y87" s="158" t="n">
        <f aca="false">Y$7*SUM($H44:Y44)*Deposits!$Q$7</f>
        <v>0</v>
      </c>
      <c r="Z87" s="158" t="n">
        <f aca="false">Z$7*SUM($H44:Z44)*Deposits!$Q$7</f>
        <v>0</v>
      </c>
      <c r="AA87" s="158" t="n">
        <f aca="false">AA$7*SUM($H44:AA44)*Deposits!$Q$7</f>
        <v>0</v>
      </c>
      <c r="AB87" s="158" t="n">
        <f aca="false">AB$7*SUM($H44:AB44)*Deposits!$Q$7</f>
        <v>0</v>
      </c>
      <c r="AC87" s="158" t="n">
        <f aca="false">AC$7*SUM($H44:AC44)*Deposits!$Q$7</f>
        <v>0</v>
      </c>
      <c r="AD87" s="158" t="n">
        <f aca="false">AD$7*SUM($H44:AD44)*Deposits!$Q$7</f>
        <v>0</v>
      </c>
      <c r="AE87" s="158" t="n">
        <f aca="false">AE$7*SUM($H44:AE44)*Deposits!$Q$7</f>
        <v>0</v>
      </c>
      <c r="AF87" s="158" t="n">
        <f aca="false">AF$7*SUM($H44:AF44)*Deposits!$Q$7</f>
        <v>0</v>
      </c>
      <c r="AG87" s="158" t="n">
        <f aca="false">AG$7*SUM($H44:AG44)*Deposits!$Q$7</f>
        <v>0</v>
      </c>
      <c r="AH87" s="158" t="n">
        <f aca="false">AH$7*SUM($H44:AH44)*Deposits!$Q$7</f>
        <v>0</v>
      </c>
      <c r="AI87" s="158" t="n">
        <f aca="false">AI$7*SUM($H44:AI44)*Deposits!$Q$7</f>
        <v>0</v>
      </c>
      <c r="AJ87" s="158" t="n">
        <f aca="false">AJ$7*SUM($H44:AJ44)*Deposits!$Q$7</f>
        <v>0</v>
      </c>
      <c r="AK87" s="158" t="n">
        <f aca="false">AK$7*SUM($H44:AK44)*Deposits!$Q$7</f>
        <v>0</v>
      </c>
      <c r="AL87" s="158" t="n">
        <f aca="false">AL$7*SUM($H44:AL44)*Deposits!$Q$7</f>
        <v>0</v>
      </c>
      <c r="AM87" s="158" t="n">
        <f aca="false">AM$7*SUM($H44:AM44)*Deposits!$Q$7</f>
        <v>0</v>
      </c>
      <c r="AN87" s="158" t="n">
        <f aca="false">AN$7*SUM($H44:AN44)*Deposits!$Q$7</f>
        <v>0</v>
      </c>
      <c r="AO87" s="158" t="n">
        <f aca="false">AO$7*SUM($H44:AO44)*Deposits!$Q$7</f>
        <v>0</v>
      </c>
      <c r="AP87" s="158" t="n">
        <f aca="false">AP$7*SUM($H44:AP44)*Deposits!$Q$7</f>
        <v>0</v>
      </c>
      <c r="AQ87" s="158" t="n">
        <f aca="false">AQ$7*SUM($H44:AQ44)*Deposits!$Q$7</f>
        <v>0</v>
      </c>
      <c r="AR87" s="158" t="n">
        <f aca="false">AR$7*SUM($H44:AR44)*Deposits!$Q$7</f>
        <v>0</v>
      </c>
      <c r="AS87" s="158" t="n">
        <f aca="false">AS$7*SUM($H44:AS44)*Deposits!$Q$7</f>
        <v>0</v>
      </c>
      <c r="AT87" s="158" t="n">
        <f aca="false">AT$7*SUM($H44:AT44)*Deposits!$Q$7</f>
        <v>0</v>
      </c>
      <c r="AU87" s="158" t="n">
        <f aca="false">AU$7*SUM($H44:AU44)*Deposits!$Q$7</f>
        <v>0</v>
      </c>
      <c r="AV87" s="158" t="n">
        <f aca="false">AV$7*SUM($H44:AV44)*Deposits!$Q$7</f>
        <v>0</v>
      </c>
      <c r="AW87" s="158" t="n">
        <f aca="false">AW$7*SUM($H44:AW44)*Deposits!$Q$7</f>
        <v>0</v>
      </c>
      <c r="AX87" s="158" t="n">
        <f aca="false">AX$7*SUM($H44:AX44)*Deposits!$Q$7</f>
        <v>0</v>
      </c>
      <c r="AY87" s="158" t="n">
        <f aca="false">AY$7*SUM($H44:AY44)*Deposits!$Q$7</f>
        <v>0</v>
      </c>
      <c r="AZ87" s="158" t="n">
        <f aca="false">AZ$7*SUM($H44:AZ44)*Deposits!$Q$7</f>
        <v>0</v>
      </c>
      <c r="BA87" s="158" t="n">
        <f aca="false">BA$7*SUM($H44:BA44)*Deposits!$Q$7</f>
        <v>0</v>
      </c>
      <c r="BB87" s="158" t="n">
        <f aca="false">BB$7*SUM($H44:BB44)*Deposits!$Q$7</f>
        <v>0</v>
      </c>
      <c r="BC87" s="158" t="n">
        <f aca="false">BC$7*SUM($H44:BC44)*Deposits!$Q$7</f>
        <v>0</v>
      </c>
      <c r="BD87" s="158" t="n">
        <f aca="false">BD$7*SUM($H44:BD44)*Deposits!$Q$7</f>
        <v>0</v>
      </c>
      <c r="BE87" s="158" t="n">
        <f aca="false">BE$7*SUM($H44:BE44)*Deposits!$Q$7</f>
        <v>0</v>
      </c>
      <c r="BF87" s="158" t="n">
        <f aca="false">BF$7*SUM($H44:BF44)*Deposits!$Q$7</f>
        <v>0</v>
      </c>
      <c r="BG87" s="158" t="n">
        <f aca="false">BG$7*SUM($H44:BG44)*Deposits!$Q$7</f>
        <v>0</v>
      </c>
      <c r="BH87" s="158" t="n">
        <f aca="false">BH$7*SUM($H44:BH44)*Deposits!$Q$7</f>
        <v>0</v>
      </c>
      <c r="BI87" s="158" t="n">
        <f aca="false">BI$7*SUM($H44:BI44)*Deposits!$Q$7</f>
        <v>0</v>
      </c>
      <c r="BJ87" s="158" t="n">
        <f aca="false">BJ$7*SUM($H44:BJ44)*Deposits!$Q$7</f>
        <v>0</v>
      </c>
      <c r="BK87" s="158" t="n">
        <f aca="false">BK$7*SUM($H44:BK44)*Deposits!$Q$7</f>
        <v>0</v>
      </c>
      <c r="BL87" s="158" t="n">
        <f aca="false">BL$7*SUM($H44:BL44)*Deposits!$Q$7</f>
        <v>0</v>
      </c>
      <c r="BM87" s="158" t="n">
        <f aca="false">BM$7*SUM($H44:BM44)*Deposits!$Q$7</f>
        <v>0</v>
      </c>
      <c r="BN87" s="158" t="n">
        <f aca="false">BN$7*SUM($H44:BN44)*Deposits!$Q$7</f>
        <v>0</v>
      </c>
      <c r="BO87" s="158" t="n">
        <f aca="false">BO$7*SUM($H44:BO44)*Deposits!$Q$7</f>
        <v>0</v>
      </c>
      <c r="BP87" s="158" t="n">
        <f aca="false">BP$7*SUM($H44:BP44)*Deposits!$Q$7</f>
        <v>0</v>
      </c>
    </row>
    <row r="88" customFormat="false" ht="15" hidden="false" customHeight="false" outlineLevel="0" collapsed="false">
      <c r="C88" s="235" t="str">
        <f aca="false">C29</f>
        <v>Ajánlati biztosíték</v>
      </c>
      <c r="D88" s="133" t="s">
        <v>125</v>
      </c>
      <c r="E88" s="158"/>
      <c r="F88" s="158"/>
      <c r="G88" s="158" t="n">
        <f aca="false">SUM(H88:BP88)</f>
        <v>0</v>
      </c>
      <c r="H88" s="158" t="n">
        <f aca="false">H$7*SUM($H45:H45)*Deposits!$Q$8</f>
        <v>0</v>
      </c>
      <c r="I88" s="158" t="n">
        <f aca="false">I$7*SUM($H45:I45)*Deposits!$Q$8</f>
        <v>0</v>
      </c>
      <c r="J88" s="158" t="n">
        <f aca="false">J$7*SUM($H45:J45)*Deposits!$Q$8</f>
        <v>0</v>
      </c>
      <c r="K88" s="158" t="n">
        <f aca="false">K$7*SUM($H45:K45)*Deposits!$Q$8</f>
        <v>0</v>
      </c>
      <c r="L88" s="158" t="n">
        <f aca="false">L$7*SUM($H45:L45)*Deposits!$Q$8</f>
        <v>0</v>
      </c>
      <c r="M88" s="158" t="n">
        <f aca="false">M$7*SUM($H45:M45)*Deposits!$Q$8</f>
        <v>0</v>
      </c>
      <c r="N88" s="158" t="n">
        <f aca="false">N$7*SUM($H45:N45)*Deposits!$Q$8</f>
        <v>0</v>
      </c>
      <c r="O88" s="158" t="n">
        <f aca="false">O$7*SUM($H45:O45)*Deposits!$Q$8</f>
        <v>0</v>
      </c>
      <c r="P88" s="158" t="n">
        <f aca="false">P$7*SUM($H45:P45)*Deposits!$Q$8</f>
        <v>0</v>
      </c>
      <c r="Q88" s="158" t="n">
        <f aca="false">Q$7*SUM($H45:Q45)*Deposits!$Q$8</f>
        <v>0</v>
      </c>
      <c r="R88" s="158" t="n">
        <f aca="false">R$7*SUM($H45:R45)*Deposits!$Q$8</f>
        <v>0</v>
      </c>
      <c r="S88" s="158" t="n">
        <f aca="false">S$7*SUM($H45:S45)*Deposits!$Q$8</f>
        <v>0</v>
      </c>
      <c r="T88" s="158" t="n">
        <f aca="false">T$7*SUM($H45:T45)*Deposits!$Q$8</f>
        <v>0</v>
      </c>
      <c r="U88" s="158" t="n">
        <f aca="false">U$7*SUM($H45:U45)*Deposits!$Q$8</f>
        <v>0</v>
      </c>
      <c r="V88" s="158" t="n">
        <f aca="false">V$7*SUM($H45:V45)*Deposits!$Q$8</f>
        <v>0</v>
      </c>
      <c r="W88" s="158" t="n">
        <f aca="false">W$7*SUM($H45:W45)*Deposits!$Q$8</f>
        <v>0</v>
      </c>
      <c r="X88" s="158" t="n">
        <f aca="false">X$7*SUM($H45:X45)*Deposits!$Q$8</f>
        <v>0</v>
      </c>
      <c r="Y88" s="158" t="n">
        <f aca="false">Y$7*SUM($H45:Y45)*Deposits!$Q$8</f>
        <v>0</v>
      </c>
      <c r="Z88" s="158" t="n">
        <f aca="false">Z$7*SUM($H45:Z45)*Deposits!$Q$8</f>
        <v>0</v>
      </c>
      <c r="AA88" s="158" t="n">
        <f aca="false">AA$7*SUM($H45:AA45)*Deposits!$Q$8</f>
        <v>0</v>
      </c>
      <c r="AB88" s="158" t="n">
        <f aca="false">AB$7*SUM($H45:AB45)*Deposits!$Q$8</f>
        <v>0</v>
      </c>
      <c r="AC88" s="158" t="n">
        <f aca="false">AC$7*SUM($H45:AC45)*Deposits!$Q$8</f>
        <v>0</v>
      </c>
      <c r="AD88" s="158" t="n">
        <f aca="false">AD$7*SUM($H45:AD45)*Deposits!$Q$8</f>
        <v>0</v>
      </c>
      <c r="AE88" s="158" t="n">
        <f aca="false">AE$7*SUM($H45:AE45)*Deposits!$Q$8</f>
        <v>0</v>
      </c>
      <c r="AF88" s="158" t="n">
        <f aca="false">AF$7*SUM($H45:AF45)*Deposits!$Q$8</f>
        <v>0</v>
      </c>
      <c r="AG88" s="158" t="n">
        <f aca="false">AG$7*SUM($H45:AG45)*Deposits!$Q$8</f>
        <v>0</v>
      </c>
      <c r="AH88" s="158" t="n">
        <f aca="false">AH$7*SUM($H45:AH45)*Deposits!$Q$8</f>
        <v>0</v>
      </c>
      <c r="AI88" s="158" t="n">
        <f aca="false">AI$7*SUM($H45:AI45)*Deposits!$Q$8</f>
        <v>0</v>
      </c>
      <c r="AJ88" s="158" t="n">
        <f aca="false">AJ$7*SUM($H45:AJ45)*Deposits!$Q$8</f>
        <v>0</v>
      </c>
      <c r="AK88" s="158" t="n">
        <f aca="false">AK$7*SUM($H45:AK45)*Deposits!$Q$8</f>
        <v>0</v>
      </c>
      <c r="AL88" s="158" t="n">
        <f aca="false">AL$7*SUM($H45:AL45)*Deposits!$Q$8</f>
        <v>0</v>
      </c>
      <c r="AM88" s="158" t="n">
        <f aca="false">AM$7*SUM($H45:AM45)*Deposits!$Q$8</f>
        <v>0</v>
      </c>
      <c r="AN88" s="158" t="n">
        <f aca="false">AN$7*SUM($H45:AN45)*Deposits!$Q$8</f>
        <v>0</v>
      </c>
      <c r="AO88" s="158" t="n">
        <f aca="false">AO$7*SUM($H45:AO45)*Deposits!$Q$8</f>
        <v>0</v>
      </c>
      <c r="AP88" s="158" t="n">
        <f aca="false">AP$7*SUM($H45:AP45)*Deposits!$Q$8</f>
        <v>0</v>
      </c>
      <c r="AQ88" s="158" t="n">
        <f aca="false">AQ$7*SUM($H45:AQ45)*Deposits!$Q$8</f>
        <v>0</v>
      </c>
      <c r="AR88" s="158" t="n">
        <f aca="false">AR$7*SUM($H45:AR45)*Deposits!$Q$8</f>
        <v>0</v>
      </c>
      <c r="AS88" s="158" t="n">
        <f aca="false">AS$7*SUM($H45:AS45)*Deposits!$Q$8</f>
        <v>0</v>
      </c>
      <c r="AT88" s="158" t="n">
        <f aca="false">AT$7*SUM($H45:AT45)*Deposits!$Q$8</f>
        <v>0</v>
      </c>
      <c r="AU88" s="158" t="n">
        <f aca="false">AU$7*SUM($H45:AU45)*Deposits!$Q$8</f>
        <v>0</v>
      </c>
      <c r="AV88" s="158" t="n">
        <f aca="false">AV$7*SUM($H45:AV45)*Deposits!$Q$8</f>
        <v>0</v>
      </c>
      <c r="AW88" s="158" t="n">
        <f aca="false">AW$7*SUM($H45:AW45)*Deposits!$Q$8</f>
        <v>0</v>
      </c>
      <c r="AX88" s="158" t="n">
        <f aca="false">AX$7*SUM($H45:AX45)*Deposits!$Q$8</f>
        <v>0</v>
      </c>
      <c r="AY88" s="158" t="n">
        <f aca="false">AY$7*SUM($H45:AY45)*Deposits!$Q$8</f>
        <v>0</v>
      </c>
      <c r="AZ88" s="158" t="n">
        <f aca="false">AZ$7*SUM($H45:AZ45)*Deposits!$Q$8</f>
        <v>0</v>
      </c>
      <c r="BA88" s="158" t="n">
        <f aca="false">BA$7*SUM($H45:BA45)*Deposits!$Q$8</f>
        <v>0</v>
      </c>
      <c r="BB88" s="158" t="n">
        <f aca="false">BB$7*SUM($H45:BB45)*Deposits!$Q$8</f>
        <v>0</v>
      </c>
      <c r="BC88" s="158" t="n">
        <f aca="false">BC$7*SUM($H45:BC45)*Deposits!$Q$8</f>
        <v>0</v>
      </c>
      <c r="BD88" s="158" t="n">
        <f aca="false">BD$7*SUM($H45:BD45)*Deposits!$Q$8</f>
        <v>0</v>
      </c>
      <c r="BE88" s="158" t="n">
        <f aca="false">BE$7*SUM($H45:BE45)*Deposits!$Q$8</f>
        <v>0</v>
      </c>
      <c r="BF88" s="158" t="n">
        <f aca="false">BF$7*SUM($H45:BF45)*Deposits!$Q$8</f>
        <v>0</v>
      </c>
      <c r="BG88" s="158" t="n">
        <f aca="false">BG$7*SUM($H45:BG45)*Deposits!$Q$8</f>
        <v>0</v>
      </c>
      <c r="BH88" s="158" t="n">
        <f aca="false">BH$7*SUM($H45:BH45)*Deposits!$Q$8</f>
        <v>0</v>
      </c>
      <c r="BI88" s="158" t="n">
        <f aca="false">BI$7*SUM($H45:BI45)*Deposits!$Q$8</f>
        <v>0</v>
      </c>
      <c r="BJ88" s="158" t="n">
        <f aca="false">BJ$7*SUM($H45:BJ45)*Deposits!$Q$8</f>
        <v>0</v>
      </c>
      <c r="BK88" s="158" t="n">
        <f aca="false">BK$7*SUM($H45:BK45)*Deposits!$Q$8</f>
        <v>0</v>
      </c>
      <c r="BL88" s="158" t="n">
        <f aca="false">BL$7*SUM($H45:BL45)*Deposits!$Q$8</f>
        <v>0</v>
      </c>
      <c r="BM88" s="158" t="n">
        <f aca="false">BM$7*SUM($H45:BM45)*Deposits!$Q$8</f>
        <v>0</v>
      </c>
      <c r="BN88" s="158" t="n">
        <f aca="false">BN$7*SUM($H45:BN45)*Deposits!$Q$8</f>
        <v>0</v>
      </c>
      <c r="BO88" s="158" t="n">
        <f aca="false">BO$7*SUM($H45:BO45)*Deposits!$Q$8</f>
        <v>0</v>
      </c>
      <c r="BP88" s="158" t="n">
        <f aca="false">BP$7*SUM($H45:BP45)*Deposits!$Q$8</f>
        <v>0</v>
      </c>
    </row>
    <row r="89" customFormat="false" ht="15" hidden="false" customHeight="false" outlineLevel="0" collapsed="false">
      <c r="C89" s="235" t="str">
        <f aca="false">C30</f>
        <v>Ajánlati biztosíték visszatérítés – sikertelen kapacitás</v>
      </c>
      <c r="D89" s="133" t="s">
        <v>125</v>
      </c>
      <c r="E89" s="158"/>
      <c r="F89" s="158"/>
      <c r="G89" s="158" t="n">
        <f aca="false">SUM(H89:BP89)</f>
        <v>0</v>
      </c>
      <c r="H89" s="158" t="n">
        <f aca="false">H$7*SUM($H46:H46)*Deposits!$Q$9</f>
        <v>0</v>
      </c>
      <c r="I89" s="158" t="n">
        <f aca="false">I$7*SUM($H46:I46)*Deposits!$Q$9</f>
        <v>0</v>
      </c>
      <c r="J89" s="158" t="n">
        <f aca="false">J$7*SUM($H46:J46)*Deposits!$Q$9</f>
        <v>0</v>
      </c>
      <c r="K89" s="158" t="n">
        <f aca="false">K$7*SUM($H46:K46)*Deposits!$Q$9</f>
        <v>0</v>
      </c>
      <c r="L89" s="158" t="n">
        <f aca="false">L$7*SUM($H46:L46)*Deposits!$Q$9</f>
        <v>0</v>
      </c>
      <c r="M89" s="158" t="n">
        <f aca="false">M$7*SUM($H46:M46)*Deposits!$Q$9</f>
        <v>0</v>
      </c>
      <c r="N89" s="158" t="n">
        <f aca="false">N$7*SUM($H46:N46)*Deposits!$Q$9</f>
        <v>0</v>
      </c>
      <c r="O89" s="158" t="n">
        <f aca="false">O$7*SUM($H46:O46)*Deposits!$Q$9</f>
        <v>0</v>
      </c>
      <c r="P89" s="158" t="n">
        <f aca="false">P$7*SUM($H46:P46)*Deposits!$Q$9</f>
        <v>0</v>
      </c>
      <c r="Q89" s="158" t="n">
        <f aca="false">Q$7*SUM($H46:Q46)*Deposits!$Q$9</f>
        <v>0</v>
      </c>
      <c r="R89" s="158" t="n">
        <f aca="false">R$7*SUM($H46:R46)*Deposits!$Q$9</f>
        <v>0</v>
      </c>
      <c r="S89" s="158" t="n">
        <f aca="false">S$7*SUM($H46:S46)*Deposits!$Q$9</f>
        <v>0</v>
      </c>
      <c r="T89" s="158" t="n">
        <f aca="false">T$7*SUM($H46:T46)*Deposits!$Q$9</f>
        <v>0</v>
      </c>
      <c r="U89" s="158" t="n">
        <f aca="false">U$7*SUM($H46:U46)*Deposits!$Q$9</f>
        <v>0</v>
      </c>
      <c r="V89" s="158" t="n">
        <f aca="false">V$7*SUM($H46:V46)*Deposits!$Q$9</f>
        <v>0</v>
      </c>
      <c r="W89" s="158" t="n">
        <f aca="false">W$7*SUM($H46:W46)*Deposits!$Q$9</f>
        <v>0</v>
      </c>
      <c r="X89" s="158" t="n">
        <f aca="false">X$7*SUM($H46:X46)*Deposits!$Q$9</f>
        <v>0</v>
      </c>
      <c r="Y89" s="158" t="n">
        <f aca="false">Y$7*SUM($H46:Y46)*Deposits!$Q$9</f>
        <v>0</v>
      </c>
      <c r="Z89" s="158" t="n">
        <f aca="false">Z$7*SUM($H46:Z46)*Deposits!$Q$9</f>
        <v>0</v>
      </c>
      <c r="AA89" s="158" t="n">
        <f aca="false">AA$7*SUM($H46:AA46)*Deposits!$Q$9</f>
        <v>0</v>
      </c>
      <c r="AB89" s="158" t="n">
        <f aca="false">AB$7*SUM($H46:AB46)*Deposits!$Q$9</f>
        <v>0</v>
      </c>
      <c r="AC89" s="158" t="n">
        <f aca="false">AC$7*SUM($H46:AC46)*Deposits!$Q$9</f>
        <v>0</v>
      </c>
      <c r="AD89" s="158" t="n">
        <f aca="false">AD$7*SUM($H46:AD46)*Deposits!$Q$9</f>
        <v>0</v>
      </c>
      <c r="AE89" s="158" t="n">
        <f aca="false">AE$7*SUM($H46:AE46)*Deposits!$Q$9</f>
        <v>0</v>
      </c>
      <c r="AF89" s="158" t="n">
        <f aca="false">AF$7*SUM($H46:AF46)*Deposits!$Q$9</f>
        <v>0</v>
      </c>
      <c r="AG89" s="158" t="n">
        <f aca="false">AG$7*SUM($H46:AG46)*Deposits!$Q$9</f>
        <v>0</v>
      </c>
      <c r="AH89" s="158" t="n">
        <f aca="false">AH$7*SUM($H46:AH46)*Deposits!$Q$9</f>
        <v>0</v>
      </c>
      <c r="AI89" s="158" t="n">
        <f aca="false">AI$7*SUM($H46:AI46)*Deposits!$Q$9</f>
        <v>0</v>
      </c>
      <c r="AJ89" s="158" t="n">
        <f aca="false">AJ$7*SUM($H46:AJ46)*Deposits!$Q$9</f>
        <v>0</v>
      </c>
      <c r="AK89" s="158" t="n">
        <f aca="false">AK$7*SUM($H46:AK46)*Deposits!$Q$9</f>
        <v>0</v>
      </c>
      <c r="AL89" s="158" t="n">
        <f aca="false">AL$7*SUM($H46:AL46)*Deposits!$Q$9</f>
        <v>0</v>
      </c>
      <c r="AM89" s="158" t="n">
        <f aca="false">AM$7*SUM($H46:AM46)*Deposits!$Q$9</f>
        <v>0</v>
      </c>
      <c r="AN89" s="158" t="n">
        <f aca="false">AN$7*SUM($H46:AN46)*Deposits!$Q$9</f>
        <v>0</v>
      </c>
      <c r="AO89" s="158" t="n">
        <f aca="false">AO$7*SUM($H46:AO46)*Deposits!$Q$9</f>
        <v>0</v>
      </c>
      <c r="AP89" s="158" t="n">
        <f aca="false">AP$7*SUM($H46:AP46)*Deposits!$Q$9</f>
        <v>0</v>
      </c>
      <c r="AQ89" s="158" t="n">
        <f aca="false">AQ$7*SUM($H46:AQ46)*Deposits!$Q$9</f>
        <v>0</v>
      </c>
      <c r="AR89" s="158" t="n">
        <f aca="false">AR$7*SUM($H46:AR46)*Deposits!$Q$9</f>
        <v>0</v>
      </c>
      <c r="AS89" s="158" t="n">
        <f aca="false">AS$7*SUM($H46:AS46)*Deposits!$Q$9</f>
        <v>0</v>
      </c>
      <c r="AT89" s="158" t="n">
        <f aca="false">AT$7*SUM($H46:AT46)*Deposits!$Q$9</f>
        <v>0</v>
      </c>
      <c r="AU89" s="158" t="n">
        <f aca="false">AU$7*SUM($H46:AU46)*Deposits!$Q$9</f>
        <v>0</v>
      </c>
      <c r="AV89" s="158" t="n">
        <f aca="false">AV$7*SUM($H46:AV46)*Deposits!$Q$9</f>
        <v>0</v>
      </c>
      <c r="AW89" s="158" t="n">
        <f aca="false">AW$7*SUM($H46:AW46)*Deposits!$Q$9</f>
        <v>0</v>
      </c>
      <c r="AX89" s="158" t="n">
        <f aca="false">AX$7*SUM($H46:AX46)*Deposits!$Q$9</f>
        <v>0</v>
      </c>
      <c r="AY89" s="158" t="n">
        <f aca="false">AY$7*SUM($H46:AY46)*Deposits!$Q$9</f>
        <v>0</v>
      </c>
      <c r="AZ89" s="158" t="n">
        <f aca="false">AZ$7*SUM($H46:AZ46)*Deposits!$Q$9</f>
        <v>0</v>
      </c>
      <c r="BA89" s="158" t="n">
        <f aca="false">BA$7*SUM($H46:BA46)*Deposits!$Q$9</f>
        <v>0</v>
      </c>
      <c r="BB89" s="158" t="n">
        <f aca="false">BB$7*SUM($H46:BB46)*Deposits!$Q$9</f>
        <v>0</v>
      </c>
      <c r="BC89" s="158" t="n">
        <f aca="false">BC$7*SUM($H46:BC46)*Deposits!$Q$9</f>
        <v>0</v>
      </c>
      <c r="BD89" s="158" t="n">
        <f aca="false">BD$7*SUM($H46:BD46)*Deposits!$Q$9</f>
        <v>0</v>
      </c>
      <c r="BE89" s="158" t="n">
        <f aca="false">BE$7*SUM($H46:BE46)*Deposits!$Q$9</f>
        <v>0</v>
      </c>
      <c r="BF89" s="158" t="n">
        <f aca="false">BF$7*SUM($H46:BF46)*Deposits!$Q$9</f>
        <v>0</v>
      </c>
      <c r="BG89" s="158" t="n">
        <f aca="false">BG$7*SUM($H46:BG46)*Deposits!$Q$9</f>
        <v>0</v>
      </c>
      <c r="BH89" s="158" t="n">
        <f aca="false">BH$7*SUM($H46:BH46)*Deposits!$Q$9</f>
        <v>0</v>
      </c>
      <c r="BI89" s="158" t="n">
        <f aca="false">BI$7*SUM($H46:BI46)*Deposits!$Q$9</f>
        <v>0</v>
      </c>
      <c r="BJ89" s="158" t="n">
        <f aca="false">BJ$7*SUM($H46:BJ46)*Deposits!$Q$9</f>
        <v>0</v>
      </c>
      <c r="BK89" s="158" t="n">
        <f aca="false">BK$7*SUM($H46:BK46)*Deposits!$Q$9</f>
        <v>0</v>
      </c>
      <c r="BL89" s="158" t="n">
        <f aca="false">BL$7*SUM($H46:BL46)*Deposits!$Q$9</f>
        <v>0</v>
      </c>
      <c r="BM89" s="158" t="n">
        <f aca="false">BM$7*SUM($H46:BM46)*Deposits!$Q$9</f>
        <v>0</v>
      </c>
      <c r="BN89" s="158" t="n">
        <f aca="false">BN$7*SUM($H46:BN46)*Deposits!$Q$9</f>
        <v>0</v>
      </c>
      <c r="BO89" s="158" t="n">
        <f aca="false">BO$7*SUM($H46:BO46)*Deposits!$Q$9</f>
        <v>0</v>
      </c>
      <c r="BP89" s="158" t="n">
        <f aca="false">BP$7*SUM($H46:BP46)*Deposits!$Q$9</f>
        <v>0</v>
      </c>
    </row>
    <row r="90" customFormat="false" ht="15" hidden="false" customHeight="false" outlineLevel="0" collapsed="false">
      <c r="C90" s="235" t="str">
        <f aca="false">C31</f>
        <v>Teljesítési biztosíték</v>
      </c>
      <c r="D90" s="133" t="s">
        <v>125</v>
      </c>
      <c r="E90" s="158"/>
      <c r="F90" s="158"/>
      <c r="G90" s="158" t="n">
        <f aca="false">SUM(H90:BP90)</f>
        <v>0</v>
      </c>
      <c r="H90" s="158" t="n">
        <f aca="false">H$7*SUM($H47:H47)*Deposits!$Q$10</f>
        <v>0</v>
      </c>
      <c r="I90" s="158" t="n">
        <f aca="false">I$7*SUM($H47:I47)*Deposits!$Q$10</f>
        <v>0</v>
      </c>
      <c r="J90" s="158" t="n">
        <f aca="false">J$7*SUM($H47:J47)*Deposits!$Q$10</f>
        <v>0</v>
      </c>
      <c r="K90" s="158" t="n">
        <f aca="false">K$7*SUM($H47:K47)*Deposits!$Q$10</f>
        <v>0</v>
      </c>
      <c r="L90" s="158" t="n">
        <f aca="false">L$7*SUM($H47:L47)*Deposits!$Q$10</f>
        <v>0</v>
      </c>
      <c r="M90" s="158" t="n">
        <f aca="false">M$7*SUM($H47:M47)*Deposits!$Q$10</f>
        <v>0</v>
      </c>
      <c r="N90" s="158" t="n">
        <f aca="false">N$7*SUM($H47:N47)*Deposits!$Q$10</f>
        <v>0</v>
      </c>
      <c r="O90" s="158" t="n">
        <f aca="false">O$7*SUM($H47:O47)*Deposits!$Q$10</f>
        <v>0</v>
      </c>
      <c r="P90" s="158" t="n">
        <f aca="false">P$7*SUM($H47:P47)*Deposits!$Q$10</f>
        <v>0</v>
      </c>
      <c r="Q90" s="158" t="n">
        <f aca="false">Q$7*SUM($H47:Q47)*Deposits!$Q$10</f>
        <v>0</v>
      </c>
      <c r="R90" s="158" t="n">
        <f aca="false">R$7*SUM($H47:R47)*Deposits!$Q$10</f>
        <v>0</v>
      </c>
      <c r="S90" s="158" t="n">
        <f aca="false">S$7*SUM($H47:S47)*Deposits!$Q$10</f>
        <v>0</v>
      </c>
      <c r="T90" s="158" t="n">
        <f aca="false">T$7*SUM($H47:T47)*Deposits!$Q$10</f>
        <v>0</v>
      </c>
      <c r="U90" s="158" t="n">
        <f aca="false">U$7*SUM($H47:U47)*Deposits!$Q$10</f>
        <v>0</v>
      </c>
      <c r="V90" s="158" t="n">
        <f aca="false">V$7*SUM($H47:V47)*Deposits!$Q$10</f>
        <v>0</v>
      </c>
      <c r="W90" s="158" t="n">
        <f aca="false">W$7*SUM($H47:W47)*Deposits!$Q$10</f>
        <v>0</v>
      </c>
      <c r="X90" s="158" t="n">
        <f aca="false">X$7*SUM($H47:X47)*Deposits!$Q$10</f>
        <v>0</v>
      </c>
      <c r="Y90" s="158" t="n">
        <f aca="false">Y$7*SUM($H47:Y47)*Deposits!$Q$10</f>
        <v>0</v>
      </c>
      <c r="Z90" s="158" t="n">
        <f aca="false">Z$7*SUM($H47:Z47)*Deposits!$Q$10</f>
        <v>0</v>
      </c>
      <c r="AA90" s="158" t="n">
        <f aca="false">AA$7*SUM($H47:AA47)*Deposits!$Q$10</f>
        <v>0</v>
      </c>
      <c r="AB90" s="158" t="n">
        <f aca="false">AB$7*SUM($H47:AB47)*Deposits!$Q$10</f>
        <v>0</v>
      </c>
      <c r="AC90" s="158" t="n">
        <f aca="false">AC$7*SUM($H47:AC47)*Deposits!$Q$10</f>
        <v>0</v>
      </c>
      <c r="AD90" s="158" t="n">
        <f aca="false">AD$7*SUM($H47:AD47)*Deposits!$Q$10</f>
        <v>0</v>
      </c>
      <c r="AE90" s="158" t="n">
        <f aca="false">AE$7*SUM($H47:AE47)*Deposits!$Q$10</f>
        <v>0</v>
      </c>
      <c r="AF90" s="158" t="n">
        <f aca="false">AF$7*SUM($H47:AF47)*Deposits!$Q$10</f>
        <v>0</v>
      </c>
      <c r="AG90" s="158" t="n">
        <f aca="false">AG$7*SUM($H47:AG47)*Deposits!$Q$10</f>
        <v>0</v>
      </c>
      <c r="AH90" s="158" t="n">
        <f aca="false">AH$7*SUM($H47:AH47)*Deposits!$Q$10</f>
        <v>0</v>
      </c>
      <c r="AI90" s="158" t="n">
        <f aca="false">AI$7*SUM($H47:AI47)*Deposits!$Q$10</f>
        <v>0</v>
      </c>
      <c r="AJ90" s="158" t="n">
        <f aca="false">AJ$7*SUM($H47:AJ47)*Deposits!$Q$10</f>
        <v>0</v>
      </c>
      <c r="AK90" s="158" t="n">
        <f aca="false">AK$7*SUM($H47:AK47)*Deposits!$Q$10</f>
        <v>0</v>
      </c>
      <c r="AL90" s="158" t="n">
        <f aca="false">AL$7*SUM($H47:AL47)*Deposits!$Q$10</f>
        <v>0</v>
      </c>
      <c r="AM90" s="158" t="n">
        <f aca="false">AM$7*SUM($H47:AM47)*Deposits!$Q$10</f>
        <v>0</v>
      </c>
      <c r="AN90" s="158" t="n">
        <f aca="false">AN$7*SUM($H47:AN47)*Deposits!$Q$10</f>
        <v>0</v>
      </c>
      <c r="AO90" s="158" t="n">
        <f aca="false">AO$7*SUM($H47:AO47)*Deposits!$Q$10</f>
        <v>0</v>
      </c>
      <c r="AP90" s="158" t="n">
        <f aca="false">AP$7*SUM($H47:AP47)*Deposits!$Q$10</f>
        <v>0</v>
      </c>
      <c r="AQ90" s="158" t="n">
        <f aca="false">AQ$7*SUM($H47:AQ47)*Deposits!$Q$10</f>
        <v>0</v>
      </c>
      <c r="AR90" s="158" t="n">
        <f aca="false">AR$7*SUM($H47:AR47)*Deposits!$Q$10</f>
        <v>0</v>
      </c>
      <c r="AS90" s="158" t="n">
        <f aca="false">AS$7*SUM($H47:AS47)*Deposits!$Q$10</f>
        <v>0</v>
      </c>
      <c r="AT90" s="158" t="n">
        <f aca="false">AT$7*SUM($H47:AT47)*Deposits!$Q$10</f>
        <v>0</v>
      </c>
      <c r="AU90" s="158" t="n">
        <f aca="false">AU$7*SUM($H47:AU47)*Deposits!$Q$10</f>
        <v>0</v>
      </c>
      <c r="AV90" s="158" t="n">
        <f aca="false">AV$7*SUM($H47:AV47)*Deposits!$Q$10</f>
        <v>0</v>
      </c>
      <c r="AW90" s="158" t="n">
        <f aca="false">AW$7*SUM($H47:AW47)*Deposits!$Q$10</f>
        <v>0</v>
      </c>
      <c r="AX90" s="158" t="n">
        <f aca="false">AX$7*SUM($H47:AX47)*Deposits!$Q$10</f>
        <v>0</v>
      </c>
      <c r="AY90" s="158" t="n">
        <f aca="false">AY$7*SUM($H47:AY47)*Deposits!$Q$10</f>
        <v>0</v>
      </c>
      <c r="AZ90" s="158" t="n">
        <f aca="false">AZ$7*SUM($H47:AZ47)*Deposits!$Q$10</f>
        <v>0</v>
      </c>
      <c r="BA90" s="158" t="n">
        <f aca="false">BA$7*SUM($H47:BA47)*Deposits!$Q$10</f>
        <v>0</v>
      </c>
      <c r="BB90" s="158" t="n">
        <f aca="false">BB$7*SUM($H47:BB47)*Deposits!$Q$10</f>
        <v>0</v>
      </c>
      <c r="BC90" s="158" t="n">
        <f aca="false">BC$7*SUM($H47:BC47)*Deposits!$Q$10</f>
        <v>0</v>
      </c>
      <c r="BD90" s="158" t="n">
        <f aca="false">BD$7*SUM($H47:BD47)*Deposits!$Q$10</f>
        <v>0</v>
      </c>
      <c r="BE90" s="158" t="n">
        <f aca="false">BE$7*SUM($H47:BE47)*Deposits!$Q$10</f>
        <v>0</v>
      </c>
      <c r="BF90" s="158" t="n">
        <f aca="false">BF$7*SUM($H47:BF47)*Deposits!$Q$10</f>
        <v>0</v>
      </c>
      <c r="BG90" s="158" t="n">
        <f aca="false">BG$7*SUM($H47:BG47)*Deposits!$Q$10</f>
        <v>0</v>
      </c>
      <c r="BH90" s="158" t="n">
        <f aca="false">BH$7*SUM($H47:BH47)*Deposits!$Q$10</f>
        <v>0</v>
      </c>
      <c r="BI90" s="158" t="n">
        <f aca="false">BI$7*SUM($H47:BI47)*Deposits!$Q$10</f>
        <v>0</v>
      </c>
      <c r="BJ90" s="158" t="n">
        <f aca="false">BJ$7*SUM($H47:BJ47)*Deposits!$Q$10</f>
        <v>0</v>
      </c>
      <c r="BK90" s="158" t="n">
        <f aca="false">BK$7*SUM($H47:BK47)*Deposits!$Q$10</f>
        <v>0</v>
      </c>
      <c r="BL90" s="158" t="n">
        <f aca="false">BL$7*SUM($H47:BL47)*Deposits!$Q$10</f>
        <v>0</v>
      </c>
      <c r="BM90" s="158" t="n">
        <f aca="false">BM$7*SUM($H47:BM47)*Deposits!$Q$10</f>
        <v>0</v>
      </c>
      <c r="BN90" s="158" t="n">
        <f aca="false">BN$7*SUM($H47:BN47)*Deposits!$Q$10</f>
        <v>0</v>
      </c>
      <c r="BO90" s="158" t="n">
        <f aca="false">BO$7*SUM($H47:BO47)*Deposits!$Q$10</f>
        <v>0</v>
      </c>
      <c r="BP90" s="158" t="n">
        <f aca="false">BP$7*SUM($H47:BP47)*Deposits!$Q$10</f>
        <v>0</v>
      </c>
    </row>
    <row r="91" customFormat="false" ht="15" hidden="false" customHeight="false" outlineLevel="0" collapsed="false">
      <c r="C91" s="235" t="str">
        <f aca="false">C32</f>
        <v>Igénybejelentési biztosíték</v>
      </c>
      <c r="D91" s="133" t="s">
        <v>125</v>
      </c>
      <c r="E91" s="158"/>
      <c r="F91" s="158"/>
      <c r="G91" s="158" t="n">
        <f aca="false">SUM(H91:BP91)</f>
        <v>1232.87671232877</v>
      </c>
      <c r="H91" s="158" t="n">
        <f aca="false">H$7*SUM($H48:H48)*Deposits!$Q$11</f>
        <v>0</v>
      </c>
      <c r="I91" s="158" t="n">
        <f aca="false">I$7*SUM($H48:I48)*Deposits!$Q$11</f>
        <v>0</v>
      </c>
      <c r="J91" s="158" t="n">
        <f aca="false">J$7*SUM($H48:J48)*Deposits!$Q$11</f>
        <v>0</v>
      </c>
      <c r="K91" s="158" t="n">
        <f aca="false">K$7*SUM($H48:K48)*Deposits!$Q$11</f>
        <v>0</v>
      </c>
      <c r="L91" s="158" t="n">
        <f aca="false">L$7*SUM($H48:L48)*Deposits!$Q$11</f>
        <v>0</v>
      </c>
      <c r="M91" s="158" t="n">
        <f aca="false">M$7*SUM($H48:M48)*Deposits!$Q$11</f>
        <v>0</v>
      </c>
      <c r="N91" s="158" t="n">
        <f aca="false">N$7*SUM($H48:N48)*Deposits!$Q$11</f>
        <v>0</v>
      </c>
      <c r="O91" s="158" t="n">
        <f aca="false">O$7*SUM($H48:O48)*Deposits!$Q$11</f>
        <v>0</v>
      </c>
      <c r="P91" s="158" t="n">
        <f aca="false">P$7*SUM($H48:P48)*Deposits!$Q$11</f>
        <v>0</v>
      </c>
      <c r="Q91" s="158" t="n">
        <f aca="false">Q$7*SUM($H48:Q48)*Deposits!$Q$11</f>
        <v>0</v>
      </c>
      <c r="R91" s="158" t="n">
        <f aca="false">R$7*SUM($H48:R48)*Deposits!$Q$11</f>
        <v>0</v>
      </c>
      <c r="S91" s="158" t="n">
        <f aca="false">S$7*SUM($H48:S48)*Deposits!$Q$11</f>
        <v>0</v>
      </c>
      <c r="T91" s="158" t="n">
        <f aca="false">T$7*SUM($H48:T48)*Deposits!$Q$11</f>
        <v>0</v>
      </c>
      <c r="U91" s="158" t="n">
        <f aca="false">U$7*SUM($H48:U48)*Deposits!$Q$11</f>
        <v>0</v>
      </c>
      <c r="V91" s="158" t="n">
        <f aca="false">V$7*SUM($H48:V48)*Deposits!$Q$11</f>
        <v>0</v>
      </c>
      <c r="W91" s="158" t="n">
        <f aca="false">W$7*SUM($H48:W48)*Deposits!$Q$11</f>
        <v>0</v>
      </c>
      <c r="X91" s="158" t="n">
        <f aca="false">X$7*SUM($H48:X48)*Deposits!$Q$11</f>
        <v>0</v>
      </c>
      <c r="Y91" s="158" t="n">
        <f aca="false">Y$7*SUM($H48:Y48)*Deposits!$Q$11</f>
        <v>0</v>
      </c>
      <c r="Z91" s="158" t="n">
        <f aca="false">Z$7*SUM($H48:Z48)*Deposits!$Q$11</f>
        <v>0</v>
      </c>
      <c r="AA91" s="158" t="n">
        <f aca="false">AA$7*SUM($H48:AA48)*Deposits!$Q$11</f>
        <v>0</v>
      </c>
      <c r="AB91" s="158" t="n">
        <f aca="false">AB$7*SUM($H48:AB48)*Deposits!$Q$11</f>
        <v>0</v>
      </c>
      <c r="AC91" s="158" t="n">
        <f aca="false">AC$7*SUM($H48:AC48)*Deposits!$Q$11</f>
        <v>0</v>
      </c>
      <c r="AD91" s="158" t="n">
        <f aca="false">AD$7*SUM($H48:AD48)*Deposits!$Q$11</f>
        <v>0</v>
      </c>
      <c r="AE91" s="158" t="n">
        <f aca="false">AE$7*SUM($H48:AE48)*Deposits!$Q$11</f>
        <v>0</v>
      </c>
      <c r="AF91" s="158" t="n">
        <f aca="false">AF$7*SUM($H48:AF48)*Deposits!$Q$11</f>
        <v>0</v>
      </c>
      <c r="AG91" s="158" t="n">
        <f aca="false">AG$7*SUM($H48:AG48)*Deposits!$Q$11</f>
        <v>0</v>
      </c>
      <c r="AH91" s="158" t="n">
        <f aca="false">AH$7*SUM($H48:AH48)*Deposits!$Q$11</f>
        <v>0</v>
      </c>
      <c r="AI91" s="158" t="n">
        <f aca="false">AI$7*SUM($H48:AI48)*Deposits!$Q$11</f>
        <v>0</v>
      </c>
      <c r="AJ91" s="158" t="n">
        <f aca="false">AJ$7*SUM($H48:AJ48)*Deposits!$Q$11</f>
        <v>0</v>
      </c>
      <c r="AK91" s="158" t="n">
        <f aca="false">AK$7*SUM($H48:AK48)*Deposits!$Q$11</f>
        <v>0</v>
      </c>
      <c r="AL91" s="158" t="n">
        <f aca="false">AL$7*SUM($H48:AL48)*Deposits!$Q$11</f>
        <v>0</v>
      </c>
      <c r="AM91" s="158" t="n">
        <f aca="false">AM$7*SUM($H48:AM48)*Deposits!$Q$11</f>
        <v>0</v>
      </c>
      <c r="AN91" s="158" t="n">
        <f aca="false">AN$7*SUM($H48:AN48)*Deposits!$Q$11</f>
        <v>0</v>
      </c>
      <c r="AO91" s="158" t="n">
        <f aca="false">AO$7*SUM($H48:AO48)*Deposits!$Q$11</f>
        <v>0</v>
      </c>
      <c r="AP91" s="158" t="n">
        <f aca="false">AP$7*SUM($H48:AP48)*Deposits!$Q$11</f>
        <v>0</v>
      </c>
      <c r="AQ91" s="158" t="n">
        <f aca="false">AQ$7*SUM($H48:AQ48)*Deposits!$Q$11</f>
        <v>0</v>
      </c>
      <c r="AR91" s="158" t="n">
        <f aca="false">AR$7*SUM($H48:AR48)*Deposits!$Q$11</f>
        <v>0</v>
      </c>
      <c r="AS91" s="158" t="n">
        <f aca="false">AS$7*SUM($H48:AS48)*Deposits!$Q$11</f>
        <v>0</v>
      </c>
      <c r="AT91" s="158" t="n">
        <f aca="false">AT$7*SUM($H48:AT48)*Deposits!$Q$11</f>
        <v>1232.87671232877</v>
      </c>
      <c r="AU91" s="158" t="n">
        <f aca="false">AU$7*SUM($H48:AU48)*Deposits!$Q$11</f>
        <v>0</v>
      </c>
      <c r="AV91" s="158" t="n">
        <f aca="false">AV$7*SUM($H48:AV48)*Deposits!$Q$11</f>
        <v>0</v>
      </c>
      <c r="AW91" s="158" t="n">
        <f aca="false">AW$7*SUM($H48:AW48)*Deposits!$Q$11</f>
        <v>0</v>
      </c>
      <c r="AX91" s="158" t="n">
        <f aca="false">AX$7*SUM($H48:AX48)*Deposits!$Q$11</f>
        <v>0</v>
      </c>
      <c r="AY91" s="158" t="n">
        <f aca="false">AY$7*SUM($H48:AY48)*Deposits!$Q$11</f>
        <v>0</v>
      </c>
      <c r="AZ91" s="158" t="n">
        <f aca="false">AZ$7*SUM($H48:AZ48)*Deposits!$Q$11</f>
        <v>0</v>
      </c>
      <c r="BA91" s="158" t="n">
        <f aca="false">BA$7*SUM($H48:BA48)*Deposits!$Q$11</f>
        <v>0</v>
      </c>
      <c r="BB91" s="158" t="n">
        <f aca="false">BB$7*SUM($H48:BB48)*Deposits!$Q$11</f>
        <v>0</v>
      </c>
      <c r="BC91" s="158" t="n">
        <f aca="false">BC$7*SUM($H48:BC48)*Deposits!$Q$11</f>
        <v>0</v>
      </c>
      <c r="BD91" s="158" t="n">
        <f aca="false">BD$7*SUM($H48:BD48)*Deposits!$Q$11</f>
        <v>0</v>
      </c>
      <c r="BE91" s="158" t="n">
        <f aca="false">BE$7*SUM($H48:BE48)*Deposits!$Q$11</f>
        <v>0</v>
      </c>
      <c r="BF91" s="158" t="n">
        <f aca="false">BF$7*SUM($H48:BF48)*Deposits!$Q$11</f>
        <v>0</v>
      </c>
      <c r="BG91" s="158" t="n">
        <f aca="false">BG$7*SUM($H48:BG48)*Deposits!$Q$11</f>
        <v>0</v>
      </c>
      <c r="BH91" s="158" t="n">
        <f aca="false">BH$7*SUM($H48:BH48)*Deposits!$Q$11</f>
        <v>0</v>
      </c>
      <c r="BI91" s="158" t="n">
        <f aca="false">BI$7*SUM($H48:BI48)*Deposits!$Q$11</f>
        <v>0</v>
      </c>
      <c r="BJ91" s="158" t="n">
        <f aca="false">BJ$7*SUM($H48:BJ48)*Deposits!$Q$11</f>
        <v>0</v>
      </c>
      <c r="BK91" s="158" t="n">
        <f aca="false">BK$7*SUM($H48:BK48)*Deposits!$Q$11</f>
        <v>0</v>
      </c>
      <c r="BL91" s="158" t="n">
        <f aca="false">BL$7*SUM($H48:BL48)*Deposits!$Q$11</f>
        <v>0</v>
      </c>
      <c r="BM91" s="158" t="n">
        <f aca="false">BM$7*SUM($H48:BM48)*Deposits!$Q$11</f>
        <v>0</v>
      </c>
      <c r="BN91" s="158" t="n">
        <f aca="false">BN$7*SUM($H48:BN48)*Deposits!$Q$11</f>
        <v>0</v>
      </c>
      <c r="BO91" s="158" t="n">
        <f aca="false">BO$7*SUM($H48:BO48)*Deposits!$Q$11</f>
        <v>0</v>
      </c>
      <c r="BP91" s="158" t="n">
        <f aca="false">BP$7*SUM($H48:BP48)*Deposits!$Q$11</f>
        <v>0</v>
      </c>
    </row>
    <row r="92" customFormat="false" ht="15" hidden="false" customHeight="false" outlineLevel="0" collapsed="false">
      <c r="C92" s="235" t="str">
        <f aca="false">C33</f>
        <v>Csatlakozási díj – közvetlen</v>
      </c>
      <c r="D92" s="133" t="s">
        <v>125</v>
      </c>
      <c r="E92" s="158"/>
      <c r="F92" s="158"/>
      <c r="G92" s="158" t="n">
        <f aca="false">SUM(H92:BP92)</f>
        <v>696.364115068493</v>
      </c>
      <c r="H92" s="158" t="n">
        <f aca="false">H$7*SUM($H49:H49)*Deposits!$Q$12</f>
        <v>0</v>
      </c>
      <c r="I92" s="158" t="n">
        <f aca="false">I$7*SUM($H49:I49)*Deposits!$Q$12</f>
        <v>0</v>
      </c>
      <c r="J92" s="158" t="n">
        <f aca="false">J$7*SUM($H49:J49)*Deposits!$Q$12</f>
        <v>0</v>
      </c>
      <c r="K92" s="158" t="n">
        <f aca="false">K$7*SUM($H49:K49)*Deposits!$Q$12</f>
        <v>0</v>
      </c>
      <c r="L92" s="158" t="n">
        <f aca="false">L$7*SUM($H49:L49)*Deposits!$Q$12</f>
        <v>0</v>
      </c>
      <c r="M92" s="158" t="n">
        <f aca="false">M$7*SUM($H49:M49)*Deposits!$Q$12</f>
        <v>0</v>
      </c>
      <c r="N92" s="158" t="n">
        <f aca="false">N$7*SUM($H49:N49)*Deposits!$Q$12</f>
        <v>0</v>
      </c>
      <c r="O92" s="158" t="n">
        <f aca="false">O$7*SUM($H49:O49)*Deposits!$Q$12</f>
        <v>0</v>
      </c>
      <c r="P92" s="158" t="n">
        <f aca="false">P$7*SUM($H49:P49)*Deposits!$Q$12</f>
        <v>0</v>
      </c>
      <c r="Q92" s="158" t="n">
        <f aca="false">Q$7*SUM($H49:Q49)*Deposits!$Q$12</f>
        <v>0</v>
      </c>
      <c r="R92" s="158" t="n">
        <f aca="false">R$7*SUM($H49:R49)*Deposits!$Q$12</f>
        <v>0</v>
      </c>
      <c r="S92" s="158" t="n">
        <f aca="false">S$7*SUM($H49:S49)*Deposits!$Q$12</f>
        <v>0</v>
      </c>
      <c r="T92" s="158" t="n">
        <f aca="false">T$7*SUM($H49:T49)*Deposits!$Q$12</f>
        <v>0</v>
      </c>
      <c r="U92" s="158" t="n">
        <f aca="false">U$7*SUM($H49:U49)*Deposits!$Q$12</f>
        <v>0</v>
      </c>
      <c r="V92" s="158" t="n">
        <f aca="false">V$7*SUM($H49:V49)*Deposits!$Q$12</f>
        <v>0</v>
      </c>
      <c r="W92" s="158" t="n">
        <f aca="false">W$7*SUM($H49:W49)*Deposits!$Q$12</f>
        <v>0</v>
      </c>
      <c r="X92" s="158" t="n">
        <f aca="false">X$7*SUM($H49:X49)*Deposits!$Q$12</f>
        <v>0</v>
      </c>
      <c r="Y92" s="158" t="n">
        <f aca="false">Y$7*SUM($H49:Y49)*Deposits!$Q$12</f>
        <v>0</v>
      </c>
      <c r="Z92" s="158" t="n">
        <f aca="false">Z$7*SUM($H49:Z49)*Deposits!$Q$12</f>
        <v>0</v>
      </c>
      <c r="AA92" s="158" t="n">
        <f aca="false">AA$7*SUM($H49:AA49)*Deposits!$Q$12</f>
        <v>0</v>
      </c>
      <c r="AB92" s="158" t="n">
        <f aca="false">AB$7*SUM($H49:AB49)*Deposits!$Q$12</f>
        <v>0</v>
      </c>
      <c r="AC92" s="158" t="n">
        <f aca="false">AC$7*SUM($H49:AC49)*Deposits!$Q$12</f>
        <v>0</v>
      </c>
      <c r="AD92" s="158" t="n">
        <f aca="false">AD$7*SUM($H49:AD49)*Deposits!$Q$12</f>
        <v>0</v>
      </c>
      <c r="AE92" s="158" t="n">
        <f aca="false">AE$7*SUM($H49:AE49)*Deposits!$Q$12</f>
        <v>0</v>
      </c>
      <c r="AF92" s="158" t="n">
        <f aca="false">AF$7*SUM($H49:AF49)*Deposits!$Q$12</f>
        <v>0</v>
      </c>
      <c r="AG92" s="158" t="n">
        <f aca="false">AG$7*SUM($H49:AG49)*Deposits!$Q$12</f>
        <v>0</v>
      </c>
      <c r="AH92" s="158" t="n">
        <f aca="false">AH$7*SUM($H49:AH49)*Deposits!$Q$12</f>
        <v>0</v>
      </c>
      <c r="AI92" s="158" t="n">
        <f aca="false">AI$7*SUM($H49:AI49)*Deposits!$Q$12</f>
        <v>0</v>
      </c>
      <c r="AJ92" s="158" t="n">
        <f aca="false">AJ$7*SUM($H49:AJ49)*Deposits!$Q$12</f>
        <v>0</v>
      </c>
      <c r="AK92" s="158" t="n">
        <f aca="false">AK$7*SUM($H49:AK49)*Deposits!$Q$12</f>
        <v>0</v>
      </c>
      <c r="AL92" s="158" t="n">
        <f aca="false">AL$7*SUM($H49:AL49)*Deposits!$Q$12</f>
        <v>0</v>
      </c>
      <c r="AM92" s="158" t="n">
        <f aca="false">AM$7*SUM($H49:AM49)*Deposits!$Q$12</f>
        <v>0</v>
      </c>
      <c r="AN92" s="158" t="n">
        <f aca="false">AN$7*SUM($H49:AN49)*Deposits!$Q$12</f>
        <v>0</v>
      </c>
      <c r="AO92" s="158" t="n">
        <f aca="false">AO$7*SUM($H49:AO49)*Deposits!$Q$12</f>
        <v>0</v>
      </c>
      <c r="AP92" s="158" t="n">
        <f aca="false">AP$7*SUM($H49:AP49)*Deposits!$Q$12</f>
        <v>0</v>
      </c>
      <c r="AQ92" s="158" t="n">
        <f aca="false">AQ$7*SUM($H49:AQ49)*Deposits!$Q$12</f>
        <v>0</v>
      </c>
      <c r="AR92" s="158" t="n">
        <f aca="false">AR$7*SUM($H49:AR49)*Deposits!$Q$12</f>
        <v>0</v>
      </c>
      <c r="AS92" s="158" t="n">
        <f aca="false">AS$7*SUM($H49:AS49)*Deposits!$Q$12</f>
        <v>0</v>
      </c>
      <c r="AT92" s="158" t="n">
        <f aca="false">AT$7*SUM($H49:AT49)*Deposits!$Q$12</f>
        <v>696.364115068493</v>
      </c>
      <c r="AU92" s="158" t="n">
        <f aca="false">AU$7*SUM($H49:AU49)*Deposits!$Q$12</f>
        <v>0</v>
      </c>
      <c r="AV92" s="158" t="n">
        <f aca="false">AV$7*SUM($H49:AV49)*Deposits!$Q$12</f>
        <v>0</v>
      </c>
      <c r="AW92" s="158" t="n">
        <f aca="false">AW$7*SUM($H49:AW49)*Deposits!$Q$12</f>
        <v>0</v>
      </c>
      <c r="AX92" s="158" t="n">
        <f aca="false">AX$7*SUM($H49:AX49)*Deposits!$Q$12</f>
        <v>0</v>
      </c>
      <c r="AY92" s="158" t="n">
        <f aca="false">AY$7*SUM($H49:AY49)*Deposits!$Q$12</f>
        <v>0</v>
      </c>
      <c r="AZ92" s="158" t="n">
        <f aca="false">AZ$7*SUM($H49:AZ49)*Deposits!$Q$12</f>
        <v>0</v>
      </c>
      <c r="BA92" s="158" t="n">
        <f aca="false">BA$7*SUM($H49:BA49)*Deposits!$Q$12</f>
        <v>0</v>
      </c>
      <c r="BB92" s="158" t="n">
        <f aca="false">BB$7*SUM($H49:BB49)*Deposits!$Q$12</f>
        <v>0</v>
      </c>
      <c r="BC92" s="158" t="n">
        <f aca="false">BC$7*SUM($H49:BC49)*Deposits!$Q$12</f>
        <v>0</v>
      </c>
      <c r="BD92" s="158" t="n">
        <f aca="false">BD$7*SUM($H49:BD49)*Deposits!$Q$12</f>
        <v>0</v>
      </c>
      <c r="BE92" s="158" t="n">
        <f aca="false">BE$7*SUM($H49:BE49)*Deposits!$Q$12</f>
        <v>0</v>
      </c>
      <c r="BF92" s="158" t="n">
        <f aca="false">BF$7*SUM($H49:BF49)*Deposits!$Q$12</f>
        <v>0</v>
      </c>
      <c r="BG92" s="158" t="n">
        <f aca="false">BG$7*SUM($H49:BG49)*Deposits!$Q$12</f>
        <v>0</v>
      </c>
      <c r="BH92" s="158" t="n">
        <f aca="false">BH$7*SUM($H49:BH49)*Deposits!$Q$12</f>
        <v>0</v>
      </c>
      <c r="BI92" s="158" t="n">
        <f aca="false">BI$7*SUM($H49:BI49)*Deposits!$Q$12</f>
        <v>0</v>
      </c>
      <c r="BJ92" s="158" t="n">
        <f aca="false">BJ$7*SUM($H49:BJ49)*Deposits!$Q$12</f>
        <v>0</v>
      </c>
      <c r="BK92" s="158" t="n">
        <f aca="false">BK$7*SUM($H49:BK49)*Deposits!$Q$12</f>
        <v>0</v>
      </c>
      <c r="BL92" s="158" t="n">
        <f aca="false">BL$7*SUM($H49:BL49)*Deposits!$Q$12</f>
        <v>0</v>
      </c>
      <c r="BM92" s="158" t="n">
        <f aca="false">BM$7*SUM($H49:BM49)*Deposits!$Q$12</f>
        <v>0</v>
      </c>
      <c r="BN92" s="158" t="n">
        <f aca="false">BN$7*SUM($H49:BN49)*Deposits!$Q$12</f>
        <v>0</v>
      </c>
      <c r="BO92" s="158" t="n">
        <f aca="false">BO$7*SUM($H49:BO49)*Deposits!$Q$12</f>
        <v>0</v>
      </c>
      <c r="BP92" s="158" t="n">
        <f aca="false">BP$7*SUM($H49:BP49)*Deposits!$Q$12</f>
        <v>0</v>
      </c>
    </row>
    <row r="93" customFormat="false" ht="15" hidden="false" customHeight="false" outlineLevel="0" collapsed="false">
      <c r="C93" s="235" t="str">
        <f aca="false">C34</f>
        <v>Kiegészítő biztosíték 1. részlet</v>
      </c>
      <c r="D93" s="133" t="s">
        <v>125</v>
      </c>
      <c r="E93" s="158"/>
      <c r="F93" s="158"/>
      <c r="G93" s="158" t="n">
        <f aca="false">SUM(H93:BP93)</f>
        <v>0</v>
      </c>
      <c r="H93" s="158" t="n">
        <f aca="false">H$7*SUM($H50:H50)*Deposits!$Q$13</f>
        <v>0</v>
      </c>
      <c r="I93" s="158" t="n">
        <f aca="false">I$7*SUM($H50:I50)*Deposits!$Q$13</f>
        <v>0</v>
      </c>
      <c r="J93" s="158" t="n">
        <f aca="false">J$7*SUM($H50:J50)*Deposits!$Q$13</f>
        <v>0</v>
      </c>
      <c r="K93" s="158" t="n">
        <f aca="false">K$7*SUM($H50:K50)*Deposits!$Q$13</f>
        <v>0</v>
      </c>
      <c r="L93" s="158" t="n">
        <f aca="false">L$7*SUM($H50:L50)*Deposits!$Q$13</f>
        <v>0</v>
      </c>
      <c r="M93" s="158" t="n">
        <f aca="false">M$7*SUM($H50:M50)*Deposits!$Q$13</f>
        <v>0</v>
      </c>
      <c r="N93" s="158" t="n">
        <f aca="false">N$7*SUM($H50:N50)*Deposits!$Q$13</f>
        <v>0</v>
      </c>
      <c r="O93" s="158" t="n">
        <f aca="false">O$7*SUM($H50:O50)*Deposits!$Q$13</f>
        <v>0</v>
      </c>
      <c r="P93" s="158" t="n">
        <f aca="false">P$7*SUM($H50:P50)*Deposits!$Q$13</f>
        <v>0</v>
      </c>
      <c r="Q93" s="158" t="n">
        <f aca="false">Q$7*SUM($H50:Q50)*Deposits!$Q$13</f>
        <v>0</v>
      </c>
      <c r="R93" s="158" t="n">
        <f aca="false">R$7*SUM($H50:R50)*Deposits!$Q$13</f>
        <v>0</v>
      </c>
      <c r="S93" s="158" t="n">
        <f aca="false">S$7*SUM($H50:S50)*Deposits!$Q$13</f>
        <v>0</v>
      </c>
      <c r="T93" s="158" t="n">
        <f aca="false">T$7*SUM($H50:T50)*Deposits!$Q$13</f>
        <v>0</v>
      </c>
      <c r="U93" s="158" t="n">
        <f aca="false">U$7*SUM($H50:U50)*Deposits!$Q$13</f>
        <v>0</v>
      </c>
      <c r="V93" s="158" t="n">
        <f aca="false">V$7*SUM($H50:V50)*Deposits!$Q$13</f>
        <v>0</v>
      </c>
      <c r="W93" s="158" t="n">
        <f aca="false">W$7*SUM($H50:W50)*Deposits!$Q$13</f>
        <v>0</v>
      </c>
      <c r="X93" s="158" t="n">
        <f aca="false">X$7*SUM($H50:X50)*Deposits!$Q$13</f>
        <v>0</v>
      </c>
      <c r="Y93" s="158" t="n">
        <f aca="false">Y$7*SUM($H50:Y50)*Deposits!$Q$13</f>
        <v>0</v>
      </c>
      <c r="Z93" s="158" t="n">
        <f aca="false">Z$7*SUM($H50:Z50)*Deposits!$Q$13</f>
        <v>0</v>
      </c>
      <c r="AA93" s="158" t="n">
        <f aca="false">AA$7*SUM($H50:AA50)*Deposits!$Q$13</f>
        <v>0</v>
      </c>
      <c r="AB93" s="158" t="n">
        <f aca="false">AB$7*SUM($H50:AB50)*Deposits!$Q$13</f>
        <v>0</v>
      </c>
      <c r="AC93" s="158" t="n">
        <f aca="false">AC$7*SUM($H50:AC50)*Deposits!$Q$13</f>
        <v>0</v>
      </c>
      <c r="AD93" s="158" t="n">
        <f aca="false">AD$7*SUM($H50:AD50)*Deposits!$Q$13</f>
        <v>0</v>
      </c>
      <c r="AE93" s="158" t="n">
        <f aca="false">AE$7*SUM($H50:AE50)*Deposits!$Q$13</f>
        <v>0</v>
      </c>
      <c r="AF93" s="158" t="n">
        <f aca="false">AF$7*SUM($H50:AF50)*Deposits!$Q$13</f>
        <v>0</v>
      </c>
      <c r="AG93" s="158" t="n">
        <f aca="false">AG$7*SUM($H50:AG50)*Deposits!$Q$13</f>
        <v>0</v>
      </c>
      <c r="AH93" s="158" t="n">
        <f aca="false">AH$7*SUM($H50:AH50)*Deposits!$Q$13</f>
        <v>0</v>
      </c>
      <c r="AI93" s="158" t="n">
        <f aca="false">AI$7*SUM($H50:AI50)*Deposits!$Q$13</f>
        <v>0</v>
      </c>
      <c r="AJ93" s="158" t="n">
        <f aca="false">AJ$7*SUM($H50:AJ50)*Deposits!$Q$13</f>
        <v>0</v>
      </c>
      <c r="AK93" s="158" t="n">
        <f aca="false">AK$7*SUM($H50:AK50)*Deposits!$Q$13</f>
        <v>0</v>
      </c>
      <c r="AL93" s="158" t="n">
        <f aca="false">AL$7*SUM($H50:AL50)*Deposits!$Q$13</f>
        <v>0</v>
      </c>
      <c r="AM93" s="158" t="n">
        <f aca="false">AM$7*SUM($H50:AM50)*Deposits!$Q$13</f>
        <v>0</v>
      </c>
      <c r="AN93" s="158" t="n">
        <f aca="false">AN$7*SUM($H50:AN50)*Deposits!$Q$13</f>
        <v>0</v>
      </c>
      <c r="AO93" s="158" t="n">
        <f aca="false">AO$7*SUM($H50:AO50)*Deposits!$Q$13</f>
        <v>0</v>
      </c>
      <c r="AP93" s="158" t="n">
        <f aca="false">AP$7*SUM($H50:AP50)*Deposits!$Q$13</f>
        <v>0</v>
      </c>
      <c r="AQ93" s="158" t="n">
        <f aca="false">AQ$7*SUM($H50:AQ50)*Deposits!$Q$13</f>
        <v>0</v>
      </c>
      <c r="AR93" s="158" t="n">
        <f aca="false">AR$7*SUM($H50:AR50)*Deposits!$Q$13</f>
        <v>0</v>
      </c>
      <c r="AS93" s="158" t="n">
        <f aca="false">AS$7*SUM($H50:AS50)*Deposits!$Q$13</f>
        <v>0</v>
      </c>
      <c r="AT93" s="158" t="n">
        <f aca="false">AT$7*SUM($H50:AT50)*Deposits!$Q$13</f>
        <v>0</v>
      </c>
      <c r="AU93" s="158" t="n">
        <f aca="false">AU$7*SUM($H50:AU50)*Deposits!$Q$13</f>
        <v>0</v>
      </c>
      <c r="AV93" s="158" t="n">
        <f aca="false">AV$7*SUM($H50:AV50)*Deposits!$Q$13</f>
        <v>0</v>
      </c>
      <c r="AW93" s="158" t="n">
        <f aca="false">AW$7*SUM($H50:AW50)*Deposits!$Q$13</f>
        <v>0</v>
      </c>
      <c r="AX93" s="158" t="n">
        <f aca="false">AX$7*SUM($H50:AX50)*Deposits!$Q$13</f>
        <v>0</v>
      </c>
      <c r="AY93" s="158" t="n">
        <f aca="false">AY$7*SUM($H50:AY50)*Deposits!$Q$13</f>
        <v>0</v>
      </c>
      <c r="AZ93" s="158" t="n">
        <f aca="false">AZ$7*SUM($H50:AZ50)*Deposits!$Q$13</f>
        <v>0</v>
      </c>
      <c r="BA93" s="158" t="n">
        <f aca="false">BA$7*SUM($H50:BA50)*Deposits!$Q$13</f>
        <v>0</v>
      </c>
      <c r="BB93" s="158" t="n">
        <f aca="false">BB$7*SUM($H50:BB50)*Deposits!$Q$13</f>
        <v>0</v>
      </c>
      <c r="BC93" s="158" t="n">
        <f aca="false">BC$7*SUM($H50:BC50)*Deposits!$Q$13</f>
        <v>0</v>
      </c>
      <c r="BD93" s="158" t="n">
        <f aca="false">BD$7*SUM($H50:BD50)*Deposits!$Q$13</f>
        <v>0</v>
      </c>
      <c r="BE93" s="158" t="n">
        <f aca="false">BE$7*SUM($H50:BE50)*Deposits!$Q$13</f>
        <v>0</v>
      </c>
      <c r="BF93" s="158" t="n">
        <f aca="false">BF$7*SUM($H50:BF50)*Deposits!$Q$13</f>
        <v>0</v>
      </c>
      <c r="BG93" s="158" t="n">
        <f aca="false">BG$7*SUM($H50:BG50)*Deposits!$Q$13</f>
        <v>0</v>
      </c>
      <c r="BH93" s="158" t="n">
        <f aca="false">BH$7*SUM($H50:BH50)*Deposits!$Q$13</f>
        <v>0</v>
      </c>
      <c r="BI93" s="158" t="n">
        <f aca="false">BI$7*SUM($H50:BI50)*Deposits!$Q$13</f>
        <v>0</v>
      </c>
      <c r="BJ93" s="158" t="n">
        <f aca="false">BJ$7*SUM($H50:BJ50)*Deposits!$Q$13</f>
        <v>0</v>
      </c>
      <c r="BK93" s="158" t="n">
        <f aca="false">BK$7*SUM($H50:BK50)*Deposits!$Q$13</f>
        <v>0</v>
      </c>
      <c r="BL93" s="158" t="n">
        <f aca="false">BL$7*SUM($H50:BL50)*Deposits!$Q$13</f>
        <v>0</v>
      </c>
      <c r="BM93" s="158" t="n">
        <f aca="false">BM$7*SUM($H50:BM50)*Deposits!$Q$13</f>
        <v>0</v>
      </c>
      <c r="BN93" s="158" t="n">
        <f aca="false">BN$7*SUM($H50:BN50)*Deposits!$Q$13</f>
        <v>0</v>
      </c>
      <c r="BO93" s="158" t="n">
        <f aca="false">BO$7*SUM($H50:BO50)*Deposits!$Q$13</f>
        <v>0</v>
      </c>
      <c r="BP93" s="158" t="n">
        <f aca="false">BP$7*SUM($H50:BP50)*Deposits!$Q$13</f>
        <v>0</v>
      </c>
    </row>
    <row r="94" customFormat="false" ht="15" hidden="false" customHeight="false" outlineLevel="0" collapsed="false">
      <c r="C94" s="235" t="str">
        <f aca="false">C35</f>
        <v>Kiegészítő biztosíték 2. részlet</v>
      </c>
      <c r="D94" s="133" t="s">
        <v>125</v>
      </c>
      <c r="E94" s="158"/>
      <c r="F94" s="158"/>
      <c r="G94" s="158" t="n">
        <f aca="false">SUM(H94:BP94)</f>
        <v>0</v>
      </c>
      <c r="H94" s="158" t="n">
        <f aca="false">H$7*SUM($H51:H51)*Deposits!$Q$14</f>
        <v>0</v>
      </c>
      <c r="I94" s="158" t="n">
        <f aca="false">I$7*SUM($H51:I51)*Deposits!$Q$14</f>
        <v>0</v>
      </c>
      <c r="J94" s="158" t="n">
        <f aca="false">J$7*SUM($H51:J51)*Deposits!$Q$14</f>
        <v>0</v>
      </c>
      <c r="K94" s="158" t="n">
        <f aca="false">K$7*SUM($H51:K51)*Deposits!$Q$14</f>
        <v>0</v>
      </c>
      <c r="L94" s="158" t="n">
        <f aca="false">L$7*SUM($H51:L51)*Deposits!$Q$14</f>
        <v>0</v>
      </c>
      <c r="M94" s="158" t="n">
        <f aca="false">M$7*SUM($H51:M51)*Deposits!$Q$14</f>
        <v>0</v>
      </c>
      <c r="N94" s="158" t="n">
        <f aca="false">N$7*SUM($H51:N51)*Deposits!$Q$14</f>
        <v>0</v>
      </c>
      <c r="O94" s="158" t="n">
        <f aca="false">O$7*SUM($H51:O51)*Deposits!$Q$14</f>
        <v>0</v>
      </c>
      <c r="P94" s="158" t="n">
        <f aca="false">P$7*SUM($H51:P51)*Deposits!$Q$14</f>
        <v>0</v>
      </c>
      <c r="Q94" s="158" t="n">
        <f aca="false">Q$7*SUM($H51:Q51)*Deposits!$Q$14</f>
        <v>0</v>
      </c>
      <c r="R94" s="158" t="n">
        <f aca="false">R$7*SUM($H51:R51)*Deposits!$Q$14</f>
        <v>0</v>
      </c>
      <c r="S94" s="158" t="n">
        <f aca="false">S$7*SUM($H51:S51)*Deposits!$Q$14</f>
        <v>0</v>
      </c>
      <c r="T94" s="158" t="n">
        <f aca="false">T$7*SUM($H51:T51)*Deposits!$Q$14</f>
        <v>0</v>
      </c>
      <c r="U94" s="158" t="n">
        <f aca="false">U$7*SUM($H51:U51)*Deposits!$Q$14</f>
        <v>0</v>
      </c>
      <c r="V94" s="158" t="n">
        <f aca="false">V$7*SUM($H51:V51)*Deposits!$Q$14</f>
        <v>0</v>
      </c>
      <c r="W94" s="158" t="n">
        <f aca="false">W$7*SUM($H51:W51)*Deposits!$Q$14</f>
        <v>0</v>
      </c>
      <c r="X94" s="158" t="n">
        <f aca="false">X$7*SUM($H51:X51)*Deposits!$Q$14</f>
        <v>0</v>
      </c>
      <c r="Y94" s="158" t="n">
        <f aca="false">Y$7*SUM($H51:Y51)*Deposits!$Q$14</f>
        <v>0</v>
      </c>
      <c r="Z94" s="158" t="n">
        <f aca="false">Z$7*SUM($H51:Z51)*Deposits!$Q$14</f>
        <v>0</v>
      </c>
      <c r="AA94" s="158" t="n">
        <f aca="false">AA$7*SUM($H51:AA51)*Deposits!$Q$14</f>
        <v>0</v>
      </c>
      <c r="AB94" s="158" t="n">
        <f aca="false">AB$7*SUM($H51:AB51)*Deposits!$Q$14</f>
        <v>0</v>
      </c>
      <c r="AC94" s="158" t="n">
        <f aca="false">AC$7*SUM($H51:AC51)*Deposits!$Q$14</f>
        <v>0</v>
      </c>
      <c r="AD94" s="158" t="n">
        <f aca="false">AD$7*SUM($H51:AD51)*Deposits!$Q$14</f>
        <v>0</v>
      </c>
      <c r="AE94" s="158" t="n">
        <f aca="false">AE$7*SUM($H51:AE51)*Deposits!$Q$14</f>
        <v>0</v>
      </c>
      <c r="AF94" s="158" t="n">
        <f aca="false">AF$7*SUM($H51:AF51)*Deposits!$Q$14</f>
        <v>0</v>
      </c>
      <c r="AG94" s="158" t="n">
        <f aca="false">AG$7*SUM($H51:AG51)*Deposits!$Q$14</f>
        <v>0</v>
      </c>
      <c r="AH94" s="158" t="n">
        <f aca="false">AH$7*SUM($H51:AH51)*Deposits!$Q$14</f>
        <v>0</v>
      </c>
      <c r="AI94" s="158" t="n">
        <f aca="false">AI$7*SUM($H51:AI51)*Deposits!$Q$14</f>
        <v>0</v>
      </c>
      <c r="AJ94" s="158" t="n">
        <f aca="false">AJ$7*SUM($H51:AJ51)*Deposits!$Q$14</f>
        <v>0</v>
      </c>
      <c r="AK94" s="158" t="n">
        <f aca="false">AK$7*SUM($H51:AK51)*Deposits!$Q$14</f>
        <v>0</v>
      </c>
      <c r="AL94" s="158" t="n">
        <f aca="false">AL$7*SUM($H51:AL51)*Deposits!$Q$14</f>
        <v>0</v>
      </c>
      <c r="AM94" s="158" t="n">
        <f aca="false">AM$7*SUM($H51:AM51)*Deposits!$Q$14</f>
        <v>0</v>
      </c>
      <c r="AN94" s="158" t="n">
        <f aca="false">AN$7*SUM($H51:AN51)*Deposits!$Q$14</f>
        <v>0</v>
      </c>
      <c r="AO94" s="158" t="n">
        <f aca="false">AO$7*SUM($H51:AO51)*Deposits!$Q$14</f>
        <v>0</v>
      </c>
      <c r="AP94" s="158" t="n">
        <f aca="false">AP$7*SUM($H51:AP51)*Deposits!$Q$14</f>
        <v>0</v>
      </c>
      <c r="AQ94" s="158" t="n">
        <f aca="false">AQ$7*SUM($H51:AQ51)*Deposits!$Q$14</f>
        <v>0</v>
      </c>
      <c r="AR94" s="158" t="n">
        <f aca="false">AR$7*SUM($H51:AR51)*Deposits!$Q$14</f>
        <v>0</v>
      </c>
      <c r="AS94" s="158" t="n">
        <f aca="false">AS$7*SUM($H51:AS51)*Deposits!$Q$14</f>
        <v>0</v>
      </c>
      <c r="AT94" s="158" t="n">
        <f aca="false">AT$7*SUM($H51:AT51)*Deposits!$Q$14</f>
        <v>0</v>
      </c>
      <c r="AU94" s="158" t="n">
        <f aca="false">AU$7*SUM($H51:AU51)*Deposits!$Q$14</f>
        <v>0</v>
      </c>
      <c r="AV94" s="158" t="n">
        <f aca="false">AV$7*SUM($H51:AV51)*Deposits!$Q$14</f>
        <v>0</v>
      </c>
      <c r="AW94" s="158" t="n">
        <f aca="false">AW$7*SUM($H51:AW51)*Deposits!$Q$14</f>
        <v>0</v>
      </c>
      <c r="AX94" s="158" t="n">
        <f aca="false">AX$7*SUM($H51:AX51)*Deposits!$Q$14</f>
        <v>0</v>
      </c>
      <c r="AY94" s="158" t="n">
        <f aca="false">AY$7*SUM($H51:AY51)*Deposits!$Q$14</f>
        <v>0</v>
      </c>
      <c r="AZ94" s="158" t="n">
        <f aca="false">AZ$7*SUM($H51:AZ51)*Deposits!$Q$14</f>
        <v>0</v>
      </c>
      <c r="BA94" s="158" t="n">
        <f aca="false">BA$7*SUM($H51:BA51)*Deposits!$Q$14</f>
        <v>0</v>
      </c>
      <c r="BB94" s="158" t="n">
        <f aca="false">BB$7*SUM($H51:BB51)*Deposits!$Q$14</f>
        <v>0</v>
      </c>
      <c r="BC94" s="158" t="n">
        <f aca="false">BC$7*SUM($H51:BC51)*Deposits!$Q$14</f>
        <v>0</v>
      </c>
      <c r="BD94" s="158" t="n">
        <f aca="false">BD$7*SUM($H51:BD51)*Deposits!$Q$14</f>
        <v>0</v>
      </c>
      <c r="BE94" s="158" t="n">
        <f aca="false">BE$7*SUM($H51:BE51)*Deposits!$Q$14</f>
        <v>0</v>
      </c>
      <c r="BF94" s="158" t="n">
        <f aca="false">BF$7*SUM($H51:BF51)*Deposits!$Q$14</f>
        <v>0</v>
      </c>
      <c r="BG94" s="158" t="n">
        <f aca="false">BG$7*SUM($H51:BG51)*Deposits!$Q$14</f>
        <v>0</v>
      </c>
      <c r="BH94" s="158" t="n">
        <f aca="false">BH$7*SUM($H51:BH51)*Deposits!$Q$14</f>
        <v>0</v>
      </c>
      <c r="BI94" s="158" t="n">
        <f aca="false">BI$7*SUM($H51:BI51)*Deposits!$Q$14</f>
        <v>0</v>
      </c>
      <c r="BJ94" s="158" t="n">
        <f aca="false">BJ$7*SUM($H51:BJ51)*Deposits!$Q$14</f>
        <v>0</v>
      </c>
      <c r="BK94" s="158" t="n">
        <f aca="false">BK$7*SUM($H51:BK51)*Deposits!$Q$14</f>
        <v>0</v>
      </c>
      <c r="BL94" s="158" t="n">
        <f aca="false">BL$7*SUM($H51:BL51)*Deposits!$Q$14</f>
        <v>0</v>
      </c>
      <c r="BM94" s="158" t="n">
        <f aca="false">BM$7*SUM($H51:BM51)*Deposits!$Q$14</f>
        <v>0</v>
      </c>
      <c r="BN94" s="158" t="n">
        <f aca="false">BN$7*SUM($H51:BN51)*Deposits!$Q$14</f>
        <v>0</v>
      </c>
      <c r="BO94" s="158" t="n">
        <f aca="false">BO$7*SUM($H51:BO51)*Deposits!$Q$14</f>
        <v>0</v>
      </c>
      <c r="BP94" s="158" t="n">
        <f aca="false">BP$7*SUM($H51:BP51)*Deposits!$Q$14</f>
        <v>0</v>
      </c>
    </row>
    <row r="95" customFormat="false" ht="15" hidden="false" customHeight="false" outlineLevel="0" collapsed="false">
      <c r="C95" s="235" t="str">
        <f aca="false">C36</f>
        <v>Kiegészítő biztosíték visszautalás építési engedély megszerzésekor</v>
      </c>
      <c r="D95" s="133" t="s">
        <v>125</v>
      </c>
      <c r="E95" s="158"/>
      <c r="F95" s="158"/>
      <c r="G95" s="158" t="n">
        <f aca="false">SUM(H95:BP95)</f>
        <v>0</v>
      </c>
      <c r="H95" s="158" t="n">
        <f aca="false">H$7*SUM($H52:H52)*Deposits!$Q$15</f>
        <v>0</v>
      </c>
      <c r="I95" s="158" t="n">
        <f aca="false">I$7*SUM($H52:I52)*Deposits!$Q$15</f>
        <v>0</v>
      </c>
      <c r="J95" s="158" t="n">
        <f aca="false">J$7*SUM($H52:J52)*Deposits!$Q$15</f>
        <v>0</v>
      </c>
      <c r="K95" s="158" t="n">
        <f aca="false">K$7*SUM($H52:K52)*Deposits!$Q$15</f>
        <v>0</v>
      </c>
      <c r="L95" s="158" t="n">
        <f aca="false">L$7*SUM($H52:L52)*Deposits!$Q$15</f>
        <v>0</v>
      </c>
      <c r="M95" s="158" t="n">
        <f aca="false">M$7*SUM($H52:M52)*Deposits!$Q$15</f>
        <v>0</v>
      </c>
      <c r="N95" s="158" t="n">
        <f aca="false">N$7*SUM($H52:N52)*Deposits!$Q$15</f>
        <v>0</v>
      </c>
      <c r="O95" s="158" t="n">
        <f aca="false">O$7*SUM($H52:O52)*Deposits!$Q$15</f>
        <v>0</v>
      </c>
      <c r="P95" s="158" t="n">
        <f aca="false">P$7*SUM($H52:P52)*Deposits!$Q$15</f>
        <v>0</v>
      </c>
      <c r="Q95" s="158" t="n">
        <f aca="false">Q$7*SUM($H52:Q52)*Deposits!$Q$15</f>
        <v>0</v>
      </c>
      <c r="R95" s="158" t="n">
        <f aca="false">R$7*SUM($H52:R52)*Deposits!$Q$15</f>
        <v>0</v>
      </c>
      <c r="S95" s="158" t="n">
        <f aca="false">S$7*SUM($H52:S52)*Deposits!$Q$15</f>
        <v>0</v>
      </c>
      <c r="T95" s="158" t="n">
        <f aca="false">T$7*SUM($H52:T52)*Deposits!$Q$15</f>
        <v>0</v>
      </c>
      <c r="U95" s="158" t="n">
        <f aca="false">U$7*SUM($H52:U52)*Deposits!$Q$15</f>
        <v>0</v>
      </c>
      <c r="V95" s="158" t="n">
        <f aca="false">V$7*SUM($H52:V52)*Deposits!$Q$15</f>
        <v>0</v>
      </c>
      <c r="W95" s="158" t="n">
        <f aca="false">W$7*SUM($H52:W52)*Deposits!$Q$15</f>
        <v>0</v>
      </c>
      <c r="X95" s="158" t="n">
        <f aca="false">X$7*SUM($H52:X52)*Deposits!$Q$15</f>
        <v>0</v>
      </c>
      <c r="Y95" s="158" t="n">
        <f aca="false">Y$7*SUM($H52:Y52)*Deposits!$Q$15</f>
        <v>0</v>
      </c>
      <c r="Z95" s="158" t="n">
        <f aca="false">Z$7*SUM($H52:Z52)*Deposits!$Q$15</f>
        <v>0</v>
      </c>
      <c r="AA95" s="158" t="n">
        <f aca="false">AA$7*SUM($H52:AA52)*Deposits!$Q$15</f>
        <v>0</v>
      </c>
      <c r="AB95" s="158" t="n">
        <f aca="false">AB$7*SUM($H52:AB52)*Deposits!$Q$15</f>
        <v>0</v>
      </c>
      <c r="AC95" s="158" t="n">
        <f aca="false">AC$7*SUM($H52:AC52)*Deposits!$Q$15</f>
        <v>0</v>
      </c>
      <c r="AD95" s="158" t="n">
        <f aca="false">AD$7*SUM($H52:AD52)*Deposits!$Q$15</f>
        <v>0</v>
      </c>
      <c r="AE95" s="158" t="n">
        <f aca="false">AE$7*SUM($H52:AE52)*Deposits!$Q$15</f>
        <v>0</v>
      </c>
      <c r="AF95" s="158" t="n">
        <f aca="false">AF$7*SUM($H52:AF52)*Deposits!$Q$15</f>
        <v>0</v>
      </c>
      <c r="AG95" s="158" t="n">
        <f aca="false">AG$7*SUM($H52:AG52)*Deposits!$Q$15</f>
        <v>0</v>
      </c>
      <c r="AH95" s="158" t="n">
        <f aca="false">AH$7*SUM($H52:AH52)*Deposits!$Q$15</f>
        <v>0</v>
      </c>
      <c r="AI95" s="158" t="n">
        <f aca="false">AI$7*SUM($H52:AI52)*Deposits!$Q$15</f>
        <v>0</v>
      </c>
      <c r="AJ95" s="158" t="n">
        <f aca="false">AJ$7*SUM($H52:AJ52)*Deposits!$Q$15</f>
        <v>0</v>
      </c>
      <c r="AK95" s="158" t="n">
        <f aca="false">AK$7*SUM($H52:AK52)*Deposits!$Q$15</f>
        <v>0</v>
      </c>
      <c r="AL95" s="158" t="n">
        <f aca="false">AL$7*SUM($H52:AL52)*Deposits!$Q$15</f>
        <v>0</v>
      </c>
      <c r="AM95" s="158" t="n">
        <f aca="false">AM$7*SUM($H52:AM52)*Deposits!$Q$15</f>
        <v>0</v>
      </c>
      <c r="AN95" s="158" t="n">
        <f aca="false">AN$7*SUM($H52:AN52)*Deposits!$Q$15</f>
        <v>0</v>
      </c>
      <c r="AO95" s="158" t="n">
        <f aca="false">AO$7*SUM($H52:AO52)*Deposits!$Q$15</f>
        <v>0</v>
      </c>
      <c r="AP95" s="158" t="n">
        <f aca="false">AP$7*SUM($H52:AP52)*Deposits!$Q$15</f>
        <v>0</v>
      </c>
      <c r="AQ95" s="158" t="n">
        <f aca="false">AQ$7*SUM($H52:AQ52)*Deposits!$Q$15</f>
        <v>0</v>
      </c>
      <c r="AR95" s="158" t="n">
        <f aca="false">AR$7*SUM($H52:AR52)*Deposits!$Q$15</f>
        <v>0</v>
      </c>
      <c r="AS95" s="158" t="n">
        <f aca="false">AS$7*SUM($H52:AS52)*Deposits!$Q$15</f>
        <v>0</v>
      </c>
      <c r="AT95" s="158" t="n">
        <f aca="false">AT$7*SUM($H52:AT52)*Deposits!$Q$15</f>
        <v>0</v>
      </c>
      <c r="AU95" s="158" t="n">
        <f aca="false">AU$7*SUM($H52:AU52)*Deposits!$Q$15</f>
        <v>0</v>
      </c>
      <c r="AV95" s="158" t="n">
        <f aca="false">AV$7*SUM($H52:AV52)*Deposits!$Q$15</f>
        <v>0</v>
      </c>
      <c r="AW95" s="158" t="n">
        <f aca="false">AW$7*SUM($H52:AW52)*Deposits!$Q$15</f>
        <v>0</v>
      </c>
      <c r="AX95" s="158" t="n">
        <f aca="false">AX$7*SUM($H52:AX52)*Deposits!$Q$15</f>
        <v>0</v>
      </c>
      <c r="AY95" s="158" t="n">
        <f aca="false">AY$7*SUM($H52:AY52)*Deposits!$Q$15</f>
        <v>0</v>
      </c>
      <c r="AZ95" s="158" t="n">
        <f aca="false">AZ$7*SUM($H52:AZ52)*Deposits!$Q$15</f>
        <v>0</v>
      </c>
      <c r="BA95" s="158" t="n">
        <f aca="false">BA$7*SUM($H52:BA52)*Deposits!$Q$15</f>
        <v>0</v>
      </c>
      <c r="BB95" s="158" t="n">
        <f aca="false">BB$7*SUM($H52:BB52)*Deposits!$Q$15</f>
        <v>0</v>
      </c>
      <c r="BC95" s="158" t="n">
        <f aca="false">BC$7*SUM($H52:BC52)*Deposits!$Q$15</f>
        <v>0</v>
      </c>
      <c r="BD95" s="158" t="n">
        <f aca="false">BD$7*SUM($H52:BD52)*Deposits!$Q$15</f>
        <v>0</v>
      </c>
      <c r="BE95" s="158" t="n">
        <f aca="false">BE$7*SUM($H52:BE52)*Deposits!$Q$15</f>
        <v>0</v>
      </c>
      <c r="BF95" s="158" t="n">
        <f aca="false">BF$7*SUM($H52:BF52)*Deposits!$Q$15</f>
        <v>0</v>
      </c>
      <c r="BG95" s="158" t="n">
        <f aca="false">BG$7*SUM($H52:BG52)*Deposits!$Q$15</f>
        <v>0</v>
      </c>
      <c r="BH95" s="158" t="n">
        <f aca="false">BH$7*SUM($H52:BH52)*Deposits!$Q$15</f>
        <v>0</v>
      </c>
      <c r="BI95" s="158" t="n">
        <f aca="false">BI$7*SUM($H52:BI52)*Deposits!$Q$15</f>
        <v>0</v>
      </c>
      <c r="BJ95" s="158" t="n">
        <f aca="false">BJ$7*SUM($H52:BJ52)*Deposits!$Q$15</f>
        <v>0</v>
      </c>
      <c r="BK95" s="158" t="n">
        <f aca="false">BK$7*SUM($H52:BK52)*Deposits!$Q$15</f>
        <v>0</v>
      </c>
      <c r="BL95" s="158" t="n">
        <f aca="false">BL$7*SUM($H52:BL52)*Deposits!$Q$15</f>
        <v>0</v>
      </c>
      <c r="BM95" s="158" t="n">
        <f aca="false">BM$7*SUM($H52:BM52)*Deposits!$Q$15</f>
        <v>0</v>
      </c>
      <c r="BN95" s="158" t="n">
        <f aca="false">BN$7*SUM($H52:BN52)*Deposits!$Q$15</f>
        <v>0</v>
      </c>
      <c r="BO95" s="158" t="n">
        <f aca="false">BO$7*SUM($H52:BO52)*Deposits!$Q$15</f>
        <v>0</v>
      </c>
      <c r="BP95" s="158" t="n">
        <f aca="false">BP$7*SUM($H52:BP52)*Deposits!$Q$15</f>
        <v>0</v>
      </c>
    </row>
    <row r="96" customFormat="false" ht="15" hidden="false" customHeight="false" outlineLevel="0" collapsed="false">
      <c r="C96" s="235" t="str">
        <f aca="false">C37</f>
        <v>Kiegészítő biztosíték 3. részlet</v>
      </c>
      <c r="D96" s="133" t="s">
        <v>125</v>
      </c>
      <c r="E96" s="158"/>
      <c r="F96" s="158"/>
      <c r="G96" s="158" t="n">
        <f aca="false">SUM(H96:BP96)</f>
        <v>0</v>
      </c>
      <c r="H96" s="158" t="n">
        <f aca="false">H$7*SUM($H53:H53)*Deposits!$Q$16</f>
        <v>0</v>
      </c>
      <c r="I96" s="158" t="n">
        <f aca="false">I$7*SUM($H53:I53)*Deposits!$Q$16</f>
        <v>0</v>
      </c>
      <c r="J96" s="158" t="n">
        <f aca="false">J$7*SUM($H53:J53)*Deposits!$Q$16</f>
        <v>0</v>
      </c>
      <c r="K96" s="158" t="n">
        <f aca="false">K$7*SUM($H53:K53)*Deposits!$Q$16</f>
        <v>0</v>
      </c>
      <c r="L96" s="158" t="n">
        <f aca="false">L$7*SUM($H53:L53)*Deposits!$Q$16</f>
        <v>0</v>
      </c>
      <c r="M96" s="158" t="n">
        <f aca="false">M$7*SUM($H53:M53)*Deposits!$Q$16</f>
        <v>0</v>
      </c>
      <c r="N96" s="158" t="n">
        <f aca="false">N$7*SUM($H53:N53)*Deposits!$Q$16</f>
        <v>0</v>
      </c>
      <c r="O96" s="158" t="n">
        <f aca="false">O$7*SUM($H53:O53)*Deposits!$Q$16</f>
        <v>0</v>
      </c>
      <c r="P96" s="158" t="n">
        <f aca="false">P$7*SUM($H53:P53)*Deposits!$Q$16</f>
        <v>0</v>
      </c>
      <c r="Q96" s="158" t="n">
        <f aca="false">Q$7*SUM($H53:Q53)*Deposits!$Q$16</f>
        <v>0</v>
      </c>
      <c r="R96" s="158" t="n">
        <f aca="false">R$7*SUM($H53:R53)*Deposits!$Q$16</f>
        <v>0</v>
      </c>
      <c r="S96" s="158" t="n">
        <f aca="false">S$7*SUM($H53:S53)*Deposits!$Q$16</f>
        <v>0</v>
      </c>
      <c r="T96" s="158" t="n">
        <f aca="false">T$7*SUM($H53:T53)*Deposits!$Q$16</f>
        <v>0</v>
      </c>
      <c r="U96" s="158" t="n">
        <f aca="false">U$7*SUM($H53:U53)*Deposits!$Q$16</f>
        <v>0</v>
      </c>
      <c r="V96" s="158" t="n">
        <f aca="false">V$7*SUM($H53:V53)*Deposits!$Q$16</f>
        <v>0</v>
      </c>
      <c r="W96" s="158" t="n">
        <f aca="false">W$7*SUM($H53:W53)*Deposits!$Q$16</f>
        <v>0</v>
      </c>
      <c r="X96" s="158" t="n">
        <f aca="false">X$7*SUM($H53:X53)*Deposits!$Q$16</f>
        <v>0</v>
      </c>
      <c r="Y96" s="158" t="n">
        <f aca="false">Y$7*SUM($H53:Y53)*Deposits!$Q$16</f>
        <v>0</v>
      </c>
      <c r="Z96" s="158" t="n">
        <f aca="false">Z$7*SUM($H53:Z53)*Deposits!$Q$16</f>
        <v>0</v>
      </c>
      <c r="AA96" s="158" t="n">
        <f aca="false">AA$7*SUM($H53:AA53)*Deposits!$Q$16</f>
        <v>0</v>
      </c>
      <c r="AB96" s="158" t="n">
        <f aca="false">AB$7*SUM($H53:AB53)*Deposits!$Q$16</f>
        <v>0</v>
      </c>
      <c r="AC96" s="158" t="n">
        <f aca="false">AC$7*SUM($H53:AC53)*Deposits!$Q$16</f>
        <v>0</v>
      </c>
      <c r="AD96" s="158" t="n">
        <f aca="false">AD$7*SUM($H53:AD53)*Deposits!$Q$16</f>
        <v>0</v>
      </c>
      <c r="AE96" s="158" t="n">
        <f aca="false">AE$7*SUM($H53:AE53)*Deposits!$Q$16</f>
        <v>0</v>
      </c>
      <c r="AF96" s="158" t="n">
        <f aca="false">AF$7*SUM($H53:AF53)*Deposits!$Q$16</f>
        <v>0</v>
      </c>
      <c r="AG96" s="158" t="n">
        <f aca="false">AG$7*SUM($H53:AG53)*Deposits!$Q$16</f>
        <v>0</v>
      </c>
      <c r="AH96" s="158" t="n">
        <f aca="false">AH$7*SUM($H53:AH53)*Deposits!$Q$16</f>
        <v>0</v>
      </c>
      <c r="AI96" s="158" t="n">
        <f aca="false">AI$7*SUM($H53:AI53)*Deposits!$Q$16</f>
        <v>0</v>
      </c>
      <c r="AJ96" s="158" t="n">
        <f aca="false">AJ$7*SUM($H53:AJ53)*Deposits!$Q$16</f>
        <v>0</v>
      </c>
      <c r="AK96" s="158" t="n">
        <f aca="false">AK$7*SUM($H53:AK53)*Deposits!$Q$16</f>
        <v>0</v>
      </c>
      <c r="AL96" s="158" t="n">
        <f aca="false">AL$7*SUM($H53:AL53)*Deposits!$Q$16</f>
        <v>0</v>
      </c>
      <c r="AM96" s="158" t="n">
        <f aca="false">AM$7*SUM($H53:AM53)*Deposits!$Q$16</f>
        <v>0</v>
      </c>
      <c r="AN96" s="158" t="n">
        <f aca="false">AN$7*SUM($H53:AN53)*Deposits!$Q$16</f>
        <v>0</v>
      </c>
      <c r="AO96" s="158" t="n">
        <f aca="false">AO$7*SUM($H53:AO53)*Deposits!$Q$16</f>
        <v>0</v>
      </c>
      <c r="AP96" s="158" t="n">
        <f aca="false">AP$7*SUM($H53:AP53)*Deposits!$Q$16</f>
        <v>0</v>
      </c>
      <c r="AQ96" s="158" t="n">
        <f aca="false">AQ$7*SUM($H53:AQ53)*Deposits!$Q$16</f>
        <v>0</v>
      </c>
      <c r="AR96" s="158" t="n">
        <f aca="false">AR$7*SUM($H53:AR53)*Deposits!$Q$16</f>
        <v>0</v>
      </c>
      <c r="AS96" s="158" t="n">
        <f aca="false">AS$7*SUM($H53:AS53)*Deposits!$Q$16</f>
        <v>0</v>
      </c>
      <c r="AT96" s="158" t="n">
        <f aca="false">AT$7*SUM($H53:AT53)*Deposits!$Q$16</f>
        <v>0</v>
      </c>
      <c r="AU96" s="158" t="n">
        <f aca="false">AU$7*SUM($H53:AU53)*Deposits!$Q$16</f>
        <v>0</v>
      </c>
      <c r="AV96" s="158" t="n">
        <f aca="false">AV$7*SUM($H53:AV53)*Deposits!$Q$16</f>
        <v>0</v>
      </c>
      <c r="AW96" s="158" t="n">
        <f aca="false">AW$7*SUM($H53:AW53)*Deposits!$Q$16</f>
        <v>0</v>
      </c>
      <c r="AX96" s="158" t="n">
        <f aca="false">AX$7*SUM($H53:AX53)*Deposits!$Q$16</f>
        <v>0</v>
      </c>
      <c r="AY96" s="158" t="n">
        <f aca="false">AY$7*SUM($H53:AY53)*Deposits!$Q$16</f>
        <v>0</v>
      </c>
      <c r="AZ96" s="158" t="n">
        <f aca="false">AZ$7*SUM($H53:AZ53)*Deposits!$Q$16</f>
        <v>0</v>
      </c>
      <c r="BA96" s="158" t="n">
        <f aca="false">BA$7*SUM($H53:BA53)*Deposits!$Q$16</f>
        <v>0</v>
      </c>
      <c r="BB96" s="158" t="n">
        <f aca="false">BB$7*SUM($H53:BB53)*Deposits!$Q$16</f>
        <v>0</v>
      </c>
      <c r="BC96" s="158" t="n">
        <f aca="false">BC$7*SUM($H53:BC53)*Deposits!$Q$16</f>
        <v>0</v>
      </c>
      <c r="BD96" s="158" t="n">
        <f aca="false">BD$7*SUM($H53:BD53)*Deposits!$Q$16</f>
        <v>0</v>
      </c>
      <c r="BE96" s="158" t="n">
        <f aca="false">BE$7*SUM($H53:BE53)*Deposits!$Q$16</f>
        <v>0</v>
      </c>
      <c r="BF96" s="158" t="n">
        <f aca="false">BF$7*SUM($H53:BF53)*Deposits!$Q$16</f>
        <v>0</v>
      </c>
      <c r="BG96" s="158" t="n">
        <f aca="false">BG$7*SUM($H53:BG53)*Deposits!$Q$16</f>
        <v>0</v>
      </c>
      <c r="BH96" s="158" t="n">
        <f aca="false">BH$7*SUM($H53:BH53)*Deposits!$Q$16</f>
        <v>0</v>
      </c>
      <c r="BI96" s="158" t="n">
        <f aca="false">BI$7*SUM($H53:BI53)*Deposits!$Q$16</f>
        <v>0</v>
      </c>
      <c r="BJ96" s="158" t="n">
        <f aca="false">BJ$7*SUM($H53:BJ53)*Deposits!$Q$16</f>
        <v>0</v>
      </c>
      <c r="BK96" s="158" t="n">
        <f aca="false">BK$7*SUM($H53:BK53)*Deposits!$Q$16</f>
        <v>0</v>
      </c>
      <c r="BL96" s="158" t="n">
        <f aca="false">BL$7*SUM($H53:BL53)*Deposits!$Q$16</f>
        <v>0</v>
      </c>
      <c r="BM96" s="158" t="n">
        <f aca="false">BM$7*SUM($H53:BM53)*Deposits!$Q$16</f>
        <v>0</v>
      </c>
      <c r="BN96" s="158" t="n">
        <f aca="false">BN$7*SUM($H53:BN53)*Deposits!$Q$16</f>
        <v>0</v>
      </c>
      <c r="BO96" s="158" t="n">
        <f aca="false">BO$7*SUM($H53:BO53)*Deposits!$Q$16</f>
        <v>0</v>
      </c>
      <c r="BP96" s="158" t="n">
        <f aca="false">BP$7*SUM($H53:BP53)*Deposits!$Q$16</f>
        <v>0</v>
      </c>
    </row>
    <row r="97" customFormat="false" ht="15" hidden="false" customHeight="false" outlineLevel="0" collapsed="false">
      <c r="C97" s="235" t="str">
        <f aca="false">C38</f>
        <v>Kiegészítő biztosíték 4. részlet</v>
      </c>
      <c r="D97" s="133" t="s">
        <v>125</v>
      </c>
      <c r="E97" s="158"/>
      <c r="F97" s="158"/>
      <c r="G97" s="158" t="n">
        <f aca="false">SUM(H97:BP97)</f>
        <v>0</v>
      </c>
      <c r="H97" s="158" t="n">
        <f aca="false">H$7*SUM($H54:H54)*Deposits!$Q$17</f>
        <v>0</v>
      </c>
      <c r="I97" s="158" t="n">
        <f aca="false">I$7*SUM($H54:I54)*Deposits!$Q$17</f>
        <v>0</v>
      </c>
      <c r="J97" s="158" t="n">
        <f aca="false">J$7*SUM($H54:J54)*Deposits!$Q$17</f>
        <v>0</v>
      </c>
      <c r="K97" s="158" t="n">
        <f aca="false">K$7*SUM($H54:K54)*Deposits!$Q$17</f>
        <v>0</v>
      </c>
      <c r="L97" s="158" t="n">
        <f aca="false">L$7*SUM($H54:L54)*Deposits!$Q$17</f>
        <v>0</v>
      </c>
      <c r="M97" s="158" t="n">
        <f aca="false">M$7*SUM($H54:M54)*Deposits!$Q$17</f>
        <v>0</v>
      </c>
      <c r="N97" s="158" t="n">
        <f aca="false">N$7*SUM($H54:N54)*Deposits!$Q$17</f>
        <v>0</v>
      </c>
      <c r="O97" s="158" t="n">
        <f aca="false">O$7*SUM($H54:O54)*Deposits!$Q$17</f>
        <v>0</v>
      </c>
      <c r="P97" s="158" t="n">
        <f aca="false">P$7*SUM($H54:P54)*Deposits!$Q$17</f>
        <v>0</v>
      </c>
      <c r="Q97" s="158" t="n">
        <f aca="false">Q$7*SUM($H54:Q54)*Deposits!$Q$17</f>
        <v>0</v>
      </c>
      <c r="R97" s="158" t="n">
        <f aca="false">R$7*SUM($H54:R54)*Deposits!$Q$17</f>
        <v>0</v>
      </c>
      <c r="S97" s="158" t="n">
        <f aca="false">S$7*SUM($H54:S54)*Deposits!$Q$17</f>
        <v>0</v>
      </c>
      <c r="T97" s="158" t="n">
        <f aca="false">T$7*SUM($H54:T54)*Deposits!$Q$17</f>
        <v>0</v>
      </c>
      <c r="U97" s="158" t="n">
        <f aca="false">U$7*SUM($H54:U54)*Deposits!$Q$17</f>
        <v>0</v>
      </c>
      <c r="V97" s="158" t="n">
        <f aca="false">V$7*SUM($H54:V54)*Deposits!$Q$17</f>
        <v>0</v>
      </c>
      <c r="W97" s="158" t="n">
        <f aca="false">W$7*SUM($H54:W54)*Deposits!$Q$17</f>
        <v>0</v>
      </c>
      <c r="X97" s="158" t="n">
        <f aca="false">X$7*SUM($H54:X54)*Deposits!$Q$17</f>
        <v>0</v>
      </c>
      <c r="Y97" s="158" t="n">
        <f aca="false">Y$7*SUM($H54:Y54)*Deposits!$Q$17</f>
        <v>0</v>
      </c>
      <c r="Z97" s="158" t="n">
        <f aca="false">Z$7*SUM($H54:Z54)*Deposits!$Q$17</f>
        <v>0</v>
      </c>
      <c r="AA97" s="158" t="n">
        <f aca="false">AA$7*SUM($H54:AA54)*Deposits!$Q$17</f>
        <v>0</v>
      </c>
      <c r="AB97" s="158" t="n">
        <f aca="false">AB$7*SUM($H54:AB54)*Deposits!$Q$17</f>
        <v>0</v>
      </c>
      <c r="AC97" s="158" t="n">
        <f aca="false">AC$7*SUM($H54:AC54)*Deposits!$Q$17</f>
        <v>0</v>
      </c>
      <c r="AD97" s="158" t="n">
        <f aca="false">AD$7*SUM($H54:AD54)*Deposits!$Q$17</f>
        <v>0</v>
      </c>
      <c r="AE97" s="158" t="n">
        <f aca="false">AE$7*SUM($H54:AE54)*Deposits!$Q$17</f>
        <v>0</v>
      </c>
      <c r="AF97" s="158" t="n">
        <f aca="false">AF$7*SUM($H54:AF54)*Deposits!$Q$17</f>
        <v>0</v>
      </c>
      <c r="AG97" s="158" t="n">
        <f aca="false">AG$7*SUM($H54:AG54)*Deposits!$Q$17</f>
        <v>0</v>
      </c>
      <c r="AH97" s="158" t="n">
        <f aca="false">AH$7*SUM($H54:AH54)*Deposits!$Q$17</f>
        <v>0</v>
      </c>
      <c r="AI97" s="158" t="n">
        <f aca="false">AI$7*SUM($H54:AI54)*Deposits!$Q$17</f>
        <v>0</v>
      </c>
      <c r="AJ97" s="158" t="n">
        <f aca="false">AJ$7*SUM($H54:AJ54)*Deposits!$Q$17</f>
        <v>0</v>
      </c>
      <c r="AK97" s="158" t="n">
        <f aca="false">AK$7*SUM($H54:AK54)*Deposits!$Q$17</f>
        <v>0</v>
      </c>
      <c r="AL97" s="158" t="n">
        <f aca="false">AL$7*SUM($H54:AL54)*Deposits!$Q$17</f>
        <v>0</v>
      </c>
      <c r="AM97" s="158" t="n">
        <f aca="false">AM$7*SUM($H54:AM54)*Deposits!$Q$17</f>
        <v>0</v>
      </c>
      <c r="AN97" s="158" t="n">
        <f aca="false">AN$7*SUM($H54:AN54)*Deposits!$Q$17</f>
        <v>0</v>
      </c>
      <c r="AO97" s="158" t="n">
        <f aca="false">AO$7*SUM($H54:AO54)*Deposits!$Q$17</f>
        <v>0</v>
      </c>
      <c r="AP97" s="158" t="n">
        <f aca="false">AP$7*SUM($H54:AP54)*Deposits!$Q$17</f>
        <v>0</v>
      </c>
      <c r="AQ97" s="158" t="n">
        <f aca="false">AQ$7*SUM($H54:AQ54)*Deposits!$Q$17</f>
        <v>0</v>
      </c>
      <c r="AR97" s="158" t="n">
        <f aca="false">AR$7*SUM($H54:AR54)*Deposits!$Q$17</f>
        <v>0</v>
      </c>
      <c r="AS97" s="158" t="n">
        <f aca="false">AS$7*SUM($H54:AS54)*Deposits!$Q$17</f>
        <v>0</v>
      </c>
      <c r="AT97" s="158" t="n">
        <f aca="false">AT$7*SUM($H54:AT54)*Deposits!$Q$17</f>
        <v>0</v>
      </c>
      <c r="AU97" s="158" t="n">
        <f aca="false">AU$7*SUM($H54:AU54)*Deposits!$Q$17</f>
        <v>0</v>
      </c>
      <c r="AV97" s="158" t="n">
        <f aca="false">AV$7*SUM($H54:AV54)*Deposits!$Q$17</f>
        <v>0</v>
      </c>
      <c r="AW97" s="158" t="n">
        <f aca="false">AW$7*SUM($H54:AW54)*Deposits!$Q$17</f>
        <v>0</v>
      </c>
      <c r="AX97" s="158" t="n">
        <f aca="false">AX$7*SUM($H54:AX54)*Deposits!$Q$17</f>
        <v>0</v>
      </c>
      <c r="AY97" s="158" t="n">
        <f aca="false">AY$7*SUM($H54:AY54)*Deposits!$Q$17</f>
        <v>0</v>
      </c>
      <c r="AZ97" s="158" t="n">
        <f aca="false">AZ$7*SUM($H54:AZ54)*Deposits!$Q$17</f>
        <v>0</v>
      </c>
      <c r="BA97" s="158" t="n">
        <f aca="false">BA$7*SUM($H54:BA54)*Deposits!$Q$17</f>
        <v>0</v>
      </c>
      <c r="BB97" s="158" t="n">
        <f aca="false">BB$7*SUM($H54:BB54)*Deposits!$Q$17</f>
        <v>0</v>
      </c>
      <c r="BC97" s="158" t="n">
        <f aca="false">BC$7*SUM($H54:BC54)*Deposits!$Q$17</f>
        <v>0</v>
      </c>
      <c r="BD97" s="158" t="n">
        <f aca="false">BD$7*SUM($H54:BD54)*Deposits!$Q$17</f>
        <v>0</v>
      </c>
      <c r="BE97" s="158" t="n">
        <f aca="false">BE$7*SUM($H54:BE54)*Deposits!$Q$17</f>
        <v>0</v>
      </c>
      <c r="BF97" s="158" t="n">
        <f aca="false">BF$7*SUM($H54:BF54)*Deposits!$Q$17</f>
        <v>0</v>
      </c>
      <c r="BG97" s="158" t="n">
        <f aca="false">BG$7*SUM($H54:BG54)*Deposits!$Q$17</f>
        <v>0</v>
      </c>
      <c r="BH97" s="158" t="n">
        <f aca="false">BH$7*SUM($H54:BH54)*Deposits!$Q$17</f>
        <v>0</v>
      </c>
      <c r="BI97" s="158" t="n">
        <f aca="false">BI$7*SUM($H54:BI54)*Deposits!$Q$17</f>
        <v>0</v>
      </c>
      <c r="BJ97" s="158" t="n">
        <f aca="false">BJ$7*SUM($H54:BJ54)*Deposits!$Q$17</f>
        <v>0</v>
      </c>
      <c r="BK97" s="158" t="n">
        <f aca="false">BK$7*SUM($H54:BK54)*Deposits!$Q$17</f>
        <v>0</v>
      </c>
      <c r="BL97" s="158" t="n">
        <f aca="false">BL$7*SUM($H54:BL54)*Deposits!$Q$17</f>
        <v>0</v>
      </c>
      <c r="BM97" s="158" t="n">
        <f aca="false">BM$7*SUM($H54:BM54)*Deposits!$Q$17</f>
        <v>0</v>
      </c>
      <c r="BN97" s="158" t="n">
        <f aca="false">BN$7*SUM($H54:BN54)*Deposits!$Q$17</f>
        <v>0</v>
      </c>
      <c r="BO97" s="158" t="n">
        <f aca="false">BO$7*SUM($H54:BO54)*Deposits!$Q$17</f>
        <v>0</v>
      </c>
      <c r="BP97" s="158" t="n">
        <f aca="false">BP$7*SUM($H54:BP54)*Deposits!$Q$17</f>
        <v>0</v>
      </c>
    </row>
    <row r="98" customFormat="false" ht="15" hidden="false" customHeight="false" outlineLevel="0" collapsed="false">
      <c r="C98" s="235" t="str">
        <f aca="false">C39</f>
        <v>Csatlakozási díj – becsült összeg</v>
      </c>
      <c r="D98" s="133" t="s">
        <v>125</v>
      </c>
      <c r="E98" s="158"/>
      <c r="F98" s="158"/>
      <c r="G98" s="158" t="n">
        <f aca="false">SUM(H98:BP98)</f>
        <v>18786.6591780822</v>
      </c>
      <c r="H98" s="158" t="n">
        <f aca="false">H$7*SUM($H55:H55)*Deposits!$Q$18</f>
        <v>0</v>
      </c>
      <c r="I98" s="158" t="n">
        <f aca="false">I$7*SUM($H55:I55)*Deposits!$Q$18</f>
        <v>0</v>
      </c>
      <c r="J98" s="158" t="n">
        <f aca="false">J$7*SUM($H55:J55)*Deposits!$Q$18</f>
        <v>0</v>
      </c>
      <c r="K98" s="158" t="n">
        <f aca="false">K$7*SUM($H55:K55)*Deposits!$Q$18</f>
        <v>0</v>
      </c>
      <c r="L98" s="158" t="n">
        <f aca="false">L$7*SUM($H55:L55)*Deposits!$Q$18</f>
        <v>0</v>
      </c>
      <c r="M98" s="158" t="n">
        <f aca="false">M$7*SUM($H55:M55)*Deposits!$Q$18</f>
        <v>0</v>
      </c>
      <c r="N98" s="158" t="n">
        <f aca="false">N$7*SUM($H55:N55)*Deposits!$Q$18</f>
        <v>0</v>
      </c>
      <c r="O98" s="158" t="n">
        <f aca="false">O$7*SUM($H55:O55)*Deposits!$Q$18</f>
        <v>0</v>
      </c>
      <c r="P98" s="158" t="n">
        <f aca="false">P$7*SUM($H55:P55)*Deposits!$Q$18</f>
        <v>0</v>
      </c>
      <c r="Q98" s="158" t="n">
        <f aca="false">Q$7*SUM($H55:Q55)*Deposits!$Q$18</f>
        <v>0</v>
      </c>
      <c r="R98" s="158" t="n">
        <f aca="false">R$7*SUM($H55:R55)*Deposits!$Q$18</f>
        <v>0</v>
      </c>
      <c r="S98" s="158" t="n">
        <f aca="false">S$7*SUM($H55:S55)*Deposits!$Q$18</f>
        <v>0</v>
      </c>
      <c r="T98" s="158" t="n">
        <f aca="false">T$7*SUM($H55:T55)*Deposits!$Q$18</f>
        <v>0</v>
      </c>
      <c r="U98" s="158" t="n">
        <f aca="false">U$7*SUM($H55:U55)*Deposits!$Q$18</f>
        <v>0</v>
      </c>
      <c r="V98" s="158" t="n">
        <f aca="false">V$7*SUM($H55:V55)*Deposits!$Q$18</f>
        <v>0</v>
      </c>
      <c r="W98" s="158" t="n">
        <f aca="false">W$7*SUM($H55:W55)*Deposits!$Q$18</f>
        <v>0</v>
      </c>
      <c r="X98" s="158" t="n">
        <f aca="false">X$7*SUM($H55:X55)*Deposits!$Q$18</f>
        <v>0</v>
      </c>
      <c r="Y98" s="158" t="n">
        <f aca="false">Y$7*SUM($H55:Y55)*Deposits!$Q$18</f>
        <v>0</v>
      </c>
      <c r="Z98" s="158" t="n">
        <f aca="false">Z$7*SUM($H55:Z55)*Deposits!$Q$18</f>
        <v>0</v>
      </c>
      <c r="AA98" s="158" t="n">
        <f aca="false">AA$7*SUM($H55:AA55)*Deposits!$Q$18</f>
        <v>0</v>
      </c>
      <c r="AB98" s="158" t="n">
        <f aca="false">AB$7*SUM($H55:AB55)*Deposits!$Q$18</f>
        <v>0</v>
      </c>
      <c r="AC98" s="158" t="n">
        <f aca="false">AC$7*SUM($H55:AC55)*Deposits!$Q$18</f>
        <v>0</v>
      </c>
      <c r="AD98" s="158" t="n">
        <f aca="false">AD$7*SUM($H55:AD55)*Deposits!$Q$18</f>
        <v>0</v>
      </c>
      <c r="AE98" s="158" t="n">
        <f aca="false">AE$7*SUM($H55:AE55)*Deposits!$Q$18</f>
        <v>0</v>
      </c>
      <c r="AF98" s="158" t="n">
        <f aca="false">AF$7*SUM($H55:AF55)*Deposits!$Q$18</f>
        <v>0</v>
      </c>
      <c r="AG98" s="158" t="n">
        <f aca="false">AG$7*SUM($H55:AG55)*Deposits!$Q$18</f>
        <v>0</v>
      </c>
      <c r="AH98" s="158" t="n">
        <f aca="false">AH$7*SUM($H55:AH55)*Deposits!$Q$18</f>
        <v>0</v>
      </c>
      <c r="AI98" s="158" t="n">
        <f aca="false">AI$7*SUM($H55:AI55)*Deposits!$Q$18</f>
        <v>0</v>
      </c>
      <c r="AJ98" s="158" t="n">
        <f aca="false">AJ$7*SUM($H55:AJ55)*Deposits!$Q$18</f>
        <v>0</v>
      </c>
      <c r="AK98" s="158" t="n">
        <f aca="false">AK$7*SUM($H55:AK55)*Deposits!$Q$18</f>
        <v>0</v>
      </c>
      <c r="AL98" s="158" t="n">
        <f aca="false">AL$7*SUM($H55:AL55)*Deposits!$Q$18</f>
        <v>0</v>
      </c>
      <c r="AM98" s="158" t="n">
        <f aca="false">AM$7*SUM($H55:AM55)*Deposits!$Q$18</f>
        <v>0</v>
      </c>
      <c r="AN98" s="158" t="n">
        <f aca="false">AN$7*SUM($H55:AN55)*Deposits!$Q$18</f>
        <v>0</v>
      </c>
      <c r="AO98" s="158" t="n">
        <f aca="false">AO$7*SUM($H55:AO55)*Deposits!$Q$18</f>
        <v>0</v>
      </c>
      <c r="AP98" s="158" t="n">
        <f aca="false">AP$7*SUM($H55:AP55)*Deposits!$Q$18</f>
        <v>0</v>
      </c>
      <c r="AQ98" s="158" t="n">
        <f aca="false">AQ$7*SUM($H55:AQ55)*Deposits!$Q$18</f>
        <v>0</v>
      </c>
      <c r="AR98" s="158" t="n">
        <f aca="false">AR$7*SUM($H55:AR55)*Deposits!$Q$18</f>
        <v>0</v>
      </c>
      <c r="AS98" s="158" t="n">
        <f aca="false">AS$7*SUM($H55:AS55)*Deposits!$Q$18</f>
        <v>0</v>
      </c>
      <c r="AT98" s="158" t="n">
        <f aca="false">AT$7*SUM($H55:AT55)*Deposits!$Q$18</f>
        <v>18786.6591780822</v>
      </c>
      <c r="AU98" s="158" t="n">
        <f aca="false">AU$7*SUM($H55:AU55)*Deposits!$Q$18</f>
        <v>0</v>
      </c>
      <c r="AV98" s="158" t="n">
        <f aca="false">AV$7*SUM($H55:AV55)*Deposits!$Q$18</f>
        <v>0</v>
      </c>
      <c r="AW98" s="158" t="n">
        <f aca="false">AW$7*SUM($H55:AW55)*Deposits!$Q$18</f>
        <v>0</v>
      </c>
      <c r="AX98" s="158" t="n">
        <f aca="false">AX$7*SUM($H55:AX55)*Deposits!$Q$18</f>
        <v>0</v>
      </c>
      <c r="AY98" s="158" t="n">
        <f aca="false">AY$7*SUM($H55:AY55)*Deposits!$Q$18</f>
        <v>0</v>
      </c>
      <c r="AZ98" s="158" t="n">
        <f aca="false">AZ$7*SUM($H55:AZ55)*Deposits!$Q$18</f>
        <v>0</v>
      </c>
      <c r="BA98" s="158" t="n">
        <f aca="false">BA$7*SUM($H55:BA55)*Deposits!$Q$18</f>
        <v>0</v>
      </c>
      <c r="BB98" s="158" t="n">
        <f aca="false">BB$7*SUM($H55:BB55)*Deposits!$Q$18</f>
        <v>0</v>
      </c>
      <c r="BC98" s="158" t="n">
        <f aca="false">BC$7*SUM($H55:BC55)*Deposits!$Q$18</f>
        <v>0</v>
      </c>
      <c r="BD98" s="158" t="n">
        <f aca="false">BD$7*SUM($H55:BD55)*Deposits!$Q$18</f>
        <v>0</v>
      </c>
      <c r="BE98" s="158" t="n">
        <f aca="false">BE$7*SUM($H55:BE55)*Deposits!$Q$18</f>
        <v>0</v>
      </c>
      <c r="BF98" s="158" t="n">
        <f aca="false">BF$7*SUM($H55:BF55)*Deposits!$Q$18</f>
        <v>0</v>
      </c>
      <c r="BG98" s="158" t="n">
        <f aca="false">BG$7*SUM($H55:BG55)*Deposits!$Q$18</f>
        <v>0</v>
      </c>
      <c r="BH98" s="158" t="n">
        <f aca="false">BH$7*SUM($H55:BH55)*Deposits!$Q$18</f>
        <v>0</v>
      </c>
      <c r="BI98" s="158" t="n">
        <f aca="false">BI$7*SUM($H55:BI55)*Deposits!$Q$18</f>
        <v>0</v>
      </c>
      <c r="BJ98" s="158" t="n">
        <f aca="false">BJ$7*SUM($H55:BJ55)*Deposits!$Q$18</f>
        <v>0</v>
      </c>
      <c r="BK98" s="158" t="n">
        <f aca="false">BK$7*SUM($H55:BK55)*Deposits!$Q$18</f>
        <v>0</v>
      </c>
      <c r="BL98" s="158" t="n">
        <f aca="false">BL$7*SUM($H55:BL55)*Deposits!$Q$18</f>
        <v>0</v>
      </c>
      <c r="BM98" s="158" t="n">
        <f aca="false">BM$7*SUM($H55:BM55)*Deposits!$Q$18</f>
        <v>0</v>
      </c>
      <c r="BN98" s="158" t="n">
        <f aca="false">BN$7*SUM($H55:BN55)*Deposits!$Q$18</f>
        <v>0</v>
      </c>
      <c r="BO98" s="158" t="n">
        <f aca="false">BO$7*SUM($H55:BO55)*Deposits!$Q$18</f>
        <v>0</v>
      </c>
      <c r="BP98" s="158" t="n">
        <f aca="false">BP$7*SUM($H55:BP55)*Deposits!$Q$18</f>
        <v>0</v>
      </c>
    </row>
    <row r="99" customFormat="false" ht="15" hidden="false" customHeight="false" outlineLevel="0" collapsed="false">
      <c r="C99" s="205" t="s">
        <v>1072</v>
      </c>
      <c r="D99" s="205" t="s">
        <v>125</v>
      </c>
      <c r="E99" s="251"/>
      <c r="F99" s="251"/>
      <c r="G99" s="251" t="n">
        <f aca="false">SUM(H99:BP99)</f>
        <v>20715.9000054795</v>
      </c>
      <c r="H99" s="251" t="n">
        <f aca="false">SUM(H87:H98)</f>
        <v>0</v>
      </c>
      <c r="I99" s="251" t="n">
        <f aca="false">SUM(I87:I98)</f>
        <v>0</v>
      </c>
      <c r="J99" s="251" t="n">
        <f aca="false">SUM(J87:J98)</f>
        <v>0</v>
      </c>
      <c r="K99" s="251" t="n">
        <f aca="false">SUM(K87:K98)</f>
        <v>0</v>
      </c>
      <c r="L99" s="251" t="n">
        <f aca="false">SUM(L87:L98)</f>
        <v>0</v>
      </c>
      <c r="M99" s="251" t="n">
        <f aca="false">SUM(M87:M98)</f>
        <v>0</v>
      </c>
      <c r="N99" s="251" t="n">
        <f aca="false">SUM(N87:N98)</f>
        <v>0</v>
      </c>
      <c r="O99" s="251" t="n">
        <f aca="false">SUM(O87:O98)</f>
        <v>0</v>
      </c>
      <c r="P99" s="251" t="n">
        <f aca="false">SUM(P87:P98)</f>
        <v>0</v>
      </c>
      <c r="Q99" s="251" t="n">
        <f aca="false">SUM(Q87:Q98)</f>
        <v>0</v>
      </c>
      <c r="R99" s="251" t="n">
        <f aca="false">SUM(R87:R98)</f>
        <v>0</v>
      </c>
      <c r="S99" s="251" t="n">
        <f aca="false">SUM(S87:S98)</f>
        <v>0</v>
      </c>
      <c r="T99" s="251" t="n">
        <f aca="false">SUM(T87:T98)</f>
        <v>0</v>
      </c>
      <c r="U99" s="251" t="n">
        <f aca="false">SUM(U87:U98)</f>
        <v>0</v>
      </c>
      <c r="V99" s="251" t="n">
        <f aca="false">SUM(V87:V98)</f>
        <v>0</v>
      </c>
      <c r="W99" s="251" t="n">
        <f aca="false">SUM(W87:W98)</f>
        <v>0</v>
      </c>
      <c r="X99" s="251" t="n">
        <f aca="false">SUM(X87:X98)</f>
        <v>0</v>
      </c>
      <c r="Y99" s="251" t="n">
        <f aca="false">SUM(Y87:Y98)</f>
        <v>0</v>
      </c>
      <c r="Z99" s="251" t="n">
        <f aca="false">SUM(Z87:Z98)</f>
        <v>0</v>
      </c>
      <c r="AA99" s="251" t="n">
        <f aca="false">SUM(AA87:AA98)</f>
        <v>0</v>
      </c>
      <c r="AB99" s="251" t="n">
        <f aca="false">SUM(AB87:AB98)</f>
        <v>0</v>
      </c>
      <c r="AC99" s="251" t="n">
        <f aca="false">SUM(AC87:AC98)</f>
        <v>0</v>
      </c>
      <c r="AD99" s="251" t="n">
        <f aca="false">SUM(AD87:AD98)</f>
        <v>0</v>
      </c>
      <c r="AE99" s="251" t="n">
        <f aca="false">SUM(AE87:AE98)</f>
        <v>0</v>
      </c>
      <c r="AF99" s="251" t="n">
        <f aca="false">SUM(AF87:AF98)</f>
        <v>0</v>
      </c>
      <c r="AG99" s="251" t="n">
        <f aca="false">SUM(AG87:AG98)</f>
        <v>0</v>
      </c>
      <c r="AH99" s="251" t="n">
        <f aca="false">SUM(AH87:AH98)</f>
        <v>0</v>
      </c>
      <c r="AI99" s="251" t="n">
        <f aca="false">SUM(AI87:AI98)</f>
        <v>0</v>
      </c>
      <c r="AJ99" s="251" t="n">
        <f aca="false">SUM(AJ87:AJ98)</f>
        <v>0</v>
      </c>
      <c r="AK99" s="251" t="n">
        <f aca="false">SUM(AK87:AK98)</f>
        <v>0</v>
      </c>
      <c r="AL99" s="251" t="n">
        <f aca="false">SUM(AL87:AL98)</f>
        <v>0</v>
      </c>
      <c r="AM99" s="251" t="n">
        <f aca="false">SUM(AM87:AM98)</f>
        <v>0</v>
      </c>
      <c r="AN99" s="251" t="n">
        <f aca="false">SUM(AN87:AN98)</f>
        <v>0</v>
      </c>
      <c r="AO99" s="251" t="n">
        <f aca="false">SUM(AO87:AO98)</f>
        <v>0</v>
      </c>
      <c r="AP99" s="251" t="n">
        <f aca="false">SUM(AP87:AP98)</f>
        <v>0</v>
      </c>
      <c r="AQ99" s="251" t="n">
        <f aca="false">SUM(AQ87:AQ98)</f>
        <v>0</v>
      </c>
      <c r="AR99" s="251" t="n">
        <f aca="false">SUM(AR87:AR98)</f>
        <v>0</v>
      </c>
      <c r="AS99" s="251" t="n">
        <f aca="false">SUM(AS87:AS98)</f>
        <v>0</v>
      </c>
      <c r="AT99" s="251" t="n">
        <f aca="false">SUM(AT87:AT98)</f>
        <v>20715.9000054795</v>
      </c>
      <c r="AU99" s="251" t="n">
        <f aca="false">SUM(AU87:AU98)</f>
        <v>0</v>
      </c>
      <c r="AV99" s="251" t="n">
        <f aca="false">SUM(AV87:AV98)</f>
        <v>0</v>
      </c>
      <c r="AW99" s="251" t="n">
        <f aca="false">SUM(AW87:AW98)</f>
        <v>0</v>
      </c>
      <c r="AX99" s="251" t="n">
        <f aca="false">SUM(AX87:AX98)</f>
        <v>0</v>
      </c>
      <c r="AY99" s="251" t="n">
        <f aca="false">SUM(AY87:AY98)</f>
        <v>0</v>
      </c>
      <c r="AZ99" s="251" t="n">
        <f aca="false">SUM(AZ87:AZ98)</f>
        <v>0</v>
      </c>
      <c r="BA99" s="251" t="n">
        <f aca="false">SUM(BA87:BA98)</f>
        <v>0</v>
      </c>
      <c r="BB99" s="251" t="n">
        <f aca="false">SUM(BB87:BB98)</f>
        <v>0</v>
      </c>
      <c r="BC99" s="251" t="n">
        <f aca="false">SUM(BC87:BC98)</f>
        <v>0</v>
      </c>
      <c r="BD99" s="251" t="n">
        <f aca="false">SUM(BD87:BD98)</f>
        <v>0</v>
      </c>
      <c r="BE99" s="251" t="n">
        <f aca="false">SUM(BE87:BE98)</f>
        <v>0</v>
      </c>
      <c r="BF99" s="251" t="n">
        <f aca="false">SUM(BF87:BF98)</f>
        <v>0</v>
      </c>
      <c r="BG99" s="251" t="n">
        <f aca="false">SUM(BG87:BG98)</f>
        <v>0</v>
      </c>
      <c r="BH99" s="251" t="n">
        <f aca="false">SUM(BH87:BH98)</f>
        <v>0</v>
      </c>
      <c r="BI99" s="251" t="n">
        <f aca="false">SUM(BI87:BI98)</f>
        <v>0</v>
      </c>
      <c r="BJ99" s="251" t="n">
        <f aca="false">SUM(BJ87:BJ98)</f>
        <v>0</v>
      </c>
      <c r="BK99" s="251" t="n">
        <f aca="false">SUM(BK87:BK98)</f>
        <v>0</v>
      </c>
      <c r="BL99" s="251" t="n">
        <f aca="false">SUM(BL87:BL98)</f>
        <v>0</v>
      </c>
      <c r="BM99" s="251" t="n">
        <f aca="false">SUM(BM87:BM98)</f>
        <v>0</v>
      </c>
      <c r="BN99" s="251" t="n">
        <f aca="false">SUM(BN87:BN98)</f>
        <v>0</v>
      </c>
      <c r="BO99" s="251" t="n">
        <f aca="false">SUM(BO87:BO98)</f>
        <v>0</v>
      </c>
      <c r="BP99" s="251" t="n">
        <f aca="false">SUM(BP87:BP98)</f>
        <v>0</v>
      </c>
    </row>
    <row r="100" customFormat="false" ht="15" hidden="false" customHeight="false" outlineLevel="0" collapsed="false">
      <c r="E100" s="158"/>
      <c r="F100" s="158"/>
      <c r="G100" s="158"/>
      <c r="H100" s="158"/>
      <c r="I100" s="158"/>
      <c r="J100" s="158"/>
      <c r="K100" s="158"/>
      <c r="L100" s="158"/>
      <c r="M100" s="158"/>
      <c r="N100" s="158"/>
      <c r="O100" s="158"/>
      <c r="P100" s="158"/>
      <c r="Q100" s="158"/>
      <c r="R100" s="158"/>
      <c r="S100" s="158"/>
      <c r="T100" s="158"/>
      <c r="U100" s="158"/>
      <c r="V100" s="158"/>
      <c r="W100" s="158"/>
      <c r="X100" s="158"/>
      <c r="Y100" s="158"/>
      <c r="Z100" s="158"/>
      <c r="AA100" s="158"/>
      <c r="AB100" s="158"/>
      <c r="AC100" s="158"/>
      <c r="AD100" s="158"/>
      <c r="AE100" s="158"/>
      <c r="AF100" s="158"/>
      <c r="AG100" s="158"/>
      <c r="AH100" s="158"/>
      <c r="AI100" s="158"/>
      <c r="AJ100" s="158"/>
      <c r="AK100" s="158"/>
      <c r="AL100" s="158"/>
      <c r="AM100" s="158"/>
      <c r="AN100" s="158"/>
      <c r="AO100" s="158"/>
      <c r="AP100" s="158"/>
      <c r="AQ100" s="158"/>
      <c r="AR100" s="158"/>
      <c r="AS100" s="158"/>
      <c r="AT100" s="158"/>
      <c r="AU100" s="158"/>
      <c r="AV100" s="158"/>
      <c r="AW100" s="158"/>
      <c r="AX100" s="158"/>
      <c r="AY100" s="158"/>
      <c r="AZ100" s="158"/>
      <c r="BA100" s="158"/>
      <c r="BB100" s="158"/>
      <c r="BC100" s="158"/>
      <c r="BD100" s="158"/>
      <c r="BE100" s="158"/>
      <c r="BF100" s="158"/>
      <c r="BG100" s="158"/>
      <c r="BH100" s="158"/>
      <c r="BI100" s="158"/>
      <c r="BJ100" s="158"/>
      <c r="BK100" s="158"/>
      <c r="BL100" s="158"/>
      <c r="BM100" s="158"/>
      <c r="BN100" s="158"/>
      <c r="BO100" s="158"/>
      <c r="BP100" s="158"/>
    </row>
    <row r="101" customFormat="false" ht="15" hidden="false" customHeight="false" outlineLevel="0" collapsed="false">
      <c r="C101" s="136" t="s">
        <v>1073</v>
      </c>
      <c r="D101" s="136"/>
      <c r="E101" s="259"/>
      <c r="F101" s="259"/>
      <c r="G101" s="259"/>
      <c r="H101" s="259"/>
      <c r="I101" s="259"/>
      <c r="J101" s="259"/>
      <c r="K101" s="259"/>
      <c r="L101" s="259"/>
      <c r="M101" s="259"/>
      <c r="N101" s="259"/>
      <c r="O101" s="259"/>
      <c r="P101" s="259"/>
      <c r="Q101" s="259"/>
      <c r="R101" s="259"/>
      <c r="S101" s="259"/>
      <c r="T101" s="259"/>
      <c r="U101" s="259"/>
      <c r="V101" s="259"/>
      <c r="W101" s="259"/>
      <c r="X101" s="259"/>
      <c r="Y101" s="259"/>
      <c r="Z101" s="259"/>
      <c r="AA101" s="259"/>
      <c r="AB101" s="259"/>
      <c r="AC101" s="259"/>
      <c r="AD101" s="259"/>
      <c r="AE101" s="259"/>
      <c r="AF101" s="259"/>
      <c r="AG101" s="259"/>
      <c r="AH101" s="259"/>
      <c r="AI101" s="259"/>
      <c r="AJ101" s="259"/>
      <c r="AK101" s="259"/>
      <c r="AL101" s="259"/>
      <c r="AM101" s="259"/>
      <c r="AN101" s="259"/>
      <c r="AO101" s="259"/>
      <c r="AP101" s="259"/>
      <c r="AQ101" s="259"/>
      <c r="AR101" s="259"/>
      <c r="AS101" s="259"/>
      <c r="AT101" s="259"/>
      <c r="AU101" s="259"/>
      <c r="AV101" s="259"/>
      <c r="AW101" s="259"/>
      <c r="AX101" s="259"/>
      <c r="AY101" s="259"/>
      <c r="AZ101" s="259"/>
      <c r="BA101" s="259"/>
      <c r="BB101" s="259"/>
      <c r="BC101" s="259"/>
      <c r="BD101" s="259"/>
      <c r="BE101" s="259"/>
      <c r="BF101" s="259"/>
      <c r="BG101" s="259"/>
      <c r="BH101" s="259"/>
      <c r="BI101" s="259"/>
      <c r="BJ101" s="259"/>
      <c r="BK101" s="259"/>
      <c r="BL101" s="259"/>
      <c r="BM101" s="259"/>
      <c r="BN101" s="259"/>
      <c r="BO101" s="259"/>
      <c r="BP101" s="259"/>
    </row>
    <row r="102" customFormat="false" ht="15" hidden="false" customHeight="false" outlineLevel="0" collapsed="false">
      <c r="C102" s="0" t="s">
        <v>1074</v>
      </c>
      <c r="D102" s="0" t="s">
        <v>125</v>
      </c>
      <c r="E102" s="158"/>
      <c r="F102" s="158"/>
      <c r="G102" s="158" t="n">
        <f aca="false">SUM(H102:BP102)</f>
        <v>20715.9000054795</v>
      </c>
      <c r="H102" s="158" t="n">
        <f aca="false">SUMPRODUCT(H44:H55,Deposits!$U$7:$U$18)</f>
        <v>0</v>
      </c>
      <c r="I102" s="158" t="n">
        <f aca="false">SUMPRODUCT(I44:I55,Deposits!$U$7:$U$18)</f>
        <v>0</v>
      </c>
      <c r="J102" s="158" t="n">
        <f aca="false">SUMPRODUCT(J44:J55,Deposits!$U$7:$U$18)</f>
        <v>0</v>
      </c>
      <c r="K102" s="158" t="n">
        <f aca="false">SUMPRODUCT(K44:K55,Deposits!$U$7:$U$18)</f>
        <v>0</v>
      </c>
      <c r="L102" s="158" t="n">
        <f aca="false">SUMPRODUCT(L44:L55,Deposits!$U$7:$U$18)</f>
        <v>0</v>
      </c>
      <c r="M102" s="158" t="n">
        <f aca="false">SUMPRODUCT(M44:M55,Deposits!$U$7:$U$18)</f>
        <v>1232.87671232877</v>
      </c>
      <c r="N102" s="158" t="n">
        <f aca="false">SUMPRODUCT(N44:N55,Deposits!$U$7:$U$18)</f>
        <v>0</v>
      </c>
      <c r="O102" s="158" t="n">
        <f aca="false">SUMPRODUCT(O44:O55,Deposits!$U$7:$U$18)</f>
        <v>0</v>
      </c>
      <c r="P102" s="158" t="n">
        <f aca="false">SUMPRODUCT(P44:P55,Deposits!$U$7:$U$18)</f>
        <v>0</v>
      </c>
      <c r="Q102" s="158" t="n">
        <f aca="false">SUMPRODUCT(Q44:Q55,Deposits!$U$7:$U$18)</f>
        <v>0</v>
      </c>
      <c r="R102" s="158" t="n">
        <f aca="false">SUMPRODUCT(R44:R55,Deposits!$U$7:$U$18)</f>
        <v>0</v>
      </c>
      <c r="S102" s="158" t="n">
        <f aca="false">SUMPRODUCT(S44:S55,Deposits!$U$7:$U$18)</f>
        <v>0</v>
      </c>
      <c r="T102" s="158" t="n">
        <f aca="false">SUMPRODUCT(T44:T55,Deposits!$U$7:$U$18)</f>
        <v>0</v>
      </c>
      <c r="U102" s="158" t="n">
        <f aca="false">SUMPRODUCT(U44:U55,Deposits!$U$7:$U$18)</f>
        <v>0</v>
      </c>
      <c r="V102" s="158" t="n">
        <f aca="false">SUMPRODUCT(V44:V55,Deposits!$U$7:$U$18)</f>
        <v>0</v>
      </c>
      <c r="W102" s="158" t="n">
        <f aca="false">SUMPRODUCT(W44:W55,Deposits!$U$7:$U$18)</f>
        <v>0</v>
      </c>
      <c r="X102" s="158" t="n">
        <f aca="false">SUMPRODUCT(X44:X55,Deposits!$U$7:$U$18)</f>
        <v>0</v>
      </c>
      <c r="Y102" s="158" t="n">
        <f aca="false">SUMPRODUCT(Y44:Y55,Deposits!$U$7:$U$18)</f>
        <v>0</v>
      </c>
      <c r="Z102" s="158" t="n">
        <f aca="false">SUMPRODUCT(Z44:Z55,Deposits!$U$7:$U$18)</f>
        <v>0</v>
      </c>
      <c r="AA102" s="158" t="n">
        <f aca="false">SUMPRODUCT(AA44:AA55,Deposits!$U$7:$U$18)</f>
        <v>0</v>
      </c>
      <c r="AB102" s="158" t="n">
        <f aca="false">SUMPRODUCT(AB44:AB55,Deposits!$U$7:$U$18)</f>
        <v>0</v>
      </c>
      <c r="AC102" s="158" t="n">
        <f aca="false">SUMPRODUCT(AC44:AC55,Deposits!$U$7:$U$18)</f>
        <v>0</v>
      </c>
      <c r="AD102" s="158" t="n">
        <f aca="false">SUMPRODUCT(AD44:AD55,Deposits!$U$7:$U$18)</f>
        <v>0</v>
      </c>
      <c r="AE102" s="158" t="n">
        <f aca="false">SUMPRODUCT(AE44:AE55,Deposits!$U$7:$U$18)</f>
        <v>0</v>
      </c>
      <c r="AF102" s="158" t="n">
        <f aca="false">SUMPRODUCT(AF44:AF55,Deposits!$U$7:$U$18)</f>
        <v>0</v>
      </c>
      <c r="AG102" s="158" t="n">
        <f aca="false">SUMPRODUCT(AG44:AG55,Deposits!$U$7:$U$18)</f>
        <v>0</v>
      </c>
      <c r="AH102" s="158" t="n">
        <f aca="false">SUMPRODUCT(AH44:AH55,Deposits!$U$7:$U$18)</f>
        <v>0</v>
      </c>
      <c r="AI102" s="158" t="n">
        <f aca="false">SUMPRODUCT(AI44:AI55,Deposits!$U$7:$U$18)</f>
        <v>0</v>
      </c>
      <c r="AJ102" s="158" t="n">
        <f aca="false">SUMPRODUCT(AJ44:AJ55,Deposits!$U$7:$U$18)</f>
        <v>0</v>
      </c>
      <c r="AK102" s="158" t="n">
        <f aca="false">SUMPRODUCT(AK44:AK55,Deposits!$U$7:$U$18)</f>
        <v>0</v>
      </c>
      <c r="AL102" s="158" t="n">
        <f aca="false">SUMPRODUCT(AL44:AL55,Deposits!$U$7:$U$18)</f>
        <v>19483.0232931507</v>
      </c>
      <c r="AM102" s="158" t="n">
        <f aca="false">SUMPRODUCT(AM44:AM55,Deposits!$U$7:$U$18)</f>
        <v>0</v>
      </c>
      <c r="AN102" s="158" t="n">
        <f aca="false">SUMPRODUCT(AN44:AN55,Deposits!$U$7:$U$18)</f>
        <v>0</v>
      </c>
      <c r="AO102" s="158" t="n">
        <f aca="false">SUMPRODUCT(AO44:AO55,Deposits!$U$7:$U$18)</f>
        <v>0</v>
      </c>
      <c r="AP102" s="158" t="n">
        <f aca="false">SUMPRODUCT(AP44:AP55,Deposits!$U$7:$U$18)</f>
        <v>0</v>
      </c>
      <c r="AQ102" s="158" t="n">
        <f aca="false">SUMPRODUCT(AQ44:AQ55,Deposits!$U$7:$U$18)</f>
        <v>0</v>
      </c>
      <c r="AR102" s="158" t="n">
        <f aca="false">SUMPRODUCT(AR44:AR55,Deposits!$U$7:$U$18)</f>
        <v>0</v>
      </c>
      <c r="AS102" s="158" t="n">
        <f aca="false">SUMPRODUCT(AS44:AS55,Deposits!$U$7:$U$18)</f>
        <v>0</v>
      </c>
      <c r="AT102" s="158" t="n">
        <f aca="false">SUMPRODUCT(AT44:AT55,Deposits!$U$7:$U$18)</f>
        <v>0</v>
      </c>
      <c r="AU102" s="158" t="n">
        <f aca="false">SUMPRODUCT(AU44:AU55,Deposits!$U$7:$U$18)</f>
        <v>0</v>
      </c>
      <c r="AV102" s="158" t="n">
        <f aca="false">SUMPRODUCT(AV44:AV55,Deposits!$U$7:$U$18)</f>
        <v>0</v>
      </c>
      <c r="AW102" s="158" t="n">
        <f aca="false">SUMPRODUCT(AW44:AW55,Deposits!$U$7:$U$18)</f>
        <v>0</v>
      </c>
      <c r="AX102" s="158" t="n">
        <f aca="false">SUMPRODUCT(AX44:AX55,Deposits!$U$7:$U$18)</f>
        <v>0</v>
      </c>
      <c r="AY102" s="158" t="n">
        <f aca="false">SUMPRODUCT(AY44:AY55,Deposits!$U$7:$U$18)</f>
        <v>0</v>
      </c>
      <c r="AZ102" s="158" t="n">
        <f aca="false">SUMPRODUCT(AZ44:AZ55,Deposits!$U$7:$U$18)</f>
        <v>0</v>
      </c>
      <c r="BA102" s="158" t="n">
        <f aca="false">SUMPRODUCT(BA44:BA55,Deposits!$U$7:$U$18)</f>
        <v>0</v>
      </c>
      <c r="BB102" s="158" t="n">
        <f aca="false">SUMPRODUCT(BB44:BB55,Deposits!$U$7:$U$18)</f>
        <v>0</v>
      </c>
      <c r="BC102" s="158" t="n">
        <f aca="false">SUMPRODUCT(BC44:BC55,Deposits!$U$7:$U$18)</f>
        <v>0</v>
      </c>
      <c r="BD102" s="158" t="n">
        <f aca="false">SUMPRODUCT(BD44:BD55,Deposits!$U$7:$U$18)</f>
        <v>0</v>
      </c>
      <c r="BE102" s="158" t="n">
        <f aca="false">SUMPRODUCT(BE44:BE55,Deposits!$U$7:$U$18)</f>
        <v>0</v>
      </c>
      <c r="BF102" s="158" t="n">
        <f aca="false">SUMPRODUCT(BF44:BF55,Deposits!$U$7:$U$18)</f>
        <v>0</v>
      </c>
      <c r="BG102" s="158" t="n">
        <f aca="false">SUMPRODUCT(BG44:BG55,Deposits!$U$7:$U$18)</f>
        <v>0</v>
      </c>
      <c r="BH102" s="158" t="n">
        <f aca="false">SUMPRODUCT(BH44:BH55,Deposits!$U$7:$U$18)</f>
        <v>0</v>
      </c>
      <c r="BI102" s="158" t="n">
        <f aca="false">SUMPRODUCT(BI44:BI55,Deposits!$U$7:$U$18)</f>
        <v>0</v>
      </c>
      <c r="BJ102" s="158" t="n">
        <f aca="false">SUMPRODUCT(BJ44:BJ55,Deposits!$U$7:$U$18)</f>
        <v>0</v>
      </c>
      <c r="BK102" s="158" t="n">
        <f aca="false">SUMPRODUCT(BK44:BK55,Deposits!$U$7:$U$18)</f>
        <v>0</v>
      </c>
      <c r="BL102" s="158" t="n">
        <f aca="false">SUMPRODUCT(BL44:BL55,Deposits!$U$7:$U$18)</f>
        <v>0</v>
      </c>
      <c r="BM102" s="158" t="n">
        <f aca="false">SUMPRODUCT(BM44:BM55,Deposits!$U$7:$U$18)</f>
        <v>0</v>
      </c>
      <c r="BN102" s="158" t="n">
        <f aca="false">SUMPRODUCT(BN44:BN55,Deposits!$U$7:$U$18)</f>
        <v>0</v>
      </c>
      <c r="BO102" s="158" t="n">
        <f aca="false">SUMPRODUCT(BO44:BO55,Deposits!$U$7:$U$18)</f>
        <v>0</v>
      </c>
      <c r="BP102" s="158" t="n">
        <f aca="false">SUMPRODUCT(BP44:BP55,Deposits!$U$7:$U$18)</f>
        <v>0</v>
      </c>
    </row>
    <row r="103" customFormat="false" ht="15" hidden="false" customHeight="false" outlineLevel="0" collapsed="false">
      <c r="C103" s="0" t="s">
        <v>1075</v>
      </c>
      <c r="D103" s="0" t="s">
        <v>125</v>
      </c>
      <c r="E103" s="158"/>
      <c r="F103" s="158"/>
      <c r="G103" s="158" t="n">
        <f aca="false">SUM(H103:BP103)</f>
        <v>8.21917808219178</v>
      </c>
      <c r="H103" s="158" t="n">
        <f aca="false">H56-H102</f>
        <v>0</v>
      </c>
      <c r="I103" s="158" t="n">
        <f aca="false">I56-I102</f>
        <v>0</v>
      </c>
      <c r="J103" s="158" t="n">
        <f aca="false">J56-J102</f>
        <v>0</v>
      </c>
      <c r="K103" s="158" t="n">
        <f aca="false">K56-K102</f>
        <v>8.21917808219178</v>
      </c>
      <c r="L103" s="158" t="n">
        <f aca="false">L56-L102</f>
        <v>0</v>
      </c>
      <c r="M103" s="158" t="n">
        <f aca="false">M56-M102</f>
        <v>0</v>
      </c>
      <c r="N103" s="158" t="n">
        <f aca="false">N56-N102</f>
        <v>0</v>
      </c>
      <c r="O103" s="158" t="n">
        <f aca="false">O56-O102</f>
        <v>0</v>
      </c>
      <c r="P103" s="158" t="n">
        <f aca="false">P56-P102</f>
        <v>0</v>
      </c>
      <c r="Q103" s="158" t="n">
        <f aca="false">Q56-Q102</f>
        <v>0</v>
      </c>
      <c r="R103" s="158" t="n">
        <f aca="false">R56-R102</f>
        <v>0</v>
      </c>
      <c r="S103" s="158" t="n">
        <f aca="false">S56-S102</f>
        <v>0</v>
      </c>
      <c r="T103" s="158" t="n">
        <f aca="false">T56-T102</f>
        <v>0</v>
      </c>
      <c r="U103" s="158" t="n">
        <f aca="false">U56-U102</f>
        <v>0</v>
      </c>
      <c r="V103" s="158" t="n">
        <f aca="false">V56-V102</f>
        <v>0</v>
      </c>
      <c r="W103" s="158" t="n">
        <f aca="false">W56-W102</f>
        <v>0</v>
      </c>
      <c r="X103" s="158" t="n">
        <f aca="false">X56-X102</f>
        <v>0</v>
      </c>
      <c r="Y103" s="158" t="n">
        <f aca="false">Y56-Y102</f>
        <v>0</v>
      </c>
      <c r="Z103" s="158" t="n">
        <f aca="false">Z56-Z102</f>
        <v>0</v>
      </c>
      <c r="AA103" s="158" t="n">
        <f aca="false">AA56-AA102</f>
        <v>0</v>
      </c>
      <c r="AB103" s="158" t="n">
        <f aca="false">AB56-AB102</f>
        <v>0</v>
      </c>
      <c r="AC103" s="158" t="n">
        <f aca="false">AC56-AC102</f>
        <v>0</v>
      </c>
      <c r="AD103" s="158" t="n">
        <f aca="false">AD56-AD102</f>
        <v>0</v>
      </c>
      <c r="AE103" s="158" t="n">
        <f aca="false">AE56-AE102</f>
        <v>0</v>
      </c>
      <c r="AF103" s="158" t="n">
        <f aca="false">AF56-AF102</f>
        <v>0</v>
      </c>
      <c r="AG103" s="158" t="n">
        <f aca="false">AG56-AG102</f>
        <v>0</v>
      </c>
      <c r="AH103" s="158" t="n">
        <f aca="false">AH56-AH102</f>
        <v>0</v>
      </c>
      <c r="AI103" s="158" t="n">
        <f aca="false">AI56-AI102</f>
        <v>0</v>
      </c>
      <c r="AJ103" s="158" t="n">
        <f aca="false">AJ56-AJ102</f>
        <v>0</v>
      </c>
      <c r="AK103" s="158" t="n">
        <f aca="false">AK56-AK102</f>
        <v>0</v>
      </c>
      <c r="AL103" s="158" t="n">
        <f aca="false">AL56-AL102</f>
        <v>0</v>
      </c>
      <c r="AM103" s="158" t="n">
        <f aca="false">AM56-AM102</f>
        <v>0</v>
      </c>
      <c r="AN103" s="158" t="n">
        <f aca="false">AN56-AN102</f>
        <v>0</v>
      </c>
      <c r="AO103" s="158" t="n">
        <f aca="false">AO56-AO102</f>
        <v>0</v>
      </c>
      <c r="AP103" s="158" t="n">
        <f aca="false">AP56-AP102</f>
        <v>0</v>
      </c>
      <c r="AQ103" s="158" t="n">
        <f aca="false">AQ56-AQ102</f>
        <v>0</v>
      </c>
      <c r="AR103" s="158" t="n">
        <f aca="false">AR56-AR102</f>
        <v>0</v>
      </c>
      <c r="AS103" s="158" t="n">
        <f aca="false">AS56-AS102</f>
        <v>0</v>
      </c>
      <c r="AT103" s="158" t="n">
        <f aca="false">AT56-AT102</f>
        <v>0</v>
      </c>
      <c r="AU103" s="158" t="n">
        <f aca="false">AU56-AU102</f>
        <v>0</v>
      </c>
      <c r="AV103" s="158" t="n">
        <f aca="false">AV56-AV102</f>
        <v>0</v>
      </c>
      <c r="AW103" s="158" t="n">
        <f aca="false">AW56-AW102</f>
        <v>0</v>
      </c>
      <c r="AX103" s="158" t="n">
        <f aca="false">AX56-AX102</f>
        <v>0</v>
      </c>
      <c r="AY103" s="158" t="n">
        <f aca="false">AY56-AY102</f>
        <v>0</v>
      </c>
      <c r="AZ103" s="158" t="n">
        <f aca="false">AZ56-AZ102</f>
        <v>0</v>
      </c>
      <c r="BA103" s="158" t="n">
        <f aca="false">BA56-BA102</f>
        <v>0</v>
      </c>
      <c r="BB103" s="158" t="n">
        <f aca="false">BB56-BB102</f>
        <v>0</v>
      </c>
      <c r="BC103" s="158" t="n">
        <f aca="false">BC56-BC102</f>
        <v>0</v>
      </c>
      <c r="BD103" s="158" t="n">
        <f aca="false">BD56-BD102</f>
        <v>0</v>
      </c>
      <c r="BE103" s="158" t="n">
        <f aca="false">BE56-BE102</f>
        <v>0</v>
      </c>
      <c r="BF103" s="158" t="n">
        <f aca="false">BF56-BF102</f>
        <v>0</v>
      </c>
      <c r="BG103" s="158" t="n">
        <f aca="false">BG56-BG102</f>
        <v>0</v>
      </c>
      <c r="BH103" s="158" t="n">
        <f aca="false">BH56-BH102</f>
        <v>0</v>
      </c>
      <c r="BI103" s="158" t="n">
        <f aca="false">BI56-BI102</f>
        <v>0</v>
      </c>
      <c r="BJ103" s="158" t="n">
        <f aca="false">BJ56-BJ102</f>
        <v>0</v>
      </c>
      <c r="BK103" s="158" t="n">
        <f aca="false">BK56-BK102</f>
        <v>0</v>
      </c>
      <c r="BL103" s="158" t="n">
        <f aca="false">BL56-BL102</f>
        <v>0</v>
      </c>
      <c r="BM103" s="158" t="n">
        <f aca="false">BM56-BM102</f>
        <v>0</v>
      </c>
      <c r="BN103" s="158" t="n">
        <f aca="false">BN56-BN102</f>
        <v>0</v>
      </c>
      <c r="BO103" s="158" t="n">
        <f aca="false">BO56-BO102</f>
        <v>0</v>
      </c>
      <c r="BP103" s="158" t="n">
        <f aca="false">BP56-BP102</f>
        <v>0</v>
      </c>
    </row>
    <row r="104" customFormat="false" ht="15" hidden="false" customHeight="false" outlineLevel="0" collapsed="false">
      <c r="E104" s="158"/>
      <c r="F104" s="158"/>
      <c r="G104" s="158"/>
      <c r="H104" s="158"/>
      <c r="I104" s="158"/>
      <c r="J104" s="158"/>
      <c r="K104" s="158"/>
      <c r="L104" s="158"/>
      <c r="M104" s="158"/>
      <c r="N104" s="158"/>
      <c r="O104" s="158"/>
      <c r="P104" s="158"/>
      <c r="Q104" s="158"/>
      <c r="R104" s="158"/>
      <c r="S104" s="158"/>
      <c r="T104" s="158"/>
      <c r="U104" s="158"/>
      <c r="V104" s="158"/>
      <c r="W104" s="158"/>
      <c r="X104" s="158"/>
      <c r="Y104" s="158"/>
      <c r="Z104" s="158"/>
      <c r="AA104" s="158"/>
      <c r="AB104" s="158"/>
      <c r="AC104" s="158"/>
      <c r="AD104" s="158"/>
      <c r="AE104" s="158"/>
      <c r="AF104" s="158"/>
      <c r="AG104" s="158"/>
      <c r="AH104" s="158"/>
      <c r="AI104" s="158"/>
      <c r="AJ104" s="158"/>
      <c r="AK104" s="158"/>
      <c r="AL104" s="158"/>
      <c r="AM104" s="158"/>
      <c r="AN104" s="158"/>
      <c r="AO104" s="158"/>
      <c r="AP104" s="158"/>
      <c r="AQ104" s="158"/>
      <c r="AR104" s="158"/>
      <c r="AS104" s="158"/>
      <c r="AT104" s="158"/>
      <c r="AU104" s="158"/>
      <c r="AV104" s="158"/>
      <c r="AW104" s="158"/>
      <c r="AX104" s="158"/>
      <c r="AY104" s="158"/>
      <c r="AZ104" s="158"/>
      <c r="BA104" s="158"/>
      <c r="BB104" s="158"/>
      <c r="BC104" s="158"/>
      <c r="BD104" s="158"/>
      <c r="BE104" s="158"/>
      <c r="BF104" s="158"/>
      <c r="BG104" s="158"/>
      <c r="BH104" s="158"/>
      <c r="BI104" s="158"/>
      <c r="BJ104" s="158"/>
      <c r="BK104" s="158"/>
      <c r="BL104" s="158"/>
      <c r="BM104" s="158"/>
      <c r="BN104" s="158"/>
      <c r="BO104" s="158"/>
      <c r="BP104" s="158"/>
    </row>
    <row r="105" customFormat="false" ht="15" hidden="false" customHeight="false" outlineLevel="0" collapsed="false">
      <c r="C105" s="136" t="s">
        <v>1076</v>
      </c>
      <c r="D105" s="136"/>
      <c r="E105" s="259"/>
      <c r="F105" s="259"/>
      <c r="G105" s="259"/>
      <c r="H105" s="259"/>
      <c r="I105" s="259"/>
      <c r="J105" s="259"/>
      <c r="K105" s="259"/>
      <c r="L105" s="259"/>
      <c r="M105" s="259"/>
      <c r="N105" s="259"/>
      <c r="O105" s="259"/>
      <c r="P105" s="259"/>
      <c r="Q105" s="259"/>
      <c r="R105" s="259"/>
      <c r="S105" s="259"/>
      <c r="T105" s="259"/>
      <c r="U105" s="259"/>
      <c r="V105" s="259"/>
      <c r="W105" s="259"/>
      <c r="X105" s="259"/>
      <c r="Y105" s="259"/>
      <c r="Z105" s="259"/>
      <c r="AA105" s="259"/>
      <c r="AB105" s="259"/>
      <c r="AC105" s="259"/>
      <c r="AD105" s="259"/>
      <c r="AE105" s="259"/>
      <c r="AF105" s="259"/>
      <c r="AG105" s="259"/>
      <c r="AH105" s="259"/>
      <c r="AI105" s="259"/>
      <c r="AJ105" s="259"/>
      <c r="AK105" s="259"/>
      <c r="AL105" s="259"/>
      <c r="AM105" s="259"/>
      <c r="AN105" s="259"/>
      <c r="AO105" s="259"/>
      <c r="AP105" s="259"/>
      <c r="AQ105" s="259"/>
      <c r="AR105" s="259"/>
      <c r="AS105" s="259"/>
      <c r="AT105" s="259"/>
      <c r="AU105" s="259"/>
      <c r="AV105" s="259"/>
      <c r="AW105" s="259"/>
      <c r="AX105" s="259"/>
      <c r="AY105" s="259"/>
      <c r="AZ105" s="259"/>
      <c r="BA105" s="259"/>
      <c r="BB105" s="259"/>
      <c r="BC105" s="259"/>
      <c r="BD105" s="259"/>
      <c r="BE105" s="259"/>
      <c r="BF105" s="259"/>
      <c r="BG105" s="259"/>
      <c r="BH105" s="259"/>
      <c r="BI105" s="259"/>
      <c r="BJ105" s="259"/>
      <c r="BK105" s="259"/>
      <c r="BL105" s="259"/>
      <c r="BM105" s="259"/>
      <c r="BN105" s="259"/>
      <c r="BO105" s="259"/>
      <c r="BP105" s="259"/>
    </row>
    <row r="106" customFormat="false" ht="15" hidden="false" customHeight="false" outlineLevel="0" collapsed="false">
      <c r="C106" s="0" t="s">
        <v>1077</v>
      </c>
      <c r="D106" s="0" t="s">
        <v>51</v>
      </c>
      <c r="E106" s="141" t="n">
        <f aca="false">IF(Inputs!$E$35=1,Inputs!$E$33,1)</f>
        <v>1</v>
      </c>
      <c r="F106" s="158"/>
      <c r="G106" s="158"/>
      <c r="H106" s="158"/>
      <c r="I106" s="158"/>
      <c r="J106" s="158"/>
      <c r="K106" s="158"/>
      <c r="L106" s="158"/>
      <c r="M106" s="158"/>
      <c r="N106" s="158"/>
      <c r="O106" s="158"/>
      <c r="P106" s="158"/>
      <c r="Q106" s="158"/>
      <c r="R106" s="158"/>
      <c r="S106" s="158"/>
      <c r="T106" s="158"/>
      <c r="U106" s="158"/>
      <c r="V106" s="158"/>
      <c r="W106" s="158"/>
      <c r="X106" s="158"/>
      <c r="Y106" s="158"/>
      <c r="Z106" s="158"/>
      <c r="AA106" s="158"/>
      <c r="AB106" s="158"/>
      <c r="AC106" s="158"/>
      <c r="AD106" s="158"/>
      <c r="AE106" s="158"/>
      <c r="AF106" s="158"/>
      <c r="AG106" s="158"/>
      <c r="AH106" s="158"/>
      <c r="AI106" s="158"/>
      <c r="AJ106" s="158"/>
      <c r="AK106" s="158"/>
      <c r="AL106" s="158"/>
      <c r="AM106" s="158"/>
      <c r="AN106" s="158"/>
      <c r="AO106" s="158"/>
      <c r="AP106" s="158"/>
      <c r="AQ106" s="158"/>
      <c r="AR106" s="158"/>
      <c r="AS106" s="158"/>
      <c r="AT106" s="158"/>
      <c r="AU106" s="158"/>
      <c r="AV106" s="158"/>
      <c r="AW106" s="158"/>
      <c r="AX106" s="158"/>
      <c r="AY106" s="158"/>
      <c r="AZ106" s="158"/>
      <c r="BA106" s="158"/>
      <c r="BB106" s="158"/>
      <c r="BC106" s="158"/>
      <c r="BD106" s="158"/>
      <c r="BE106" s="158"/>
      <c r="BF106" s="158"/>
      <c r="BG106" s="158"/>
      <c r="BH106" s="158"/>
      <c r="BI106" s="158"/>
      <c r="BJ106" s="158"/>
      <c r="BK106" s="158"/>
      <c r="BL106" s="158"/>
      <c r="BM106" s="158"/>
      <c r="BN106" s="158"/>
      <c r="BO106" s="158"/>
      <c r="BP106" s="158"/>
    </row>
    <row r="107" customFormat="false" ht="15" hidden="false" customHeight="false" outlineLevel="0" collapsed="false">
      <c r="C107" s="0" t="s">
        <v>1078</v>
      </c>
      <c r="D107" s="0" t="s">
        <v>51</v>
      </c>
      <c r="E107" s="141" t="n">
        <f aca="false">1-E106</f>
        <v>0</v>
      </c>
      <c r="F107" s="158"/>
      <c r="G107" s="158"/>
      <c r="H107" s="158"/>
      <c r="I107" s="158"/>
      <c r="J107" s="158"/>
      <c r="K107" s="158"/>
      <c r="L107" s="158"/>
      <c r="M107" s="158"/>
      <c r="N107" s="158"/>
      <c r="O107" s="158"/>
      <c r="P107" s="158"/>
      <c r="Q107" s="158"/>
      <c r="R107" s="158"/>
      <c r="S107" s="158"/>
      <c r="T107" s="158"/>
      <c r="U107" s="158"/>
      <c r="V107" s="158"/>
      <c r="W107" s="158"/>
      <c r="X107" s="158"/>
      <c r="Y107" s="158"/>
      <c r="Z107" s="158"/>
      <c r="AA107" s="158"/>
      <c r="AB107" s="158"/>
      <c r="AC107" s="158"/>
      <c r="AD107" s="158"/>
      <c r="AE107" s="158"/>
      <c r="AF107" s="158"/>
      <c r="AG107" s="158"/>
      <c r="AH107" s="158"/>
      <c r="AI107" s="158"/>
      <c r="AJ107" s="158"/>
      <c r="AK107" s="158"/>
      <c r="AL107" s="158"/>
      <c r="AM107" s="158"/>
      <c r="AN107" s="158"/>
      <c r="AO107" s="158"/>
      <c r="AP107" s="158"/>
      <c r="AQ107" s="158"/>
      <c r="AR107" s="158"/>
      <c r="AS107" s="158"/>
      <c r="AT107" s="158"/>
      <c r="AU107" s="158"/>
      <c r="AV107" s="158"/>
      <c r="AW107" s="158"/>
      <c r="AX107" s="158"/>
      <c r="AY107" s="158"/>
      <c r="AZ107" s="158"/>
      <c r="BA107" s="158"/>
      <c r="BB107" s="158"/>
      <c r="BC107" s="158"/>
      <c r="BD107" s="158"/>
      <c r="BE107" s="158"/>
      <c r="BF107" s="158"/>
      <c r="BG107" s="158"/>
      <c r="BH107" s="158"/>
      <c r="BI107" s="158"/>
      <c r="BJ107" s="158"/>
      <c r="BK107" s="158"/>
      <c r="BL107" s="158"/>
      <c r="BM107" s="158"/>
      <c r="BN107" s="158"/>
      <c r="BO107" s="158"/>
      <c r="BP107" s="158"/>
    </row>
    <row r="108" customFormat="false" ht="15" hidden="false" customHeight="false" outlineLevel="0" collapsed="false">
      <c r="C108" s="205" t="s">
        <v>1079</v>
      </c>
      <c r="D108" s="205"/>
      <c r="E108" s="251"/>
      <c r="F108" s="251"/>
      <c r="G108" s="251"/>
      <c r="H108" s="251"/>
      <c r="I108" s="251"/>
      <c r="J108" s="251"/>
      <c r="K108" s="251"/>
      <c r="L108" s="251"/>
      <c r="M108" s="251"/>
      <c r="N108" s="251"/>
      <c r="O108" s="251"/>
      <c r="P108" s="251"/>
      <c r="Q108" s="251"/>
      <c r="R108" s="251"/>
      <c r="S108" s="251"/>
      <c r="T108" s="251"/>
      <c r="U108" s="251"/>
      <c r="V108" s="251"/>
      <c r="W108" s="251"/>
      <c r="X108" s="251"/>
      <c r="Y108" s="251"/>
      <c r="Z108" s="251"/>
      <c r="AA108" s="251"/>
      <c r="AB108" s="251"/>
      <c r="AC108" s="251"/>
      <c r="AD108" s="251"/>
      <c r="AE108" s="251"/>
      <c r="AF108" s="251"/>
      <c r="AG108" s="251"/>
      <c r="AH108" s="251"/>
      <c r="AI108" s="251"/>
      <c r="AJ108" s="251"/>
      <c r="AK108" s="251"/>
      <c r="AL108" s="251"/>
      <c r="AM108" s="251"/>
      <c r="AN108" s="251"/>
      <c r="AO108" s="251"/>
      <c r="AP108" s="251"/>
      <c r="AQ108" s="251"/>
      <c r="AR108" s="251"/>
      <c r="AS108" s="251"/>
      <c r="AT108" s="251"/>
      <c r="AU108" s="251"/>
      <c r="AV108" s="251"/>
      <c r="AW108" s="251"/>
      <c r="AX108" s="251"/>
      <c r="AY108" s="251"/>
      <c r="AZ108" s="251"/>
      <c r="BA108" s="251"/>
      <c r="BB108" s="251"/>
      <c r="BC108" s="251"/>
      <c r="BD108" s="251"/>
      <c r="BE108" s="251"/>
      <c r="BF108" s="251"/>
      <c r="BG108" s="251"/>
      <c r="BH108" s="251"/>
      <c r="BI108" s="251"/>
      <c r="BJ108" s="251"/>
      <c r="BK108" s="251"/>
      <c r="BL108" s="251"/>
      <c r="BM108" s="251"/>
      <c r="BN108" s="251"/>
      <c r="BO108" s="251"/>
      <c r="BP108" s="251"/>
    </row>
    <row r="109" customFormat="false" ht="15" hidden="false" customHeight="false" outlineLevel="0" collapsed="false">
      <c r="C109" s="0" t="s">
        <v>1048</v>
      </c>
      <c r="D109" s="0" t="s">
        <v>125</v>
      </c>
      <c r="E109" s="158"/>
      <c r="F109" s="158"/>
      <c r="G109" s="158"/>
      <c r="H109" s="158" t="n">
        <v>0</v>
      </c>
      <c r="I109" s="158" t="n">
        <f aca="false">H113</f>
        <v>0</v>
      </c>
      <c r="J109" s="158" t="n">
        <f aca="false">I113</f>
        <v>0</v>
      </c>
      <c r="K109" s="158" t="n">
        <f aca="false">J113</f>
        <v>0</v>
      </c>
      <c r="L109" s="158" t="n">
        <f aca="false">K113</f>
        <v>0</v>
      </c>
      <c r="M109" s="158" t="n">
        <f aca="false">L113</f>
        <v>0</v>
      </c>
      <c r="N109" s="158" t="n">
        <f aca="false">M113</f>
        <v>1244.57522416592</v>
      </c>
      <c r="O109" s="158" t="n">
        <f aca="false">N113</f>
        <v>1256.38474075955</v>
      </c>
      <c r="P109" s="158" t="n">
        <f aca="false">O113</f>
        <v>1268.30631541078</v>
      </c>
      <c r="Q109" s="158" t="n">
        <f aca="false">P113</f>
        <v>1280.34101141534</v>
      </c>
      <c r="R109" s="158" t="n">
        <f aca="false">Q113</f>
        <v>1292.48990215832</v>
      </c>
      <c r="S109" s="158" t="n">
        <f aca="false">R113</f>
        <v>1304.75407120994</v>
      </c>
      <c r="T109" s="158" t="n">
        <f aca="false">S113</f>
        <v>1317.1346124222</v>
      </c>
      <c r="U109" s="158" t="n">
        <f aca="false">T113</f>
        <v>1329.63263002645</v>
      </c>
      <c r="V109" s="158" t="n">
        <f aca="false">U113</f>
        <v>1342.24923873183</v>
      </c>
      <c r="W109" s="158" t="n">
        <f aca="false">V113</f>
        <v>1354.98556382476</v>
      </c>
      <c r="X109" s="158" t="n">
        <f aca="false">W113</f>
        <v>1367.84274126924</v>
      </c>
      <c r="Y109" s="158" t="n">
        <f aca="false">X113</f>
        <v>1380.82191780822</v>
      </c>
      <c r="Z109" s="158" t="n">
        <f aca="false">Y113</f>
        <v>1393.92425106584</v>
      </c>
      <c r="AA109" s="158" t="n">
        <f aca="false">Z113</f>
        <v>1407.15090965069</v>
      </c>
      <c r="AB109" s="158" t="n">
        <f aca="false">AA113</f>
        <v>1420.50307326008</v>
      </c>
      <c r="AC109" s="158" t="n">
        <f aca="false">AB113</f>
        <v>1433.98193278518</v>
      </c>
      <c r="AD109" s="158" t="n">
        <f aca="false">AC113</f>
        <v>1447.58869041731</v>
      </c>
      <c r="AE109" s="158" t="n">
        <f aca="false">AD113</f>
        <v>1461.32455975513</v>
      </c>
      <c r="AF109" s="158" t="n">
        <f aca="false">AE113</f>
        <v>1475.19076591287</v>
      </c>
      <c r="AG109" s="158" t="n">
        <f aca="false">AF113</f>
        <v>1489.18854562962</v>
      </c>
      <c r="AH109" s="158" t="n">
        <f aca="false">AG113</f>
        <v>1503.31914737965</v>
      </c>
      <c r="AI109" s="158" t="n">
        <f aca="false">AH113</f>
        <v>1517.58383148373</v>
      </c>
      <c r="AJ109" s="158" t="n">
        <f aca="false">AI113</f>
        <v>1531.98387022155</v>
      </c>
      <c r="AK109" s="158" t="n">
        <f aca="false">AJ113</f>
        <v>1546.52054794521</v>
      </c>
      <c r="AL109" s="158" t="n">
        <f aca="false">AK113</f>
        <v>1561.19516119374</v>
      </c>
      <c r="AM109" s="158" t="n">
        <f aca="false">AL113</f>
        <v>21243.9026857278</v>
      </c>
      <c r="AN109" s="158" t="n">
        <f aca="false">AM113</f>
        <v>21445.4816794351</v>
      </c>
      <c r="AO109" s="158" t="n">
        <f aca="false">AN113</f>
        <v>21648.9734144737</v>
      </c>
      <c r="AP109" s="158" t="n">
        <f aca="false">AO113</f>
        <v>21854.3960404499</v>
      </c>
      <c r="AQ109" s="158" t="n">
        <f aca="false">AP113</f>
        <v>22061.7678791881</v>
      </c>
      <c r="AR109" s="158" t="n">
        <f aca="false">AQ113</f>
        <v>22271.1074263646</v>
      </c>
      <c r="AS109" s="158" t="n">
        <f aca="false">AR113</f>
        <v>22271.1074263646</v>
      </c>
      <c r="AT109" s="158" t="n">
        <f aca="false">AS113</f>
        <v>22271.1074263646</v>
      </c>
      <c r="AU109" s="158" t="n">
        <f aca="false">AT113</f>
        <v>0</v>
      </c>
      <c r="AV109" s="158" t="n">
        <f aca="false">AU113</f>
        <v>0</v>
      </c>
      <c r="AW109" s="158" t="n">
        <f aca="false">AV113</f>
        <v>0</v>
      </c>
      <c r="AX109" s="158" t="n">
        <f aca="false">AW113</f>
        <v>0</v>
      </c>
      <c r="AY109" s="158" t="n">
        <f aca="false">AX113</f>
        <v>0</v>
      </c>
      <c r="AZ109" s="158" t="n">
        <f aca="false">AY113</f>
        <v>0</v>
      </c>
      <c r="BA109" s="158" t="n">
        <f aca="false">AZ113</f>
        <v>0</v>
      </c>
      <c r="BB109" s="158" t="n">
        <f aca="false">BA113</f>
        <v>0</v>
      </c>
      <c r="BC109" s="158" t="n">
        <f aca="false">BB113</f>
        <v>0</v>
      </c>
      <c r="BD109" s="158" t="n">
        <f aca="false">BC113</f>
        <v>0</v>
      </c>
      <c r="BE109" s="158" t="n">
        <f aca="false">BD113</f>
        <v>0</v>
      </c>
      <c r="BF109" s="158" t="n">
        <f aca="false">BE113</f>
        <v>0</v>
      </c>
      <c r="BG109" s="158" t="n">
        <f aca="false">BF113</f>
        <v>0</v>
      </c>
      <c r="BH109" s="158" t="n">
        <f aca="false">BG113</f>
        <v>0</v>
      </c>
      <c r="BI109" s="158" t="n">
        <f aca="false">BH113</f>
        <v>0</v>
      </c>
      <c r="BJ109" s="158" t="n">
        <f aca="false">BI113</f>
        <v>0</v>
      </c>
      <c r="BK109" s="158" t="n">
        <f aca="false">BJ113</f>
        <v>0</v>
      </c>
      <c r="BL109" s="158" t="n">
        <f aca="false">BK113</f>
        <v>0</v>
      </c>
      <c r="BM109" s="158" t="n">
        <f aca="false">BL113</f>
        <v>0</v>
      </c>
      <c r="BN109" s="158" t="n">
        <f aca="false">BM113</f>
        <v>0</v>
      </c>
      <c r="BO109" s="158" t="n">
        <f aca="false">BN113</f>
        <v>0</v>
      </c>
      <c r="BP109" s="158" t="n">
        <f aca="false">BO113</f>
        <v>0</v>
      </c>
    </row>
    <row r="110" customFormat="false" ht="15" hidden="false" customHeight="false" outlineLevel="0" collapsed="false">
      <c r="C110" s="0" t="s">
        <v>1080</v>
      </c>
      <c r="D110" s="0" t="s">
        <v>125</v>
      </c>
      <c r="E110" s="158"/>
      <c r="F110" s="158"/>
      <c r="G110" s="158" t="n">
        <f aca="false">SUM(H110:BP110)</f>
        <v>20715.9000054795</v>
      </c>
      <c r="H110" s="158" t="n">
        <f aca="false">$E$106*H102</f>
        <v>0</v>
      </c>
      <c r="I110" s="158" t="n">
        <f aca="false">$E$106*I102</f>
        <v>0</v>
      </c>
      <c r="J110" s="158" t="n">
        <f aca="false">$E$106*J102</f>
        <v>0</v>
      </c>
      <c r="K110" s="158" t="n">
        <f aca="false">$E$106*K102</f>
        <v>0</v>
      </c>
      <c r="L110" s="158" t="n">
        <f aca="false">$E$106*L102</f>
        <v>0</v>
      </c>
      <c r="M110" s="158" t="n">
        <f aca="false">$E$106*M102</f>
        <v>1232.87671232877</v>
      </c>
      <c r="N110" s="158" t="n">
        <f aca="false">$E$106*N102</f>
        <v>0</v>
      </c>
      <c r="O110" s="158" t="n">
        <f aca="false">$E$106*O102</f>
        <v>0</v>
      </c>
      <c r="P110" s="158" t="n">
        <f aca="false">$E$106*P102</f>
        <v>0</v>
      </c>
      <c r="Q110" s="158" t="n">
        <f aca="false">$E$106*Q102</f>
        <v>0</v>
      </c>
      <c r="R110" s="158" t="n">
        <f aca="false">$E$106*R102</f>
        <v>0</v>
      </c>
      <c r="S110" s="158" t="n">
        <f aca="false">$E$106*S102</f>
        <v>0</v>
      </c>
      <c r="T110" s="158" t="n">
        <f aca="false">$E$106*T102</f>
        <v>0</v>
      </c>
      <c r="U110" s="158" t="n">
        <f aca="false">$E$106*U102</f>
        <v>0</v>
      </c>
      <c r="V110" s="158" t="n">
        <f aca="false">$E$106*V102</f>
        <v>0</v>
      </c>
      <c r="W110" s="158" t="n">
        <f aca="false">$E$106*W102</f>
        <v>0</v>
      </c>
      <c r="X110" s="158" t="n">
        <f aca="false">$E$106*X102</f>
        <v>0</v>
      </c>
      <c r="Y110" s="158" t="n">
        <f aca="false">$E$106*Y102</f>
        <v>0</v>
      </c>
      <c r="Z110" s="158" t="n">
        <f aca="false">$E$106*Z102</f>
        <v>0</v>
      </c>
      <c r="AA110" s="158" t="n">
        <f aca="false">$E$106*AA102</f>
        <v>0</v>
      </c>
      <c r="AB110" s="158" t="n">
        <f aca="false">$E$106*AB102</f>
        <v>0</v>
      </c>
      <c r="AC110" s="158" t="n">
        <f aca="false">$E$106*AC102</f>
        <v>0</v>
      </c>
      <c r="AD110" s="158" t="n">
        <f aca="false">$E$106*AD102</f>
        <v>0</v>
      </c>
      <c r="AE110" s="158" t="n">
        <f aca="false">$E$106*AE102</f>
        <v>0</v>
      </c>
      <c r="AF110" s="158" t="n">
        <f aca="false">$E$106*AF102</f>
        <v>0</v>
      </c>
      <c r="AG110" s="158" t="n">
        <f aca="false">$E$106*AG102</f>
        <v>0</v>
      </c>
      <c r="AH110" s="158" t="n">
        <f aca="false">$E$106*AH102</f>
        <v>0</v>
      </c>
      <c r="AI110" s="158" t="n">
        <f aca="false">$E$106*AI102</f>
        <v>0</v>
      </c>
      <c r="AJ110" s="158" t="n">
        <f aca="false">$E$106*AJ102</f>
        <v>0</v>
      </c>
      <c r="AK110" s="158" t="n">
        <f aca="false">$E$106*AK102</f>
        <v>0</v>
      </c>
      <c r="AL110" s="158" t="n">
        <f aca="false">$E$106*AL102</f>
        <v>19483.0232931507</v>
      </c>
      <c r="AM110" s="158" t="n">
        <f aca="false">$E$106*AM102</f>
        <v>0</v>
      </c>
      <c r="AN110" s="158" t="n">
        <f aca="false">$E$106*AN102</f>
        <v>0</v>
      </c>
      <c r="AO110" s="158" t="n">
        <f aca="false">$E$106*AO102</f>
        <v>0</v>
      </c>
      <c r="AP110" s="158" t="n">
        <f aca="false">$E$106*AP102</f>
        <v>0</v>
      </c>
      <c r="AQ110" s="158" t="n">
        <f aca="false">$E$106*AQ102</f>
        <v>0</v>
      </c>
      <c r="AR110" s="158" t="n">
        <f aca="false">$E$106*AR102</f>
        <v>0</v>
      </c>
      <c r="AS110" s="158" t="n">
        <f aca="false">$E$106*AS102</f>
        <v>0</v>
      </c>
      <c r="AT110" s="158" t="n">
        <f aca="false">$E$106*AT102</f>
        <v>0</v>
      </c>
      <c r="AU110" s="158" t="n">
        <f aca="false">$E$106*AU102</f>
        <v>0</v>
      </c>
      <c r="AV110" s="158" t="n">
        <f aca="false">$E$106*AV102</f>
        <v>0</v>
      </c>
      <c r="AW110" s="158" t="n">
        <f aca="false">$E$106*AW102</f>
        <v>0</v>
      </c>
      <c r="AX110" s="158" t="n">
        <f aca="false">$E$106*AX102</f>
        <v>0</v>
      </c>
      <c r="AY110" s="158" t="n">
        <f aca="false">$E$106*AY102</f>
        <v>0</v>
      </c>
      <c r="AZ110" s="158" t="n">
        <f aca="false">$E$106*AZ102</f>
        <v>0</v>
      </c>
      <c r="BA110" s="158" t="n">
        <f aca="false">$E$106*BA102</f>
        <v>0</v>
      </c>
      <c r="BB110" s="158" t="n">
        <f aca="false">$E$106*BB102</f>
        <v>0</v>
      </c>
      <c r="BC110" s="158" t="n">
        <f aca="false">$E$106*BC102</f>
        <v>0</v>
      </c>
      <c r="BD110" s="158" t="n">
        <f aca="false">$E$106*BD102</f>
        <v>0</v>
      </c>
      <c r="BE110" s="158" t="n">
        <f aca="false">$E$106*BE102</f>
        <v>0</v>
      </c>
      <c r="BF110" s="158" t="n">
        <f aca="false">$E$106*BF102</f>
        <v>0</v>
      </c>
      <c r="BG110" s="158" t="n">
        <f aca="false">$E$106*BG102</f>
        <v>0</v>
      </c>
      <c r="BH110" s="158" t="n">
        <f aca="false">$E$106*BH102</f>
        <v>0</v>
      </c>
      <c r="BI110" s="158" t="n">
        <f aca="false">$E$106*BI102</f>
        <v>0</v>
      </c>
      <c r="BJ110" s="158" t="n">
        <f aca="false">$E$106*BJ102</f>
        <v>0</v>
      </c>
      <c r="BK110" s="158" t="n">
        <f aca="false">$E$106*BK102</f>
        <v>0</v>
      </c>
      <c r="BL110" s="158" t="n">
        <f aca="false">$E$106*BL102</f>
        <v>0</v>
      </c>
      <c r="BM110" s="158" t="n">
        <f aca="false">$E$106*BM102</f>
        <v>0</v>
      </c>
      <c r="BN110" s="158" t="n">
        <f aca="false">$E$106*BN102</f>
        <v>0</v>
      </c>
      <c r="BO110" s="158" t="n">
        <f aca="false">$E$106*BO102</f>
        <v>0</v>
      </c>
      <c r="BP110" s="158" t="n">
        <f aca="false">$E$106*BP102</f>
        <v>0</v>
      </c>
    </row>
    <row r="111" customFormat="false" ht="15" hidden="false" customHeight="false" outlineLevel="0" collapsed="false">
      <c r="C111" s="0" t="s">
        <v>1081</v>
      </c>
      <c r="D111" s="0" t="s">
        <v>125</v>
      </c>
      <c r="E111" s="141" t="n">
        <f aca="false">Inputs!$E$61</f>
        <v>0.12</v>
      </c>
      <c r="F111" s="158"/>
      <c r="G111" s="158" t="n">
        <f aca="false">SUM(H111:BP111)</f>
        <v>1555.20742088512</v>
      </c>
      <c r="H111" s="158" t="n">
        <f aca="false">IF(Inputs!$E$69=1,(1+$E$111)^(1/12)-1,$E$111/12)*(H109+H110)*H$10</f>
        <v>0</v>
      </c>
      <c r="I111" s="158" t="n">
        <f aca="false">IF(Inputs!$E$69=1,(1+$E$111)^(1/12)-1,$E$111/12)*(I109+I110)*I$10</f>
        <v>0</v>
      </c>
      <c r="J111" s="158" t="n">
        <f aca="false">IF(Inputs!$E$69=1,(1+$E$111)^(1/12)-1,$E$111/12)*(J109+J110)*J$10</f>
        <v>0</v>
      </c>
      <c r="K111" s="158" t="n">
        <f aca="false">IF(Inputs!$E$69=1,(1+$E$111)^(1/12)-1,$E$111/12)*(K109+K110)*K$10</f>
        <v>0</v>
      </c>
      <c r="L111" s="158" t="n">
        <f aca="false">IF(Inputs!$E$69=1,(1+$E$111)^(1/12)-1,$E$111/12)*(L109+L110)*L$10</f>
        <v>0</v>
      </c>
      <c r="M111" s="158" t="n">
        <f aca="false">IF(Inputs!$E$69=1,(1+$E$111)^(1/12)-1,$E$111/12)*(M109+M110)*M$10</f>
        <v>11.6985118371572</v>
      </c>
      <c r="N111" s="158" t="n">
        <f aca="false">IF(Inputs!$E$69=1,(1+$E$111)^(1/12)-1,$E$111/12)*(N109+N110)*N$10</f>
        <v>11.8095165936227</v>
      </c>
      <c r="O111" s="158" t="n">
        <f aca="false">IF(Inputs!$E$69=1,(1+$E$111)^(1/12)-1,$E$111/12)*(O109+O110)*O$10</f>
        <v>11.9215746512371</v>
      </c>
      <c r="P111" s="158" t="n">
        <f aca="false">IF(Inputs!$E$69=1,(1+$E$111)^(1/12)-1,$E$111/12)*(P109+P110)*P$10</f>
        <v>12.0346960045569</v>
      </c>
      <c r="Q111" s="158" t="n">
        <f aca="false">IF(Inputs!$E$69=1,(1+$E$111)^(1/12)-1,$E$111/12)*(Q109+Q110)*Q$10</f>
        <v>12.1488907429748</v>
      </c>
      <c r="R111" s="158" t="n">
        <f aca="false">IF(Inputs!$E$69=1,(1+$E$111)^(1/12)-1,$E$111/12)*(R109+R110)*R$10</f>
        <v>12.2641690516198</v>
      </c>
      <c r="S111" s="158" t="n">
        <f aca="false">IF(Inputs!$E$69=1,(1+$E$111)^(1/12)-1,$E$111/12)*(S109+S110)*S$10</f>
        <v>12.3805412122653</v>
      </c>
      <c r="T111" s="158" t="n">
        <f aca="false">IF(Inputs!$E$69=1,(1+$E$111)^(1/12)-1,$E$111/12)*(T109+T110)*T$10</f>
        <v>12.4980176042466</v>
      </c>
      <c r="U111" s="158" t="n">
        <f aca="false">IF(Inputs!$E$69=1,(1+$E$111)^(1/12)-1,$E$111/12)*(U109+U110)*U$10</f>
        <v>12.616608705386</v>
      </c>
      <c r="V111" s="158" t="n">
        <f aca="false">IF(Inputs!$E$69=1,(1+$E$111)^(1/12)-1,$E$111/12)*(V109+V110)*V$10</f>
        <v>12.7363250929281</v>
      </c>
      <c r="W111" s="158" t="n">
        <f aca="false">IF(Inputs!$E$69=1,(1+$E$111)^(1/12)-1,$E$111/12)*(W109+W110)*W$10</f>
        <v>12.8571774444824</v>
      </c>
      <c r="X111" s="158" t="n">
        <f aca="false">IF(Inputs!$E$69=1,(1+$E$111)^(1/12)-1,$E$111/12)*(X109+X110)*X$10</f>
        <v>12.9791765389763</v>
      </c>
      <c r="Y111" s="158" t="n">
        <f aca="false">IF(Inputs!$E$69=1,(1+$E$111)^(1/12)-1,$E$111/12)*(Y109+Y110)*Y$10</f>
        <v>13.1023332576161</v>
      </c>
      <c r="Z111" s="158" t="n">
        <f aca="false">IF(Inputs!$E$69=1,(1+$E$111)^(1/12)-1,$E$111/12)*(Z109+Z110)*Z$10</f>
        <v>13.2266585848575</v>
      </c>
      <c r="AA111" s="158" t="n">
        <f aca="false">IF(Inputs!$E$69=1,(1+$E$111)^(1/12)-1,$E$111/12)*(AA109+AA110)*AA$10</f>
        <v>13.3521636093856</v>
      </c>
      <c r="AB111" s="158" t="n">
        <f aca="false">IF(Inputs!$E$69=1,(1+$E$111)^(1/12)-1,$E$111/12)*(AB109+AB110)*AB$10</f>
        <v>13.4788595251037</v>
      </c>
      <c r="AC111" s="158" t="n">
        <f aca="false">IF(Inputs!$E$69=1,(1+$E$111)^(1/12)-1,$E$111/12)*(AC109+AC110)*AC$10</f>
        <v>13.6067576321318</v>
      </c>
      <c r="AD111" s="158" t="n">
        <f aca="false">IF(Inputs!$E$69=1,(1+$E$111)^(1/12)-1,$E$111/12)*(AD109+AD110)*AD$10</f>
        <v>13.7358693378141</v>
      </c>
      <c r="AE111" s="158" t="n">
        <f aca="false">IF(Inputs!$E$69=1,(1+$E$111)^(1/12)-1,$E$111/12)*(AE109+AE110)*AE$10</f>
        <v>13.8662061577371</v>
      </c>
      <c r="AF111" s="158" t="n">
        <f aca="false">IF(Inputs!$E$69=1,(1+$E$111)^(1/12)-1,$E$111/12)*(AF109+AF110)*AF$10</f>
        <v>13.9977797167562</v>
      </c>
      <c r="AG111" s="158" t="n">
        <f aca="false">IF(Inputs!$E$69=1,(1+$E$111)^(1/12)-1,$E$111/12)*(AG109+AG110)*AG$10</f>
        <v>14.1306017500324</v>
      </c>
      <c r="AH111" s="158" t="n">
        <f aca="false">IF(Inputs!$E$69=1,(1+$E$111)^(1/12)-1,$E$111/12)*(AH109+AH110)*AH$10</f>
        <v>14.2646841040795</v>
      </c>
      <c r="AI111" s="158" t="n">
        <f aca="false">IF(Inputs!$E$69=1,(1+$E$111)^(1/12)-1,$E$111/12)*(AI109+AI110)*AI$10</f>
        <v>14.4000387378203</v>
      </c>
      <c r="AJ111" s="158" t="n">
        <f aca="false">IF(Inputs!$E$69=1,(1+$E$111)^(1/12)-1,$E$111/12)*(AJ109+AJ110)*AJ$10</f>
        <v>14.5366777236535</v>
      </c>
      <c r="AK111" s="158" t="n">
        <f aca="false">IF(Inputs!$E$69=1,(1+$E$111)^(1/12)-1,$E$111/12)*(AK109+AK110)*AK$10</f>
        <v>14.67461324853</v>
      </c>
      <c r="AL111" s="158" t="n">
        <f aca="false">IF(Inputs!$E$69=1,(1+$E$111)^(1/12)-1,$E$111/12)*(AL109+AL110)*AL$10</f>
        <v>199.684231383406</v>
      </c>
      <c r="AM111" s="158" t="n">
        <f aca="false">IF(Inputs!$E$69=1,(1+$E$111)^(1/12)-1,$E$111/12)*(AM109+AM110)*AM$10</f>
        <v>201.578993707304</v>
      </c>
      <c r="AN111" s="158" t="n">
        <f aca="false">IF(Inputs!$E$69=1,(1+$E$111)^(1/12)-1,$E$111/12)*(AN109+AN110)*AN$10</f>
        <v>203.491735038554</v>
      </c>
      <c r="AO111" s="158" t="n">
        <f aca="false">IF(Inputs!$E$69=1,(1+$E$111)^(1/12)-1,$E$111/12)*(AO109+AO110)*AO$10</f>
        <v>205.422625976234</v>
      </c>
      <c r="AP111" s="158" t="n">
        <f aca="false">IF(Inputs!$E$69=1,(1+$E$111)^(1/12)-1,$E$111/12)*(AP109+AP110)*AP$10</f>
        <v>207.371838738201</v>
      </c>
      <c r="AQ111" s="158" t="n">
        <f aca="false">IF(Inputs!$E$69=1,(1+$E$111)^(1/12)-1,$E$111/12)*(AQ109+AQ110)*AQ$10</f>
        <v>209.339547176451</v>
      </c>
      <c r="AR111" s="158" t="n">
        <f aca="false">IF(Inputs!$E$69=1,(1+$E$111)^(1/12)-1,$E$111/12)*(AR109+AR110)*AR$10</f>
        <v>0</v>
      </c>
      <c r="AS111" s="158" t="n">
        <f aca="false">IF(Inputs!$E$69=1,(1+$E$111)^(1/12)-1,$E$111/12)*(AS109+AS110)*AS$10</f>
        <v>0</v>
      </c>
      <c r="AT111" s="158" t="n">
        <f aca="false">IF(Inputs!$E$69=1,(1+$E$111)^(1/12)-1,$E$111/12)*(AT109+AT110)*AT$10</f>
        <v>0</v>
      </c>
      <c r="AU111" s="158" t="n">
        <f aca="false">IF(Inputs!$E$69=1,(1+$E$111)^(1/12)-1,$E$111/12)*(AU109+AU110)*AU$10</f>
        <v>0</v>
      </c>
      <c r="AV111" s="158" t="n">
        <f aca="false">IF(Inputs!$E$69=1,(1+$E$111)^(1/12)-1,$E$111/12)*(AV109+AV110)*AV$10</f>
        <v>0</v>
      </c>
      <c r="AW111" s="158" t="n">
        <f aca="false">IF(Inputs!$E$69=1,(1+$E$111)^(1/12)-1,$E$111/12)*(AW109+AW110)*AW$10</f>
        <v>0</v>
      </c>
      <c r="AX111" s="158" t="n">
        <f aca="false">IF(Inputs!$E$69=1,(1+$E$111)^(1/12)-1,$E$111/12)*(AX109+AX110)*AX$10</f>
        <v>0</v>
      </c>
      <c r="AY111" s="158" t="n">
        <f aca="false">IF(Inputs!$E$69=1,(1+$E$111)^(1/12)-1,$E$111/12)*(AY109+AY110)*AY$10</f>
        <v>0</v>
      </c>
      <c r="AZ111" s="158" t="n">
        <f aca="false">IF(Inputs!$E$69=1,(1+$E$111)^(1/12)-1,$E$111/12)*(AZ109+AZ110)*AZ$10</f>
        <v>0</v>
      </c>
      <c r="BA111" s="158" t="n">
        <f aca="false">IF(Inputs!$E$69=1,(1+$E$111)^(1/12)-1,$E$111/12)*(BA109+BA110)*BA$10</f>
        <v>0</v>
      </c>
      <c r="BB111" s="158" t="n">
        <f aca="false">IF(Inputs!$E$69=1,(1+$E$111)^(1/12)-1,$E$111/12)*(BB109+BB110)*BB$10</f>
        <v>0</v>
      </c>
      <c r="BC111" s="158" t="n">
        <f aca="false">IF(Inputs!$E$69=1,(1+$E$111)^(1/12)-1,$E$111/12)*(BC109+BC110)*BC$10</f>
        <v>0</v>
      </c>
      <c r="BD111" s="158" t="n">
        <f aca="false">IF(Inputs!$E$69=1,(1+$E$111)^(1/12)-1,$E$111/12)*(BD109+BD110)*BD$10</f>
        <v>0</v>
      </c>
      <c r="BE111" s="158" t="n">
        <f aca="false">IF(Inputs!$E$69=1,(1+$E$111)^(1/12)-1,$E$111/12)*(BE109+BE110)*BE$10</f>
        <v>0</v>
      </c>
      <c r="BF111" s="158" t="n">
        <f aca="false">IF(Inputs!$E$69=1,(1+$E$111)^(1/12)-1,$E$111/12)*(BF109+BF110)*BF$10</f>
        <v>0</v>
      </c>
      <c r="BG111" s="158" t="n">
        <f aca="false">IF(Inputs!$E$69=1,(1+$E$111)^(1/12)-1,$E$111/12)*(BG109+BG110)*BG$10</f>
        <v>0</v>
      </c>
      <c r="BH111" s="158" t="n">
        <f aca="false">IF(Inputs!$E$69=1,(1+$E$111)^(1/12)-1,$E$111/12)*(BH109+BH110)*BH$10</f>
        <v>0</v>
      </c>
      <c r="BI111" s="158" t="n">
        <f aca="false">IF(Inputs!$E$69=1,(1+$E$111)^(1/12)-1,$E$111/12)*(BI109+BI110)*BI$10</f>
        <v>0</v>
      </c>
      <c r="BJ111" s="158" t="n">
        <f aca="false">IF(Inputs!$E$69=1,(1+$E$111)^(1/12)-1,$E$111/12)*(BJ109+BJ110)*BJ$10</f>
        <v>0</v>
      </c>
      <c r="BK111" s="158" t="n">
        <f aca="false">IF(Inputs!$E$69=1,(1+$E$111)^(1/12)-1,$E$111/12)*(BK109+BK110)*BK$10</f>
        <v>0</v>
      </c>
      <c r="BL111" s="158" t="n">
        <f aca="false">IF(Inputs!$E$69=1,(1+$E$111)^(1/12)-1,$E$111/12)*(BL109+BL110)*BL$10</f>
        <v>0</v>
      </c>
      <c r="BM111" s="158" t="n">
        <f aca="false">IF(Inputs!$E$69=1,(1+$E$111)^(1/12)-1,$E$111/12)*(BM109+BM110)*BM$10</f>
        <v>0</v>
      </c>
      <c r="BN111" s="158" t="n">
        <f aca="false">IF(Inputs!$E$69=1,(1+$E$111)^(1/12)-1,$E$111/12)*(BN109+BN110)*BN$10</f>
        <v>0</v>
      </c>
      <c r="BO111" s="158" t="n">
        <f aca="false">IF(Inputs!$E$69=1,(1+$E$111)^(1/12)-1,$E$111/12)*(BO109+BO110)*BO$10</f>
        <v>0</v>
      </c>
      <c r="BP111" s="158" t="n">
        <f aca="false">IF(Inputs!$E$69=1,(1+$E$111)^(1/12)-1,$E$111/12)*(BP109+BP110)*BP$10</f>
        <v>0</v>
      </c>
    </row>
    <row r="112" customFormat="false" ht="15" hidden="false" customHeight="false" outlineLevel="0" collapsed="false">
      <c r="C112" s="0" t="s">
        <v>1082</v>
      </c>
      <c r="D112" s="0" t="s">
        <v>125</v>
      </c>
      <c r="E112" s="158"/>
      <c r="F112" s="158"/>
      <c r="G112" s="158" t="n">
        <f aca="false">SUM(H112:BP112)</f>
        <v>-22271.1074263646</v>
      </c>
      <c r="H112" s="158" t="n">
        <f aca="false">-H$7*(H109+H110+H111)</f>
        <v>-0</v>
      </c>
      <c r="I112" s="158" t="n">
        <f aca="false">-I$7*(I109+I110+I111)</f>
        <v>-0</v>
      </c>
      <c r="J112" s="158" t="n">
        <f aca="false">-J$7*(J109+J110+J111)</f>
        <v>-0</v>
      </c>
      <c r="K112" s="158" t="n">
        <f aca="false">-K$7*(K109+K110+K111)</f>
        <v>-0</v>
      </c>
      <c r="L112" s="158" t="n">
        <f aca="false">-L$7*(L109+L110+L111)</f>
        <v>-0</v>
      </c>
      <c r="M112" s="158" t="n">
        <f aca="false">-M$7*(M109+M110+M111)</f>
        <v>-0</v>
      </c>
      <c r="N112" s="158" t="n">
        <f aca="false">-N$7*(N109+N110+N111)</f>
        <v>-0</v>
      </c>
      <c r="O112" s="158" t="n">
        <f aca="false">-O$7*(O109+O110+O111)</f>
        <v>-0</v>
      </c>
      <c r="P112" s="158" t="n">
        <f aca="false">-P$7*(P109+P110+P111)</f>
        <v>-0</v>
      </c>
      <c r="Q112" s="158" t="n">
        <f aca="false">-Q$7*(Q109+Q110+Q111)</f>
        <v>-0</v>
      </c>
      <c r="R112" s="158" t="n">
        <f aca="false">-R$7*(R109+R110+R111)</f>
        <v>-0</v>
      </c>
      <c r="S112" s="158" t="n">
        <f aca="false">-S$7*(S109+S110+S111)</f>
        <v>-0</v>
      </c>
      <c r="T112" s="158" t="n">
        <f aca="false">-T$7*(T109+T110+T111)</f>
        <v>-0</v>
      </c>
      <c r="U112" s="158" t="n">
        <f aca="false">-U$7*(U109+U110+U111)</f>
        <v>-0</v>
      </c>
      <c r="V112" s="158" t="n">
        <f aca="false">-V$7*(V109+V110+V111)</f>
        <v>-0</v>
      </c>
      <c r="W112" s="158" t="n">
        <f aca="false">-W$7*(W109+W110+W111)</f>
        <v>-0</v>
      </c>
      <c r="X112" s="158" t="n">
        <f aca="false">-X$7*(X109+X110+X111)</f>
        <v>-0</v>
      </c>
      <c r="Y112" s="158" t="n">
        <f aca="false">-Y$7*(Y109+Y110+Y111)</f>
        <v>-0</v>
      </c>
      <c r="Z112" s="158" t="n">
        <f aca="false">-Z$7*(Z109+Z110+Z111)</f>
        <v>-0</v>
      </c>
      <c r="AA112" s="158" t="n">
        <f aca="false">-AA$7*(AA109+AA110+AA111)</f>
        <v>-0</v>
      </c>
      <c r="AB112" s="158" t="n">
        <f aca="false">-AB$7*(AB109+AB110+AB111)</f>
        <v>-0</v>
      </c>
      <c r="AC112" s="158" t="n">
        <f aca="false">-AC$7*(AC109+AC110+AC111)</f>
        <v>-0</v>
      </c>
      <c r="AD112" s="158" t="n">
        <f aca="false">-AD$7*(AD109+AD110+AD111)</f>
        <v>-0</v>
      </c>
      <c r="AE112" s="158" t="n">
        <f aca="false">-AE$7*(AE109+AE110+AE111)</f>
        <v>-0</v>
      </c>
      <c r="AF112" s="158" t="n">
        <f aca="false">-AF$7*(AF109+AF110+AF111)</f>
        <v>-0</v>
      </c>
      <c r="AG112" s="158" t="n">
        <f aca="false">-AG$7*(AG109+AG110+AG111)</f>
        <v>-0</v>
      </c>
      <c r="AH112" s="158" t="n">
        <f aca="false">-AH$7*(AH109+AH110+AH111)</f>
        <v>-0</v>
      </c>
      <c r="AI112" s="158" t="n">
        <f aca="false">-AI$7*(AI109+AI110+AI111)</f>
        <v>-0</v>
      </c>
      <c r="AJ112" s="158" t="n">
        <f aca="false">-AJ$7*(AJ109+AJ110+AJ111)</f>
        <v>-0</v>
      </c>
      <c r="AK112" s="158" t="n">
        <f aca="false">-AK$7*(AK109+AK110+AK111)</f>
        <v>-0</v>
      </c>
      <c r="AL112" s="158" t="n">
        <f aca="false">-AL$7*(AL109+AL110+AL111)</f>
        <v>-0</v>
      </c>
      <c r="AM112" s="158" t="n">
        <f aca="false">-AM$7*(AM109+AM110+AM111)</f>
        <v>-0</v>
      </c>
      <c r="AN112" s="158" t="n">
        <f aca="false">-AN$7*(AN109+AN110+AN111)</f>
        <v>-0</v>
      </c>
      <c r="AO112" s="158" t="n">
        <f aca="false">-AO$7*(AO109+AO110+AO111)</f>
        <v>-0</v>
      </c>
      <c r="AP112" s="158" t="n">
        <f aca="false">-AP$7*(AP109+AP110+AP111)</f>
        <v>-0</v>
      </c>
      <c r="AQ112" s="158" t="n">
        <f aca="false">-AQ$7*(AQ109+AQ110+AQ111)</f>
        <v>-0</v>
      </c>
      <c r="AR112" s="158" t="n">
        <f aca="false">-AR$7*(AR109+AR110+AR111)</f>
        <v>-0</v>
      </c>
      <c r="AS112" s="158" t="n">
        <f aca="false">-AS$7*(AS109+AS110+AS111)</f>
        <v>-0</v>
      </c>
      <c r="AT112" s="158" t="n">
        <f aca="false">-AT$7*(AT109+AT110+AT111)</f>
        <v>-22271.1074263646</v>
      </c>
      <c r="AU112" s="158" t="n">
        <f aca="false">-AU$7*(AU109+AU110+AU111)</f>
        <v>-0</v>
      </c>
      <c r="AV112" s="158" t="n">
        <f aca="false">-AV$7*(AV109+AV110+AV111)</f>
        <v>-0</v>
      </c>
      <c r="AW112" s="158" t="n">
        <f aca="false">-AW$7*(AW109+AW110+AW111)</f>
        <v>-0</v>
      </c>
      <c r="AX112" s="158" t="n">
        <f aca="false">-AX$7*(AX109+AX110+AX111)</f>
        <v>-0</v>
      </c>
      <c r="AY112" s="158" t="n">
        <f aca="false">-AY$7*(AY109+AY110+AY111)</f>
        <v>-0</v>
      </c>
      <c r="AZ112" s="158" t="n">
        <f aca="false">-AZ$7*(AZ109+AZ110+AZ111)</f>
        <v>-0</v>
      </c>
      <c r="BA112" s="158" t="n">
        <f aca="false">-BA$7*(BA109+BA110+BA111)</f>
        <v>-0</v>
      </c>
      <c r="BB112" s="158" t="n">
        <f aca="false">-BB$7*(BB109+BB110+BB111)</f>
        <v>-0</v>
      </c>
      <c r="BC112" s="158" t="n">
        <f aca="false">-BC$7*(BC109+BC110+BC111)</f>
        <v>-0</v>
      </c>
      <c r="BD112" s="158" t="n">
        <f aca="false">-BD$7*(BD109+BD110+BD111)</f>
        <v>-0</v>
      </c>
      <c r="BE112" s="158" t="n">
        <f aca="false">-BE$7*(BE109+BE110+BE111)</f>
        <v>-0</v>
      </c>
      <c r="BF112" s="158" t="n">
        <f aca="false">-BF$7*(BF109+BF110+BF111)</f>
        <v>-0</v>
      </c>
      <c r="BG112" s="158" t="n">
        <f aca="false">-BG$7*(BG109+BG110+BG111)</f>
        <v>-0</v>
      </c>
      <c r="BH112" s="158" t="n">
        <f aca="false">-BH$7*(BH109+BH110+BH111)</f>
        <v>-0</v>
      </c>
      <c r="BI112" s="158" t="n">
        <f aca="false">-BI$7*(BI109+BI110+BI111)</f>
        <v>-0</v>
      </c>
      <c r="BJ112" s="158" t="n">
        <f aca="false">-BJ$7*(BJ109+BJ110+BJ111)</f>
        <v>-0</v>
      </c>
      <c r="BK112" s="158" t="n">
        <f aca="false">-BK$7*(BK109+BK110+BK111)</f>
        <v>-0</v>
      </c>
      <c r="BL112" s="158" t="n">
        <f aca="false">-BL$7*(BL109+BL110+BL111)</f>
        <v>-0</v>
      </c>
      <c r="BM112" s="158" t="n">
        <f aca="false">-BM$7*(BM109+BM110+BM111)</f>
        <v>-0</v>
      </c>
      <c r="BN112" s="158" t="n">
        <f aca="false">-BN$7*(BN109+BN110+BN111)</f>
        <v>-0</v>
      </c>
      <c r="BO112" s="158" t="n">
        <f aca="false">-BO$7*(BO109+BO110+BO111)</f>
        <v>-0</v>
      </c>
      <c r="BP112" s="158" t="n">
        <f aca="false">-BP$7*(BP109+BP110+BP111)</f>
        <v>-0</v>
      </c>
    </row>
    <row r="113" customFormat="false" ht="15" hidden="false" customHeight="false" outlineLevel="0" collapsed="false">
      <c r="C113" s="0" t="s">
        <v>1050</v>
      </c>
      <c r="D113" s="0" t="s">
        <v>125</v>
      </c>
      <c r="E113" s="158"/>
      <c r="F113" s="158"/>
      <c r="G113" s="158"/>
      <c r="H113" s="158" t="n">
        <f aca="false">SUM(H109:H112)</f>
        <v>0</v>
      </c>
      <c r="I113" s="158" t="n">
        <f aca="false">SUM(I109:I112)</f>
        <v>0</v>
      </c>
      <c r="J113" s="158" t="n">
        <f aca="false">SUM(J109:J112)</f>
        <v>0</v>
      </c>
      <c r="K113" s="158" t="n">
        <f aca="false">SUM(K109:K112)</f>
        <v>0</v>
      </c>
      <c r="L113" s="158" t="n">
        <f aca="false">SUM(L109:L112)</f>
        <v>0</v>
      </c>
      <c r="M113" s="158" t="n">
        <f aca="false">SUM(M109:M112)</f>
        <v>1244.57522416592</v>
      </c>
      <c r="N113" s="158" t="n">
        <f aca="false">SUM(N109:N112)</f>
        <v>1256.38474075955</v>
      </c>
      <c r="O113" s="158" t="n">
        <f aca="false">SUM(O109:O112)</f>
        <v>1268.30631541078</v>
      </c>
      <c r="P113" s="158" t="n">
        <f aca="false">SUM(P109:P112)</f>
        <v>1280.34101141534</v>
      </c>
      <c r="Q113" s="158" t="n">
        <f aca="false">SUM(Q109:Q112)</f>
        <v>1292.48990215832</v>
      </c>
      <c r="R113" s="158" t="n">
        <f aca="false">SUM(R109:R112)</f>
        <v>1304.75407120994</v>
      </c>
      <c r="S113" s="158" t="n">
        <f aca="false">SUM(S109:S112)</f>
        <v>1317.1346124222</v>
      </c>
      <c r="T113" s="158" t="n">
        <f aca="false">SUM(T109:T112)</f>
        <v>1329.63263002645</v>
      </c>
      <c r="U113" s="158" t="n">
        <f aca="false">SUM(U109:U112)</f>
        <v>1342.24923873183</v>
      </c>
      <c r="V113" s="158" t="n">
        <f aca="false">SUM(V109:V112)</f>
        <v>1354.98556382476</v>
      </c>
      <c r="W113" s="158" t="n">
        <f aca="false">SUM(W109:W112)</f>
        <v>1367.84274126924</v>
      </c>
      <c r="X113" s="158" t="n">
        <f aca="false">SUM(X109:X112)</f>
        <v>1380.82191780822</v>
      </c>
      <c r="Y113" s="158" t="n">
        <f aca="false">SUM(Y109:Y112)</f>
        <v>1393.92425106584</v>
      </c>
      <c r="Z113" s="158" t="n">
        <f aca="false">SUM(Z109:Z112)</f>
        <v>1407.15090965069</v>
      </c>
      <c r="AA113" s="158" t="n">
        <f aca="false">SUM(AA109:AA112)</f>
        <v>1420.50307326008</v>
      </c>
      <c r="AB113" s="158" t="n">
        <f aca="false">SUM(AB109:AB112)</f>
        <v>1433.98193278518</v>
      </c>
      <c r="AC113" s="158" t="n">
        <f aca="false">SUM(AC109:AC112)</f>
        <v>1447.58869041731</v>
      </c>
      <c r="AD113" s="158" t="n">
        <f aca="false">SUM(AD109:AD112)</f>
        <v>1461.32455975513</v>
      </c>
      <c r="AE113" s="158" t="n">
        <f aca="false">SUM(AE109:AE112)</f>
        <v>1475.19076591287</v>
      </c>
      <c r="AF113" s="158" t="n">
        <f aca="false">SUM(AF109:AF112)</f>
        <v>1489.18854562962</v>
      </c>
      <c r="AG113" s="158" t="n">
        <f aca="false">SUM(AG109:AG112)</f>
        <v>1503.31914737965</v>
      </c>
      <c r="AH113" s="158" t="n">
        <f aca="false">SUM(AH109:AH112)</f>
        <v>1517.58383148373</v>
      </c>
      <c r="AI113" s="158" t="n">
        <f aca="false">SUM(AI109:AI112)</f>
        <v>1531.98387022155</v>
      </c>
      <c r="AJ113" s="158" t="n">
        <f aca="false">SUM(AJ109:AJ112)</f>
        <v>1546.52054794521</v>
      </c>
      <c r="AK113" s="158" t="n">
        <f aca="false">SUM(AK109:AK112)</f>
        <v>1561.19516119374</v>
      </c>
      <c r="AL113" s="158" t="n">
        <f aca="false">SUM(AL109:AL112)</f>
        <v>21243.9026857278</v>
      </c>
      <c r="AM113" s="158" t="n">
        <f aca="false">SUM(AM109:AM112)</f>
        <v>21445.4816794351</v>
      </c>
      <c r="AN113" s="158" t="n">
        <f aca="false">SUM(AN109:AN112)</f>
        <v>21648.9734144737</v>
      </c>
      <c r="AO113" s="158" t="n">
        <f aca="false">SUM(AO109:AO112)</f>
        <v>21854.3960404499</v>
      </c>
      <c r="AP113" s="158" t="n">
        <f aca="false">SUM(AP109:AP112)</f>
        <v>22061.7678791881</v>
      </c>
      <c r="AQ113" s="158" t="n">
        <f aca="false">SUM(AQ109:AQ112)</f>
        <v>22271.1074263646</v>
      </c>
      <c r="AR113" s="158" t="n">
        <f aca="false">SUM(AR109:AR112)</f>
        <v>22271.1074263646</v>
      </c>
      <c r="AS113" s="158" t="n">
        <f aca="false">SUM(AS109:AS112)</f>
        <v>22271.1074263646</v>
      </c>
      <c r="AT113" s="158" t="n">
        <f aca="false">SUM(AT109:AT112)</f>
        <v>0</v>
      </c>
      <c r="AU113" s="158" t="n">
        <f aca="false">SUM(AU109:AU112)</f>
        <v>0</v>
      </c>
      <c r="AV113" s="158" t="n">
        <f aca="false">SUM(AV109:AV112)</f>
        <v>0</v>
      </c>
      <c r="AW113" s="158" t="n">
        <f aca="false">SUM(AW109:AW112)</f>
        <v>0</v>
      </c>
      <c r="AX113" s="158" t="n">
        <f aca="false">SUM(AX109:AX112)</f>
        <v>0</v>
      </c>
      <c r="AY113" s="158" t="n">
        <f aca="false">SUM(AY109:AY112)</f>
        <v>0</v>
      </c>
      <c r="AZ113" s="158" t="n">
        <f aca="false">SUM(AZ109:AZ112)</f>
        <v>0</v>
      </c>
      <c r="BA113" s="158" t="n">
        <f aca="false">SUM(BA109:BA112)</f>
        <v>0</v>
      </c>
      <c r="BB113" s="158" t="n">
        <f aca="false">SUM(BB109:BB112)</f>
        <v>0</v>
      </c>
      <c r="BC113" s="158" t="n">
        <f aca="false">SUM(BC109:BC112)</f>
        <v>0</v>
      </c>
      <c r="BD113" s="158" t="n">
        <f aca="false">SUM(BD109:BD112)</f>
        <v>0</v>
      </c>
      <c r="BE113" s="158" t="n">
        <f aca="false">SUM(BE109:BE112)</f>
        <v>0</v>
      </c>
      <c r="BF113" s="158" t="n">
        <f aca="false">SUM(BF109:BF112)</f>
        <v>0</v>
      </c>
      <c r="BG113" s="158" t="n">
        <f aca="false">SUM(BG109:BG112)</f>
        <v>0</v>
      </c>
      <c r="BH113" s="158" t="n">
        <f aca="false">SUM(BH109:BH112)</f>
        <v>0</v>
      </c>
      <c r="BI113" s="158" t="n">
        <f aca="false">SUM(BI109:BI112)</f>
        <v>0</v>
      </c>
      <c r="BJ113" s="158" t="n">
        <f aca="false">SUM(BJ109:BJ112)</f>
        <v>0</v>
      </c>
      <c r="BK113" s="158" t="n">
        <f aca="false">SUM(BK109:BK112)</f>
        <v>0</v>
      </c>
      <c r="BL113" s="158" t="n">
        <f aca="false">SUM(BL109:BL112)</f>
        <v>0</v>
      </c>
      <c r="BM113" s="158" t="n">
        <f aca="false">SUM(BM109:BM112)</f>
        <v>0</v>
      </c>
      <c r="BN113" s="158" t="n">
        <f aca="false">SUM(BN109:BN112)</f>
        <v>0</v>
      </c>
      <c r="BO113" s="158" t="n">
        <f aca="false">SUM(BO109:BO112)</f>
        <v>0</v>
      </c>
      <c r="BP113" s="158" t="n">
        <f aca="false">SUM(BP109:BP112)</f>
        <v>0</v>
      </c>
    </row>
    <row r="114" customFormat="false" ht="15" hidden="false" customHeight="false" outlineLevel="0" collapsed="false">
      <c r="E114" s="158"/>
      <c r="F114" s="158"/>
      <c r="G114" s="158"/>
      <c r="H114" s="158"/>
      <c r="I114" s="158"/>
      <c r="J114" s="158"/>
      <c r="K114" s="158"/>
      <c r="L114" s="158"/>
      <c r="M114" s="158"/>
      <c r="N114" s="158"/>
      <c r="O114" s="158"/>
      <c r="P114" s="158"/>
      <c r="Q114" s="158"/>
      <c r="R114" s="158"/>
      <c r="S114" s="158"/>
      <c r="T114" s="158"/>
      <c r="U114" s="158"/>
      <c r="V114" s="158"/>
      <c r="W114" s="158"/>
      <c r="X114" s="158"/>
      <c r="Y114" s="158"/>
      <c r="Z114" s="158"/>
      <c r="AA114" s="158"/>
      <c r="AB114" s="158"/>
      <c r="AC114" s="158"/>
      <c r="AD114" s="158"/>
      <c r="AE114" s="158"/>
      <c r="AF114" s="158"/>
      <c r="AG114" s="158"/>
      <c r="AH114" s="158"/>
      <c r="AI114" s="158"/>
      <c r="AJ114" s="158"/>
      <c r="AK114" s="158"/>
      <c r="AL114" s="158"/>
      <c r="AM114" s="158"/>
      <c r="AN114" s="158"/>
      <c r="AO114" s="158"/>
      <c r="AP114" s="158"/>
      <c r="AQ114" s="158"/>
      <c r="AR114" s="158"/>
      <c r="AS114" s="158"/>
      <c r="AT114" s="158"/>
      <c r="AU114" s="158"/>
      <c r="AV114" s="158"/>
      <c r="AW114" s="158"/>
      <c r="AX114" s="158"/>
      <c r="AY114" s="158"/>
      <c r="AZ114" s="158"/>
      <c r="BA114" s="158"/>
      <c r="BB114" s="158"/>
      <c r="BC114" s="158"/>
      <c r="BD114" s="158"/>
      <c r="BE114" s="158"/>
      <c r="BF114" s="158"/>
      <c r="BG114" s="158"/>
      <c r="BH114" s="158"/>
      <c r="BI114" s="158"/>
      <c r="BJ114" s="158"/>
      <c r="BK114" s="158"/>
      <c r="BL114" s="158"/>
      <c r="BM114" s="158"/>
      <c r="BN114" s="158"/>
      <c r="BO114" s="158"/>
      <c r="BP114" s="158"/>
    </row>
    <row r="115" customFormat="false" ht="15" hidden="false" customHeight="false" outlineLevel="0" collapsed="false">
      <c r="C115" s="205" t="s">
        <v>1083</v>
      </c>
      <c r="D115" s="205"/>
      <c r="E115" s="251"/>
      <c r="F115" s="251"/>
      <c r="G115" s="251"/>
      <c r="H115" s="251"/>
      <c r="I115" s="251"/>
      <c r="J115" s="251"/>
      <c r="K115" s="251"/>
      <c r="L115" s="251"/>
      <c r="M115" s="251"/>
      <c r="N115" s="251"/>
      <c r="O115" s="251"/>
      <c r="P115" s="251"/>
      <c r="Q115" s="251"/>
      <c r="R115" s="251"/>
      <c r="S115" s="251"/>
      <c r="T115" s="251"/>
      <c r="U115" s="251"/>
      <c r="V115" s="251"/>
      <c r="W115" s="251"/>
      <c r="X115" s="251"/>
      <c r="Y115" s="251"/>
      <c r="Z115" s="251"/>
      <c r="AA115" s="251"/>
      <c r="AB115" s="251"/>
      <c r="AC115" s="251"/>
      <c r="AD115" s="251"/>
      <c r="AE115" s="251"/>
      <c r="AF115" s="251"/>
      <c r="AG115" s="251"/>
      <c r="AH115" s="251"/>
      <c r="AI115" s="251"/>
      <c r="AJ115" s="251"/>
      <c r="AK115" s="251"/>
      <c r="AL115" s="251"/>
      <c r="AM115" s="251"/>
      <c r="AN115" s="251"/>
      <c r="AO115" s="251"/>
      <c r="AP115" s="251"/>
      <c r="AQ115" s="251"/>
      <c r="AR115" s="251"/>
      <c r="AS115" s="251"/>
      <c r="AT115" s="251"/>
      <c r="AU115" s="251"/>
      <c r="AV115" s="251"/>
      <c r="AW115" s="251"/>
      <c r="AX115" s="251"/>
      <c r="AY115" s="251"/>
      <c r="AZ115" s="251"/>
      <c r="BA115" s="251"/>
      <c r="BB115" s="251"/>
      <c r="BC115" s="251"/>
      <c r="BD115" s="251"/>
      <c r="BE115" s="251"/>
      <c r="BF115" s="251"/>
      <c r="BG115" s="251"/>
      <c r="BH115" s="251"/>
      <c r="BI115" s="251"/>
      <c r="BJ115" s="251"/>
      <c r="BK115" s="251"/>
      <c r="BL115" s="251"/>
      <c r="BM115" s="251"/>
      <c r="BN115" s="251"/>
      <c r="BO115" s="251"/>
      <c r="BP115" s="251"/>
    </row>
    <row r="116" customFormat="false" ht="15" hidden="false" customHeight="false" outlineLevel="0" collapsed="false">
      <c r="C116" s="0" t="s">
        <v>1048</v>
      </c>
      <c r="D116" s="0" t="s">
        <v>125</v>
      </c>
      <c r="E116" s="158"/>
      <c r="F116" s="158"/>
      <c r="G116" s="158"/>
      <c r="H116" s="158" t="n">
        <v>0</v>
      </c>
      <c r="I116" s="158" t="n">
        <f aca="false">H120</f>
        <v>0</v>
      </c>
      <c r="J116" s="158" t="n">
        <f aca="false">I120</f>
        <v>0</v>
      </c>
      <c r="K116" s="158" t="n">
        <f aca="false">J120</f>
        <v>0</v>
      </c>
      <c r="L116" s="158" t="n">
        <f aca="false">K120</f>
        <v>0</v>
      </c>
      <c r="M116" s="158" t="n">
        <f aca="false">L120</f>
        <v>0</v>
      </c>
      <c r="N116" s="158" t="n">
        <f aca="false">M120</f>
        <v>0</v>
      </c>
      <c r="O116" s="158" t="n">
        <f aca="false">N120</f>
        <v>0</v>
      </c>
      <c r="P116" s="158" t="n">
        <f aca="false">O120</f>
        <v>0</v>
      </c>
      <c r="Q116" s="158" t="n">
        <f aca="false">P120</f>
        <v>0</v>
      </c>
      <c r="R116" s="158" t="n">
        <f aca="false">Q120</f>
        <v>0</v>
      </c>
      <c r="S116" s="158" t="n">
        <f aca="false">R120</f>
        <v>0</v>
      </c>
      <c r="T116" s="158" t="n">
        <f aca="false">S120</f>
        <v>0</v>
      </c>
      <c r="U116" s="158" t="n">
        <f aca="false">T120</f>
        <v>0</v>
      </c>
      <c r="V116" s="158" t="n">
        <f aca="false">U120</f>
        <v>0</v>
      </c>
      <c r="W116" s="158" t="n">
        <f aca="false">V120</f>
        <v>0</v>
      </c>
      <c r="X116" s="158" t="n">
        <f aca="false">W120</f>
        <v>0</v>
      </c>
      <c r="Y116" s="158" t="n">
        <f aca="false">X120</f>
        <v>0</v>
      </c>
      <c r="Z116" s="158" t="n">
        <f aca="false">Y120</f>
        <v>0</v>
      </c>
      <c r="AA116" s="158" t="n">
        <f aca="false">Z120</f>
        <v>0</v>
      </c>
      <c r="AB116" s="158" t="n">
        <f aca="false">AA120</f>
        <v>0</v>
      </c>
      <c r="AC116" s="158" t="n">
        <f aca="false">AB120</f>
        <v>0</v>
      </c>
      <c r="AD116" s="158" t="n">
        <f aca="false">AC120</f>
        <v>0</v>
      </c>
      <c r="AE116" s="158" t="n">
        <f aca="false">AD120</f>
        <v>0</v>
      </c>
      <c r="AF116" s="158" t="n">
        <f aca="false">AE120</f>
        <v>0</v>
      </c>
      <c r="AG116" s="158" t="n">
        <f aca="false">AF120</f>
        <v>0</v>
      </c>
      <c r="AH116" s="158" t="n">
        <f aca="false">AG120</f>
        <v>0</v>
      </c>
      <c r="AI116" s="158" t="n">
        <f aca="false">AH120</f>
        <v>0</v>
      </c>
      <c r="AJ116" s="158" t="n">
        <f aca="false">AI120</f>
        <v>0</v>
      </c>
      <c r="AK116" s="158" t="n">
        <f aca="false">AJ120</f>
        <v>0</v>
      </c>
      <c r="AL116" s="158" t="n">
        <f aca="false">AK120</f>
        <v>0</v>
      </c>
      <c r="AM116" s="158" t="n">
        <f aca="false">AL120</f>
        <v>0</v>
      </c>
      <c r="AN116" s="158" t="n">
        <f aca="false">AM120</f>
        <v>0</v>
      </c>
      <c r="AO116" s="158" t="n">
        <f aca="false">AN120</f>
        <v>0</v>
      </c>
      <c r="AP116" s="158" t="n">
        <f aca="false">AO120</f>
        <v>0</v>
      </c>
      <c r="AQ116" s="158" t="n">
        <f aca="false">AP120</f>
        <v>0</v>
      </c>
      <c r="AR116" s="158" t="n">
        <f aca="false">AQ120</f>
        <v>0</v>
      </c>
      <c r="AS116" s="158" t="n">
        <f aca="false">AR120</f>
        <v>0</v>
      </c>
      <c r="AT116" s="158" t="n">
        <f aca="false">AS120</f>
        <v>0</v>
      </c>
      <c r="AU116" s="158" t="n">
        <f aca="false">AT120</f>
        <v>0</v>
      </c>
      <c r="AV116" s="158" t="n">
        <f aca="false">AU120</f>
        <v>0</v>
      </c>
      <c r="AW116" s="158" t="n">
        <f aca="false">AV120</f>
        <v>0</v>
      </c>
      <c r="AX116" s="158" t="n">
        <f aca="false">AW120</f>
        <v>0</v>
      </c>
      <c r="AY116" s="158" t="n">
        <f aca="false">AX120</f>
        <v>0</v>
      </c>
      <c r="AZ116" s="158" t="n">
        <f aca="false">AY120</f>
        <v>0</v>
      </c>
      <c r="BA116" s="158" t="n">
        <f aca="false">AZ120</f>
        <v>0</v>
      </c>
      <c r="BB116" s="158" t="n">
        <f aca="false">BA120</f>
        <v>0</v>
      </c>
      <c r="BC116" s="158" t="n">
        <f aca="false">BB120</f>
        <v>0</v>
      </c>
      <c r="BD116" s="158" t="n">
        <f aca="false">BC120</f>
        <v>0</v>
      </c>
      <c r="BE116" s="158" t="n">
        <f aca="false">BD120</f>
        <v>0</v>
      </c>
      <c r="BF116" s="158" t="n">
        <f aca="false">BE120</f>
        <v>0</v>
      </c>
      <c r="BG116" s="158" t="n">
        <f aca="false">BF120</f>
        <v>0</v>
      </c>
      <c r="BH116" s="158" t="n">
        <f aca="false">BG120</f>
        <v>0</v>
      </c>
      <c r="BI116" s="158" t="n">
        <f aca="false">BH120</f>
        <v>0</v>
      </c>
      <c r="BJ116" s="158" t="n">
        <f aca="false">BI120</f>
        <v>0</v>
      </c>
      <c r="BK116" s="158" t="n">
        <f aca="false">BJ120</f>
        <v>0</v>
      </c>
      <c r="BL116" s="158" t="n">
        <f aca="false">BK120</f>
        <v>0</v>
      </c>
      <c r="BM116" s="158" t="n">
        <f aca="false">BL120</f>
        <v>0</v>
      </c>
      <c r="BN116" s="158" t="n">
        <f aca="false">BM120</f>
        <v>0</v>
      </c>
      <c r="BO116" s="158" t="n">
        <f aca="false">BN120</f>
        <v>0</v>
      </c>
      <c r="BP116" s="158" t="n">
        <f aca="false">BO120</f>
        <v>0</v>
      </c>
    </row>
    <row r="117" customFormat="false" ht="15" hidden="false" customHeight="false" outlineLevel="0" collapsed="false">
      <c r="C117" s="0" t="s">
        <v>1080</v>
      </c>
      <c r="D117" s="0" t="s">
        <v>125</v>
      </c>
      <c r="E117" s="158"/>
      <c r="F117" s="158"/>
      <c r="G117" s="158" t="n">
        <f aca="false">SUM(H117:BP117)</f>
        <v>0</v>
      </c>
      <c r="H117" s="158" t="n">
        <f aca="false">$E$107*H102</f>
        <v>0</v>
      </c>
      <c r="I117" s="158" t="n">
        <f aca="false">$E$107*I102</f>
        <v>0</v>
      </c>
      <c r="J117" s="158" t="n">
        <f aca="false">$E$107*J102</f>
        <v>0</v>
      </c>
      <c r="K117" s="158" t="n">
        <f aca="false">$E$107*K102</f>
        <v>0</v>
      </c>
      <c r="L117" s="158" t="n">
        <f aca="false">$E$107*L102</f>
        <v>0</v>
      </c>
      <c r="M117" s="158" t="n">
        <f aca="false">$E$107*M102</f>
        <v>0</v>
      </c>
      <c r="N117" s="158" t="n">
        <f aca="false">$E$107*N102</f>
        <v>0</v>
      </c>
      <c r="O117" s="158" t="n">
        <f aca="false">$E$107*O102</f>
        <v>0</v>
      </c>
      <c r="P117" s="158" t="n">
        <f aca="false">$E$107*P102</f>
        <v>0</v>
      </c>
      <c r="Q117" s="158" t="n">
        <f aca="false">$E$107*Q102</f>
        <v>0</v>
      </c>
      <c r="R117" s="158" t="n">
        <f aca="false">$E$107*R102</f>
        <v>0</v>
      </c>
      <c r="S117" s="158" t="n">
        <f aca="false">$E$107*S102</f>
        <v>0</v>
      </c>
      <c r="T117" s="158" t="n">
        <f aca="false">$E$107*T102</f>
        <v>0</v>
      </c>
      <c r="U117" s="158" t="n">
        <f aca="false">$E$107*U102</f>
        <v>0</v>
      </c>
      <c r="V117" s="158" t="n">
        <f aca="false">$E$107*V102</f>
        <v>0</v>
      </c>
      <c r="W117" s="158" t="n">
        <f aca="false">$E$107*W102</f>
        <v>0</v>
      </c>
      <c r="X117" s="158" t="n">
        <f aca="false">$E$107*X102</f>
        <v>0</v>
      </c>
      <c r="Y117" s="158" t="n">
        <f aca="false">$E$107*Y102</f>
        <v>0</v>
      </c>
      <c r="Z117" s="158" t="n">
        <f aca="false">$E$107*Z102</f>
        <v>0</v>
      </c>
      <c r="AA117" s="158" t="n">
        <f aca="false">$E$107*AA102</f>
        <v>0</v>
      </c>
      <c r="AB117" s="158" t="n">
        <f aca="false">$E$107*AB102</f>
        <v>0</v>
      </c>
      <c r="AC117" s="158" t="n">
        <f aca="false">$E$107*AC102</f>
        <v>0</v>
      </c>
      <c r="AD117" s="158" t="n">
        <f aca="false">$E$107*AD102</f>
        <v>0</v>
      </c>
      <c r="AE117" s="158" t="n">
        <f aca="false">$E$107*AE102</f>
        <v>0</v>
      </c>
      <c r="AF117" s="158" t="n">
        <f aca="false">$E$107*AF102</f>
        <v>0</v>
      </c>
      <c r="AG117" s="158" t="n">
        <f aca="false">$E$107*AG102</f>
        <v>0</v>
      </c>
      <c r="AH117" s="158" t="n">
        <f aca="false">$E$107*AH102</f>
        <v>0</v>
      </c>
      <c r="AI117" s="158" t="n">
        <f aca="false">$E$107*AI102</f>
        <v>0</v>
      </c>
      <c r="AJ117" s="158" t="n">
        <f aca="false">$E$107*AJ102</f>
        <v>0</v>
      </c>
      <c r="AK117" s="158" t="n">
        <f aca="false">$E$107*AK102</f>
        <v>0</v>
      </c>
      <c r="AL117" s="158" t="n">
        <f aca="false">$E$107*AL102</f>
        <v>0</v>
      </c>
      <c r="AM117" s="158" t="n">
        <f aca="false">$E$107*AM102</f>
        <v>0</v>
      </c>
      <c r="AN117" s="158" t="n">
        <f aca="false">$E$107*AN102</f>
        <v>0</v>
      </c>
      <c r="AO117" s="158" t="n">
        <f aca="false">$E$107*AO102</f>
        <v>0</v>
      </c>
      <c r="AP117" s="158" t="n">
        <f aca="false">$E$107*AP102</f>
        <v>0</v>
      </c>
      <c r="AQ117" s="158" t="n">
        <f aca="false">$E$107*AQ102</f>
        <v>0</v>
      </c>
      <c r="AR117" s="158" t="n">
        <f aca="false">$E$107*AR102</f>
        <v>0</v>
      </c>
      <c r="AS117" s="158" t="n">
        <f aca="false">$E$107*AS102</f>
        <v>0</v>
      </c>
      <c r="AT117" s="158" t="n">
        <f aca="false">$E$107*AT102</f>
        <v>0</v>
      </c>
      <c r="AU117" s="158" t="n">
        <f aca="false">$E$107*AU102</f>
        <v>0</v>
      </c>
      <c r="AV117" s="158" t="n">
        <f aca="false">$E$107*AV102</f>
        <v>0</v>
      </c>
      <c r="AW117" s="158" t="n">
        <f aca="false">$E$107*AW102</f>
        <v>0</v>
      </c>
      <c r="AX117" s="158" t="n">
        <f aca="false">$E$107*AX102</f>
        <v>0</v>
      </c>
      <c r="AY117" s="158" t="n">
        <f aca="false">$E$107*AY102</f>
        <v>0</v>
      </c>
      <c r="AZ117" s="158" t="n">
        <f aca="false">$E$107*AZ102</f>
        <v>0</v>
      </c>
      <c r="BA117" s="158" t="n">
        <f aca="false">$E$107*BA102</f>
        <v>0</v>
      </c>
      <c r="BB117" s="158" t="n">
        <f aca="false">$E$107*BB102</f>
        <v>0</v>
      </c>
      <c r="BC117" s="158" t="n">
        <f aca="false">$E$107*BC102</f>
        <v>0</v>
      </c>
      <c r="BD117" s="158" t="n">
        <f aca="false">$E$107*BD102</f>
        <v>0</v>
      </c>
      <c r="BE117" s="158" t="n">
        <f aca="false">$E$107*BE102</f>
        <v>0</v>
      </c>
      <c r="BF117" s="158" t="n">
        <f aca="false">$E$107*BF102</f>
        <v>0</v>
      </c>
      <c r="BG117" s="158" t="n">
        <f aca="false">$E$107*BG102</f>
        <v>0</v>
      </c>
      <c r="BH117" s="158" t="n">
        <f aca="false">$E$107*BH102</f>
        <v>0</v>
      </c>
      <c r="BI117" s="158" t="n">
        <f aca="false">$E$107*BI102</f>
        <v>0</v>
      </c>
      <c r="BJ117" s="158" t="n">
        <f aca="false">$E$107*BJ102</f>
        <v>0</v>
      </c>
      <c r="BK117" s="158" t="n">
        <f aca="false">$E$107*BK102</f>
        <v>0</v>
      </c>
      <c r="BL117" s="158" t="n">
        <f aca="false">$E$107*BL102</f>
        <v>0</v>
      </c>
      <c r="BM117" s="158" t="n">
        <f aca="false">$E$107*BM102</f>
        <v>0</v>
      </c>
      <c r="BN117" s="158" t="n">
        <f aca="false">$E$107*BN102</f>
        <v>0</v>
      </c>
      <c r="BO117" s="158" t="n">
        <f aca="false">$E$107*BO102</f>
        <v>0</v>
      </c>
      <c r="BP117" s="158" t="n">
        <f aca="false">$E$107*BP102</f>
        <v>0</v>
      </c>
    </row>
    <row r="118" customFormat="false" ht="15" hidden="false" customHeight="false" outlineLevel="0" collapsed="false">
      <c r="C118" s="0" t="s">
        <v>1081</v>
      </c>
      <c r="D118" s="0" t="s">
        <v>125</v>
      </c>
      <c r="E118" s="141" t="n">
        <f aca="false">Inputs!$E$61</f>
        <v>0.12</v>
      </c>
      <c r="F118" s="158"/>
      <c r="G118" s="158" t="n">
        <f aca="false">SUM(H118:BP118)</f>
        <v>0</v>
      </c>
      <c r="H118" s="158" t="n">
        <f aca="false">IF(Inputs!$E$69=1,(1+$E$118)^(1/12)-1,$E$118/12)*(H116+H117)*H$10</f>
        <v>0</v>
      </c>
      <c r="I118" s="158" t="n">
        <f aca="false">IF(Inputs!$E$69=1,(1+$E$118)^(1/12)-1,$E$118/12)*(I116+I117)*I$10</f>
        <v>0</v>
      </c>
      <c r="J118" s="158" t="n">
        <f aca="false">IF(Inputs!$E$69=1,(1+$E$118)^(1/12)-1,$E$118/12)*(J116+J117)*J$10</f>
        <v>0</v>
      </c>
      <c r="K118" s="158" t="n">
        <f aca="false">IF(Inputs!$E$69=1,(1+$E$118)^(1/12)-1,$E$118/12)*(K116+K117)*K$10</f>
        <v>0</v>
      </c>
      <c r="L118" s="158" t="n">
        <f aca="false">IF(Inputs!$E$69=1,(1+$E$118)^(1/12)-1,$E$118/12)*(L116+L117)*L$10</f>
        <v>0</v>
      </c>
      <c r="M118" s="158" t="n">
        <f aca="false">IF(Inputs!$E$69=1,(1+$E$118)^(1/12)-1,$E$118/12)*(M116+M117)*M$10</f>
        <v>0</v>
      </c>
      <c r="N118" s="158" t="n">
        <f aca="false">IF(Inputs!$E$69=1,(1+$E$118)^(1/12)-1,$E$118/12)*(N116+N117)*N$10</f>
        <v>0</v>
      </c>
      <c r="O118" s="158" t="n">
        <f aca="false">IF(Inputs!$E$69=1,(1+$E$118)^(1/12)-1,$E$118/12)*(O116+O117)*O$10</f>
        <v>0</v>
      </c>
      <c r="P118" s="158" t="n">
        <f aca="false">IF(Inputs!$E$69=1,(1+$E$118)^(1/12)-1,$E$118/12)*(P116+P117)*P$10</f>
        <v>0</v>
      </c>
      <c r="Q118" s="158" t="n">
        <f aca="false">IF(Inputs!$E$69=1,(1+$E$118)^(1/12)-1,$E$118/12)*(Q116+Q117)*Q$10</f>
        <v>0</v>
      </c>
      <c r="R118" s="158" t="n">
        <f aca="false">IF(Inputs!$E$69=1,(1+$E$118)^(1/12)-1,$E$118/12)*(R116+R117)*R$10</f>
        <v>0</v>
      </c>
      <c r="S118" s="158" t="n">
        <f aca="false">IF(Inputs!$E$69=1,(1+$E$118)^(1/12)-1,$E$118/12)*(S116+S117)*S$10</f>
        <v>0</v>
      </c>
      <c r="T118" s="158" t="n">
        <f aca="false">IF(Inputs!$E$69=1,(1+$E$118)^(1/12)-1,$E$118/12)*(T116+T117)*T$10</f>
        <v>0</v>
      </c>
      <c r="U118" s="158" t="n">
        <f aca="false">IF(Inputs!$E$69=1,(1+$E$118)^(1/12)-1,$E$118/12)*(U116+U117)*U$10</f>
        <v>0</v>
      </c>
      <c r="V118" s="158" t="n">
        <f aca="false">IF(Inputs!$E$69=1,(1+$E$118)^(1/12)-1,$E$118/12)*(V116+V117)*V$10</f>
        <v>0</v>
      </c>
      <c r="W118" s="158" t="n">
        <f aca="false">IF(Inputs!$E$69=1,(1+$E$118)^(1/12)-1,$E$118/12)*(W116+W117)*W$10</f>
        <v>0</v>
      </c>
      <c r="X118" s="158" t="n">
        <f aca="false">IF(Inputs!$E$69=1,(1+$E$118)^(1/12)-1,$E$118/12)*(X116+X117)*X$10</f>
        <v>0</v>
      </c>
      <c r="Y118" s="158" t="n">
        <f aca="false">IF(Inputs!$E$69=1,(1+$E$118)^(1/12)-1,$E$118/12)*(Y116+Y117)*Y$10</f>
        <v>0</v>
      </c>
      <c r="Z118" s="158" t="n">
        <f aca="false">IF(Inputs!$E$69=1,(1+$E$118)^(1/12)-1,$E$118/12)*(Z116+Z117)*Z$10</f>
        <v>0</v>
      </c>
      <c r="AA118" s="158" t="n">
        <f aca="false">IF(Inputs!$E$69=1,(1+$E$118)^(1/12)-1,$E$118/12)*(AA116+AA117)*AA$10</f>
        <v>0</v>
      </c>
      <c r="AB118" s="158" t="n">
        <f aca="false">IF(Inputs!$E$69=1,(1+$E$118)^(1/12)-1,$E$118/12)*(AB116+AB117)*AB$10</f>
        <v>0</v>
      </c>
      <c r="AC118" s="158" t="n">
        <f aca="false">IF(Inputs!$E$69=1,(1+$E$118)^(1/12)-1,$E$118/12)*(AC116+AC117)*AC$10</f>
        <v>0</v>
      </c>
      <c r="AD118" s="158" t="n">
        <f aca="false">IF(Inputs!$E$69=1,(1+$E$118)^(1/12)-1,$E$118/12)*(AD116+AD117)*AD$10</f>
        <v>0</v>
      </c>
      <c r="AE118" s="158" t="n">
        <f aca="false">IF(Inputs!$E$69=1,(1+$E$118)^(1/12)-1,$E$118/12)*(AE116+AE117)*AE$10</f>
        <v>0</v>
      </c>
      <c r="AF118" s="158" t="n">
        <f aca="false">IF(Inputs!$E$69=1,(1+$E$118)^(1/12)-1,$E$118/12)*(AF116+AF117)*AF$10</f>
        <v>0</v>
      </c>
      <c r="AG118" s="158" t="n">
        <f aca="false">IF(Inputs!$E$69=1,(1+$E$118)^(1/12)-1,$E$118/12)*(AG116+AG117)*AG$10</f>
        <v>0</v>
      </c>
      <c r="AH118" s="158" t="n">
        <f aca="false">IF(Inputs!$E$69=1,(1+$E$118)^(1/12)-1,$E$118/12)*(AH116+AH117)*AH$10</f>
        <v>0</v>
      </c>
      <c r="AI118" s="158" t="n">
        <f aca="false">IF(Inputs!$E$69=1,(1+$E$118)^(1/12)-1,$E$118/12)*(AI116+AI117)*AI$10</f>
        <v>0</v>
      </c>
      <c r="AJ118" s="158" t="n">
        <f aca="false">IF(Inputs!$E$69=1,(1+$E$118)^(1/12)-1,$E$118/12)*(AJ116+AJ117)*AJ$10</f>
        <v>0</v>
      </c>
      <c r="AK118" s="158" t="n">
        <f aca="false">IF(Inputs!$E$69=1,(1+$E$118)^(1/12)-1,$E$118/12)*(AK116+AK117)*AK$10</f>
        <v>0</v>
      </c>
      <c r="AL118" s="158" t="n">
        <f aca="false">IF(Inputs!$E$69=1,(1+$E$118)^(1/12)-1,$E$118/12)*(AL116+AL117)*AL$10</f>
        <v>0</v>
      </c>
      <c r="AM118" s="158" t="n">
        <f aca="false">IF(Inputs!$E$69=1,(1+$E$118)^(1/12)-1,$E$118/12)*(AM116+AM117)*AM$10</f>
        <v>0</v>
      </c>
      <c r="AN118" s="158" t="n">
        <f aca="false">IF(Inputs!$E$69=1,(1+$E$118)^(1/12)-1,$E$118/12)*(AN116+AN117)*AN$10</f>
        <v>0</v>
      </c>
      <c r="AO118" s="158" t="n">
        <f aca="false">IF(Inputs!$E$69=1,(1+$E$118)^(1/12)-1,$E$118/12)*(AO116+AO117)*AO$10</f>
        <v>0</v>
      </c>
      <c r="AP118" s="158" t="n">
        <f aca="false">IF(Inputs!$E$69=1,(1+$E$118)^(1/12)-1,$E$118/12)*(AP116+AP117)*AP$10</f>
        <v>0</v>
      </c>
      <c r="AQ118" s="158" t="n">
        <f aca="false">IF(Inputs!$E$69=1,(1+$E$118)^(1/12)-1,$E$118/12)*(AQ116+AQ117)*AQ$10</f>
        <v>0</v>
      </c>
      <c r="AR118" s="158" t="n">
        <f aca="false">IF(Inputs!$E$69=1,(1+$E$118)^(1/12)-1,$E$118/12)*(AR116+AR117)*AR$10</f>
        <v>0</v>
      </c>
      <c r="AS118" s="158" t="n">
        <f aca="false">IF(Inputs!$E$69=1,(1+$E$118)^(1/12)-1,$E$118/12)*(AS116+AS117)*AS$10</f>
        <v>0</v>
      </c>
      <c r="AT118" s="158" t="n">
        <f aca="false">IF(Inputs!$E$69=1,(1+$E$118)^(1/12)-1,$E$118/12)*(AT116+AT117)*AT$10</f>
        <v>0</v>
      </c>
      <c r="AU118" s="158" t="n">
        <f aca="false">IF(Inputs!$E$69=1,(1+$E$118)^(1/12)-1,$E$118/12)*(AU116+AU117)*AU$10</f>
        <v>0</v>
      </c>
      <c r="AV118" s="158" t="n">
        <f aca="false">IF(Inputs!$E$69=1,(1+$E$118)^(1/12)-1,$E$118/12)*(AV116+AV117)*AV$10</f>
        <v>0</v>
      </c>
      <c r="AW118" s="158" t="n">
        <f aca="false">IF(Inputs!$E$69=1,(1+$E$118)^(1/12)-1,$E$118/12)*(AW116+AW117)*AW$10</f>
        <v>0</v>
      </c>
      <c r="AX118" s="158" t="n">
        <f aca="false">IF(Inputs!$E$69=1,(1+$E$118)^(1/12)-1,$E$118/12)*(AX116+AX117)*AX$10</f>
        <v>0</v>
      </c>
      <c r="AY118" s="158" t="n">
        <f aca="false">IF(Inputs!$E$69=1,(1+$E$118)^(1/12)-1,$E$118/12)*(AY116+AY117)*AY$10</f>
        <v>0</v>
      </c>
      <c r="AZ118" s="158" t="n">
        <f aca="false">IF(Inputs!$E$69=1,(1+$E$118)^(1/12)-1,$E$118/12)*(AZ116+AZ117)*AZ$10</f>
        <v>0</v>
      </c>
      <c r="BA118" s="158" t="n">
        <f aca="false">IF(Inputs!$E$69=1,(1+$E$118)^(1/12)-1,$E$118/12)*(BA116+BA117)*BA$10</f>
        <v>0</v>
      </c>
      <c r="BB118" s="158" t="n">
        <f aca="false">IF(Inputs!$E$69=1,(1+$E$118)^(1/12)-1,$E$118/12)*(BB116+BB117)*BB$10</f>
        <v>0</v>
      </c>
      <c r="BC118" s="158" t="n">
        <f aca="false">IF(Inputs!$E$69=1,(1+$E$118)^(1/12)-1,$E$118/12)*(BC116+BC117)*BC$10</f>
        <v>0</v>
      </c>
      <c r="BD118" s="158" t="n">
        <f aca="false">IF(Inputs!$E$69=1,(1+$E$118)^(1/12)-1,$E$118/12)*(BD116+BD117)*BD$10</f>
        <v>0</v>
      </c>
      <c r="BE118" s="158" t="n">
        <f aca="false">IF(Inputs!$E$69=1,(1+$E$118)^(1/12)-1,$E$118/12)*(BE116+BE117)*BE$10</f>
        <v>0</v>
      </c>
      <c r="BF118" s="158" t="n">
        <f aca="false">IF(Inputs!$E$69=1,(1+$E$118)^(1/12)-1,$E$118/12)*(BF116+BF117)*BF$10</f>
        <v>0</v>
      </c>
      <c r="BG118" s="158" t="n">
        <f aca="false">IF(Inputs!$E$69=1,(1+$E$118)^(1/12)-1,$E$118/12)*(BG116+BG117)*BG$10</f>
        <v>0</v>
      </c>
      <c r="BH118" s="158" t="n">
        <f aca="false">IF(Inputs!$E$69=1,(1+$E$118)^(1/12)-1,$E$118/12)*(BH116+BH117)*BH$10</f>
        <v>0</v>
      </c>
      <c r="BI118" s="158" t="n">
        <f aca="false">IF(Inputs!$E$69=1,(1+$E$118)^(1/12)-1,$E$118/12)*(BI116+BI117)*BI$10</f>
        <v>0</v>
      </c>
      <c r="BJ118" s="158" t="n">
        <f aca="false">IF(Inputs!$E$69=1,(1+$E$118)^(1/12)-1,$E$118/12)*(BJ116+BJ117)*BJ$10</f>
        <v>0</v>
      </c>
      <c r="BK118" s="158" t="n">
        <f aca="false">IF(Inputs!$E$69=1,(1+$E$118)^(1/12)-1,$E$118/12)*(BK116+BK117)*BK$10</f>
        <v>0</v>
      </c>
      <c r="BL118" s="158" t="n">
        <f aca="false">IF(Inputs!$E$69=1,(1+$E$118)^(1/12)-1,$E$118/12)*(BL116+BL117)*BL$10</f>
        <v>0</v>
      </c>
      <c r="BM118" s="158" t="n">
        <f aca="false">IF(Inputs!$E$69=1,(1+$E$118)^(1/12)-1,$E$118/12)*(BM116+BM117)*BM$10</f>
        <v>0</v>
      </c>
      <c r="BN118" s="158" t="n">
        <f aca="false">IF(Inputs!$E$69=1,(1+$E$118)^(1/12)-1,$E$118/12)*(BN116+BN117)*BN$10</f>
        <v>0</v>
      </c>
      <c r="BO118" s="158" t="n">
        <f aca="false">IF(Inputs!$E$69=1,(1+$E$118)^(1/12)-1,$E$118/12)*(BO116+BO117)*BO$10</f>
        <v>0</v>
      </c>
      <c r="BP118" s="158" t="n">
        <f aca="false">IF(Inputs!$E$69=1,(1+$E$118)^(1/12)-1,$E$118/12)*(BP116+BP117)*BP$10</f>
        <v>0</v>
      </c>
    </row>
    <row r="119" customFormat="false" ht="15" hidden="false" customHeight="false" outlineLevel="0" collapsed="false">
      <c r="C119" s="0" t="s">
        <v>1082</v>
      </c>
      <c r="D119" s="0" t="s">
        <v>125</v>
      </c>
      <c r="E119" s="158"/>
      <c r="F119" s="158"/>
      <c r="G119" s="158" t="n">
        <f aca="false">SUM(H119:BP119)</f>
        <v>0</v>
      </c>
      <c r="H119" s="158" t="n">
        <f aca="false">-H$7*(H116+H117+H118)</f>
        <v>-0</v>
      </c>
      <c r="I119" s="158" t="n">
        <f aca="false">-I$7*(I116+I117+I118)</f>
        <v>-0</v>
      </c>
      <c r="J119" s="158" t="n">
        <f aca="false">-J$7*(J116+J117+J118)</f>
        <v>-0</v>
      </c>
      <c r="K119" s="158" t="n">
        <f aca="false">-K$7*(K116+K117+K118)</f>
        <v>-0</v>
      </c>
      <c r="L119" s="158" t="n">
        <f aca="false">-L$7*(L116+L117+L118)</f>
        <v>-0</v>
      </c>
      <c r="M119" s="158" t="n">
        <f aca="false">-M$7*(M116+M117+M118)</f>
        <v>-0</v>
      </c>
      <c r="N119" s="158" t="n">
        <f aca="false">-N$7*(N116+N117+N118)</f>
        <v>-0</v>
      </c>
      <c r="O119" s="158" t="n">
        <f aca="false">-O$7*(O116+O117+O118)</f>
        <v>-0</v>
      </c>
      <c r="P119" s="158" t="n">
        <f aca="false">-P$7*(P116+P117+P118)</f>
        <v>-0</v>
      </c>
      <c r="Q119" s="158" t="n">
        <f aca="false">-Q$7*(Q116+Q117+Q118)</f>
        <v>-0</v>
      </c>
      <c r="R119" s="158" t="n">
        <f aca="false">-R$7*(R116+R117+R118)</f>
        <v>-0</v>
      </c>
      <c r="S119" s="158" t="n">
        <f aca="false">-S$7*(S116+S117+S118)</f>
        <v>-0</v>
      </c>
      <c r="T119" s="158" t="n">
        <f aca="false">-T$7*(T116+T117+T118)</f>
        <v>-0</v>
      </c>
      <c r="U119" s="158" t="n">
        <f aca="false">-U$7*(U116+U117+U118)</f>
        <v>-0</v>
      </c>
      <c r="V119" s="158" t="n">
        <f aca="false">-V$7*(V116+V117+V118)</f>
        <v>-0</v>
      </c>
      <c r="W119" s="158" t="n">
        <f aca="false">-W$7*(W116+W117+W118)</f>
        <v>-0</v>
      </c>
      <c r="X119" s="158" t="n">
        <f aca="false">-X$7*(X116+X117+X118)</f>
        <v>-0</v>
      </c>
      <c r="Y119" s="158" t="n">
        <f aca="false">-Y$7*(Y116+Y117+Y118)</f>
        <v>-0</v>
      </c>
      <c r="Z119" s="158" t="n">
        <f aca="false">-Z$7*(Z116+Z117+Z118)</f>
        <v>-0</v>
      </c>
      <c r="AA119" s="158" t="n">
        <f aca="false">-AA$7*(AA116+AA117+AA118)</f>
        <v>-0</v>
      </c>
      <c r="AB119" s="158" t="n">
        <f aca="false">-AB$7*(AB116+AB117+AB118)</f>
        <v>-0</v>
      </c>
      <c r="AC119" s="158" t="n">
        <f aca="false">-AC$7*(AC116+AC117+AC118)</f>
        <v>-0</v>
      </c>
      <c r="AD119" s="158" t="n">
        <f aca="false">-AD$7*(AD116+AD117+AD118)</f>
        <v>-0</v>
      </c>
      <c r="AE119" s="158" t="n">
        <f aca="false">-AE$7*(AE116+AE117+AE118)</f>
        <v>-0</v>
      </c>
      <c r="AF119" s="158" t="n">
        <f aca="false">-AF$7*(AF116+AF117+AF118)</f>
        <v>-0</v>
      </c>
      <c r="AG119" s="158" t="n">
        <f aca="false">-AG$7*(AG116+AG117+AG118)</f>
        <v>-0</v>
      </c>
      <c r="AH119" s="158" t="n">
        <f aca="false">-AH$7*(AH116+AH117+AH118)</f>
        <v>-0</v>
      </c>
      <c r="AI119" s="158" t="n">
        <f aca="false">-AI$7*(AI116+AI117+AI118)</f>
        <v>-0</v>
      </c>
      <c r="AJ119" s="158" t="n">
        <f aca="false">-AJ$7*(AJ116+AJ117+AJ118)</f>
        <v>-0</v>
      </c>
      <c r="AK119" s="158" t="n">
        <f aca="false">-AK$7*(AK116+AK117+AK118)</f>
        <v>-0</v>
      </c>
      <c r="AL119" s="158" t="n">
        <f aca="false">-AL$7*(AL116+AL117+AL118)</f>
        <v>-0</v>
      </c>
      <c r="AM119" s="158" t="n">
        <f aca="false">-AM$7*(AM116+AM117+AM118)</f>
        <v>-0</v>
      </c>
      <c r="AN119" s="158" t="n">
        <f aca="false">-AN$7*(AN116+AN117+AN118)</f>
        <v>-0</v>
      </c>
      <c r="AO119" s="158" t="n">
        <f aca="false">-AO$7*(AO116+AO117+AO118)</f>
        <v>-0</v>
      </c>
      <c r="AP119" s="158" t="n">
        <f aca="false">-AP$7*(AP116+AP117+AP118)</f>
        <v>-0</v>
      </c>
      <c r="AQ119" s="158" t="n">
        <f aca="false">-AQ$7*(AQ116+AQ117+AQ118)</f>
        <v>-0</v>
      </c>
      <c r="AR119" s="158" t="n">
        <f aca="false">-AR$7*(AR116+AR117+AR118)</f>
        <v>-0</v>
      </c>
      <c r="AS119" s="158" t="n">
        <f aca="false">-AS$7*(AS116+AS117+AS118)</f>
        <v>-0</v>
      </c>
      <c r="AT119" s="158" t="n">
        <f aca="false">-AT$7*(AT116+AT117+AT118)</f>
        <v>-0</v>
      </c>
      <c r="AU119" s="158" t="n">
        <f aca="false">-AU$7*(AU116+AU117+AU118)</f>
        <v>-0</v>
      </c>
      <c r="AV119" s="158" t="n">
        <f aca="false">-AV$7*(AV116+AV117+AV118)</f>
        <v>-0</v>
      </c>
      <c r="AW119" s="158" t="n">
        <f aca="false">-AW$7*(AW116+AW117+AW118)</f>
        <v>-0</v>
      </c>
      <c r="AX119" s="158" t="n">
        <f aca="false">-AX$7*(AX116+AX117+AX118)</f>
        <v>-0</v>
      </c>
      <c r="AY119" s="158" t="n">
        <f aca="false">-AY$7*(AY116+AY117+AY118)</f>
        <v>-0</v>
      </c>
      <c r="AZ119" s="158" t="n">
        <f aca="false">-AZ$7*(AZ116+AZ117+AZ118)</f>
        <v>-0</v>
      </c>
      <c r="BA119" s="158" t="n">
        <f aca="false">-BA$7*(BA116+BA117+BA118)</f>
        <v>-0</v>
      </c>
      <c r="BB119" s="158" t="n">
        <f aca="false">-BB$7*(BB116+BB117+BB118)</f>
        <v>-0</v>
      </c>
      <c r="BC119" s="158" t="n">
        <f aca="false">-BC$7*(BC116+BC117+BC118)</f>
        <v>-0</v>
      </c>
      <c r="BD119" s="158" t="n">
        <f aca="false">-BD$7*(BD116+BD117+BD118)</f>
        <v>-0</v>
      </c>
      <c r="BE119" s="158" t="n">
        <f aca="false">-BE$7*(BE116+BE117+BE118)</f>
        <v>-0</v>
      </c>
      <c r="BF119" s="158" t="n">
        <f aca="false">-BF$7*(BF116+BF117+BF118)</f>
        <v>-0</v>
      </c>
      <c r="BG119" s="158" t="n">
        <f aca="false">-BG$7*(BG116+BG117+BG118)</f>
        <v>-0</v>
      </c>
      <c r="BH119" s="158" t="n">
        <f aca="false">-BH$7*(BH116+BH117+BH118)</f>
        <v>-0</v>
      </c>
      <c r="BI119" s="158" t="n">
        <f aca="false">-BI$7*(BI116+BI117+BI118)</f>
        <v>-0</v>
      </c>
      <c r="BJ119" s="158" t="n">
        <f aca="false">-BJ$7*(BJ116+BJ117+BJ118)</f>
        <v>-0</v>
      </c>
      <c r="BK119" s="158" t="n">
        <f aca="false">-BK$7*(BK116+BK117+BK118)</f>
        <v>-0</v>
      </c>
      <c r="BL119" s="158" t="n">
        <f aca="false">-BL$7*(BL116+BL117+BL118)</f>
        <v>-0</v>
      </c>
      <c r="BM119" s="158" t="n">
        <f aca="false">-BM$7*(BM116+BM117+BM118)</f>
        <v>-0</v>
      </c>
      <c r="BN119" s="158" t="n">
        <f aca="false">-BN$7*(BN116+BN117+BN118)</f>
        <v>-0</v>
      </c>
      <c r="BO119" s="158" t="n">
        <f aca="false">-BO$7*(BO116+BO117+BO118)</f>
        <v>-0</v>
      </c>
      <c r="BP119" s="158" t="n">
        <f aca="false">-BP$7*(BP116+BP117+BP118)</f>
        <v>-0</v>
      </c>
    </row>
    <row r="120" customFormat="false" ht="15" hidden="false" customHeight="false" outlineLevel="0" collapsed="false">
      <c r="C120" s="0" t="s">
        <v>1050</v>
      </c>
      <c r="D120" s="0" t="s">
        <v>125</v>
      </c>
      <c r="E120" s="158"/>
      <c r="F120" s="158"/>
      <c r="G120" s="158"/>
      <c r="H120" s="158" t="n">
        <f aca="false">SUM(H116:H119)</f>
        <v>0</v>
      </c>
      <c r="I120" s="158" t="n">
        <f aca="false">SUM(I116:I119)</f>
        <v>0</v>
      </c>
      <c r="J120" s="158" t="n">
        <f aca="false">SUM(J116:J119)</f>
        <v>0</v>
      </c>
      <c r="K120" s="158" t="n">
        <f aca="false">SUM(K116:K119)</f>
        <v>0</v>
      </c>
      <c r="L120" s="158" t="n">
        <f aca="false">SUM(L116:L119)</f>
        <v>0</v>
      </c>
      <c r="M120" s="158" t="n">
        <f aca="false">SUM(M116:M119)</f>
        <v>0</v>
      </c>
      <c r="N120" s="158" t="n">
        <f aca="false">SUM(N116:N119)</f>
        <v>0</v>
      </c>
      <c r="O120" s="158" t="n">
        <f aca="false">SUM(O116:O119)</f>
        <v>0</v>
      </c>
      <c r="P120" s="158" t="n">
        <f aca="false">SUM(P116:P119)</f>
        <v>0</v>
      </c>
      <c r="Q120" s="158" t="n">
        <f aca="false">SUM(Q116:Q119)</f>
        <v>0</v>
      </c>
      <c r="R120" s="158" t="n">
        <f aca="false">SUM(R116:R119)</f>
        <v>0</v>
      </c>
      <c r="S120" s="158" t="n">
        <f aca="false">SUM(S116:S119)</f>
        <v>0</v>
      </c>
      <c r="T120" s="158" t="n">
        <f aca="false">SUM(T116:T119)</f>
        <v>0</v>
      </c>
      <c r="U120" s="158" t="n">
        <f aca="false">SUM(U116:U119)</f>
        <v>0</v>
      </c>
      <c r="V120" s="158" t="n">
        <f aca="false">SUM(V116:V119)</f>
        <v>0</v>
      </c>
      <c r="W120" s="158" t="n">
        <f aca="false">SUM(W116:W119)</f>
        <v>0</v>
      </c>
      <c r="X120" s="158" t="n">
        <f aca="false">SUM(X116:X119)</f>
        <v>0</v>
      </c>
      <c r="Y120" s="158" t="n">
        <f aca="false">SUM(Y116:Y119)</f>
        <v>0</v>
      </c>
      <c r="Z120" s="158" t="n">
        <f aca="false">SUM(Z116:Z119)</f>
        <v>0</v>
      </c>
      <c r="AA120" s="158" t="n">
        <f aca="false">SUM(AA116:AA119)</f>
        <v>0</v>
      </c>
      <c r="AB120" s="158" t="n">
        <f aca="false">SUM(AB116:AB119)</f>
        <v>0</v>
      </c>
      <c r="AC120" s="158" t="n">
        <f aca="false">SUM(AC116:AC119)</f>
        <v>0</v>
      </c>
      <c r="AD120" s="158" t="n">
        <f aca="false">SUM(AD116:AD119)</f>
        <v>0</v>
      </c>
      <c r="AE120" s="158" t="n">
        <f aca="false">SUM(AE116:AE119)</f>
        <v>0</v>
      </c>
      <c r="AF120" s="158" t="n">
        <f aca="false">SUM(AF116:AF119)</f>
        <v>0</v>
      </c>
      <c r="AG120" s="158" t="n">
        <f aca="false">SUM(AG116:AG119)</f>
        <v>0</v>
      </c>
      <c r="AH120" s="158" t="n">
        <f aca="false">SUM(AH116:AH119)</f>
        <v>0</v>
      </c>
      <c r="AI120" s="158" t="n">
        <f aca="false">SUM(AI116:AI119)</f>
        <v>0</v>
      </c>
      <c r="AJ120" s="158" t="n">
        <f aca="false">SUM(AJ116:AJ119)</f>
        <v>0</v>
      </c>
      <c r="AK120" s="158" t="n">
        <f aca="false">SUM(AK116:AK119)</f>
        <v>0</v>
      </c>
      <c r="AL120" s="158" t="n">
        <f aca="false">SUM(AL116:AL119)</f>
        <v>0</v>
      </c>
      <c r="AM120" s="158" t="n">
        <f aca="false">SUM(AM116:AM119)</f>
        <v>0</v>
      </c>
      <c r="AN120" s="158" t="n">
        <f aca="false">SUM(AN116:AN119)</f>
        <v>0</v>
      </c>
      <c r="AO120" s="158" t="n">
        <f aca="false">SUM(AO116:AO119)</f>
        <v>0</v>
      </c>
      <c r="AP120" s="158" t="n">
        <f aca="false">SUM(AP116:AP119)</f>
        <v>0</v>
      </c>
      <c r="AQ120" s="158" t="n">
        <f aca="false">SUM(AQ116:AQ119)</f>
        <v>0</v>
      </c>
      <c r="AR120" s="158" t="n">
        <f aca="false">SUM(AR116:AR119)</f>
        <v>0</v>
      </c>
      <c r="AS120" s="158" t="n">
        <f aca="false">SUM(AS116:AS119)</f>
        <v>0</v>
      </c>
      <c r="AT120" s="158" t="n">
        <f aca="false">SUM(AT116:AT119)</f>
        <v>0</v>
      </c>
      <c r="AU120" s="158" t="n">
        <f aca="false">SUM(AU116:AU119)</f>
        <v>0</v>
      </c>
      <c r="AV120" s="158" t="n">
        <f aca="false">SUM(AV116:AV119)</f>
        <v>0</v>
      </c>
      <c r="AW120" s="158" t="n">
        <f aca="false">SUM(AW116:AW119)</f>
        <v>0</v>
      </c>
      <c r="AX120" s="158" t="n">
        <f aca="false">SUM(AX116:AX119)</f>
        <v>0</v>
      </c>
      <c r="AY120" s="158" t="n">
        <f aca="false">SUM(AY116:AY119)</f>
        <v>0</v>
      </c>
      <c r="AZ120" s="158" t="n">
        <f aca="false">SUM(AZ116:AZ119)</f>
        <v>0</v>
      </c>
      <c r="BA120" s="158" t="n">
        <f aca="false">SUM(BA116:BA119)</f>
        <v>0</v>
      </c>
      <c r="BB120" s="158" t="n">
        <f aca="false">SUM(BB116:BB119)</f>
        <v>0</v>
      </c>
      <c r="BC120" s="158" t="n">
        <f aca="false">SUM(BC116:BC119)</f>
        <v>0</v>
      </c>
      <c r="BD120" s="158" t="n">
        <f aca="false">SUM(BD116:BD119)</f>
        <v>0</v>
      </c>
      <c r="BE120" s="158" t="n">
        <f aca="false">SUM(BE116:BE119)</f>
        <v>0</v>
      </c>
      <c r="BF120" s="158" t="n">
        <f aca="false">SUM(BF116:BF119)</f>
        <v>0</v>
      </c>
      <c r="BG120" s="158" t="n">
        <f aca="false">SUM(BG116:BG119)</f>
        <v>0</v>
      </c>
      <c r="BH120" s="158" t="n">
        <f aca="false">SUM(BH116:BH119)</f>
        <v>0</v>
      </c>
      <c r="BI120" s="158" t="n">
        <f aca="false">SUM(BI116:BI119)</f>
        <v>0</v>
      </c>
      <c r="BJ120" s="158" t="n">
        <f aca="false">SUM(BJ116:BJ119)</f>
        <v>0</v>
      </c>
      <c r="BK120" s="158" t="n">
        <f aca="false">SUM(BK116:BK119)</f>
        <v>0</v>
      </c>
      <c r="BL120" s="158" t="n">
        <f aca="false">SUM(BL116:BL119)</f>
        <v>0</v>
      </c>
      <c r="BM120" s="158" t="n">
        <f aca="false">SUM(BM116:BM119)</f>
        <v>0</v>
      </c>
      <c r="BN120" s="158" t="n">
        <f aca="false">SUM(BN116:BN119)</f>
        <v>0</v>
      </c>
      <c r="BO120" s="158" t="n">
        <f aca="false">SUM(BO116:BO119)</f>
        <v>0</v>
      </c>
      <c r="BP120" s="158" t="n">
        <f aca="false">SUM(BP116:BP119)</f>
        <v>0</v>
      </c>
    </row>
    <row r="121" customFormat="false" ht="15" hidden="false" customHeight="false" outlineLevel="0" collapsed="false">
      <c r="E121" s="158"/>
      <c r="F121" s="158"/>
      <c r="G121" s="158"/>
      <c r="H121" s="158"/>
      <c r="I121" s="158"/>
      <c r="J121" s="158"/>
      <c r="K121" s="158"/>
      <c r="L121" s="158"/>
      <c r="M121" s="158"/>
      <c r="N121" s="158"/>
      <c r="O121" s="158"/>
      <c r="P121" s="158"/>
      <c r="Q121" s="158"/>
      <c r="R121" s="158"/>
      <c r="S121" s="158"/>
      <c r="T121" s="158"/>
      <c r="U121" s="158"/>
      <c r="V121" s="158"/>
      <c r="W121" s="158"/>
      <c r="X121" s="158"/>
      <c r="Y121" s="158"/>
      <c r="Z121" s="158"/>
      <c r="AA121" s="158"/>
      <c r="AB121" s="158"/>
      <c r="AC121" s="158"/>
      <c r="AD121" s="158"/>
      <c r="AE121" s="158"/>
      <c r="AF121" s="158"/>
      <c r="AG121" s="158"/>
      <c r="AH121" s="158"/>
      <c r="AI121" s="158"/>
      <c r="AJ121" s="158"/>
      <c r="AK121" s="158"/>
      <c r="AL121" s="158"/>
      <c r="AM121" s="158"/>
      <c r="AN121" s="158"/>
      <c r="AO121" s="158"/>
      <c r="AP121" s="158"/>
      <c r="AQ121" s="158"/>
      <c r="AR121" s="158"/>
      <c r="AS121" s="158"/>
      <c r="AT121" s="158"/>
      <c r="AU121" s="158"/>
      <c r="AV121" s="158"/>
      <c r="AW121" s="158"/>
      <c r="AX121" s="158"/>
      <c r="AY121" s="158"/>
      <c r="AZ121" s="158"/>
      <c r="BA121" s="158"/>
      <c r="BB121" s="158"/>
      <c r="BC121" s="158"/>
      <c r="BD121" s="158"/>
      <c r="BE121" s="158"/>
      <c r="BF121" s="158"/>
      <c r="BG121" s="158"/>
      <c r="BH121" s="158"/>
      <c r="BI121" s="158"/>
      <c r="BJ121" s="158"/>
      <c r="BK121" s="158"/>
      <c r="BL121" s="158"/>
      <c r="BM121" s="158"/>
      <c r="BN121" s="158"/>
      <c r="BO121" s="158"/>
      <c r="BP121" s="158"/>
    </row>
    <row r="122" customFormat="false" ht="15" hidden="false" customHeight="false" outlineLevel="0" collapsed="false">
      <c r="C122" s="205" t="s">
        <v>1084</v>
      </c>
      <c r="D122" s="205"/>
      <c r="E122" s="251"/>
      <c r="F122" s="251"/>
      <c r="G122" s="251"/>
      <c r="H122" s="251"/>
      <c r="I122" s="251"/>
      <c r="J122" s="251"/>
      <c r="K122" s="251"/>
      <c r="L122" s="251"/>
      <c r="M122" s="251"/>
      <c r="N122" s="251"/>
      <c r="O122" s="251"/>
      <c r="P122" s="251"/>
      <c r="Q122" s="251"/>
      <c r="R122" s="251"/>
      <c r="S122" s="251"/>
      <c r="T122" s="251"/>
      <c r="U122" s="251"/>
      <c r="V122" s="251"/>
      <c r="W122" s="251"/>
      <c r="X122" s="251"/>
      <c r="Y122" s="251"/>
      <c r="Z122" s="251"/>
      <c r="AA122" s="251"/>
      <c r="AB122" s="251"/>
      <c r="AC122" s="251"/>
      <c r="AD122" s="251"/>
      <c r="AE122" s="251"/>
      <c r="AF122" s="251"/>
      <c r="AG122" s="251"/>
      <c r="AH122" s="251"/>
      <c r="AI122" s="251"/>
      <c r="AJ122" s="251"/>
      <c r="AK122" s="251"/>
      <c r="AL122" s="251"/>
      <c r="AM122" s="251"/>
      <c r="AN122" s="251"/>
      <c r="AO122" s="251"/>
      <c r="AP122" s="251"/>
      <c r="AQ122" s="251"/>
      <c r="AR122" s="251"/>
      <c r="AS122" s="251"/>
      <c r="AT122" s="251"/>
      <c r="AU122" s="251"/>
      <c r="AV122" s="251"/>
      <c r="AW122" s="251"/>
      <c r="AX122" s="251"/>
      <c r="AY122" s="251"/>
      <c r="AZ122" s="251"/>
      <c r="BA122" s="251"/>
      <c r="BB122" s="251"/>
      <c r="BC122" s="251"/>
      <c r="BD122" s="251"/>
      <c r="BE122" s="251"/>
      <c r="BF122" s="251"/>
      <c r="BG122" s="251"/>
      <c r="BH122" s="251"/>
      <c r="BI122" s="251"/>
      <c r="BJ122" s="251"/>
      <c r="BK122" s="251"/>
      <c r="BL122" s="251"/>
      <c r="BM122" s="251"/>
      <c r="BN122" s="251"/>
      <c r="BO122" s="251"/>
      <c r="BP122" s="251"/>
    </row>
    <row r="123" customFormat="false" ht="15" hidden="false" customHeight="false" outlineLevel="0" collapsed="false">
      <c r="C123" s="0" t="s">
        <v>1048</v>
      </c>
      <c r="D123" s="0" t="s">
        <v>125</v>
      </c>
      <c r="E123" s="158"/>
      <c r="F123" s="158"/>
      <c r="G123" s="158"/>
      <c r="H123" s="158" t="n">
        <v>0</v>
      </c>
      <c r="I123" s="158" t="n">
        <f aca="false">H128</f>
        <v>0</v>
      </c>
      <c r="J123" s="158" t="n">
        <f aca="false">I128</f>
        <v>0</v>
      </c>
      <c r="K123" s="158" t="n">
        <f aca="false">J128</f>
        <v>0</v>
      </c>
      <c r="L123" s="158" t="n">
        <f aca="false">K128</f>
        <v>96.8407997038134</v>
      </c>
      <c r="M123" s="158" t="n">
        <f aca="false">L128</f>
        <v>96.8407997038134</v>
      </c>
      <c r="N123" s="158" t="n">
        <f aca="false">M128</f>
        <v>96.8407997038134</v>
      </c>
      <c r="O123" s="158" t="n">
        <f aca="false">N128</f>
        <v>101.705664568678</v>
      </c>
      <c r="P123" s="158" t="n">
        <f aca="false">O128</f>
        <v>191.1522861903</v>
      </c>
      <c r="Q123" s="158" t="n">
        <f aca="false">P128</f>
        <v>390.1522861903</v>
      </c>
      <c r="R123" s="158" t="n">
        <f aca="false">Q128</f>
        <v>390.1522861903</v>
      </c>
      <c r="S123" s="158" t="n">
        <f aca="false">R128</f>
        <v>390.1522861903</v>
      </c>
      <c r="T123" s="158" t="n">
        <f aca="false">S128</f>
        <v>411.773907811922</v>
      </c>
      <c r="U123" s="158" t="n">
        <f aca="false">T128</f>
        <v>433.395529433543</v>
      </c>
      <c r="V123" s="158" t="n">
        <f aca="false">U128</f>
        <v>433.395529433543</v>
      </c>
      <c r="W123" s="158" t="n">
        <f aca="false">V128</f>
        <v>433.395529433543</v>
      </c>
      <c r="X123" s="158" t="n">
        <f aca="false">W128</f>
        <v>433.395529433543</v>
      </c>
      <c r="Y123" s="158" t="n">
        <f aca="false">X128</f>
        <v>453.665799703813</v>
      </c>
      <c r="Z123" s="158" t="n">
        <f aca="false">Y128</f>
        <v>525.006340244354</v>
      </c>
      <c r="AA123" s="158" t="n">
        <f aca="false">Z128</f>
        <v>1002.37830659846</v>
      </c>
      <c r="AB123" s="158" t="n">
        <f aca="false">AA128</f>
        <v>1117.24317146333</v>
      </c>
      <c r="AC123" s="158" t="n">
        <f aca="false">AB128</f>
        <v>1161.3107390309</v>
      </c>
      <c r="AD123" s="158" t="n">
        <f aca="false">AC128</f>
        <v>1161.36479308495</v>
      </c>
      <c r="AE123" s="158" t="n">
        <f aca="false">AD128</f>
        <v>1161.36479308495</v>
      </c>
      <c r="AF123" s="158" t="n">
        <f aca="false">AE128</f>
        <v>1163.61479308495</v>
      </c>
      <c r="AG123" s="158" t="n">
        <f aca="false">AF128</f>
        <v>1163.61479308495</v>
      </c>
      <c r="AH123" s="158" t="n">
        <f aca="false">AG128</f>
        <v>1244.55182165638</v>
      </c>
      <c r="AI123" s="158" t="n">
        <f aca="false">AH128</f>
        <v>1244.55182165638</v>
      </c>
      <c r="AJ123" s="158" t="n">
        <f aca="false">AI128</f>
        <v>1244.55182165638</v>
      </c>
      <c r="AK123" s="158" t="n">
        <f aca="false">AJ128</f>
        <v>1260.76803787259</v>
      </c>
      <c r="AL123" s="158" t="n">
        <f aca="false">AK128</f>
        <v>1401.87186868688</v>
      </c>
      <c r="AM123" s="158" t="n">
        <f aca="false">AL128</f>
        <v>1428.89889571391</v>
      </c>
      <c r="AN123" s="158" t="n">
        <f aca="false">AM128</f>
        <v>1428.89889571391</v>
      </c>
      <c r="AO123" s="158" t="n">
        <f aca="false">AN128</f>
        <v>1552.14213895715</v>
      </c>
      <c r="AP123" s="158" t="n">
        <f aca="false">AO128</f>
        <v>1552.14213895715</v>
      </c>
      <c r="AQ123" s="158" t="n">
        <f aca="false">AP128</f>
        <v>1552.14213895715</v>
      </c>
      <c r="AR123" s="158" t="n">
        <f aca="false">AQ128</f>
        <v>1552.14213895715</v>
      </c>
      <c r="AS123" s="158" t="n">
        <f aca="false">AR128</f>
        <v>1552.14213895715</v>
      </c>
      <c r="AT123" s="158" t="n">
        <f aca="false">AS128</f>
        <v>1552.14213895715</v>
      </c>
      <c r="AU123" s="158" t="n">
        <f aca="false">AT128</f>
        <v>0</v>
      </c>
      <c r="AV123" s="158" t="n">
        <f aca="false">AU128</f>
        <v>0</v>
      </c>
      <c r="AW123" s="158" t="n">
        <f aca="false">AV128</f>
        <v>0</v>
      </c>
      <c r="AX123" s="158" t="n">
        <f aca="false">AW128</f>
        <v>0</v>
      </c>
      <c r="AY123" s="158" t="n">
        <f aca="false">AX128</f>
        <v>0</v>
      </c>
      <c r="AZ123" s="158" t="n">
        <f aca="false">AY128</f>
        <v>0</v>
      </c>
      <c r="BA123" s="158" t="n">
        <f aca="false">AZ128</f>
        <v>0</v>
      </c>
      <c r="BB123" s="158" t="n">
        <f aca="false">BA128</f>
        <v>0</v>
      </c>
      <c r="BC123" s="158" t="n">
        <f aca="false">BB128</f>
        <v>0</v>
      </c>
      <c r="BD123" s="158" t="n">
        <f aca="false">BC128</f>
        <v>0</v>
      </c>
      <c r="BE123" s="158" t="n">
        <f aca="false">BD128</f>
        <v>0</v>
      </c>
      <c r="BF123" s="158" t="n">
        <f aca="false">BE128</f>
        <v>0</v>
      </c>
      <c r="BG123" s="158" t="n">
        <f aca="false">BF128</f>
        <v>0</v>
      </c>
      <c r="BH123" s="158" t="n">
        <f aca="false">BG128</f>
        <v>0</v>
      </c>
      <c r="BI123" s="158" t="n">
        <f aca="false">BH128</f>
        <v>0</v>
      </c>
      <c r="BJ123" s="158" t="n">
        <f aca="false">BI128</f>
        <v>0</v>
      </c>
      <c r="BK123" s="158" t="n">
        <f aca="false">BJ128</f>
        <v>0</v>
      </c>
      <c r="BL123" s="158" t="n">
        <f aca="false">BK128</f>
        <v>0</v>
      </c>
      <c r="BM123" s="158" t="n">
        <f aca="false">BL128</f>
        <v>0</v>
      </c>
      <c r="BN123" s="158" t="n">
        <f aca="false">BM128</f>
        <v>0</v>
      </c>
      <c r="BO123" s="158" t="n">
        <f aca="false">BN128</f>
        <v>0</v>
      </c>
      <c r="BP123" s="158" t="n">
        <f aca="false">BO128</f>
        <v>0</v>
      </c>
    </row>
    <row r="124" customFormat="false" ht="15" hidden="false" customHeight="false" outlineLevel="0" collapsed="false">
      <c r="C124" s="0" t="s">
        <v>1085</v>
      </c>
      <c r="D124" s="0" t="s">
        <v>125</v>
      </c>
      <c r="E124" s="158"/>
      <c r="F124" s="158"/>
      <c r="G124" s="158" t="n">
        <f aca="false">SUM(H124:BP124)</f>
        <v>8.21917808219178</v>
      </c>
      <c r="H124" s="158" t="n">
        <f aca="false">$E$106*H103</f>
        <v>0</v>
      </c>
      <c r="I124" s="158" t="n">
        <f aca="false">$E$106*I103</f>
        <v>0</v>
      </c>
      <c r="J124" s="158" t="n">
        <f aca="false">$E$106*J103</f>
        <v>0</v>
      </c>
      <c r="K124" s="158" t="n">
        <f aca="false">$E$106*K103</f>
        <v>8.21917808219178</v>
      </c>
      <c r="L124" s="158" t="n">
        <f aca="false">$E$106*L103</f>
        <v>0</v>
      </c>
      <c r="M124" s="158" t="n">
        <f aca="false">$E$106*M103</f>
        <v>0</v>
      </c>
      <c r="N124" s="158" t="n">
        <f aca="false">$E$106*N103</f>
        <v>0</v>
      </c>
      <c r="O124" s="158" t="n">
        <f aca="false">$E$106*O103</f>
        <v>0</v>
      </c>
      <c r="P124" s="158" t="n">
        <f aca="false">$E$106*P103</f>
        <v>0</v>
      </c>
      <c r="Q124" s="158" t="n">
        <f aca="false">$E$106*Q103</f>
        <v>0</v>
      </c>
      <c r="R124" s="158" t="n">
        <f aca="false">$E$106*R103</f>
        <v>0</v>
      </c>
      <c r="S124" s="158" t="n">
        <f aca="false">$E$106*S103</f>
        <v>0</v>
      </c>
      <c r="T124" s="158" t="n">
        <f aca="false">$E$106*T103</f>
        <v>0</v>
      </c>
      <c r="U124" s="158" t="n">
        <f aca="false">$E$106*U103</f>
        <v>0</v>
      </c>
      <c r="V124" s="158" t="n">
        <f aca="false">$E$106*V103</f>
        <v>0</v>
      </c>
      <c r="W124" s="158" t="n">
        <f aca="false">$E$106*W103</f>
        <v>0</v>
      </c>
      <c r="X124" s="158" t="n">
        <f aca="false">$E$106*X103</f>
        <v>0</v>
      </c>
      <c r="Y124" s="158" t="n">
        <f aca="false">$E$106*Y103</f>
        <v>0</v>
      </c>
      <c r="Z124" s="158" t="n">
        <f aca="false">$E$106*Z103</f>
        <v>0</v>
      </c>
      <c r="AA124" s="158" t="n">
        <f aca="false">$E$106*AA103</f>
        <v>0</v>
      </c>
      <c r="AB124" s="158" t="n">
        <f aca="false">$E$106*AB103</f>
        <v>0</v>
      </c>
      <c r="AC124" s="158" t="n">
        <f aca="false">$E$106*AC103</f>
        <v>0</v>
      </c>
      <c r="AD124" s="158" t="n">
        <f aca="false">$E$106*AD103</f>
        <v>0</v>
      </c>
      <c r="AE124" s="158" t="n">
        <f aca="false">$E$106*AE103</f>
        <v>0</v>
      </c>
      <c r="AF124" s="158" t="n">
        <f aca="false">$E$106*AF103</f>
        <v>0</v>
      </c>
      <c r="AG124" s="158" t="n">
        <f aca="false">$E$106*AG103</f>
        <v>0</v>
      </c>
      <c r="AH124" s="158" t="n">
        <f aca="false">$E$106*AH103</f>
        <v>0</v>
      </c>
      <c r="AI124" s="158" t="n">
        <f aca="false">$E$106*AI103</f>
        <v>0</v>
      </c>
      <c r="AJ124" s="158" t="n">
        <f aca="false">$E$106*AJ103</f>
        <v>0</v>
      </c>
      <c r="AK124" s="158" t="n">
        <f aca="false">$E$106*AK103</f>
        <v>0</v>
      </c>
      <c r="AL124" s="158" t="n">
        <f aca="false">$E$106*AL103</f>
        <v>0</v>
      </c>
      <c r="AM124" s="158" t="n">
        <f aca="false">$E$106*AM103</f>
        <v>0</v>
      </c>
      <c r="AN124" s="158" t="n">
        <f aca="false">$E$106*AN103</f>
        <v>0</v>
      </c>
      <c r="AO124" s="158" t="n">
        <f aca="false">$E$106*AO103</f>
        <v>0</v>
      </c>
      <c r="AP124" s="158" t="n">
        <f aca="false">$E$106*AP103</f>
        <v>0</v>
      </c>
      <c r="AQ124" s="158" t="n">
        <f aca="false">$E$106*AQ103</f>
        <v>0</v>
      </c>
      <c r="AR124" s="158" t="n">
        <f aca="false">$E$106*AR103</f>
        <v>0</v>
      </c>
      <c r="AS124" s="158" t="n">
        <f aca="false">$E$106*AS103</f>
        <v>0</v>
      </c>
      <c r="AT124" s="158" t="n">
        <f aca="false">$E$106*AT103</f>
        <v>0</v>
      </c>
      <c r="AU124" s="158" t="n">
        <f aca="false">$E$106*AU103</f>
        <v>0</v>
      </c>
      <c r="AV124" s="158" t="n">
        <f aca="false">$E$106*AV103</f>
        <v>0</v>
      </c>
      <c r="AW124" s="158" t="n">
        <f aca="false">$E$106*AW103</f>
        <v>0</v>
      </c>
      <c r="AX124" s="158" t="n">
        <f aca="false">$E$106*AX103</f>
        <v>0</v>
      </c>
      <c r="AY124" s="158" t="n">
        <f aca="false">$E$106*AY103</f>
        <v>0</v>
      </c>
      <c r="AZ124" s="158" t="n">
        <f aca="false">$E$106*AZ103</f>
        <v>0</v>
      </c>
      <c r="BA124" s="158" t="n">
        <f aca="false">$E$106*BA103</f>
        <v>0</v>
      </c>
      <c r="BB124" s="158" t="n">
        <f aca="false">$E$106*BB103</f>
        <v>0</v>
      </c>
      <c r="BC124" s="158" t="n">
        <f aca="false">$E$106*BC103</f>
        <v>0</v>
      </c>
      <c r="BD124" s="158" t="n">
        <f aca="false">$E$106*BD103</f>
        <v>0</v>
      </c>
      <c r="BE124" s="158" t="n">
        <f aca="false">$E$106*BE103</f>
        <v>0</v>
      </c>
      <c r="BF124" s="158" t="n">
        <f aca="false">$E$106*BF103</f>
        <v>0</v>
      </c>
      <c r="BG124" s="158" t="n">
        <f aca="false">$E$106*BG103</f>
        <v>0</v>
      </c>
      <c r="BH124" s="158" t="n">
        <f aca="false">$E$106*BH103</f>
        <v>0</v>
      </c>
      <c r="BI124" s="158" t="n">
        <f aca="false">$E$106*BI103</f>
        <v>0</v>
      </c>
      <c r="BJ124" s="158" t="n">
        <f aca="false">$E$106*BJ103</f>
        <v>0</v>
      </c>
      <c r="BK124" s="158" t="n">
        <f aca="false">$E$106*BK103</f>
        <v>0</v>
      </c>
      <c r="BL124" s="158" t="n">
        <f aca="false">$E$106*BL103</f>
        <v>0</v>
      </c>
      <c r="BM124" s="158" t="n">
        <f aca="false">$E$106*BM103</f>
        <v>0</v>
      </c>
      <c r="BN124" s="158" t="n">
        <f aca="false">$E$106*BN103</f>
        <v>0</v>
      </c>
      <c r="BO124" s="158" t="n">
        <f aca="false">$E$106*BO103</f>
        <v>0</v>
      </c>
      <c r="BP124" s="158" t="n">
        <f aca="false">$E$106*BP103</f>
        <v>0</v>
      </c>
    </row>
    <row r="125" customFormat="false" ht="15" hidden="false" customHeight="false" outlineLevel="0" collapsed="false">
      <c r="C125" s="0" t="s">
        <v>1086</v>
      </c>
      <c r="D125" s="0" t="s">
        <v>125</v>
      </c>
      <c r="E125" s="158"/>
      <c r="F125" s="158"/>
      <c r="G125" s="158" t="n">
        <f aca="false">SUM(H125:BP125)</f>
        <v>1543.92296087496</v>
      </c>
      <c r="H125" s="158" t="n">
        <f aca="false">$E$106*(H18+H20)</f>
        <v>0</v>
      </c>
      <c r="I125" s="158" t="n">
        <f aca="false">$E$106*(I18+I20)</f>
        <v>0</v>
      </c>
      <c r="J125" s="158" t="n">
        <f aca="false">$E$106*(J18+J20)</f>
        <v>0</v>
      </c>
      <c r="K125" s="158" t="n">
        <f aca="false">$E$106*(K18+K20)</f>
        <v>88.6216216216216</v>
      </c>
      <c r="L125" s="158" t="n">
        <f aca="false">$E$106*(L18+L20)</f>
        <v>0</v>
      </c>
      <c r="M125" s="158" t="n">
        <f aca="false">$E$106*(M18+M20)</f>
        <v>0</v>
      </c>
      <c r="N125" s="158" t="n">
        <f aca="false">$E$106*(N18+N20)</f>
        <v>4.86486486486487</v>
      </c>
      <c r="O125" s="158" t="n">
        <f aca="false">$E$106*(O18+O20)</f>
        <v>89.4466216216216</v>
      </c>
      <c r="P125" s="158" t="n">
        <f aca="false">$E$106*(P18+P20)</f>
        <v>199</v>
      </c>
      <c r="Q125" s="158" t="n">
        <f aca="false">$E$106*(Q18+Q20)</f>
        <v>0</v>
      </c>
      <c r="R125" s="158" t="n">
        <f aca="false">$E$106*(R18+R20)</f>
        <v>0</v>
      </c>
      <c r="S125" s="158" t="n">
        <f aca="false">$E$106*(S18+S20)</f>
        <v>21.6216216216216</v>
      </c>
      <c r="T125" s="158" t="n">
        <f aca="false">$E$106*(T18+T20)</f>
        <v>21.6216216216216</v>
      </c>
      <c r="U125" s="158" t="n">
        <f aca="false">$E$106*(U18+U20)</f>
        <v>0</v>
      </c>
      <c r="V125" s="158" t="n">
        <f aca="false">$E$106*(V18+V20)</f>
        <v>0</v>
      </c>
      <c r="W125" s="158" t="n">
        <f aca="false">$E$106*(W18+W20)</f>
        <v>0</v>
      </c>
      <c r="X125" s="158" t="n">
        <f aca="false">$E$106*(X18+X20)</f>
        <v>20.2702702702703</v>
      </c>
      <c r="Y125" s="158" t="n">
        <f aca="false">$E$106*(Y18+Y20)</f>
        <v>71.3405405405405</v>
      </c>
      <c r="Z125" s="158" t="n">
        <f aca="false">$E$106*(Z18+Z20)</f>
        <v>477.371966354109</v>
      </c>
      <c r="AA125" s="158" t="n">
        <f aca="false">$E$106*(AA18+AA20)</f>
        <v>114.864864864865</v>
      </c>
      <c r="AB125" s="158" t="n">
        <f aca="false">$E$106*(AB18+AB20)</f>
        <v>44.0675675675676</v>
      </c>
      <c r="AC125" s="158" t="n">
        <f aca="false">$E$106*(AC18+AC20)</f>
        <v>0.0540540540540541</v>
      </c>
      <c r="AD125" s="158" t="n">
        <f aca="false">$E$106*(AD18+AD20)</f>
        <v>0</v>
      </c>
      <c r="AE125" s="158" t="n">
        <f aca="false">$E$106*(AE18+AE20)</f>
        <v>2.25</v>
      </c>
      <c r="AF125" s="158" t="n">
        <f aca="false">$E$106*(AF18+AF20)</f>
        <v>0</v>
      </c>
      <c r="AG125" s="158" t="n">
        <f aca="false">$E$106*(AG18+AG20)</f>
        <v>80.9370285714286</v>
      </c>
      <c r="AH125" s="158" t="n">
        <f aca="false">$E$106*(AH18+AH20)</f>
        <v>0</v>
      </c>
      <c r="AI125" s="158" t="n">
        <f aca="false">$E$106*(AI18+AI20)</f>
        <v>0</v>
      </c>
      <c r="AJ125" s="158" t="n">
        <f aca="false">$E$106*(AJ18+AJ20)</f>
        <v>16.2162162162162</v>
      </c>
      <c r="AK125" s="158" t="n">
        <f aca="false">$E$106*(AK18+AK20)</f>
        <v>141.103830814286</v>
      </c>
      <c r="AL125" s="158" t="n">
        <f aca="false">$E$106*(AL18+AL20)</f>
        <v>27.027027027027</v>
      </c>
      <c r="AM125" s="158" t="n">
        <f aca="false">$E$106*(AM18+AM20)</f>
        <v>0</v>
      </c>
      <c r="AN125" s="158" t="n">
        <f aca="false">$E$106*(AN18+AN20)</f>
        <v>123.243243243243</v>
      </c>
      <c r="AO125" s="158" t="n">
        <f aca="false">$E$106*(AO18+AO20)</f>
        <v>0</v>
      </c>
      <c r="AP125" s="158" t="n">
        <f aca="false">$E$106*(AP18+AP20)</f>
        <v>0</v>
      </c>
      <c r="AQ125" s="158" t="n">
        <f aca="false">$E$106*(AQ18+AQ20)</f>
        <v>0</v>
      </c>
      <c r="AR125" s="158" t="n">
        <f aca="false">$E$106*(AR18+AR20)</f>
        <v>0</v>
      </c>
      <c r="AS125" s="158" t="n">
        <f aca="false">$E$106*(AS18+AS20)</f>
        <v>0</v>
      </c>
      <c r="AT125" s="158" t="n">
        <f aca="false">$E$106*(AT18+AT20)</f>
        <v>0</v>
      </c>
      <c r="AU125" s="158" t="n">
        <f aca="false">$E$106*(AU18+AU20)</f>
        <v>0</v>
      </c>
      <c r="AV125" s="158" t="n">
        <f aca="false">$E$106*(AV18+AV20)</f>
        <v>0</v>
      </c>
      <c r="AW125" s="158" t="n">
        <f aca="false">$E$106*(AW18+AW20)</f>
        <v>0</v>
      </c>
      <c r="AX125" s="158" t="n">
        <f aca="false">$E$106*(AX18+AX20)</f>
        <v>0</v>
      </c>
      <c r="AY125" s="158" t="n">
        <f aca="false">$E$106*(AY18+AY20)</f>
        <v>0</v>
      </c>
      <c r="AZ125" s="158" t="n">
        <f aca="false">$E$106*(AZ18+AZ20)</f>
        <v>0</v>
      </c>
      <c r="BA125" s="158" t="n">
        <f aca="false">$E$106*(BA18+BA20)</f>
        <v>0</v>
      </c>
      <c r="BB125" s="158" t="n">
        <f aca="false">$E$106*(BB18+BB20)</f>
        <v>0</v>
      </c>
      <c r="BC125" s="158" t="n">
        <f aca="false">$E$106*(BC18+BC20)</f>
        <v>0</v>
      </c>
      <c r="BD125" s="158" t="n">
        <f aca="false">$E$106*(BD18+BD20)</f>
        <v>0</v>
      </c>
      <c r="BE125" s="158" t="n">
        <f aca="false">$E$106*(BE18+BE20)</f>
        <v>0</v>
      </c>
      <c r="BF125" s="158" t="n">
        <f aca="false">$E$106*(BF18+BF20)</f>
        <v>0</v>
      </c>
      <c r="BG125" s="158" t="n">
        <f aca="false">$E$106*(BG18+BG20)</f>
        <v>0</v>
      </c>
      <c r="BH125" s="158" t="n">
        <f aca="false">$E$106*(BH18+BH20)</f>
        <v>0</v>
      </c>
      <c r="BI125" s="158" t="n">
        <f aca="false">$E$106*(BI18+BI20)</f>
        <v>0</v>
      </c>
      <c r="BJ125" s="158" t="n">
        <f aca="false">$E$106*(BJ18+BJ20)</f>
        <v>0</v>
      </c>
      <c r="BK125" s="158" t="n">
        <f aca="false">$E$106*(BK18+BK20)</f>
        <v>0</v>
      </c>
      <c r="BL125" s="158" t="n">
        <f aca="false">$E$106*(BL18+BL20)</f>
        <v>0</v>
      </c>
      <c r="BM125" s="158" t="n">
        <f aca="false">$E$106*(BM18+BM20)</f>
        <v>0</v>
      </c>
      <c r="BN125" s="158" t="n">
        <f aca="false">$E$106*(BN18+BN20)</f>
        <v>0</v>
      </c>
      <c r="BO125" s="158" t="n">
        <f aca="false">$E$106*(BO18+BO20)</f>
        <v>0</v>
      </c>
      <c r="BP125" s="158" t="n">
        <f aca="false">$E$106*(BP18+BP20)</f>
        <v>0</v>
      </c>
    </row>
    <row r="126" customFormat="false" ht="15" hidden="false" customHeight="false" outlineLevel="0" collapsed="false">
      <c r="C126" s="0" t="s">
        <v>1081</v>
      </c>
      <c r="D126" s="0" t="s">
        <v>125</v>
      </c>
      <c r="E126" s="141" t="n">
        <f aca="false">Inputs!$E$62</f>
        <v>0.2</v>
      </c>
      <c r="F126" s="158"/>
      <c r="G126" s="158" t="n">
        <f aca="false">SUM(H126:BP126)</f>
        <v>0</v>
      </c>
      <c r="H126" s="158" t="n">
        <f aca="false">IF(Inputs!$E$69=1,(1+$E$126)^(1/12)-1,$E$126/12)*SUM(H123:H125)*H$10*(1-Inputs!$E$66)</f>
        <v>0</v>
      </c>
      <c r="I126" s="158" t="n">
        <f aca="false">IF(Inputs!$E$69=1,(1+$E$126)^(1/12)-1,$E$126/12)*SUM(I123:I125)*I$10*(1-Inputs!$E$66)</f>
        <v>0</v>
      </c>
      <c r="J126" s="158" t="n">
        <f aca="false">IF(Inputs!$E$69=1,(1+$E$126)^(1/12)-1,$E$126/12)*SUM(J123:J125)*J$10*(1-Inputs!$E$66)</f>
        <v>0</v>
      </c>
      <c r="K126" s="158" t="n">
        <f aca="false">IF(Inputs!$E$69=1,(1+$E$126)^(1/12)-1,$E$126/12)*SUM(K123:K125)*K$10*(1-Inputs!$E$66)</f>
        <v>0</v>
      </c>
      <c r="L126" s="158" t="n">
        <f aca="false">IF(Inputs!$E$69=1,(1+$E$126)^(1/12)-1,$E$126/12)*SUM(L123:L125)*L$10*(1-Inputs!$E$66)</f>
        <v>0</v>
      </c>
      <c r="M126" s="158" t="n">
        <f aca="false">IF(Inputs!$E$69=1,(1+$E$126)^(1/12)-1,$E$126/12)*SUM(M123:M125)*M$10*(1-Inputs!$E$66)</f>
        <v>0</v>
      </c>
      <c r="N126" s="158" t="n">
        <f aca="false">IF(Inputs!$E$69=1,(1+$E$126)^(1/12)-1,$E$126/12)*SUM(N123:N125)*N$10*(1-Inputs!$E$66)</f>
        <v>0</v>
      </c>
      <c r="O126" s="158" t="n">
        <f aca="false">IF(Inputs!$E$69=1,(1+$E$126)^(1/12)-1,$E$126/12)*SUM(O123:O125)*O$10*(1-Inputs!$E$66)</f>
        <v>0</v>
      </c>
      <c r="P126" s="158" t="n">
        <f aca="false">IF(Inputs!$E$69=1,(1+$E$126)^(1/12)-1,$E$126/12)*SUM(P123:P125)*P$10*(1-Inputs!$E$66)</f>
        <v>0</v>
      </c>
      <c r="Q126" s="158" t="n">
        <f aca="false">IF(Inputs!$E$69=1,(1+$E$126)^(1/12)-1,$E$126/12)*SUM(Q123:Q125)*Q$10*(1-Inputs!$E$66)</f>
        <v>0</v>
      </c>
      <c r="R126" s="158" t="n">
        <f aca="false">IF(Inputs!$E$69=1,(1+$E$126)^(1/12)-1,$E$126/12)*SUM(R123:R125)*R$10*(1-Inputs!$E$66)</f>
        <v>0</v>
      </c>
      <c r="S126" s="158" t="n">
        <f aca="false">IF(Inputs!$E$69=1,(1+$E$126)^(1/12)-1,$E$126/12)*SUM(S123:S125)*S$10*(1-Inputs!$E$66)</f>
        <v>0</v>
      </c>
      <c r="T126" s="158" t="n">
        <f aca="false">IF(Inputs!$E$69=1,(1+$E$126)^(1/12)-1,$E$126/12)*SUM(T123:T125)*T$10*(1-Inputs!$E$66)</f>
        <v>0</v>
      </c>
      <c r="U126" s="158" t="n">
        <f aca="false">IF(Inputs!$E$69=1,(1+$E$126)^(1/12)-1,$E$126/12)*SUM(U123:U125)*U$10*(1-Inputs!$E$66)</f>
        <v>0</v>
      </c>
      <c r="V126" s="158" t="n">
        <f aca="false">IF(Inputs!$E$69=1,(1+$E$126)^(1/12)-1,$E$126/12)*SUM(V123:V125)*V$10*(1-Inputs!$E$66)</f>
        <v>0</v>
      </c>
      <c r="W126" s="158" t="n">
        <f aca="false">IF(Inputs!$E$69=1,(1+$E$126)^(1/12)-1,$E$126/12)*SUM(W123:W125)*W$10*(1-Inputs!$E$66)</f>
        <v>0</v>
      </c>
      <c r="X126" s="158" t="n">
        <f aca="false">IF(Inputs!$E$69=1,(1+$E$126)^(1/12)-1,$E$126/12)*SUM(X123:X125)*X$10*(1-Inputs!$E$66)</f>
        <v>0</v>
      </c>
      <c r="Y126" s="158" t="n">
        <f aca="false">IF(Inputs!$E$69=1,(1+$E$126)^(1/12)-1,$E$126/12)*SUM(Y123:Y125)*Y$10*(1-Inputs!$E$66)</f>
        <v>0</v>
      </c>
      <c r="Z126" s="158" t="n">
        <f aca="false">IF(Inputs!$E$69=1,(1+$E$126)^(1/12)-1,$E$126/12)*SUM(Z123:Z125)*Z$10*(1-Inputs!$E$66)</f>
        <v>0</v>
      </c>
      <c r="AA126" s="158" t="n">
        <f aca="false">IF(Inputs!$E$69=1,(1+$E$126)^(1/12)-1,$E$126/12)*SUM(AA123:AA125)*AA$10*(1-Inputs!$E$66)</f>
        <v>0</v>
      </c>
      <c r="AB126" s="158" t="n">
        <f aca="false">IF(Inputs!$E$69=1,(1+$E$126)^(1/12)-1,$E$126/12)*SUM(AB123:AB125)*AB$10*(1-Inputs!$E$66)</f>
        <v>0</v>
      </c>
      <c r="AC126" s="158" t="n">
        <f aca="false">IF(Inputs!$E$69=1,(1+$E$126)^(1/12)-1,$E$126/12)*SUM(AC123:AC125)*AC$10*(1-Inputs!$E$66)</f>
        <v>0</v>
      </c>
      <c r="AD126" s="158" t="n">
        <f aca="false">IF(Inputs!$E$69=1,(1+$E$126)^(1/12)-1,$E$126/12)*SUM(AD123:AD125)*AD$10*(1-Inputs!$E$66)</f>
        <v>0</v>
      </c>
      <c r="AE126" s="158" t="n">
        <f aca="false">IF(Inputs!$E$69=1,(1+$E$126)^(1/12)-1,$E$126/12)*SUM(AE123:AE125)*AE$10*(1-Inputs!$E$66)</f>
        <v>0</v>
      </c>
      <c r="AF126" s="158" t="n">
        <f aca="false">IF(Inputs!$E$69=1,(1+$E$126)^(1/12)-1,$E$126/12)*SUM(AF123:AF125)*AF$10*(1-Inputs!$E$66)</f>
        <v>0</v>
      </c>
      <c r="AG126" s="158" t="n">
        <f aca="false">IF(Inputs!$E$69=1,(1+$E$126)^(1/12)-1,$E$126/12)*SUM(AG123:AG125)*AG$10*(1-Inputs!$E$66)</f>
        <v>0</v>
      </c>
      <c r="AH126" s="158" t="n">
        <f aca="false">IF(Inputs!$E$69=1,(1+$E$126)^(1/12)-1,$E$126/12)*SUM(AH123:AH125)*AH$10*(1-Inputs!$E$66)</f>
        <v>0</v>
      </c>
      <c r="AI126" s="158" t="n">
        <f aca="false">IF(Inputs!$E$69=1,(1+$E$126)^(1/12)-1,$E$126/12)*SUM(AI123:AI125)*AI$10*(1-Inputs!$E$66)</f>
        <v>0</v>
      </c>
      <c r="AJ126" s="158" t="n">
        <f aca="false">IF(Inputs!$E$69=1,(1+$E$126)^(1/12)-1,$E$126/12)*SUM(AJ123:AJ125)*AJ$10*(1-Inputs!$E$66)</f>
        <v>0</v>
      </c>
      <c r="AK126" s="158" t="n">
        <f aca="false">IF(Inputs!$E$69=1,(1+$E$126)^(1/12)-1,$E$126/12)*SUM(AK123:AK125)*AK$10*(1-Inputs!$E$66)</f>
        <v>0</v>
      </c>
      <c r="AL126" s="158" t="n">
        <f aca="false">IF(Inputs!$E$69=1,(1+$E$126)^(1/12)-1,$E$126/12)*SUM(AL123:AL125)*AL$10*(1-Inputs!$E$66)</f>
        <v>0</v>
      </c>
      <c r="AM126" s="158" t="n">
        <f aca="false">IF(Inputs!$E$69=1,(1+$E$126)^(1/12)-1,$E$126/12)*SUM(AM123:AM125)*AM$10*(1-Inputs!$E$66)</f>
        <v>0</v>
      </c>
      <c r="AN126" s="158" t="n">
        <f aca="false">IF(Inputs!$E$69=1,(1+$E$126)^(1/12)-1,$E$126/12)*SUM(AN123:AN125)*AN$10*(1-Inputs!$E$66)</f>
        <v>0</v>
      </c>
      <c r="AO126" s="158" t="n">
        <f aca="false">IF(Inputs!$E$69=1,(1+$E$126)^(1/12)-1,$E$126/12)*SUM(AO123:AO125)*AO$10*(1-Inputs!$E$66)</f>
        <v>0</v>
      </c>
      <c r="AP126" s="158" t="n">
        <f aca="false">IF(Inputs!$E$69=1,(1+$E$126)^(1/12)-1,$E$126/12)*SUM(AP123:AP125)*AP$10*(1-Inputs!$E$66)</f>
        <v>0</v>
      </c>
      <c r="AQ126" s="158" t="n">
        <f aca="false">IF(Inputs!$E$69=1,(1+$E$126)^(1/12)-1,$E$126/12)*SUM(AQ123:AQ125)*AQ$10*(1-Inputs!$E$66)</f>
        <v>0</v>
      </c>
      <c r="AR126" s="158" t="n">
        <f aca="false">IF(Inputs!$E$69=1,(1+$E$126)^(1/12)-1,$E$126/12)*SUM(AR123:AR125)*AR$10*(1-Inputs!$E$66)</f>
        <v>0</v>
      </c>
      <c r="AS126" s="158" t="n">
        <f aca="false">IF(Inputs!$E$69=1,(1+$E$126)^(1/12)-1,$E$126/12)*SUM(AS123:AS125)*AS$10*(1-Inputs!$E$66)</f>
        <v>0</v>
      </c>
      <c r="AT126" s="158" t="n">
        <f aca="false">IF(Inputs!$E$69=1,(1+$E$126)^(1/12)-1,$E$126/12)*SUM(AT123:AT125)*AT$10*(1-Inputs!$E$66)</f>
        <v>0</v>
      </c>
      <c r="AU126" s="158" t="n">
        <f aca="false">IF(Inputs!$E$69=1,(1+$E$126)^(1/12)-1,$E$126/12)*SUM(AU123:AU125)*AU$10*(1-Inputs!$E$66)</f>
        <v>0</v>
      </c>
      <c r="AV126" s="158" t="n">
        <f aca="false">IF(Inputs!$E$69=1,(1+$E$126)^(1/12)-1,$E$126/12)*SUM(AV123:AV125)*AV$10*(1-Inputs!$E$66)</f>
        <v>0</v>
      </c>
      <c r="AW126" s="158" t="n">
        <f aca="false">IF(Inputs!$E$69=1,(1+$E$126)^(1/12)-1,$E$126/12)*SUM(AW123:AW125)*AW$10*(1-Inputs!$E$66)</f>
        <v>0</v>
      </c>
      <c r="AX126" s="158" t="n">
        <f aca="false">IF(Inputs!$E$69=1,(1+$E$126)^(1/12)-1,$E$126/12)*SUM(AX123:AX125)*AX$10*(1-Inputs!$E$66)</f>
        <v>0</v>
      </c>
      <c r="AY126" s="158" t="n">
        <f aca="false">IF(Inputs!$E$69=1,(1+$E$126)^(1/12)-1,$E$126/12)*SUM(AY123:AY125)*AY$10*(1-Inputs!$E$66)</f>
        <v>0</v>
      </c>
      <c r="AZ126" s="158" t="n">
        <f aca="false">IF(Inputs!$E$69=1,(1+$E$126)^(1/12)-1,$E$126/12)*SUM(AZ123:AZ125)*AZ$10*(1-Inputs!$E$66)</f>
        <v>0</v>
      </c>
      <c r="BA126" s="158" t="n">
        <f aca="false">IF(Inputs!$E$69=1,(1+$E$126)^(1/12)-1,$E$126/12)*SUM(BA123:BA125)*BA$10*(1-Inputs!$E$66)</f>
        <v>0</v>
      </c>
      <c r="BB126" s="158" t="n">
        <f aca="false">IF(Inputs!$E$69=1,(1+$E$126)^(1/12)-1,$E$126/12)*SUM(BB123:BB125)*BB$10*(1-Inputs!$E$66)</f>
        <v>0</v>
      </c>
      <c r="BC126" s="158" t="n">
        <f aca="false">IF(Inputs!$E$69=1,(1+$E$126)^(1/12)-1,$E$126/12)*SUM(BC123:BC125)*BC$10*(1-Inputs!$E$66)</f>
        <v>0</v>
      </c>
      <c r="BD126" s="158" t="n">
        <f aca="false">IF(Inputs!$E$69=1,(1+$E$126)^(1/12)-1,$E$126/12)*SUM(BD123:BD125)*BD$10*(1-Inputs!$E$66)</f>
        <v>0</v>
      </c>
      <c r="BE126" s="158" t="n">
        <f aca="false">IF(Inputs!$E$69=1,(1+$E$126)^(1/12)-1,$E$126/12)*SUM(BE123:BE125)*BE$10*(1-Inputs!$E$66)</f>
        <v>0</v>
      </c>
      <c r="BF126" s="158" t="n">
        <f aca="false">IF(Inputs!$E$69=1,(1+$E$126)^(1/12)-1,$E$126/12)*SUM(BF123:BF125)*BF$10*(1-Inputs!$E$66)</f>
        <v>0</v>
      </c>
      <c r="BG126" s="158" t="n">
        <f aca="false">IF(Inputs!$E$69=1,(1+$E$126)^(1/12)-1,$E$126/12)*SUM(BG123:BG125)*BG$10*(1-Inputs!$E$66)</f>
        <v>0</v>
      </c>
      <c r="BH126" s="158" t="n">
        <f aca="false">IF(Inputs!$E$69=1,(1+$E$126)^(1/12)-1,$E$126/12)*SUM(BH123:BH125)*BH$10*(1-Inputs!$E$66)</f>
        <v>0</v>
      </c>
      <c r="BI126" s="158" t="n">
        <f aca="false">IF(Inputs!$E$69=1,(1+$E$126)^(1/12)-1,$E$126/12)*SUM(BI123:BI125)*BI$10*(1-Inputs!$E$66)</f>
        <v>0</v>
      </c>
      <c r="BJ126" s="158" t="n">
        <f aca="false">IF(Inputs!$E$69=1,(1+$E$126)^(1/12)-1,$E$126/12)*SUM(BJ123:BJ125)*BJ$10*(1-Inputs!$E$66)</f>
        <v>0</v>
      </c>
      <c r="BK126" s="158" t="n">
        <f aca="false">IF(Inputs!$E$69=1,(1+$E$126)^(1/12)-1,$E$126/12)*SUM(BK123:BK125)*BK$10*(1-Inputs!$E$66)</f>
        <v>0</v>
      </c>
      <c r="BL126" s="158" t="n">
        <f aca="false">IF(Inputs!$E$69=1,(1+$E$126)^(1/12)-1,$E$126/12)*SUM(BL123:BL125)*BL$10*(1-Inputs!$E$66)</f>
        <v>0</v>
      </c>
      <c r="BM126" s="158" t="n">
        <f aca="false">IF(Inputs!$E$69=1,(1+$E$126)^(1/12)-1,$E$126/12)*SUM(BM123:BM125)*BM$10*(1-Inputs!$E$66)</f>
        <v>0</v>
      </c>
      <c r="BN126" s="158" t="n">
        <f aca="false">IF(Inputs!$E$69=1,(1+$E$126)^(1/12)-1,$E$126/12)*SUM(BN123:BN125)*BN$10*(1-Inputs!$E$66)</f>
        <v>0</v>
      </c>
      <c r="BO126" s="158" t="n">
        <f aca="false">IF(Inputs!$E$69=1,(1+$E$126)^(1/12)-1,$E$126/12)*SUM(BO123:BO125)*BO$10*(1-Inputs!$E$66)</f>
        <v>0</v>
      </c>
      <c r="BP126" s="158" t="n">
        <f aca="false">IF(Inputs!$E$69=1,(1+$E$126)^(1/12)-1,$E$126/12)*SUM(BP123:BP125)*BP$10*(1-Inputs!$E$66)</f>
        <v>0</v>
      </c>
    </row>
    <row r="127" customFormat="false" ht="15" hidden="false" customHeight="false" outlineLevel="0" collapsed="false">
      <c r="C127" s="0" t="s">
        <v>1082</v>
      </c>
      <c r="D127" s="0" t="s">
        <v>125</v>
      </c>
      <c r="E127" s="158"/>
      <c r="F127" s="158"/>
      <c r="G127" s="158" t="n">
        <f aca="false">SUM(H127:BP127)</f>
        <v>-1552.14213895715</v>
      </c>
      <c r="H127" s="158" t="n">
        <f aca="false">-H$7*SUM(H123:H126)</f>
        <v>-0</v>
      </c>
      <c r="I127" s="158" t="n">
        <f aca="false">-I$7*SUM(I123:I126)</f>
        <v>-0</v>
      </c>
      <c r="J127" s="158" t="n">
        <f aca="false">-J$7*SUM(J123:J126)</f>
        <v>-0</v>
      </c>
      <c r="K127" s="158" t="n">
        <f aca="false">-K$7*SUM(K123:K126)</f>
        <v>-0</v>
      </c>
      <c r="L127" s="158" t="n">
        <f aca="false">-L$7*SUM(L123:L126)</f>
        <v>-0</v>
      </c>
      <c r="M127" s="158" t="n">
        <f aca="false">-M$7*SUM(M123:M126)</f>
        <v>-0</v>
      </c>
      <c r="N127" s="158" t="n">
        <f aca="false">-N$7*SUM(N123:N126)</f>
        <v>-0</v>
      </c>
      <c r="O127" s="158" t="n">
        <f aca="false">-O$7*SUM(O123:O126)</f>
        <v>-0</v>
      </c>
      <c r="P127" s="158" t="n">
        <f aca="false">-P$7*SUM(P123:P126)</f>
        <v>-0</v>
      </c>
      <c r="Q127" s="158" t="n">
        <f aca="false">-Q$7*SUM(Q123:Q126)</f>
        <v>-0</v>
      </c>
      <c r="R127" s="158" t="n">
        <f aca="false">-R$7*SUM(R123:R126)</f>
        <v>-0</v>
      </c>
      <c r="S127" s="158" t="n">
        <f aca="false">-S$7*SUM(S123:S126)</f>
        <v>-0</v>
      </c>
      <c r="T127" s="158" t="n">
        <f aca="false">-T$7*SUM(T123:T126)</f>
        <v>-0</v>
      </c>
      <c r="U127" s="158" t="n">
        <f aca="false">-U$7*SUM(U123:U126)</f>
        <v>-0</v>
      </c>
      <c r="V127" s="158" t="n">
        <f aca="false">-V$7*SUM(V123:V126)</f>
        <v>-0</v>
      </c>
      <c r="W127" s="158" t="n">
        <f aca="false">-W$7*SUM(W123:W126)</f>
        <v>-0</v>
      </c>
      <c r="X127" s="158" t="n">
        <f aca="false">-X$7*SUM(X123:X126)</f>
        <v>-0</v>
      </c>
      <c r="Y127" s="158" t="n">
        <f aca="false">-Y$7*SUM(Y123:Y126)</f>
        <v>-0</v>
      </c>
      <c r="Z127" s="158" t="n">
        <f aca="false">-Z$7*SUM(Z123:Z126)</f>
        <v>-0</v>
      </c>
      <c r="AA127" s="158" t="n">
        <f aca="false">-AA$7*SUM(AA123:AA126)</f>
        <v>-0</v>
      </c>
      <c r="AB127" s="158" t="n">
        <f aca="false">-AB$7*SUM(AB123:AB126)</f>
        <v>-0</v>
      </c>
      <c r="AC127" s="158" t="n">
        <f aca="false">-AC$7*SUM(AC123:AC126)</f>
        <v>-0</v>
      </c>
      <c r="AD127" s="158" t="n">
        <f aca="false">-AD$7*SUM(AD123:AD126)</f>
        <v>-0</v>
      </c>
      <c r="AE127" s="158" t="n">
        <f aca="false">-AE$7*SUM(AE123:AE126)</f>
        <v>-0</v>
      </c>
      <c r="AF127" s="158" t="n">
        <f aca="false">-AF$7*SUM(AF123:AF126)</f>
        <v>-0</v>
      </c>
      <c r="AG127" s="158" t="n">
        <f aca="false">-AG$7*SUM(AG123:AG126)</f>
        <v>-0</v>
      </c>
      <c r="AH127" s="158" t="n">
        <f aca="false">-AH$7*SUM(AH123:AH126)</f>
        <v>-0</v>
      </c>
      <c r="AI127" s="158" t="n">
        <f aca="false">-AI$7*SUM(AI123:AI126)</f>
        <v>-0</v>
      </c>
      <c r="AJ127" s="158" t="n">
        <f aca="false">-AJ$7*SUM(AJ123:AJ126)</f>
        <v>-0</v>
      </c>
      <c r="AK127" s="158" t="n">
        <f aca="false">-AK$7*SUM(AK123:AK126)</f>
        <v>-0</v>
      </c>
      <c r="AL127" s="158" t="n">
        <f aca="false">-AL$7*SUM(AL123:AL126)</f>
        <v>-0</v>
      </c>
      <c r="AM127" s="158" t="n">
        <f aca="false">-AM$7*SUM(AM123:AM126)</f>
        <v>-0</v>
      </c>
      <c r="AN127" s="158" t="n">
        <f aca="false">-AN$7*SUM(AN123:AN126)</f>
        <v>-0</v>
      </c>
      <c r="AO127" s="158" t="n">
        <f aca="false">-AO$7*SUM(AO123:AO126)</f>
        <v>-0</v>
      </c>
      <c r="AP127" s="158" t="n">
        <f aca="false">-AP$7*SUM(AP123:AP126)</f>
        <v>-0</v>
      </c>
      <c r="AQ127" s="158" t="n">
        <f aca="false">-AQ$7*SUM(AQ123:AQ126)</f>
        <v>-0</v>
      </c>
      <c r="AR127" s="158" t="n">
        <f aca="false">-AR$7*SUM(AR123:AR126)</f>
        <v>-0</v>
      </c>
      <c r="AS127" s="158" t="n">
        <f aca="false">-AS$7*SUM(AS123:AS126)</f>
        <v>-0</v>
      </c>
      <c r="AT127" s="158" t="n">
        <f aca="false">-AT$7*SUM(AT123:AT126)</f>
        <v>-1552.14213895715</v>
      </c>
      <c r="AU127" s="158" t="n">
        <f aca="false">-AU$7*SUM(AU123:AU126)</f>
        <v>-0</v>
      </c>
      <c r="AV127" s="158" t="n">
        <f aca="false">-AV$7*SUM(AV123:AV126)</f>
        <v>-0</v>
      </c>
      <c r="AW127" s="158" t="n">
        <f aca="false">-AW$7*SUM(AW123:AW126)</f>
        <v>-0</v>
      </c>
      <c r="AX127" s="158" t="n">
        <f aca="false">-AX$7*SUM(AX123:AX126)</f>
        <v>-0</v>
      </c>
      <c r="AY127" s="158" t="n">
        <f aca="false">-AY$7*SUM(AY123:AY126)</f>
        <v>-0</v>
      </c>
      <c r="AZ127" s="158" t="n">
        <f aca="false">-AZ$7*SUM(AZ123:AZ126)</f>
        <v>-0</v>
      </c>
      <c r="BA127" s="158" t="n">
        <f aca="false">-BA$7*SUM(BA123:BA126)</f>
        <v>-0</v>
      </c>
      <c r="BB127" s="158" t="n">
        <f aca="false">-BB$7*SUM(BB123:BB126)</f>
        <v>-0</v>
      </c>
      <c r="BC127" s="158" t="n">
        <f aca="false">-BC$7*SUM(BC123:BC126)</f>
        <v>-0</v>
      </c>
      <c r="BD127" s="158" t="n">
        <f aca="false">-BD$7*SUM(BD123:BD126)</f>
        <v>-0</v>
      </c>
      <c r="BE127" s="158" t="n">
        <f aca="false">-BE$7*SUM(BE123:BE126)</f>
        <v>-0</v>
      </c>
      <c r="BF127" s="158" t="n">
        <f aca="false">-BF$7*SUM(BF123:BF126)</f>
        <v>-0</v>
      </c>
      <c r="BG127" s="158" t="n">
        <f aca="false">-BG$7*SUM(BG123:BG126)</f>
        <v>-0</v>
      </c>
      <c r="BH127" s="158" t="n">
        <f aca="false">-BH$7*SUM(BH123:BH126)</f>
        <v>-0</v>
      </c>
      <c r="BI127" s="158" t="n">
        <f aca="false">-BI$7*SUM(BI123:BI126)</f>
        <v>-0</v>
      </c>
      <c r="BJ127" s="158" t="n">
        <f aca="false">-BJ$7*SUM(BJ123:BJ126)</f>
        <v>-0</v>
      </c>
      <c r="BK127" s="158" t="n">
        <f aca="false">-BK$7*SUM(BK123:BK126)</f>
        <v>-0</v>
      </c>
      <c r="BL127" s="158" t="n">
        <f aca="false">-BL$7*SUM(BL123:BL126)</f>
        <v>-0</v>
      </c>
      <c r="BM127" s="158" t="n">
        <f aca="false">-BM$7*SUM(BM123:BM126)</f>
        <v>-0</v>
      </c>
      <c r="BN127" s="158" t="n">
        <f aca="false">-BN$7*SUM(BN123:BN126)</f>
        <v>-0</v>
      </c>
      <c r="BO127" s="158" t="n">
        <f aca="false">-BO$7*SUM(BO123:BO126)</f>
        <v>-0</v>
      </c>
      <c r="BP127" s="158" t="n">
        <f aca="false">-BP$7*SUM(BP123:BP126)</f>
        <v>-0</v>
      </c>
    </row>
    <row r="128" customFormat="false" ht="15" hidden="false" customHeight="false" outlineLevel="0" collapsed="false">
      <c r="C128" s="0" t="s">
        <v>1050</v>
      </c>
      <c r="D128" s="0" t="s">
        <v>125</v>
      </c>
      <c r="E128" s="158"/>
      <c r="F128" s="158"/>
      <c r="G128" s="158"/>
      <c r="H128" s="158" t="n">
        <f aca="false">SUM(H123:H127)</f>
        <v>0</v>
      </c>
      <c r="I128" s="158" t="n">
        <f aca="false">SUM(I123:I127)</f>
        <v>0</v>
      </c>
      <c r="J128" s="158" t="n">
        <f aca="false">SUM(J123:J127)</f>
        <v>0</v>
      </c>
      <c r="K128" s="158" t="n">
        <f aca="false">SUM(K123:K127)</f>
        <v>96.8407997038134</v>
      </c>
      <c r="L128" s="158" t="n">
        <f aca="false">SUM(L123:L127)</f>
        <v>96.8407997038134</v>
      </c>
      <c r="M128" s="158" t="n">
        <f aca="false">SUM(M123:M127)</f>
        <v>96.8407997038134</v>
      </c>
      <c r="N128" s="158" t="n">
        <f aca="false">SUM(N123:N127)</f>
        <v>101.705664568678</v>
      </c>
      <c r="O128" s="158" t="n">
        <f aca="false">SUM(O123:O127)</f>
        <v>191.1522861903</v>
      </c>
      <c r="P128" s="158" t="n">
        <f aca="false">SUM(P123:P127)</f>
        <v>390.1522861903</v>
      </c>
      <c r="Q128" s="158" t="n">
        <f aca="false">SUM(Q123:Q127)</f>
        <v>390.1522861903</v>
      </c>
      <c r="R128" s="158" t="n">
        <f aca="false">SUM(R123:R127)</f>
        <v>390.1522861903</v>
      </c>
      <c r="S128" s="158" t="n">
        <f aca="false">SUM(S123:S127)</f>
        <v>411.773907811922</v>
      </c>
      <c r="T128" s="158" t="n">
        <f aca="false">SUM(T123:T127)</f>
        <v>433.395529433543</v>
      </c>
      <c r="U128" s="158" t="n">
        <f aca="false">SUM(U123:U127)</f>
        <v>433.395529433543</v>
      </c>
      <c r="V128" s="158" t="n">
        <f aca="false">SUM(V123:V127)</f>
        <v>433.395529433543</v>
      </c>
      <c r="W128" s="158" t="n">
        <f aca="false">SUM(W123:W127)</f>
        <v>433.395529433543</v>
      </c>
      <c r="X128" s="158" t="n">
        <f aca="false">SUM(X123:X127)</f>
        <v>453.665799703813</v>
      </c>
      <c r="Y128" s="158" t="n">
        <f aca="false">SUM(Y123:Y127)</f>
        <v>525.006340244354</v>
      </c>
      <c r="Z128" s="158" t="n">
        <f aca="false">SUM(Z123:Z127)</f>
        <v>1002.37830659846</v>
      </c>
      <c r="AA128" s="158" t="n">
        <f aca="false">SUM(AA123:AA127)</f>
        <v>1117.24317146333</v>
      </c>
      <c r="AB128" s="158" t="n">
        <f aca="false">SUM(AB123:AB127)</f>
        <v>1161.3107390309</v>
      </c>
      <c r="AC128" s="158" t="n">
        <f aca="false">SUM(AC123:AC127)</f>
        <v>1161.36479308495</v>
      </c>
      <c r="AD128" s="158" t="n">
        <f aca="false">SUM(AD123:AD127)</f>
        <v>1161.36479308495</v>
      </c>
      <c r="AE128" s="158" t="n">
        <f aca="false">SUM(AE123:AE127)</f>
        <v>1163.61479308495</v>
      </c>
      <c r="AF128" s="158" t="n">
        <f aca="false">SUM(AF123:AF127)</f>
        <v>1163.61479308495</v>
      </c>
      <c r="AG128" s="158" t="n">
        <f aca="false">SUM(AG123:AG127)</f>
        <v>1244.55182165638</v>
      </c>
      <c r="AH128" s="158" t="n">
        <f aca="false">SUM(AH123:AH127)</f>
        <v>1244.55182165638</v>
      </c>
      <c r="AI128" s="158" t="n">
        <f aca="false">SUM(AI123:AI127)</f>
        <v>1244.55182165638</v>
      </c>
      <c r="AJ128" s="158" t="n">
        <f aca="false">SUM(AJ123:AJ127)</f>
        <v>1260.76803787259</v>
      </c>
      <c r="AK128" s="158" t="n">
        <f aca="false">SUM(AK123:AK127)</f>
        <v>1401.87186868688</v>
      </c>
      <c r="AL128" s="158" t="n">
        <f aca="false">SUM(AL123:AL127)</f>
        <v>1428.89889571391</v>
      </c>
      <c r="AM128" s="158" t="n">
        <f aca="false">SUM(AM123:AM127)</f>
        <v>1428.89889571391</v>
      </c>
      <c r="AN128" s="158" t="n">
        <f aca="false">SUM(AN123:AN127)</f>
        <v>1552.14213895715</v>
      </c>
      <c r="AO128" s="158" t="n">
        <f aca="false">SUM(AO123:AO127)</f>
        <v>1552.14213895715</v>
      </c>
      <c r="AP128" s="158" t="n">
        <f aca="false">SUM(AP123:AP127)</f>
        <v>1552.14213895715</v>
      </c>
      <c r="AQ128" s="158" t="n">
        <f aca="false">SUM(AQ123:AQ127)</f>
        <v>1552.14213895715</v>
      </c>
      <c r="AR128" s="158" t="n">
        <f aca="false">SUM(AR123:AR127)</f>
        <v>1552.14213895715</v>
      </c>
      <c r="AS128" s="158" t="n">
        <f aca="false">SUM(AS123:AS127)</f>
        <v>1552.14213895715</v>
      </c>
      <c r="AT128" s="158" t="n">
        <f aca="false">SUM(AT123:AT127)</f>
        <v>0</v>
      </c>
      <c r="AU128" s="158" t="n">
        <f aca="false">SUM(AU123:AU127)</f>
        <v>0</v>
      </c>
      <c r="AV128" s="158" t="n">
        <f aca="false">SUM(AV123:AV127)</f>
        <v>0</v>
      </c>
      <c r="AW128" s="158" t="n">
        <f aca="false">SUM(AW123:AW127)</f>
        <v>0</v>
      </c>
      <c r="AX128" s="158" t="n">
        <f aca="false">SUM(AX123:AX127)</f>
        <v>0</v>
      </c>
      <c r="AY128" s="158" t="n">
        <f aca="false">SUM(AY123:AY127)</f>
        <v>0</v>
      </c>
      <c r="AZ128" s="158" t="n">
        <f aca="false">SUM(AZ123:AZ127)</f>
        <v>0</v>
      </c>
      <c r="BA128" s="158" t="n">
        <f aca="false">SUM(BA123:BA127)</f>
        <v>0</v>
      </c>
      <c r="BB128" s="158" t="n">
        <f aca="false">SUM(BB123:BB127)</f>
        <v>0</v>
      </c>
      <c r="BC128" s="158" t="n">
        <f aca="false">SUM(BC123:BC127)</f>
        <v>0</v>
      </c>
      <c r="BD128" s="158" t="n">
        <f aca="false">SUM(BD123:BD127)</f>
        <v>0</v>
      </c>
      <c r="BE128" s="158" t="n">
        <f aca="false">SUM(BE123:BE127)</f>
        <v>0</v>
      </c>
      <c r="BF128" s="158" t="n">
        <f aca="false">SUM(BF123:BF127)</f>
        <v>0</v>
      </c>
      <c r="BG128" s="158" t="n">
        <f aca="false">SUM(BG123:BG127)</f>
        <v>0</v>
      </c>
      <c r="BH128" s="158" t="n">
        <f aca="false">SUM(BH123:BH127)</f>
        <v>0</v>
      </c>
      <c r="BI128" s="158" t="n">
        <f aca="false">SUM(BI123:BI127)</f>
        <v>0</v>
      </c>
      <c r="BJ128" s="158" t="n">
        <f aca="false">SUM(BJ123:BJ127)</f>
        <v>0</v>
      </c>
      <c r="BK128" s="158" t="n">
        <f aca="false">SUM(BK123:BK127)</f>
        <v>0</v>
      </c>
      <c r="BL128" s="158" t="n">
        <f aca="false">SUM(BL123:BL127)</f>
        <v>0</v>
      </c>
      <c r="BM128" s="158" t="n">
        <f aca="false">SUM(BM123:BM127)</f>
        <v>0</v>
      </c>
      <c r="BN128" s="158" t="n">
        <f aca="false">SUM(BN123:BN127)</f>
        <v>0</v>
      </c>
      <c r="BO128" s="158" t="n">
        <f aca="false">SUM(BO123:BO127)</f>
        <v>0</v>
      </c>
      <c r="BP128" s="158" t="n">
        <f aca="false">SUM(BP123:BP127)</f>
        <v>0</v>
      </c>
    </row>
    <row r="129" customFormat="false" ht="15" hidden="false" customHeight="false" outlineLevel="0" collapsed="false">
      <c r="C129" s="0" t="s">
        <v>1087</v>
      </c>
      <c r="D129" s="0" t="s">
        <v>125</v>
      </c>
      <c r="E129" s="158"/>
      <c r="F129" s="158"/>
      <c r="G129" s="158"/>
      <c r="H129" s="158" t="n">
        <f aca="false">H124+H125</f>
        <v>0</v>
      </c>
      <c r="I129" s="158" t="n">
        <f aca="false">H129+I124+I125</f>
        <v>0</v>
      </c>
      <c r="J129" s="158" t="n">
        <f aca="false">I129+J124+J125</f>
        <v>0</v>
      </c>
      <c r="K129" s="158" t="n">
        <f aca="false">J129+K124+K125</f>
        <v>96.8407997038134</v>
      </c>
      <c r="L129" s="158" t="n">
        <f aca="false">K129+L124+L125</f>
        <v>96.8407997038134</v>
      </c>
      <c r="M129" s="158" t="n">
        <f aca="false">L129+M124+M125</f>
        <v>96.8407997038134</v>
      </c>
      <c r="N129" s="158" t="n">
        <f aca="false">M129+N124+N125</f>
        <v>101.705664568678</v>
      </c>
      <c r="O129" s="158" t="n">
        <f aca="false">N129+O124+O125</f>
        <v>191.1522861903</v>
      </c>
      <c r="P129" s="158" t="n">
        <f aca="false">O129+P124+P125</f>
        <v>390.1522861903</v>
      </c>
      <c r="Q129" s="158" t="n">
        <f aca="false">P129+Q124+Q125</f>
        <v>390.1522861903</v>
      </c>
      <c r="R129" s="158" t="n">
        <f aca="false">Q129+R124+R125</f>
        <v>390.1522861903</v>
      </c>
      <c r="S129" s="158" t="n">
        <f aca="false">R129+S124+S125</f>
        <v>411.773907811922</v>
      </c>
      <c r="T129" s="158" t="n">
        <f aca="false">S129+T124+T125</f>
        <v>433.395529433543</v>
      </c>
      <c r="U129" s="158" t="n">
        <f aca="false">T129+U124+U125</f>
        <v>433.395529433543</v>
      </c>
      <c r="V129" s="158" t="n">
        <f aca="false">U129+V124+V125</f>
        <v>433.395529433543</v>
      </c>
      <c r="W129" s="158" t="n">
        <f aca="false">V129+W124+W125</f>
        <v>433.395529433543</v>
      </c>
      <c r="X129" s="158" t="n">
        <f aca="false">W129+X124+X125</f>
        <v>453.665799703813</v>
      </c>
      <c r="Y129" s="158" t="n">
        <f aca="false">X129+Y124+Y125</f>
        <v>525.006340244354</v>
      </c>
      <c r="Z129" s="158" t="n">
        <f aca="false">Y129+Z124+Z125</f>
        <v>1002.37830659846</v>
      </c>
      <c r="AA129" s="158" t="n">
        <f aca="false">Z129+AA124+AA125</f>
        <v>1117.24317146333</v>
      </c>
      <c r="AB129" s="158" t="n">
        <f aca="false">AA129+AB124+AB125</f>
        <v>1161.3107390309</v>
      </c>
      <c r="AC129" s="158" t="n">
        <f aca="false">AB129+AC124+AC125</f>
        <v>1161.36479308495</v>
      </c>
      <c r="AD129" s="158" t="n">
        <f aca="false">AC129+AD124+AD125</f>
        <v>1161.36479308495</v>
      </c>
      <c r="AE129" s="158" t="n">
        <f aca="false">AD129+AE124+AE125</f>
        <v>1163.61479308495</v>
      </c>
      <c r="AF129" s="158" t="n">
        <f aca="false">AE129+AF124+AF125</f>
        <v>1163.61479308495</v>
      </c>
      <c r="AG129" s="158" t="n">
        <f aca="false">AF129+AG124+AG125</f>
        <v>1244.55182165638</v>
      </c>
      <c r="AH129" s="158" t="n">
        <f aca="false">AG129+AH124+AH125</f>
        <v>1244.55182165638</v>
      </c>
      <c r="AI129" s="158" t="n">
        <f aca="false">AH129+AI124+AI125</f>
        <v>1244.55182165638</v>
      </c>
      <c r="AJ129" s="158" t="n">
        <f aca="false">AI129+AJ124+AJ125</f>
        <v>1260.76803787259</v>
      </c>
      <c r="AK129" s="158" t="n">
        <f aca="false">AJ129+AK124+AK125</f>
        <v>1401.87186868688</v>
      </c>
      <c r="AL129" s="158" t="n">
        <f aca="false">AK129+AL124+AL125</f>
        <v>1428.89889571391</v>
      </c>
      <c r="AM129" s="158" t="n">
        <f aca="false">AL129+AM124+AM125</f>
        <v>1428.89889571391</v>
      </c>
      <c r="AN129" s="158" t="n">
        <f aca="false">AM129+AN124+AN125</f>
        <v>1552.14213895715</v>
      </c>
      <c r="AO129" s="158" t="n">
        <f aca="false">AN129+AO124+AO125</f>
        <v>1552.14213895715</v>
      </c>
      <c r="AP129" s="158" t="n">
        <f aca="false">AO129+AP124+AP125</f>
        <v>1552.14213895715</v>
      </c>
      <c r="AQ129" s="158" t="n">
        <f aca="false">AP129+AQ124+AQ125</f>
        <v>1552.14213895715</v>
      </c>
      <c r="AR129" s="158" t="n">
        <f aca="false">AQ129+AR124+AR125</f>
        <v>1552.14213895715</v>
      </c>
      <c r="AS129" s="158" t="n">
        <f aca="false">AR129+AS124+AS125</f>
        <v>1552.14213895715</v>
      </c>
      <c r="AT129" s="158" t="n">
        <f aca="false">AS129+AT124+AT125</f>
        <v>1552.14213895715</v>
      </c>
      <c r="AU129" s="158" t="n">
        <f aca="false">AT129+AU124+AU125</f>
        <v>1552.14213895715</v>
      </c>
      <c r="AV129" s="158" t="n">
        <f aca="false">AU129+AV124+AV125</f>
        <v>1552.14213895715</v>
      </c>
      <c r="AW129" s="158" t="n">
        <f aca="false">AV129+AW124+AW125</f>
        <v>1552.14213895715</v>
      </c>
      <c r="AX129" s="158" t="n">
        <f aca="false">AW129+AX124+AX125</f>
        <v>1552.14213895715</v>
      </c>
      <c r="AY129" s="158" t="n">
        <f aca="false">AX129+AY124+AY125</f>
        <v>1552.14213895715</v>
      </c>
      <c r="AZ129" s="158" t="n">
        <f aca="false">AY129+AZ124+AZ125</f>
        <v>1552.14213895715</v>
      </c>
      <c r="BA129" s="158" t="n">
        <f aca="false">AZ129+BA124+BA125</f>
        <v>1552.14213895715</v>
      </c>
      <c r="BB129" s="158" t="n">
        <f aca="false">BA129+BB124+BB125</f>
        <v>1552.14213895715</v>
      </c>
      <c r="BC129" s="158" t="n">
        <f aca="false">BB129+BC124+BC125</f>
        <v>1552.14213895715</v>
      </c>
      <c r="BD129" s="158" t="n">
        <f aca="false">BC129+BD124+BD125</f>
        <v>1552.14213895715</v>
      </c>
      <c r="BE129" s="158" t="n">
        <f aca="false">BD129+BE124+BE125</f>
        <v>1552.14213895715</v>
      </c>
      <c r="BF129" s="158" t="n">
        <f aca="false">BE129+BF124+BF125</f>
        <v>1552.14213895715</v>
      </c>
      <c r="BG129" s="158" t="n">
        <f aca="false">BF129+BG124+BG125</f>
        <v>1552.14213895715</v>
      </c>
      <c r="BH129" s="158" t="n">
        <f aca="false">BG129+BH124+BH125</f>
        <v>1552.14213895715</v>
      </c>
      <c r="BI129" s="158" t="n">
        <f aca="false">BH129+BI124+BI125</f>
        <v>1552.14213895715</v>
      </c>
      <c r="BJ129" s="158" t="n">
        <f aca="false">BI129+BJ124+BJ125</f>
        <v>1552.14213895715</v>
      </c>
      <c r="BK129" s="158" t="n">
        <f aca="false">BJ129+BK124+BK125</f>
        <v>1552.14213895715</v>
      </c>
      <c r="BL129" s="158" t="n">
        <f aca="false">BK129+BL124+BL125</f>
        <v>1552.14213895715</v>
      </c>
      <c r="BM129" s="158" t="n">
        <f aca="false">BL129+BM124+BM125</f>
        <v>1552.14213895715</v>
      </c>
      <c r="BN129" s="158" t="n">
        <f aca="false">BM129+BN124+BN125</f>
        <v>1552.14213895715</v>
      </c>
      <c r="BO129" s="158" t="n">
        <f aca="false">BN129+BO124+BO125</f>
        <v>1552.14213895715</v>
      </c>
      <c r="BP129" s="158" t="n">
        <f aca="false">BO129+BP124+BP125</f>
        <v>1552.14213895715</v>
      </c>
    </row>
    <row r="130" customFormat="false" ht="15" hidden="false" customHeight="false" outlineLevel="0" collapsed="false">
      <c r="C130" s="0" t="s">
        <v>1088</v>
      </c>
      <c r="D130" s="0" t="s">
        <v>125</v>
      </c>
      <c r="E130" s="162" t="n">
        <f aca="false">Inputs!$E$63</f>
        <v>2</v>
      </c>
      <c r="F130" s="158"/>
      <c r="G130" s="158" t="n">
        <f aca="false">SUM(H130:BP130)</f>
        <v>1552.14213895715</v>
      </c>
      <c r="H130" s="158" t="n">
        <f aca="false">H$7*MAX($E$130*H129-SUM(H123:H126),0)</f>
        <v>0</v>
      </c>
      <c r="I130" s="158" t="n">
        <f aca="false">I$7*MAX($E$130*I129-SUM(I123:I126),0)</f>
        <v>0</v>
      </c>
      <c r="J130" s="158" t="n">
        <f aca="false">J$7*MAX($E$130*J129-SUM(J123:J126),0)</f>
        <v>0</v>
      </c>
      <c r="K130" s="158" t="n">
        <f aca="false">K$7*MAX($E$130*K129-SUM(K123:K126),0)</f>
        <v>0</v>
      </c>
      <c r="L130" s="158" t="n">
        <f aca="false">L$7*MAX($E$130*L129-SUM(L123:L126),0)</f>
        <v>0</v>
      </c>
      <c r="M130" s="158" t="n">
        <f aca="false">M$7*MAX($E$130*M129-SUM(M123:M126),0)</f>
        <v>0</v>
      </c>
      <c r="N130" s="158" t="n">
        <f aca="false">N$7*MAX($E$130*N129-SUM(N123:N126),0)</f>
        <v>0</v>
      </c>
      <c r="O130" s="158" t="n">
        <f aca="false">O$7*MAX($E$130*O129-SUM(O123:O126),0)</f>
        <v>0</v>
      </c>
      <c r="P130" s="158" t="n">
        <f aca="false">P$7*MAX($E$130*P129-SUM(P123:P126),0)</f>
        <v>0</v>
      </c>
      <c r="Q130" s="158" t="n">
        <f aca="false">Q$7*MAX($E$130*Q129-SUM(Q123:Q126),0)</f>
        <v>0</v>
      </c>
      <c r="R130" s="158" t="n">
        <f aca="false">R$7*MAX($E$130*R129-SUM(R123:R126),0)</f>
        <v>0</v>
      </c>
      <c r="S130" s="158" t="n">
        <f aca="false">S$7*MAX($E$130*S129-SUM(S123:S126),0)</f>
        <v>0</v>
      </c>
      <c r="T130" s="158" t="n">
        <f aca="false">T$7*MAX($E$130*T129-SUM(T123:T126),0)</f>
        <v>0</v>
      </c>
      <c r="U130" s="158" t="n">
        <f aca="false">U$7*MAX($E$130*U129-SUM(U123:U126),0)</f>
        <v>0</v>
      </c>
      <c r="V130" s="158" t="n">
        <f aca="false">V$7*MAX($E$130*V129-SUM(V123:V126),0)</f>
        <v>0</v>
      </c>
      <c r="W130" s="158" t="n">
        <f aca="false">W$7*MAX($E$130*W129-SUM(W123:W126),0)</f>
        <v>0</v>
      </c>
      <c r="X130" s="158" t="n">
        <f aca="false">X$7*MAX($E$130*X129-SUM(X123:X126),0)</f>
        <v>0</v>
      </c>
      <c r="Y130" s="158" t="n">
        <f aca="false">Y$7*MAX($E$130*Y129-SUM(Y123:Y126),0)</f>
        <v>0</v>
      </c>
      <c r="Z130" s="158" t="n">
        <f aca="false">Z$7*MAX($E$130*Z129-SUM(Z123:Z126),0)</f>
        <v>0</v>
      </c>
      <c r="AA130" s="158" t="n">
        <f aca="false">AA$7*MAX($E$130*AA129-SUM(AA123:AA126),0)</f>
        <v>0</v>
      </c>
      <c r="AB130" s="158" t="n">
        <f aca="false">AB$7*MAX($E$130*AB129-SUM(AB123:AB126),0)</f>
        <v>0</v>
      </c>
      <c r="AC130" s="158" t="n">
        <f aca="false">AC$7*MAX($E$130*AC129-SUM(AC123:AC126),0)</f>
        <v>0</v>
      </c>
      <c r="AD130" s="158" t="n">
        <f aca="false">AD$7*MAX($E$130*AD129-SUM(AD123:AD126),0)</f>
        <v>0</v>
      </c>
      <c r="AE130" s="158" t="n">
        <f aca="false">AE$7*MAX($E$130*AE129-SUM(AE123:AE126),0)</f>
        <v>0</v>
      </c>
      <c r="AF130" s="158" t="n">
        <f aca="false">AF$7*MAX($E$130*AF129-SUM(AF123:AF126),0)</f>
        <v>0</v>
      </c>
      <c r="AG130" s="158" t="n">
        <f aca="false">AG$7*MAX($E$130*AG129-SUM(AG123:AG126),0)</f>
        <v>0</v>
      </c>
      <c r="AH130" s="158" t="n">
        <f aca="false">AH$7*MAX($E$130*AH129-SUM(AH123:AH126),0)</f>
        <v>0</v>
      </c>
      <c r="AI130" s="158" t="n">
        <f aca="false">AI$7*MAX($E$130*AI129-SUM(AI123:AI126),0)</f>
        <v>0</v>
      </c>
      <c r="AJ130" s="158" t="n">
        <f aca="false">AJ$7*MAX($E$130*AJ129-SUM(AJ123:AJ126),0)</f>
        <v>0</v>
      </c>
      <c r="AK130" s="158" t="n">
        <f aca="false">AK$7*MAX($E$130*AK129-SUM(AK123:AK126),0)</f>
        <v>0</v>
      </c>
      <c r="AL130" s="158" t="n">
        <f aca="false">AL$7*MAX($E$130*AL129-SUM(AL123:AL126),0)</f>
        <v>0</v>
      </c>
      <c r="AM130" s="158" t="n">
        <f aca="false">AM$7*MAX($E$130*AM129-SUM(AM123:AM126),0)</f>
        <v>0</v>
      </c>
      <c r="AN130" s="158" t="n">
        <f aca="false">AN$7*MAX($E$130*AN129-SUM(AN123:AN126),0)</f>
        <v>0</v>
      </c>
      <c r="AO130" s="158" t="n">
        <f aca="false">AO$7*MAX($E$130*AO129-SUM(AO123:AO126),0)</f>
        <v>0</v>
      </c>
      <c r="AP130" s="158" t="n">
        <f aca="false">AP$7*MAX($E$130*AP129-SUM(AP123:AP126),0)</f>
        <v>0</v>
      </c>
      <c r="AQ130" s="158" t="n">
        <f aca="false">AQ$7*MAX($E$130*AQ129-SUM(AQ123:AQ126),0)</f>
        <v>0</v>
      </c>
      <c r="AR130" s="158" t="n">
        <f aca="false">AR$7*MAX($E$130*AR129-SUM(AR123:AR126),0)</f>
        <v>0</v>
      </c>
      <c r="AS130" s="158" t="n">
        <f aca="false">AS$7*MAX($E$130*AS129-SUM(AS123:AS126),0)</f>
        <v>0</v>
      </c>
      <c r="AT130" s="158" t="n">
        <f aca="false">AT$7*MAX($E$130*AT129-SUM(AT123:AT126),0)</f>
        <v>1552.14213895715</v>
      </c>
      <c r="AU130" s="158" t="n">
        <f aca="false">AU$7*MAX($E$130*AU129-SUM(AU123:AU126),0)</f>
        <v>0</v>
      </c>
      <c r="AV130" s="158" t="n">
        <f aca="false">AV$7*MAX($E$130*AV129-SUM(AV123:AV126),0)</f>
        <v>0</v>
      </c>
      <c r="AW130" s="158" t="n">
        <f aca="false">AW$7*MAX($E$130*AW129-SUM(AW123:AW126),0)</f>
        <v>0</v>
      </c>
      <c r="AX130" s="158" t="n">
        <f aca="false">AX$7*MAX($E$130*AX129-SUM(AX123:AX126),0)</f>
        <v>0</v>
      </c>
      <c r="AY130" s="158" t="n">
        <f aca="false">AY$7*MAX($E$130*AY129-SUM(AY123:AY126),0)</f>
        <v>0</v>
      </c>
      <c r="AZ130" s="158" t="n">
        <f aca="false">AZ$7*MAX($E$130*AZ129-SUM(AZ123:AZ126),0)</f>
        <v>0</v>
      </c>
      <c r="BA130" s="158" t="n">
        <f aca="false">BA$7*MAX($E$130*BA129-SUM(BA123:BA126),0)</f>
        <v>0</v>
      </c>
      <c r="BB130" s="158" t="n">
        <f aca="false">BB$7*MAX($E$130*BB129-SUM(BB123:BB126),0)</f>
        <v>0</v>
      </c>
      <c r="BC130" s="158" t="n">
        <f aca="false">BC$7*MAX($E$130*BC129-SUM(BC123:BC126),0)</f>
        <v>0</v>
      </c>
      <c r="BD130" s="158" t="n">
        <f aca="false">BD$7*MAX($E$130*BD129-SUM(BD123:BD126),0)</f>
        <v>0</v>
      </c>
      <c r="BE130" s="158" t="n">
        <f aca="false">BE$7*MAX($E$130*BE129-SUM(BE123:BE126),0)</f>
        <v>0</v>
      </c>
      <c r="BF130" s="158" t="n">
        <f aca="false">BF$7*MAX($E$130*BF129-SUM(BF123:BF126),0)</f>
        <v>0</v>
      </c>
      <c r="BG130" s="158" t="n">
        <f aca="false">BG$7*MAX($E$130*BG129-SUM(BG123:BG126),0)</f>
        <v>0</v>
      </c>
      <c r="BH130" s="158" t="n">
        <f aca="false">BH$7*MAX($E$130*BH129-SUM(BH123:BH126),0)</f>
        <v>0</v>
      </c>
      <c r="BI130" s="158" t="n">
        <f aca="false">BI$7*MAX($E$130*BI129-SUM(BI123:BI126),0)</f>
        <v>0</v>
      </c>
      <c r="BJ130" s="158" t="n">
        <f aca="false">BJ$7*MAX($E$130*BJ129-SUM(BJ123:BJ126),0)</f>
        <v>0</v>
      </c>
      <c r="BK130" s="158" t="n">
        <f aca="false">BK$7*MAX($E$130*BK129-SUM(BK123:BK126),0)</f>
        <v>0</v>
      </c>
      <c r="BL130" s="158" t="n">
        <f aca="false">BL$7*MAX($E$130*BL129-SUM(BL123:BL126),0)</f>
        <v>0</v>
      </c>
      <c r="BM130" s="158" t="n">
        <f aca="false">BM$7*MAX($E$130*BM129-SUM(BM123:BM126),0)</f>
        <v>0</v>
      </c>
      <c r="BN130" s="158" t="n">
        <f aca="false">BN$7*MAX($E$130*BN129-SUM(BN123:BN126),0)</f>
        <v>0</v>
      </c>
      <c r="BO130" s="158" t="n">
        <f aca="false">BO$7*MAX($E$130*BO129-SUM(BO123:BO126),0)</f>
        <v>0</v>
      </c>
      <c r="BP130" s="158" t="n">
        <f aca="false">BP$7*MAX($E$130*BP129-SUM(BP123:BP126),0)</f>
        <v>0</v>
      </c>
    </row>
    <row r="131" customFormat="false" ht="15" hidden="false" customHeight="false" outlineLevel="0" collapsed="false">
      <c r="C131" s="0" t="s">
        <v>1089</v>
      </c>
      <c r="D131" s="0" t="s">
        <v>7</v>
      </c>
      <c r="E131" s="158" t="n">
        <f aca="false">Inputs!$E$63</f>
        <v>2</v>
      </c>
      <c r="F131" s="158"/>
      <c r="G131" s="146" t="n">
        <f aca="false" t="array" ref="G131:G131">SUMPRODUCT(H125:BP125,H131:BP131-1,N(+H$4:BP$4&lt;=Inputs!$E$57))+SUMPRODUCT(H135:BP135,H131:BP131-1,N(+H$4:BP$4&lt;=Inputs!$E$57))</f>
        <v>1543.92296087496</v>
      </c>
      <c r="H131" s="162" t="n">
        <f aca="false">MAX(IF(H$5&gt;Inputs!$E$64,1,(1+Inputs!$E$62*(DATE(YEAR(H$5),12,31)-H$5+1)/365)*(1+Inputs!$E$62)^(YEAR(Inputs!$E$64)-YEAR(H$5)-1)*(1+Inputs!$E$62*(Inputs!$E$64-DATE(YEAR(Inputs!$E$64),1,1)+1)/365)),$E$131)</f>
        <v>2</v>
      </c>
      <c r="I131" s="162" t="n">
        <f aca="false">MAX(IF(I$5&gt;Inputs!$E$64,1,(1+Inputs!$E$62*(DATE(YEAR(I$5),12,31)-I$5+1)/365)*(1+Inputs!$E$62)^(YEAR(Inputs!$E$64)-YEAR(I$5)-1)*(1+Inputs!$E$62*(Inputs!$E$64-DATE(YEAR(Inputs!$E$64),1,1)+1)/365)),$E$131)</f>
        <v>2</v>
      </c>
      <c r="J131" s="162" t="n">
        <f aca="false">MAX(IF(J$5&gt;Inputs!$E$64,1,(1+Inputs!$E$62*(DATE(YEAR(J$5),12,31)-J$5+1)/365)*(1+Inputs!$E$62)^(YEAR(Inputs!$E$64)-YEAR(J$5)-1)*(1+Inputs!$E$62*(Inputs!$E$64-DATE(YEAR(Inputs!$E$64),1,1)+1)/365)),$E$131)</f>
        <v>2</v>
      </c>
      <c r="K131" s="162" t="n">
        <f aca="false">MAX(IF(K$5&gt;Inputs!$E$64,1,(1+Inputs!$E$62*(DATE(YEAR(K$5),12,31)-K$5+1)/365)*(1+Inputs!$E$62)^(YEAR(Inputs!$E$64)-YEAR(K$5)-1)*(1+Inputs!$E$62*(Inputs!$E$64-DATE(YEAR(Inputs!$E$64),1,1)+1)/365)),$E$131)</f>
        <v>2</v>
      </c>
      <c r="L131" s="162" t="n">
        <f aca="false">MAX(IF(L$5&gt;Inputs!$E$64,1,(1+Inputs!$E$62*(DATE(YEAR(L$5),12,31)-L$5+1)/365)*(1+Inputs!$E$62)^(YEAR(Inputs!$E$64)-YEAR(L$5)-1)*(1+Inputs!$E$62*(Inputs!$E$64-DATE(YEAR(Inputs!$E$64),1,1)+1)/365)),$E$131)</f>
        <v>2</v>
      </c>
      <c r="M131" s="162" t="n">
        <f aca="false">MAX(IF(M$5&gt;Inputs!$E$64,1,(1+Inputs!$E$62*(DATE(YEAR(M$5),12,31)-M$5+1)/365)*(1+Inputs!$E$62)^(YEAR(Inputs!$E$64)-YEAR(M$5)-1)*(1+Inputs!$E$62*(Inputs!$E$64-DATE(YEAR(Inputs!$E$64),1,1)+1)/365)),$E$131)</f>
        <v>2</v>
      </c>
      <c r="N131" s="162" t="n">
        <f aca="false">MAX(IF(N$5&gt;Inputs!$E$64,1,(1+Inputs!$E$62*(DATE(YEAR(N$5),12,31)-N$5+1)/365)*(1+Inputs!$E$62)^(YEAR(Inputs!$E$64)-YEAR(N$5)-1)*(1+Inputs!$E$62*(Inputs!$E$64-DATE(YEAR(Inputs!$E$64),1,1)+1)/365)),$E$131)</f>
        <v>2</v>
      </c>
      <c r="O131" s="162" t="n">
        <f aca="false">MAX(IF(O$5&gt;Inputs!$E$64,1,(1+Inputs!$E$62*(DATE(YEAR(O$5),12,31)-O$5+1)/365)*(1+Inputs!$E$62)^(YEAR(Inputs!$E$64)-YEAR(O$5)-1)*(1+Inputs!$E$62*(Inputs!$E$64-DATE(YEAR(Inputs!$E$64),1,1)+1)/365)),$E$131)</f>
        <v>2</v>
      </c>
      <c r="P131" s="162" t="n">
        <f aca="false">MAX(IF(P$5&gt;Inputs!$E$64,1,(1+Inputs!$E$62*(DATE(YEAR(P$5),12,31)-P$5+1)/365)*(1+Inputs!$E$62)^(YEAR(Inputs!$E$64)-YEAR(P$5)-1)*(1+Inputs!$E$62*(Inputs!$E$64-DATE(YEAR(Inputs!$E$64),1,1)+1)/365)),$E$131)</f>
        <v>2</v>
      </c>
      <c r="Q131" s="162" t="n">
        <f aca="false">MAX(IF(Q$5&gt;Inputs!$E$64,1,(1+Inputs!$E$62*(DATE(YEAR(Q$5),12,31)-Q$5+1)/365)*(1+Inputs!$E$62)^(YEAR(Inputs!$E$64)-YEAR(Q$5)-1)*(1+Inputs!$E$62*(Inputs!$E$64-DATE(YEAR(Inputs!$E$64),1,1)+1)/365)),$E$131)</f>
        <v>2</v>
      </c>
      <c r="R131" s="162" t="n">
        <f aca="false">MAX(IF(R$5&gt;Inputs!$E$64,1,(1+Inputs!$E$62*(DATE(YEAR(R$5),12,31)-R$5+1)/365)*(1+Inputs!$E$62)^(YEAR(Inputs!$E$64)-YEAR(R$5)-1)*(1+Inputs!$E$62*(Inputs!$E$64-DATE(YEAR(Inputs!$E$64),1,1)+1)/365)),$E$131)</f>
        <v>2</v>
      </c>
      <c r="S131" s="162" t="n">
        <f aca="false">MAX(IF(S$5&gt;Inputs!$E$64,1,(1+Inputs!$E$62*(DATE(YEAR(S$5),12,31)-S$5+1)/365)*(1+Inputs!$E$62)^(YEAR(Inputs!$E$64)-YEAR(S$5)-1)*(1+Inputs!$E$62*(Inputs!$E$64-DATE(YEAR(Inputs!$E$64),1,1)+1)/365)),$E$131)</f>
        <v>2</v>
      </c>
      <c r="T131" s="162" t="n">
        <f aca="false">MAX(IF(T$5&gt;Inputs!$E$64,1,(1+Inputs!$E$62*(DATE(YEAR(T$5),12,31)-T$5+1)/365)*(1+Inputs!$E$62)^(YEAR(Inputs!$E$64)-YEAR(T$5)-1)*(1+Inputs!$E$62*(Inputs!$E$64-DATE(YEAR(Inputs!$E$64),1,1)+1)/365)),$E$131)</f>
        <v>2</v>
      </c>
      <c r="U131" s="162" t="n">
        <f aca="false">MAX(IF(U$5&gt;Inputs!$E$64,1,(1+Inputs!$E$62*(DATE(YEAR(U$5),12,31)-U$5+1)/365)*(1+Inputs!$E$62)^(YEAR(Inputs!$E$64)-YEAR(U$5)-1)*(1+Inputs!$E$62*(Inputs!$E$64-DATE(YEAR(Inputs!$E$64),1,1)+1)/365)),$E$131)</f>
        <v>2</v>
      </c>
      <c r="V131" s="162" t="n">
        <f aca="false">MAX(IF(V$5&gt;Inputs!$E$64,1,(1+Inputs!$E$62*(DATE(YEAR(V$5),12,31)-V$5+1)/365)*(1+Inputs!$E$62)^(YEAR(Inputs!$E$64)-YEAR(V$5)-1)*(1+Inputs!$E$62*(Inputs!$E$64-DATE(YEAR(Inputs!$E$64),1,1)+1)/365)),$E$131)</f>
        <v>2</v>
      </c>
      <c r="W131" s="162" t="n">
        <f aca="false">MAX(IF(W$5&gt;Inputs!$E$64,1,(1+Inputs!$E$62*(DATE(YEAR(W$5),12,31)-W$5+1)/365)*(1+Inputs!$E$62)^(YEAR(Inputs!$E$64)-YEAR(W$5)-1)*(1+Inputs!$E$62*(Inputs!$E$64-DATE(YEAR(Inputs!$E$64),1,1)+1)/365)),$E$131)</f>
        <v>2</v>
      </c>
      <c r="X131" s="162" t="n">
        <f aca="false">MAX(IF(X$5&gt;Inputs!$E$64,1,(1+Inputs!$E$62*(DATE(YEAR(X$5),12,31)-X$5+1)/365)*(1+Inputs!$E$62)^(YEAR(Inputs!$E$64)-YEAR(X$5)-1)*(1+Inputs!$E$62*(Inputs!$E$64-DATE(YEAR(Inputs!$E$64),1,1)+1)/365)),$E$131)</f>
        <v>2</v>
      </c>
      <c r="Y131" s="162" t="n">
        <f aca="false">MAX(IF(Y$5&gt;Inputs!$E$64,1,(1+Inputs!$E$62*(DATE(YEAR(Y$5),12,31)-Y$5+1)/365)*(1+Inputs!$E$62)^(YEAR(Inputs!$E$64)-YEAR(Y$5)-1)*(1+Inputs!$E$62*(Inputs!$E$64-DATE(YEAR(Inputs!$E$64),1,1)+1)/365)),$E$131)</f>
        <v>2</v>
      </c>
      <c r="Z131" s="162" t="n">
        <f aca="false">MAX(IF(Z$5&gt;Inputs!$E$64,1,(1+Inputs!$E$62*(DATE(YEAR(Z$5),12,31)-Z$5+1)/365)*(1+Inputs!$E$62)^(YEAR(Inputs!$E$64)-YEAR(Z$5)-1)*(1+Inputs!$E$62*(Inputs!$E$64-DATE(YEAR(Inputs!$E$64),1,1)+1)/365)),$E$131)</f>
        <v>2</v>
      </c>
      <c r="AA131" s="162" t="n">
        <f aca="false">MAX(IF(AA$5&gt;Inputs!$E$64,1,(1+Inputs!$E$62*(DATE(YEAR(AA$5),12,31)-AA$5+1)/365)*(1+Inputs!$E$62)^(YEAR(Inputs!$E$64)-YEAR(AA$5)-1)*(1+Inputs!$E$62*(Inputs!$E$64-DATE(YEAR(Inputs!$E$64),1,1)+1)/365)),$E$131)</f>
        <v>2</v>
      </c>
      <c r="AB131" s="162" t="n">
        <f aca="false">MAX(IF(AB$5&gt;Inputs!$E$64,1,(1+Inputs!$E$62*(DATE(YEAR(AB$5),12,31)-AB$5+1)/365)*(1+Inputs!$E$62)^(YEAR(Inputs!$E$64)-YEAR(AB$5)-1)*(1+Inputs!$E$62*(Inputs!$E$64-DATE(YEAR(Inputs!$E$64),1,1)+1)/365)),$E$131)</f>
        <v>2</v>
      </c>
      <c r="AC131" s="162" t="n">
        <f aca="false">MAX(IF(AC$5&gt;Inputs!$E$64,1,(1+Inputs!$E$62*(DATE(YEAR(AC$5),12,31)-AC$5+1)/365)*(1+Inputs!$E$62)^(YEAR(Inputs!$E$64)-YEAR(AC$5)-1)*(1+Inputs!$E$62*(Inputs!$E$64-DATE(YEAR(Inputs!$E$64),1,1)+1)/365)),$E$131)</f>
        <v>2</v>
      </c>
      <c r="AD131" s="162" t="n">
        <f aca="false">MAX(IF(AD$5&gt;Inputs!$E$64,1,(1+Inputs!$E$62*(DATE(YEAR(AD$5),12,31)-AD$5+1)/365)*(1+Inputs!$E$62)^(YEAR(Inputs!$E$64)-YEAR(AD$5)-1)*(1+Inputs!$E$62*(Inputs!$E$64-DATE(YEAR(Inputs!$E$64),1,1)+1)/365)),$E$131)</f>
        <v>2</v>
      </c>
      <c r="AE131" s="162" t="n">
        <f aca="false">MAX(IF(AE$5&gt;Inputs!$E$64,1,(1+Inputs!$E$62*(DATE(YEAR(AE$5),12,31)-AE$5+1)/365)*(1+Inputs!$E$62)^(YEAR(Inputs!$E$64)-YEAR(AE$5)-1)*(1+Inputs!$E$62*(Inputs!$E$64-DATE(YEAR(Inputs!$E$64),1,1)+1)/365)),$E$131)</f>
        <v>2</v>
      </c>
      <c r="AF131" s="162" t="n">
        <f aca="false">MAX(IF(AF$5&gt;Inputs!$E$64,1,(1+Inputs!$E$62*(DATE(YEAR(AF$5),12,31)-AF$5+1)/365)*(1+Inputs!$E$62)^(YEAR(Inputs!$E$64)-YEAR(AF$5)-1)*(1+Inputs!$E$62*(Inputs!$E$64-DATE(YEAR(Inputs!$E$64),1,1)+1)/365)),$E$131)</f>
        <v>2</v>
      </c>
      <c r="AG131" s="162" t="n">
        <f aca="false">MAX(IF(AG$5&gt;Inputs!$E$64,1,(1+Inputs!$E$62*(DATE(YEAR(AG$5),12,31)-AG$5+1)/365)*(1+Inputs!$E$62)^(YEAR(Inputs!$E$64)-YEAR(AG$5)-1)*(1+Inputs!$E$62*(Inputs!$E$64-DATE(YEAR(Inputs!$E$64),1,1)+1)/365)),$E$131)</f>
        <v>2</v>
      </c>
      <c r="AH131" s="162" t="n">
        <f aca="false">MAX(IF(AH$5&gt;Inputs!$E$64,1,(1+Inputs!$E$62*(DATE(YEAR(AH$5),12,31)-AH$5+1)/365)*(1+Inputs!$E$62)^(YEAR(Inputs!$E$64)-YEAR(AH$5)-1)*(1+Inputs!$E$62*(Inputs!$E$64-DATE(YEAR(Inputs!$E$64),1,1)+1)/365)),$E$131)</f>
        <v>2</v>
      </c>
      <c r="AI131" s="162" t="n">
        <f aca="false">MAX(IF(AI$5&gt;Inputs!$E$64,1,(1+Inputs!$E$62*(DATE(YEAR(AI$5),12,31)-AI$5+1)/365)*(1+Inputs!$E$62)^(YEAR(Inputs!$E$64)-YEAR(AI$5)-1)*(1+Inputs!$E$62*(Inputs!$E$64-DATE(YEAR(Inputs!$E$64),1,1)+1)/365)),$E$131)</f>
        <v>2</v>
      </c>
      <c r="AJ131" s="162" t="n">
        <f aca="false">MAX(IF(AJ$5&gt;Inputs!$E$64,1,(1+Inputs!$E$62*(DATE(YEAR(AJ$5),12,31)-AJ$5+1)/365)*(1+Inputs!$E$62)^(YEAR(Inputs!$E$64)-YEAR(AJ$5)-1)*(1+Inputs!$E$62*(Inputs!$E$64-DATE(YEAR(Inputs!$E$64),1,1)+1)/365)),$E$131)</f>
        <v>2</v>
      </c>
      <c r="AK131" s="162" t="n">
        <f aca="false">MAX(IF(AK$5&gt;Inputs!$E$64,1,(1+Inputs!$E$62*(DATE(YEAR(AK$5),12,31)-AK$5+1)/365)*(1+Inputs!$E$62)^(YEAR(Inputs!$E$64)-YEAR(AK$5)-1)*(1+Inputs!$E$62*(Inputs!$E$64-DATE(YEAR(Inputs!$E$64),1,1)+1)/365)),$E$131)</f>
        <v>2</v>
      </c>
      <c r="AL131" s="162" t="n">
        <f aca="false">MAX(IF(AL$5&gt;Inputs!$E$64,1,(1+Inputs!$E$62*(DATE(YEAR(AL$5),12,31)-AL$5+1)/365)*(1+Inputs!$E$62)^(YEAR(Inputs!$E$64)-YEAR(AL$5)-1)*(1+Inputs!$E$62*(Inputs!$E$64-DATE(YEAR(Inputs!$E$64),1,1)+1)/365)),$E$131)</f>
        <v>2</v>
      </c>
      <c r="AM131" s="162" t="n">
        <f aca="false">MAX(IF(AM$5&gt;Inputs!$E$64,1,(1+Inputs!$E$62*(DATE(YEAR(AM$5),12,31)-AM$5+1)/365)*(1+Inputs!$E$62)^(YEAR(Inputs!$E$64)-YEAR(AM$5)-1)*(1+Inputs!$E$62*(Inputs!$E$64-DATE(YEAR(Inputs!$E$64),1,1)+1)/365)),$E$131)</f>
        <v>2</v>
      </c>
      <c r="AN131" s="162" t="n">
        <f aca="false">MAX(IF(AN$5&gt;Inputs!$E$64,1,(1+Inputs!$E$62*(DATE(YEAR(AN$5),12,31)-AN$5+1)/365)*(1+Inputs!$E$62)^(YEAR(Inputs!$E$64)-YEAR(AN$5)-1)*(1+Inputs!$E$62*(Inputs!$E$64-DATE(YEAR(Inputs!$E$64),1,1)+1)/365)),$E$131)</f>
        <v>2</v>
      </c>
      <c r="AO131" s="162" t="n">
        <f aca="false">MAX(IF(AO$5&gt;Inputs!$E$64,1,(1+Inputs!$E$62*(DATE(YEAR(AO$5),12,31)-AO$5+1)/365)*(1+Inputs!$E$62)^(YEAR(Inputs!$E$64)-YEAR(AO$5)-1)*(1+Inputs!$E$62*(Inputs!$E$64-DATE(YEAR(Inputs!$E$64),1,1)+1)/365)),$E$131)</f>
        <v>2</v>
      </c>
      <c r="AP131" s="162" t="n">
        <f aca="false">MAX(IF(AP$5&gt;Inputs!$E$64,1,(1+Inputs!$E$62*(DATE(YEAR(AP$5),12,31)-AP$5+1)/365)*(1+Inputs!$E$62)^(YEAR(Inputs!$E$64)-YEAR(AP$5)-1)*(1+Inputs!$E$62*(Inputs!$E$64-DATE(YEAR(Inputs!$E$64),1,1)+1)/365)),$E$131)</f>
        <v>2</v>
      </c>
      <c r="AQ131" s="162" t="n">
        <f aca="false">MAX(IF(AQ$5&gt;Inputs!$E$64,1,(1+Inputs!$E$62*(DATE(YEAR(AQ$5),12,31)-AQ$5+1)/365)*(1+Inputs!$E$62)^(YEAR(Inputs!$E$64)-YEAR(AQ$5)-1)*(1+Inputs!$E$62*(Inputs!$E$64-DATE(YEAR(Inputs!$E$64),1,1)+1)/365)),$E$131)</f>
        <v>2</v>
      </c>
      <c r="AR131" s="162" t="n">
        <f aca="false">MAX(IF(AR$5&gt;Inputs!$E$64,1,(1+Inputs!$E$62*(DATE(YEAR(AR$5),12,31)-AR$5+1)/365)*(1+Inputs!$E$62)^(YEAR(Inputs!$E$64)-YEAR(AR$5)-1)*(1+Inputs!$E$62*(Inputs!$E$64-DATE(YEAR(Inputs!$E$64),1,1)+1)/365)),$E$131)</f>
        <v>2</v>
      </c>
      <c r="AS131" s="162" t="n">
        <f aca="false">MAX(IF(AS$5&gt;Inputs!$E$64,1,(1+Inputs!$E$62*(DATE(YEAR(AS$5),12,31)-AS$5+1)/365)*(1+Inputs!$E$62)^(YEAR(Inputs!$E$64)-YEAR(AS$5)-1)*(1+Inputs!$E$62*(Inputs!$E$64-DATE(YEAR(Inputs!$E$64),1,1)+1)/365)),$E$131)</f>
        <v>2</v>
      </c>
      <c r="AT131" s="162" t="n">
        <f aca="false">MAX(IF(AT$5&gt;Inputs!$E$64,1,(1+Inputs!$E$62*(DATE(YEAR(AT$5),12,31)-AT$5+1)/365)*(1+Inputs!$E$62)^(YEAR(Inputs!$E$64)-YEAR(AT$5)-1)*(1+Inputs!$E$62*(Inputs!$E$64-DATE(YEAR(Inputs!$E$64),1,1)+1)/365)),$E$131)</f>
        <v>2</v>
      </c>
      <c r="AU131" s="162" t="n">
        <f aca="false">MAX(IF(AU$5&gt;Inputs!$E$64,1,(1+Inputs!$E$62*(DATE(YEAR(AU$5),12,31)-AU$5+1)/365)*(1+Inputs!$E$62)^(YEAR(Inputs!$E$64)-YEAR(AU$5)-1)*(1+Inputs!$E$62*(Inputs!$E$64-DATE(YEAR(Inputs!$E$64),1,1)+1)/365)),$E$131)</f>
        <v>2</v>
      </c>
      <c r="AV131" s="162" t="n">
        <f aca="false">MAX(IF(AV$5&gt;Inputs!$E$64,1,(1+Inputs!$E$62*(DATE(YEAR(AV$5),12,31)-AV$5+1)/365)*(1+Inputs!$E$62)^(YEAR(Inputs!$E$64)-YEAR(AV$5)-1)*(1+Inputs!$E$62*(Inputs!$E$64-DATE(YEAR(Inputs!$E$64),1,1)+1)/365)),$E$131)</f>
        <v>2</v>
      </c>
      <c r="AW131" s="162" t="n">
        <f aca="false">MAX(IF(AW$5&gt;Inputs!$E$64,1,(1+Inputs!$E$62*(DATE(YEAR(AW$5),12,31)-AW$5+1)/365)*(1+Inputs!$E$62)^(YEAR(Inputs!$E$64)-YEAR(AW$5)-1)*(1+Inputs!$E$62*(Inputs!$E$64-DATE(YEAR(Inputs!$E$64),1,1)+1)/365)),$E$131)</f>
        <v>2</v>
      </c>
      <c r="AX131" s="162" t="n">
        <f aca="false">MAX(IF(AX$5&gt;Inputs!$E$64,1,(1+Inputs!$E$62*(DATE(YEAR(AX$5),12,31)-AX$5+1)/365)*(1+Inputs!$E$62)^(YEAR(Inputs!$E$64)-YEAR(AX$5)-1)*(1+Inputs!$E$62*(Inputs!$E$64-DATE(YEAR(Inputs!$E$64),1,1)+1)/365)),$E$131)</f>
        <v>2</v>
      </c>
      <c r="AY131" s="162" t="n">
        <f aca="false">MAX(IF(AY$5&gt;Inputs!$E$64,1,(1+Inputs!$E$62*(DATE(YEAR(AY$5),12,31)-AY$5+1)/365)*(1+Inputs!$E$62)^(YEAR(Inputs!$E$64)-YEAR(AY$5)-1)*(1+Inputs!$E$62*(Inputs!$E$64-DATE(YEAR(Inputs!$E$64),1,1)+1)/365)),$E$131)</f>
        <v>2</v>
      </c>
      <c r="AZ131" s="162" t="n">
        <f aca="false">MAX(IF(AZ$5&gt;Inputs!$E$64,1,(1+Inputs!$E$62*(DATE(YEAR(AZ$5),12,31)-AZ$5+1)/365)*(1+Inputs!$E$62)^(YEAR(Inputs!$E$64)-YEAR(AZ$5)-1)*(1+Inputs!$E$62*(Inputs!$E$64-DATE(YEAR(Inputs!$E$64),1,1)+1)/365)),$E$131)</f>
        <v>2</v>
      </c>
      <c r="BA131" s="162" t="n">
        <f aca="false">MAX(IF(BA$5&gt;Inputs!$E$64,1,(1+Inputs!$E$62*(DATE(YEAR(BA$5),12,31)-BA$5+1)/365)*(1+Inputs!$E$62)^(YEAR(Inputs!$E$64)-YEAR(BA$5)-1)*(1+Inputs!$E$62*(Inputs!$E$64-DATE(YEAR(Inputs!$E$64),1,1)+1)/365)),$E$131)</f>
        <v>2</v>
      </c>
      <c r="BB131" s="162" t="n">
        <f aca="false">MAX(IF(BB$5&gt;Inputs!$E$64,1,(1+Inputs!$E$62*(DATE(YEAR(BB$5),12,31)-BB$5+1)/365)*(1+Inputs!$E$62)^(YEAR(Inputs!$E$64)-YEAR(BB$5)-1)*(1+Inputs!$E$62*(Inputs!$E$64-DATE(YEAR(Inputs!$E$64),1,1)+1)/365)),$E$131)</f>
        <v>2</v>
      </c>
      <c r="BC131" s="162" t="n">
        <f aca="false">MAX(IF(BC$5&gt;Inputs!$E$64,1,(1+Inputs!$E$62*(DATE(YEAR(BC$5),12,31)-BC$5+1)/365)*(1+Inputs!$E$62)^(YEAR(Inputs!$E$64)-YEAR(BC$5)-1)*(1+Inputs!$E$62*(Inputs!$E$64-DATE(YEAR(Inputs!$E$64),1,1)+1)/365)),$E$131)</f>
        <v>2</v>
      </c>
      <c r="BD131" s="162" t="n">
        <f aca="false">MAX(IF(BD$5&gt;Inputs!$E$64,1,(1+Inputs!$E$62*(DATE(YEAR(BD$5),12,31)-BD$5+1)/365)*(1+Inputs!$E$62)^(YEAR(Inputs!$E$64)-YEAR(BD$5)-1)*(1+Inputs!$E$62*(Inputs!$E$64-DATE(YEAR(Inputs!$E$64),1,1)+1)/365)),$E$131)</f>
        <v>2</v>
      </c>
      <c r="BE131" s="162" t="n">
        <f aca="false">MAX(IF(BE$5&gt;Inputs!$E$64,1,(1+Inputs!$E$62*(DATE(YEAR(BE$5),12,31)-BE$5+1)/365)*(1+Inputs!$E$62)^(YEAR(Inputs!$E$64)-YEAR(BE$5)-1)*(1+Inputs!$E$62*(Inputs!$E$64-DATE(YEAR(Inputs!$E$64),1,1)+1)/365)),$E$131)</f>
        <v>2</v>
      </c>
      <c r="BF131" s="162" t="n">
        <f aca="false">MAX(IF(BF$5&gt;Inputs!$E$64,1,(1+Inputs!$E$62*(DATE(YEAR(BF$5),12,31)-BF$5+1)/365)*(1+Inputs!$E$62)^(YEAR(Inputs!$E$64)-YEAR(BF$5)-1)*(1+Inputs!$E$62*(Inputs!$E$64-DATE(YEAR(Inputs!$E$64),1,1)+1)/365)),$E$131)</f>
        <v>2</v>
      </c>
      <c r="BG131" s="162" t="n">
        <f aca="false">MAX(IF(BG$5&gt;Inputs!$E$64,1,(1+Inputs!$E$62*(DATE(YEAR(BG$5),12,31)-BG$5+1)/365)*(1+Inputs!$E$62)^(YEAR(Inputs!$E$64)-YEAR(BG$5)-1)*(1+Inputs!$E$62*(Inputs!$E$64-DATE(YEAR(Inputs!$E$64),1,1)+1)/365)),$E$131)</f>
        <v>2</v>
      </c>
      <c r="BH131" s="162" t="n">
        <f aca="false">MAX(IF(BH$5&gt;Inputs!$E$64,1,(1+Inputs!$E$62*(DATE(YEAR(BH$5),12,31)-BH$5+1)/365)*(1+Inputs!$E$62)^(YEAR(Inputs!$E$64)-YEAR(BH$5)-1)*(1+Inputs!$E$62*(Inputs!$E$64-DATE(YEAR(Inputs!$E$64),1,1)+1)/365)),$E$131)</f>
        <v>2</v>
      </c>
      <c r="BI131" s="162" t="n">
        <f aca="false">MAX(IF(BI$5&gt;Inputs!$E$64,1,(1+Inputs!$E$62*(DATE(YEAR(BI$5),12,31)-BI$5+1)/365)*(1+Inputs!$E$62)^(YEAR(Inputs!$E$64)-YEAR(BI$5)-1)*(1+Inputs!$E$62*(Inputs!$E$64-DATE(YEAR(Inputs!$E$64),1,1)+1)/365)),$E$131)</f>
        <v>2</v>
      </c>
      <c r="BJ131" s="162" t="n">
        <f aca="false">MAX(IF(BJ$5&gt;Inputs!$E$64,1,(1+Inputs!$E$62*(DATE(YEAR(BJ$5),12,31)-BJ$5+1)/365)*(1+Inputs!$E$62)^(YEAR(Inputs!$E$64)-YEAR(BJ$5)-1)*(1+Inputs!$E$62*(Inputs!$E$64-DATE(YEAR(Inputs!$E$64),1,1)+1)/365)),$E$131)</f>
        <v>2</v>
      </c>
      <c r="BK131" s="162" t="n">
        <f aca="false">MAX(IF(BK$5&gt;Inputs!$E$64,1,(1+Inputs!$E$62*(DATE(YEAR(BK$5),12,31)-BK$5+1)/365)*(1+Inputs!$E$62)^(YEAR(Inputs!$E$64)-YEAR(BK$5)-1)*(1+Inputs!$E$62*(Inputs!$E$64-DATE(YEAR(Inputs!$E$64),1,1)+1)/365)),$E$131)</f>
        <v>2</v>
      </c>
      <c r="BL131" s="162" t="n">
        <f aca="false">MAX(IF(BL$5&gt;Inputs!$E$64,1,(1+Inputs!$E$62*(DATE(YEAR(BL$5),12,31)-BL$5+1)/365)*(1+Inputs!$E$62)^(YEAR(Inputs!$E$64)-YEAR(BL$5)-1)*(1+Inputs!$E$62*(Inputs!$E$64-DATE(YEAR(Inputs!$E$64),1,1)+1)/365)),$E$131)</f>
        <v>2</v>
      </c>
      <c r="BM131" s="162" t="n">
        <f aca="false">MAX(IF(BM$5&gt;Inputs!$E$64,1,(1+Inputs!$E$62*(DATE(YEAR(BM$5),12,31)-BM$5+1)/365)*(1+Inputs!$E$62)^(YEAR(Inputs!$E$64)-YEAR(BM$5)-1)*(1+Inputs!$E$62*(Inputs!$E$64-DATE(YEAR(Inputs!$E$64),1,1)+1)/365)),$E$131)</f>
        <v>2</v>
      </c>
      <c r="BN131" s="162" t="n">
        <f aca="false">MAX(IF(BN$5&gt;Inputs!$E$64,1,(1+Inputs!$E$62*(DATE(YEAR(BN$5),12,31)-BN$5+1)/365)*(1+Inputs!$E$62)^(YEAR(Inputs!$E$64)-YEAR(BN$5)-1)*(1+Inputs!$E$62*(Inputs!$E$64-DATE(YEAR(Inputs!$E$64),1,1)+1)/365)),$E$131)</f>
        <v>2</v>
      </c>
      <c r="BO131" s="162" t="n">
        <f aca="false">MAX(IF(BO$5&gt;Inputs!$E$64,1,(1+Inputs!$E$62*(DATE(YEAR(BO$5),12,31)-BO$5+1)/365)*(1+Inputs!$E$62)^(YEAR(Inputs!$E$64)-YEAR(BO$5)-1)*(1+Inputs!$E$62*(Inputs!$E$64-DATE(YEAR(Inputs!$E$64),1,1)+1)/365)),$E$131)</f>
        <v>2</v>
      </c>
      <c r="BP131" s="162" t="n">
        <f aca="false">MAX(IF(BP$5&gt;Inputs!$E$64,1,(1+Inputs!$E$62*(DATE(YEAR(BP$5),12,31)-BP$5+1)/365)*(1+Inputs!$E$62)^(YEAR(Inputs!$E$64)-YEAR(BP$5)-1)*(1+Inputs!$E$62*(Inputs!$E$64-DATE(YEAR(Inputs!$E$64),1,1)+1)/365)),$E$131)</f>
        <v>2</v>
      </c>
    </row>
    <row r="132" customFormat="false" ht="15" hidden="false" customHeight="false" outlineLevel="0" collapsed="false">
      <c r="C132" s="205" t="s">
        <v>1090</v>
      </c>
      <c r="D132" s="205"/>
      <c r="E132" s="251"/>
      <c r="F132" s="251"/>
      <c r="G132" s="251"/>
      <c r="H132" s="251"/>
      <c r="I132" s="251"/>
      <c r="J132" s="251"/>
      <c r="K132" s="251"/>
      <c r="L132" s="251"/>
      <c r="M132" s="251"/>
      <c r="N132" s="251"/>
      <c r="O132" s="251"/>
      <c r="P132" s="251"/>
      <c r="Q132" s="251"/>
      <c r="R132" s="251"/>
      <c r="S132" s="251"/>
      <c r="T132" s="251"/>
      <c r="U132" s="251"/>
      <c r="V132" s="251"/>
      <c r="W132" s="251"/>
      <c r="X132" s="251"/>
      <c r="Y132" s="251"/>
      <c r="Z132" s="251"/>
      <c r="AA132" s="251"/>
      <c r="AB132" s="251"/>
      <c r="AC132" s="251"/>
      <c r="AD132" s="251"/>
      <c r="AE132" s="251"/>
      <c r="AF132" s="251"/>
      <c r="AG132" s="251"/>
      <c r="AH132" s="251"/>
      <c r="AI132" s="251"/>
      <c r="AJ132" s="251"/>
      <c r="AK132" s="251"/>
      <c r="AL132" s="251"/>
      <c r="AM132" s="251"/>
      <c r="AN132" s="251"/>
      <c r="AO132" s="251"/>
      <c r="AP132" s="251"/>
      <c r="AQ132" s="251"/>
      <c r="AR132" s="251"/>
      <c r="AS132" s="251"/>
      <c r="AT132" s="251"/>
      <c r="AU132" s="251"/>
      <c r="AV132" s="251"/>
      <c r="AW132" s="251"/>
      <c r="AX132" s="251"/>
      <c r="AY132" s="251"/>
      <c r="AZ132" s="251"/>
      <c r="BA132" s="251"/>
      <c r="BB132" s="251"/>
      <c r="BC132" s="251"/>
      <c r="BD132" s="251"/>
      <c r="BE132" s="251"/>
      <c r="BF132" s="251"/>
      <c r="BG132" s="251"/>
      <c r="BH132" s="251"/>
      <c r="BI132" s="251"/>
      <c r="BJ132" s="251"/>
      <c r="BK132" s="251"/>
      <c r="BL132" s="251"/>
      <c r="BM132" s="251"/>
      <c r="BN132" s="251"/>
      <c r="BO132" s="251"/>
      <c r="BP132" s="251"/>
    </row>
    <row r="133" customFormat="false" ht="15" hidden="false" customHeight="false" outlineLevel="0" collapsed="false">
      <c r="C133" s="0" t="s">
        <v>1048</v>
      </c>
      <c r="D133" s="0" t="s">
        <v>125</v>
      </c>
      <c r="E133" s="158"/>
      <c r="F133" s="158"/>
      <c r="G133" s="158"/>
      <c r="H133" s="158" t="n">
        <v>0</v>
      </c>
      <c r="I133" s="158" t="n">
        <f aca="false">H138</f>
        <v>0</v>
      </c>
      <c r="J133" s="158" t="n">
        <f aca="false">I138</f>
        <v>0</v>
      </c>
      <c r="K133" s="158" t="n">
        <f aca="false">J138</f>
        <v>0</v>
      </c>
      <c r="L133" s="158" t="n">
        <f aca="false">K138</f>
        <v>0</v>
      </c>
      <c r="M133" s="158" t="n">
        <f aca="false">L138</f>
        <v>0</v>
      </c>
      <c r="N133" s="158" t="n">
        <f aca="false">M138</f>
        <v>0</v>
      </c>
      <c r="O133" s="158" t="n">
        <f aca="false">N138</f>
        <v>0</v>
      </c>
      <c r="P133" s="158" t="n">
        <f aca="false">O138</f>
        <v>0</v>
      </c>
      <c r="Q133" s="158" t="n">
        <f aca="false">P138</f>
        <v>0</v>
      </c>
      <c r="R133" s="158" t="n">
        <f aca="false">Q138</f>
        <v>0</v>
      </c>
      <c r="S133" s="158" t="n">
        <f aca="false">R138</f>
        <v>0</v>
      </c>
      <c r="T133" s="158" t="n">
        <f aca="false">S138</f>
        <v>0</v>
      </c>
      <c r="U133" s="158" t="n">
        <f aca="false">T138</f>
        <v>0</v>
      </c>
      <c r="V133" s="158" t="n">
        <f aca="false">U138</f>
        <v>0</v>
      </c>
      <c r="W133" s="158" t="n">
        <f aca="false">V138</f>
        <v>0</v>
      </c>
      <c r="X133" s="158" t="n">
        <f aca="false">W138</f>
        <v>0</v>
      </c>
      <c r="Y133" s="158" t="n">
        <f aca="false">X138</f>
        <v>0</v>
      </c>
      <c r="Z133" s="158" t="n">
        <f aca="false">Y138</f>
        <v>0</v>
      </c>
      <c r="AA133" s="158" t="n">
        <f aca="false">Z138</f>
        <v>0</v>
      </c>
      <c r="AB133" s="158" t="n">
        <f aca="false">AA138</f>
        <v>0</v>
      </c>
      <c r="AC133" s="158" t="n">
        <f aca="false">AB138</f>
        <v>0</v>
      </c>
      <c r="AD133" s="158" t="n">
        <f aca="false">AC138</f>
        <v>0</v>
      </c>
      <c r="AE133" s="158" t="n">
        <f aca="false">AD138</f>
        <v>0</v>
      </c>
      <c r="AF133" s="158" t="n">
        <f aca="false">AE138</f>
        <v>0</v>
      </c>
      <c r="AG133" s="158" t="n">
        <f aca="false">AF138</f>
        <v>0</v>
      </c>
      <c r="AH133" s="158" t="n">
        <f aca="false">AG138</f>
        <v>0</v>
      </c>
      <c r="AI133" s="158" t="n">
        <f aca="false">AH138</f>
        <v>0</v>
      </c>
      <c r="AJ133" s="158" t="n">
        <f aca="false">AI138</f>
        <v>0</v>
      </c>
      <c r="AK133" s="158" t="n">
        <f aca="false">AJ138</f>
        <v>0</v>
      </c>
      <c r="AL133" s="158" t="n">
        <f aca="false">AK138</f>
        <v>0</v>
      </c>
      <c r="AM133" s="158" t="n">
        <f aca="false">AL138</f>
        <v>0</v>
      </c>
      <c r="AN133" s="158" t="n">
        <f aca="false">AM138</f>
        <v>0</v>
      </c>
      <c r="AO133" s="158" t="n">
        <f aca="false">AN138</f>
        <v>0</v>
      </c>
      <c r="AP133" s="158" t="n">
        <f aca="false">AO138</f>
        <v>0</v>
      </c>
      <c r="AQ133" s="158" t="n">
        <f aca="false">AP138</f>
        <v>0</v>
      </c>
      <c r="AR133" s="158" t="n">
        <f aca="false">AQ138</f>
        <v>0</v>
      </c>
      <c r="AS133" s="158" t="n">
        <f aca="false">AR138</f>
        <v>0</v>
      </c>
      <c r="AT133" s="158" t="n">
        <f aca="false">AS138</f>
        <v>0</v>
      </c>
      <c r="AU133" s="158" t="n">
        <f aca="false">AT138</f>
        <v>0</v>
      </c>
      <c r="AV133" s="158" t="n">
        <f aca="false">AU138</f>
        <v>0</v>
      </c>
      <c r="AW133" s="158" t="n">
        <f aca="false">AV138</f>
        <v>0</v>
      </c>
      <c r="AX133" s="158" t="n">
        <f aca="false">AW138</f>
        <v>0</v>
      </c>
      <c r="AY133" s="158" t="n">
        <f aca="false">AX138</f>
        <v>0</v>
      </c>
      <c r="AZ133" s="158" t="n">
        <f aca="false">AY138</f>
        <v>0</v>
      </c>
      <c r="BA133" s="158" t="n">
        <f aca="false">AZ138</f>
        <v>0</v>
      </c>
      <c r="BB133" s="158" t="n">
        <f aca="false">BA138</f>
        <v>0</v>
      </c>
      <c r="BC133" s="158" t="n">
        <f aca="false">BB138</f>
        <v>0</v>
      </c>
      <c r="BD133" s="158" t="n">
        <f aca="false">BC138</f>
        <v>0</v>
      </c>
      <c r="BE133" s="158" t="n">
        <f aca="false">BD138</f>
        <v>0</v>
      </c>
      <c r="BF133" s="158" t="n">
        <f aca="false">BE138</f>
        <v>0</v>
      </c>
      <c r="BG133" s="158" t="n">
        <f aca="false">BF138</f>
        <v>0</v>
      </c>
      <c r="BH133" s="158" t="n">
        <f aca="false">BG138</f>
        <v>0</v>
      </c>
      <c r="BI133" s="158" t="n">
        <f aca="false">BH138</f>
        <v>0</v>
      </c>
      <c r="BJ133" s="158" t="n">
        <f aca="false">BI138</f>
        <v>0</v>
      </c>
      <c r="BK133" s="158" t="n">
        <f aca="false">BJ138</f>
        <v>0</v>
      </c>
      <c r="BL133" s="158" t="n">
        <f aca="false">BK138</f>
        <v>0</v>
      </c>
      <c r="BM133" s="158" t="n">
        <f aca="false">BL138</f>
        <v>0</v>
      </c>
      <c r="BN133" s="158" t="n">
        <f aca="false">BM138</f>
        <v>0</v>
      </c>
      <c r="BO133" s="158" t="n">
        <f aca="false">BN138</f>
        <v>0</v>
      </c>
      <c r="BP133" s="158" t="n">
        <f aca="false">BO138</f>
        <v>0</v>
      </c>
    </row>
    <row r="134" customFormat="false" ht="15" hidden="false" customHeight="false" outlineLevel="0" collapsed="false">
      <c r="C134" s="0" t="s">
        <v>1085</v>
      </c>
      <c r="D134" s="0" t="s">
        <v>125</v>
      </c>
      <c r="E134" s="158"/>
      <c r="F134" s="158"/>
      <c r="G134" s="158" t="n">
        <f aca="false">SUM(H134:BP134)</f>
        <v>0</v>
      </c>
      <c r="H134" s="158" t="n">
        <f aca="false">$E$107*H103</f>
        <v>0</v>
      </c>
      <c r="I134" s="158" t="n">
        <f aca="false">$E$107*I103</f>
        <v>0</v>
      </c>
      <c r="J134" s="158" t="n">
        <f aca="false">$E$107*J103</f>
        <v>0</v>
      </c>
      <c r="K134" s="158" t="n">
        <f aca="false">$E$107*K103</f>
        <v>0</v>
      </c>
      <c r="L134" s="158" t="n">
        <f aca="false">$E$107*L103</f>
        <v>0</v>
      </c>
      <c r="M134" s="158" t="n">
        <f aca="false">$E$107*M103</f>
        <v>0</v>
      </c>
      <c r="N134" s="158" t="n">
        <f aca="false">$E$107*N103</f>
        <v>0</v>
      </c>
      <c r="O134" s="158" t="n">
        <f aca="false">$E$107*O103</f>
        <v>0</v>
      </c>
      <c r="P134" s="158" t="n">
        <f aca="false">$E$107*P103</f>
        <v>0</v>
      </c>
      <c r="Q134" s="158" t="n">
        <f aca="false">$E$107*Q103</f>
        <v>0</v>
      </c>
      <c r="R134" s="158" t="n">
        <f aca="false">$E$107*R103</f>
        <v>0</v>
      </c>
      <c r="S134" s="158" t="n">
        <f aca="false">$E$107*S103</f>
        <v>0</v>
      </c>
      <c r="T134" s="158" t="n">
        <f aca="false">$E$107*T103</f>
        <v>0</v>
      </c>
      <c r="U134" s="158" t="n">
        <f aca="false">$E$107*U103</f>
        <v>0</v>
      </c>
      <c r="V134" s="158" t="n">
        <f aca="false">$E$107*V103</f>
        <v>0</v>
      </c>
      <c r="W134" s="158" t="n">
        <f aca="false">$E$107*W103</f>
        <v>0</v>
      </c>
      <c r="X134" s="158" t="n">
        <f aca="false">$E$107*X103</f>
        <v>0</v>
      </c>
      <c r="Y134" s="158" t="n">
        <f aca="false">$E$107*Y103</f>
        <v>0</v>
      </c>
      <c r="Z134" s="158" t="n">
        <f aca="false">$E$107*Z103</f>
        <v>0</v>
      </c>
      <c r="AA134" s="158" t="n">
        <f aca="false">$E$107*AA103</f>
        <v>0</v>
      </c>
      <c r="AB134" s="158" t="n">
        <f aca="false">$E$107*AB103</f>
        <v>0</v>
      </c>
      <c r="AC134" s="158" t="n">
        <f aca="false">$E$107*AC103</f>
        <v>0</v>
      </c>
      <c r="AD134" s="158" t="n">
        <f aca="false">$E$107*AD103</f>
        <v>0</v>
      </c>
      <c r="AE134" s="158" t="n">
        <f aca="false">$E$107*AE103</f>
        <v>0</v>
      </c>
      <c r="AF134" s="158" t="n">
        <f aca="false">$E$107*AF103</f>
        <v>0</v>
      </c>
      <c r="AG134" s="158" t="n">
        <f aca="false">$E$107*AG103</f>
        <v>0</v>
      </c>
      <c r="AH134" s="158" t="n">
        <f aca="false">$E$107*AH103</f>
        <v>0</v>
      </c>
      <c r="AI134" s="158" t="n">
        <f aca="false">$E$107*AI103</f>
        <v>0</v>
      </c>
      <c r="AJ134" s="158" t="n">
        <f aca="false">$E$107*AJ103</f>
        <v>0</v>
      </c>
      <c r="AK134" s="158" t="n">
        <f aca="false">$E$107*AK103</f>
        <v>0</v>
      </c>
      <c r="AL134" s="158" t="n">
        <f aca="false">$E$107*AL103</f>
        <v>0</v>
      </c>
      <c r="AM134" s="158" t="n">
        <f aca="false">$E$107*AM103</f>
        <v>0</v>
      </c>
      <c r="AN134" s="158" t="n">
        <f aca="false">$E$107*AN103</f>
        <v>0</v>
      </c>
      <c r="AO134" s="158" t="n">
        <f aca="false">$E$107*AO103</f>
        <v>0</v>
      </c>
      <c r="AP134" s="158" t="n">
        <f aca="false">$E$107*AP103</f>
        <v>0</v>
      </c>
      <c r="AQ134" s="158" t="n">
        <f aca="false">$E$107*AQ103</f>
        <v>0</v>
      </c>
      <c r="AR134" s="158" t="n">
        <f aca="false">$E$107*AR103</f>
        <v>0</v>
      </c>
      <c r="AS134" s="158" t="n">
        <f aca="false">$E$107*AS103</f>
        <v>0</v>
      </c>
      <c r="AT134" s="158" t="n">
        <f aca="false">$E$107*AT103</f>
        <v>0</v>
      </c>
      <c r="AU134" s="158" t="n">
        <f aca="false">$E$107*AU103</f>
        <v>0</v>
      </c>
      <c r="AV134" s="158" t="n">
        <f aca="false">$E$107*AV103</f>
        <v>0</v>
      </c>
      <c r="AW134" s="158" t="n">
        <f aca="false">$E$107*AW103</f>
        <v>0</v>
      </c>
      <c r="AX134" s="158" t="n">
        <f aca="false">$E$107*AX103</f>
        <v>0</v>
      </c>
      <c r="AY134" s="158" t="n">
        <f aca="false">$E$107*AY103</f>
        <v>0</v>
      </c>
      <c r="AZ134" s="158" t="n">
        <f aca="false">$E$107*AZ103</f>
        <v>0</v>
      </c>
      <c r="BA134" s="158" t="n">
        <f aca="false">$E$107*BA103</f>
        <v>0</v>
      </c>
      <c r="BB134" s="158" t="n">
        <f aca="false">$E$107*BB103</f>
        <v>0</v>
      </c>
      <c r="BC134" s="158" t="n">
        <f aca="false">$E$107*BC103</f>
        <v>0</v>
      </c>
      <c r="BD134" s="158" t="n">
        <f aca="false">$E$107*BD103</f>
        <v>0</v>
      </c>
      <c r="BE134" s="158" t="n">
        <f aca="false">$E$107*BE103</f>
        <v>0</v>
      </c>
      <c r="BF134" s="158" t="n">
        <f aca="false">$E$107*BF103</f>
        <v>0</v>
      </c>
      <c r="BG134" s="158" t="n">
        <f aca="false">$E$107*BG103</f>
        <v>0</v>
      </c>
      <c r="BH134" s="158" t="n">
        <f aca="false">$E$107*BH103</f>
        <v>0</v>
      </c>
      <c r="BI134" s="158" t="n">
        <f aca="false">$E$107*BI103</f>
        <v>0</v>
      </c>
      <c r="BJ134" s="158" t="n">
        <f aca="false">$E$107*BJ103</f>
        <v>0</v>
      </c>
      <c r="BK134" s="158" t="n">
        <f aca="false">$E$107*BK103</f>
        <v>0</v>
      </c>
      <c r="BL134" s="158" t="n">
        <f aca="false">$E$107*BL103</f>
        <v>0</v>
      </c>
      <c r="BM134" s="158" t="n">
        <f aca="false">$E$107*BM103</f>
        <v>0</v>
      </c>
      <c r="BN134" s="158" t="n">
        <f aca="false">$E$107*BN103</f>
        <v>0</v>
      </c>
      <c r="BO134" s="158" t="n">
        <f aca="false">$E$107*BO103</f>
        <v>0</v>
      </c>
      <c r="BP134" s="158" t="n">
        <f aca="false">$E$107*BP103</f>
        <v>0</v>
      </c>
    </row>
    <row r="135" customFormat="false" ht="15" hidden="false" customHeight="false" outlineLevel="0" collapsed="false">
      <c r="C135" s="0" t="s">
        <v>1086</v>
      </c>
      <c r="D135" s="0" t="s">
        <v>125</v>
      </c>
      <c r="E135" s="158"/>
      <c r="F135" s="158"/>
      <c r="G135" s="158" t="n">
        <f aca="false">SUM(H135:BP135)</f>
        <v>0</v>
      </c>
      <c r="H135" s="158" t="n">
        <f aca="false">$E$107*(H18+H20)</f>
        <v>0</v>
      </c>
      <c r="I135" s="158" t="n">
        <f aca="false">$E$107*(I18+I20)</f>
        <v>0</v>
      </c>
      <c r="J135" s="158" t="n">
        <f aca="false">$E$107*(J18+J20)</f>
        <v>0</v>
      </c>
      <c r="K135" s="158" t="n">
        <f aca="false">$E$107*(K18+K20)</f>
        <v>0</v>
      </c>
      <c r="L135" s="158" t="n">
        <f aca="false">$E$107*(L18+L20)</f>
        <v>0</v>
      </c>
      <c r="M135" s="158" t="n">
        <f aca="false">$E$107*(M18+M20)</f>
        <v>0</v>
      </c>
      <c r="N135" s="158" t="n">
        <f aca="false">$E$107*(N18+N20)</f>
        <v>0</v>
      </c>
      <c r="O135" s="158" t="n">
        <f aca="false">$E$107*(O18+O20)</f>
        <v>0</v>
      </c>
      <c r="P135" s="158" t="n">
        <f aca="false">$E$107*(P18+P20)</f>
        <v>0</v>
      </c>
      <c r="Q135" s="158" t="n">
        <f aca="false">$E$107*(Q18+Q20)</f>
        <v>0</v>
      </c>
      <c r="R135" s="158" t="n">
        <f aca="false">$E$107*(R18+R20)</f>
        <v>0</v>
      </c>
      <c r="S135" s="158" t="n">
        <f aca="false">$E$107*(S18+S20)</f>
        <v>0</v>
      </c>
      <c r="T135" s="158" t="n">
        <f aca="false">$E$107*(T18+T20)</f>
        <v>0</v>
      </c>
      <c r="U135" s="158" t="n">
        <f aca="false">$E$107*(U18+U20)</f>
        <v>0</v>
      </c>
      <c r="V135" s="158" t="n">
        <f aca="false">$E$107*(V18+V20)</f>
        <v>0</v>
      </c>
      <c r="W135" s="158" t="n">
        <f aca="false">$E$107*(W18+W20)</f>
        <v>0</v>
      </c>
      <c r="X135" s="158" t="n">
        <f aca="false">$E$107*(X18+X20)</f>
        <v>0</v>
      </c>
      <c r="Y135" s="158" t="n">
        <f aca="false">$E$107*(Y18+Y20)</f>
        <v>0</v>
      </c>
      <c r="Z135" s="158" t="n">
        <f aca="false">$E$107*(Z18+Z20)</f>
        <v>0</v>
      </c>
      <c r="AA135" s="158" t="n">
        <f aca="false">$E$107*(AA18+AA20)</f>
        <v>0</v>
      </c>
      <c r="AB135" s="158" t="n">
        <f aca="false">$E$107*(AB18+AB20)</f>
        <v>0</v>
      </c>
      <c r="AC135" s="158" t="n">
        <f aca="false">$E$107*(AC18+AC20)</f>
        <v>0</v>
      </c>
      <c r="AD135" s="158" t="n">
        <f aca="false">$E$107*(AD18+AD20)</f>
        <v>0</v>
      </c>
      <c r="AE135" s="158" t="n">
        <f aca="false">$E$107*(AE18+AE20)</f>
        <v>0</v>
      </c>
      <c r="AF135" s="158" t="n">
        <f aca="false">$E$107*(AF18+AF20)</f>
        <v>0</v>
      </c>
      <c r="AG135" s="158" t="n">
        <f aca="false">$E$107*(AG18+AG20)</f>
        <v>0</v>
      </c>
      <c r="AH135" s="158" t="n">
        <f aca="false">$E$107*(AH18+AH20)</f>
        <v>0</v>
      </c>
      <c r="AI135" s="158" t="n">
        <f aca="false">$E$107*(AI18+AI20)</f>
        <v>0</v>
      </c>
      <c r="AJ135" s="158" t="n">
        <f aca="false">$E$107*(AJ18+AJ20)</f>
        <v>0</v>
      </c>
      <c r="AK135" s="158" t="n">
        <f aca="false">$E$107*(AK18+AK20)</f>
        <v>0</v>
      </c>
      <c r="AL135" s="158" t="n">
        <f aca="false">$E$107*(AL18+AL20)</f>
        <v>0</v>
      </c>
      <c r="AM135" s="158" t="n">
        <f aca="false">$E$107*(AM18+AM20)</f>
        <v>0</v>
      </c>
      <c r="AN135" s="158" t="n">
        <f aca="false">$E$107*(AN18+AN20)</f>
        <v>0</v>
      </c>
      <c r="AO135" s="158" t="n">
        <f aca="false">$E$107*(AO18+AO20)</f>
        <v>0</v>
      </c>
      <c r="AP135" s="158" t="n">
        <f aca="false">$E$107*(AP18+AP20)</f>
        <v>0</v>
      </c>
      <c r="AQ135" s="158" t="n">
        <f aca="false">$E$107*(AQ18+AQ20)</f>
        <v>0</v>
      </c>
      <c r="AR135" s="158" t="n">
        <f aca="false">$E$107*(AR18+AR20)</f>
        <v>0</v>
      </c>
      <c r="AS135" s="158" t="n">
        <f aca="false">$E$107*(AS18+AS20)</f>
        <v>0</v>
      </c>
      <c r="AT135" s="158" t="n">
        <f aca="false">$E$107*(AT18+AT20)</f>
        <v>0</v>
      </c>
      <c r="AU135" s="158" t="n">
        <f aca="false">$E$107*(AU18+AU20)</f>
        <v>0</v>
      </c>
      <c r="AV135" s="158" t="n">
        <f aca="false">$E$107*(AV18+AV20)</f>
        <v>0</v>
      </c>
      <c r="AW135" s="158" t="n">
        <f aca="false">$E$107*(AW18+AW20)</f>
        <v>0</v>
      </c>
      <c r="AX135" s="158" t="n">
        <f aca="false">$E$107*(AX18+AX20)</f>
        <v>0</v>
      </c>
      <c r="AY135" s="158" t="n">
        <f aca="false">$E$107*(AY18+AY20)</f>
        <v>0</v>
      </c>
      <c r="AZ135" s="158" t="n">
        <f aca="false">$E$107*(AZ18+AZ20)</f>
        <v>0</v>
      </c>
      <c r="BA135" s="158" t="n">
        <f aca="false">$E$107*(BA18+BA20)</f>
        <v>0</v>
      </c>
      <c r="BB135" s="158" t="n">
        <f aca="false">$E$107*(BB18+BB20)</f>
        <v>0</v>
      </c>
      <c r="BC135" s="158" t="n">
        <f aca="false">$E$107*(BC18+BC20)</f>
        <v>0</v>
      </c>
      <c r="BD135" s="158" t="n">
        <f aca="false">$E$107*(BD18+BD20)</f>
        <v>0</v>
      </c>
      <c r="BE135" s="158" t="n">
        <f aca="false">$E$107*(BE18+BE20)</f>
        <v>0</v>
      </c>
      <c r="BF135" s="158" t="n">
        <f aca="false">$E$107*(BF18+BF20)</f>
        <v>0</v>
      </c>
      <c r="BG135" s="158" t="n">
        <f aca="false">$E$107*(BG18+BG20)</f>
        <v>0</v>
      </c>
      <c r="BH135" s="158" t="n">
        <f aca="false">$E$107*(BH18+BH20)</f>
        <v>0</v>
      </c>
      <c r="BI135" s="158" t="n">
        <f aca="false">$E$107*(BI18+BI20)</f>
        <v>0</v>
      </c>
      <c r="BJ135" s="158" t="n">
        <f aca="false">$E$107*(BJ18+BJ20)</f>
        <v>0</v>
      </c>
      <c r="BK135" s="158" t="n">
        <f aca="false">$E$107*(BK18+BK20)</f>
        <v>0</v>
      </c>
      <c r="BL135" s="158" t="n">
        <f aca="false">$E$107*(BL18+BL20)</f>
        <v>0</v>
      </c>
      <c r="BM135" s="158" t="n">
        <f aca="false">$E$107*(BM18+BM20)</f>
        <v>0</v>
      </c>
      <c r="BN135" s="158" t="n">
        <f aca="false">$E$107*(BN18+BN20)</f>
        <v>0</v>
      </c>
      <c r="BO135" s="158" t="n">
        <f aca="false">$E$107*(BO18+BO20)</f>
        <v>0</v>
      </c>
      <c r="BP135" s="158" t="n">
        <f aca="false">$E$107*(BP18+BP20)</f>
        <v>0</v>
      </c>
    </row>
    <row r="136" customFormat="false" ht="15" hidden="false" customHeight="false" outlineLevel="0" collapsed="false">
      <c r="C136" s="0" t="s">
        <v>1081</v>
      </c>
      <c r="D136" s="0" t="s">
        <v>125</v>
      </c>
      <c r="E136" s="141" t="n">
        <f aca="false">Inputs!$E$62</f>
        <v>0.2</v>
      </c>
      <c r="F136" s="158"/>
      <c r="G136" s="158" t="n">
        <f aca="false">SUM(H136:BP136)</f>
        <v>0</v>
      </c>
      <c r="H136" s="158" t="n">
        <f aca="false">IF(Inputs!$E$69=1,(1+$E$136)^(1/12)-1,$E$136/12)*SUM(H133:H135)*H$10*(1-Inputs!$E$66)</f>
        <v>0</v>
      </c>
      <c r="I136" s="158" t="n">
        <f aca="false">IF(Inputs!$E$69=1,(1+$E$136)^(1/12)-1,$E$136/12)*SUM(I133:I135)*I$10*(1-Inputs!$E$66)</f>
        <v>0</v>
      </c>
      <c r="J136" s="158" t="n">
        <f aca="false">IF(Inputs!$E$69=1,(1+$E$136)^(1/12)-1,$E$136/12)*SUM(J133:J135)*J$10*(1-Inputs!$E$66)</f>
        <v>0</v>
      </c>
      <c r="K136" s="158" t="n">
        <f aca="false">IF(Inputs!$E$69=1,(1+$E$136)^(1/12)-1,$E$136/12)*SUM(K133:K135)*K$10*(1-Inputs!$E$66)</f>
        <v>0</v>
      </c>
      <c r="L136" s="158" t="n">
        <f aca="false">IF(Inputs!$E$69=1,(1+$E$136)^(1/12)-1,$E$136/12)*SUM(L133:L135)*L$10*(1-Inputs!$E$66)</f>
        <v>0</v>
      </c>
      <c r="M136" s="158" t="n">
        <f aca="false">IF(Inputs!$E$69=1,(1+$E$136)^(1/12)-1,$E$136/12)*SUM(M133:M135)*M$10*(1-Inputs!$E$66)</f>
        <v>0</v>
      </c>
      <c r="N136" s="158" t="n">
        <f aca="false">IF(Inputs!$E$69=1,(1+$E$136)^(1/12)-1,$E$136/12)*SUM(N133:N135)*N$10*(1-Inputs!$E$66)</f>
        <v>0</v>
      </c>
      <c r="O136" s="158" t="n">
        <f aca="false">IF(Inputs!$E$69=1,(1+$E$136)^(1/12)-1,$E$136/12)*SUM(O133:O135)*O$10*(1-Inputs!$E$66)</f>
        <v>0</v>
      </c>
      <c r="P136" s="158" t="n">
        <f aca="false">IF(Inputs!$E$69=1,(1+$E$136)^(1/12)-1,$E$136/12)*SUM(P133:P135)*P$10*(1-Inputs!$E$66)</f>
        <v>0</v>
      </c>
      <c r="Q136" s="158" t="n">
        <f aca="false">IF(Inputs!$E$69=1,(1+$E$136)^(1/12)-1,$E$136/12)*SUM(Q133:Q135)*Q$10*(1-Inputs!$E$66)</f>
        <v>0</v>
      </c>
      <c r="R136" s="158" t="n">
        <f aca="false">IF(Inputs!$E$69=1,(1+$E$136)^(1/12)-1,$E$136/12)*SUM(R133:R135)*R$10*(1-Inputs!$E$66)</f>
        <v>0</v>
      </c>
      <c r="S136" s="158" t="n">
        <f aca="false">IF(Inputs!$E$69=1,(1+$E$136)^(1/12)-1,$E$136/12)*SUM(S133:S135)*S$10*(1-Inputs!$E$66)</f>
        <v>0</v>
      </c>
      <c r="T136" s="158" t="n">
        <f aca="false">IF(Inputs!$E$69=1,(1+$E$136)^(1/12)-1,$E$136/12)*SUM(T133:T135)*T$10*(1-Inputs!$E$66)</f>
        <v>0</v>
      </c>
      <c r="U136" s="158" t="n">
        <f aca="false">IF(Inputs!$E$69=1,(1+$E$136)^(1/12)-1,$E$136/12)*SUM(U133:U135)*U$10*(1-Inputs!$E$66)</f>
        <v>0</v>
      </c>
      <c r="V136" s="158" t="n">
        <f aca="false">IF(Inputs!$E$69=1,(1+$E$136)^(1/12)-1,$E$136/12)*SUM(V133:V135)*V$10*(1-Inputs!$E$66)</f>
        <v>0</v>
      </c>
      <c r="W136" s="158" t="n">
        <f aca="false">IF(Inputs!$E$69=1,(1+$E$136)^(1/12)-1,$E$136/12)*SUM(W133:W135)*W$10*(1-Inputs!$E$66)</f>
        <v>0</v>
      </c>
      <c r="X136" s="158" t="n">
        <f aca="false">IF(Inputs!$E$69=1,(1+$E$136)^(1/12)-1,$E$136/12)*SUM(X133:X135)*X$10*(1-Inputs!$E$66)</f>
        <v>0</v>
      </c>
      <c r="Y136" s="158" t="n">
        <f aca="false">IF(Inputs!$E$69=1,(1+$E$136)^(1/12)-1,$E$136/12)*SUM(Y133:Y135)*Y$10*(1-Inputs!$E$66)</f>
        <v>0</v>
      </c>
      <c r="Z136" s="158" t="n">
        <f aca="false">IF(Inputs!$E$69=1,(1+$E$136)^(1/12)-1,$E$136/12)*SUM(Z133:Z135)*Z$10*(1-Inputs!$E$66)</f>
        <v>0</v>
      </c>
      <c r="AA136" s="158" t="n">
        <f aca="false">IF(Inputs!$E$69=1,(1+$E$136)^(1/12)-1,$E$136/12)*SUM(AA133:AA135)*AA$10*(1-Inputs!$E$66)</f>
        <v>0</v>
      </c>
      <c r="AB136" s="158" t="n">
        <f aca="false">IF(Inputs!$E$69=1,(1+$E$136)^(1/12)-1,$E$136/12)*SUM(AB133:AB135)*AB$10*(1-Inputs!$E$66)</f>
        <v>0</v>
      </c>
      <c r="AC136" s="158" t="n">
        <f aca="false">IF(Inputs!$E$69=1,(1+$E$136)^(1/12)-1,$E$136/12)*SUM(AC133:AC135)*AC$10*(1-Inputs!$E$66)</f>
        <v>0</v>
      </c>
      <c r="AD136" s="158" t="n">
        <f aca="false">IF(Inputs!$E$69=1,(1+$E$136)^(1/12)-1,$E$136/12)*SUM(AD133:AD135)*AD$10*(1-Inputs!$E$66)</f>
        <v>0</v>
      </c>
      <c r="AE136" s="158" t="n">
        <f aca="false">IF(Inputs!$E$69=1,(1+$E$136)^(1/12)-1,$E$136/12)*SUM(AE133:AE135)*AE$10*(1-Inputs!$E$66)</f>
        <v>0</v>
      </c>
      <c r="AF136" s="158" t="n">
        <f aca="false">IF(Inputs!$E$69=1,(1+$E$136)^(1/12)-1,$E$136/12)*SUM(AF133:AF135)*AF$10*(1-Inputs!$E$66)</f>
        <v>0</v>
      </c>
      <c r="AG136" s="158" t="n">
        <f aca="false">IF(Inputs!$E$69=1,(1+$E$136)^(1/12)-1,$E$136/12)*SUM(AG133:AG135)*AG$10*(1-Inputs!$E$66)</f>
        <v>0</v>
      </c>
      <c r="AH136" s="158" t="n">
        <f aca="false">IF(Inputs!$E$69=1,(1+$E$136)^(1/12)-1,$E$136/12)*SUM(AH133:AH135)*AH$10*(1-Inputs!$E$66)</f>
        <v>0</v>
      </c>
      <c r="AI136" s="158" t="n">
        <f aca="false">IF(Inputs!$E$69=1,(1+$E$136)^(1/12)-1,$E$136/12)*SUM(AI133:AI135)*AI$10*(1-Inputs!$E$66)</f>
        <v>0</v>
      </c>
      <c r="AJ136" s="158" t="n">
        <f aca="false">IF(Inputs!$E$69=1,(1+$E$136)^(1/12)-1,$E$136/12)*SUM(AJ133:AJ135)*AJ$10*(1-Inputs!$E$66)</f>
        <v>0</v>
      </c>
      <c r="AK136" s="158" t="n">
        <f aca="false">IF(Inputs!$E$69=1,(1+$E$136)^(1/12)-1,$E$136/12)*SUM(AK133:AK135)*AK$10*(1-Inputs!$E$66)</f>
        <v>0</v>
      </c>
      <c r="AL136" s="158" t="n">
        <f aca="false">IF(Inputs!$E$69=1,(1+$E$136)^(1/12)-1,$E$136/12)*SUM(AL133:AL135)*AL$10*(1-Inputs!$E$66)</f>
        <v>0</v>
      </c>
      <c r="AM136" s="158" t="n">
        <f aca="false">IF(Inputs!$E$69=1,(1+$E$136)^(1/12)-1,$E$136/12)*SUM(AM133:AM135)*AM$10*(1-Inputs!$E$66)</f>
        <v>0</v>
      </c>
      <c r="AN136" s="158" t="n">
        <f aca="false">IF(Inputs!$E$69=1,(1+$E$136)^(1/12)-1,$E$136/12)*SUM(AN133:AN135)*AN$10*(1-Inputs!$E$66)</f>
        <v>0</v>
      </c>
      <c r="AO136" s="158" t="n">
        <f aca="false">IF(Inputs!$E$69=1,(1+$E$136)^(1/12)-1,$E$136/12)*SUM(AO133:AO135)*AO$10*(1-Inputs!$E$66)</f>
        <v>0</v>
      </c>
      <c r="AP136" s="158" t="n">
        <f aca="false">IF(Inputs!$E$69=1,(1+$E$136)^(1/12)-1,$E$136/12)*SUM(AP133:AP135)*AP$10*(1-Inputs!$E$66)</f>
        <v>0</v>
      </c>
      <c r="AQ136" s="158" t="n">
        <f aca="false">IF(Inputs!$E$69=1,(1+$E$136)^(1/12)-1,$E$136/12)*SUM(AQ133:AQ135)*AQ$10*(1-Inputs!$E$66)</f>
        <v>0</v>
      </c>
      <c r="AR136" s="158" t="n">
        <f aca="false">IF(Inputs!$E$69=1,(1+$E$136)^(1/12)-1,$E$136/12)*SUM(AR133:AR135)*AR$10*(1-Inputs!$E$66)</f>
        <v>0</v>
      </c>
      <c r="AS136" s="158" t="n">
        <f aca="false">IF(Inputs!$E$69=1,(1+$E$136)^(1/12)-1,$E$136/12)*SUM(AS133:AS135)*AS$10*(1-Inputs!$E$66)</f>
        <v>0</v>
      </c>
      <c r="AT136" s="158" t="n">
        <f aca="false">IF(Inputs!$E$69=1,(1+$E$136)^(1/12)-1,$E$136/12)*SUM(AT133:AT135)*AT$10*(1-Inputs!$E$66)</f>
        <v>0</v>
      </c>
      <c r="AU136" s="158" t="n">
        <f aca="false">IF(Inputs!$E$69=1,(1+$E$136)^(1/12)-1,$E$136/12)*SUM(AU133:AU135)*AU$10*(1-Inputs!$E$66)</f>
        <v>0</v>
      </c>
      <c r="AV136" s="158" t="n">
        <f aca="false">IF(Inputs!$E$69=1,(1+$E$136)^(1/12)-1,$E$136/12)*SUM(AV133:AV135)*AV$10*(1-Inputs!$E$66)</f>
        <v>0</v>
      </c>
      <c r="AW136" s="158" t="n">
        <f aca="false">IF(Inputs!$E$69=1,(1+$E$136)^(1/12)-1,$E$136/12)*SUM(AW133:AW135)*AW$10*(1-Inputs!$E$66)</f>
        <v>0</v>
      </c>
      <c r="AX136" s="158" t="n">
        <f aca="false">IF(Inputs!$E$69=1,(1+$E$136)^(1/12)-1,$E$136/12)*SUM(AX133:AX135)*AX$10*(1-Inputs!$E$66)</f>
        <v>0</v>
      </c>
      <c r="AY136" s="158" t="n">
        <f aca="false">IF(Inputs!$E$69=1,(1+$E$136)^(1/12)-1,$E$136/12)*SUM(AY133:AY135)*AY$10*(1-Inputs!$E$66)</f>
        <v>0</v>
      </c>
      <c r="AZ136" s="158" t="n">
        <f aca="false">IF(Inputs!$E$69=1,(1+$E$136)^(1/12)-1,$E$136/12)*SUM(AZ133:AZ135)*AZ$10*(1-Inputs!$E$66)</f>
        <v>0</v>
      </c>
      <c r="BA136" s="158" t="n">
        <f aca="false">IF(Inputs!$E$69=1,(1+$E$136)^(1/12)-1,$E$136/12)*SUM(BA133:BA135)*BA$10*(1-Inputs!$E$66)</f>
        <v>0</v>
      </c>
      <c r="BB136" s="158" t="n">
        <f aca="false">IF(Inputs!$E$69=1,(1+$E$136)^(1/12)-1,$E$136/12)*SUM(BB133:BB135)*BB$10*(1-Inputs!$E$66)</f>
        <v>0</v>
      </c>
      <c r="BC136" s="158" t="n">
        <f aca="false">IF(Inputs!$E$69=1,(1+$E$136)^(1/12)-1,$E$136/12)*SUM(BC133:BC135)*BC$10*(1-Inputs!$E$66)</f>
        <v>0</v>
      </c>
      <c r="BD136" s="158" t="n">
        <f aca="false">IF(Inputs!$E$69=1,(1+$E$136)^(1/12)-1,$E$136/12)*SUM(BD133:BD135)*BD$10*(1-Inputs!$E$66)</f>
        <v>0</v>
      </c>
      <c r="BE136" s="158" t="n">
        <f aca="false">IF(Inputs!$E$69=1,(1+$E$136)^(1/12)-1,$E$136/12)*SUM(BE133:BE135)*BE$10*(1-Inputs!$E$66)</f>
        <v>0</v>
      </c>
      <c r="BF136" s="158" t="n">
        <f aca="false">IF(Inputs!$E$69=1,(1+$E$136)^(1/12)-1,$E$136/12)*SUM(BF133:BF135)*BF$10*(1-Inputs!$E$66)</f>
        <v>0</v>
      </c>
      <c r="BG136" s="158" t="n">
        <f aca="false">IF(Inputs!$E$69=1,(1+$E$136)^(1/12)-1,$E$136/12)*SUM(BG133:BG135)*BG$10*(1-Inputs!$E$66)</f>
        <v>0</v>
      </c>
      <c r="BH136" s="158" t="n">
        <f aca="false">IF(Inputs!$E$69=1,(1+$E$136)^(1/12)-1,$E$136/12)*SUM(BH133:BH135)*BH$10*(1-Inputs!$E$66)</f>
        <v>0</v>
      </c>
      <c r="BI136" s="158" t="n">
        <f aca="false">IF(Inputs!$E$69=1,(1+$E$136)^(1/12)-1,$E$136/12)*SUM(BI133:BI135)*BI$10*(1-Inputs!$E$66)</f>
        <v>0</v>
      </c>
      <c r="BJ136" s="158" t="n">
        <f aca="false">IF(Inputs!$E$69=1,(1+$E$136)^(1/12)-1,$E$136/12)*SUM(BJ133:BJ135)*BJ$10*(1-Inputs!$E$66)</f>
        <v>0</v>
      </c>
      <c r="BK136" s="158" t="n">
        <f aca="false">IF(Inputs!$E$69=1,(1+$E$136)^(1/12)-1,$E$136/12)*SUM(BK133:BK135)*BK$10*(1-Inputs!$E$66)</f>
        <v>0</v>
      </c>
      <c r="BL136" s="158" t="n">
        <f aca="false">IF(Inputs!$E$69=1,(1+$E$136)^(1/12)-1,$E$136/12)*SUM(BL133:BL135)*BL$10*(1-Inputs!$E$66)</f>
        <v>0</v>
      </c>
      <c r="BM136" s="158" t="n">
        <f aca="false">IF(Inputs!$E$69=1,(1+$E$136)^(1/12)-1,$E$136/12)*SUM(BM133:BM135)*BM$10*(1-Inputs!$E$66)</f>
        <v>0</v>
      </c>
      <c r="BN136" s="158" t="n">
        <f aca="false">IF(Inputs!$E$69=1,(1+$E$136)^(1/12)-1,$E$136/12)*SUM(BN133:BN135)*BN$10*(1-Inputs!$E$66)</f>
        <v>0</v>
      </c>
      <c r="BO136" s="158" t="n">
        <f aca="false">IF(Inputs!$E$69=1,(1+$E$136)^(1/12)-1,$E$136/12)*SUM(BO133:BO135)*BO$10*(1-Inputs!$E$66)</f>
        <v>0</v>
      </c>
      <c r="BP136" s="158" t="n">
        <f aca="false">IF(Inputs!$E$69=1,(1+$E$136)^(1/12)-1,$E$136/12)*SUM(BP133:BP135)*BP$10*(1-Inputs!$E$66)</f>
        <v>0</v>
      </c>
    </row>
    <row r="137" customFormat="false" ht="15" hidden="false" customHeight="false" outlineLevel="0" collapsed="false">
      <c r="C137" s="0" t="s">
        <v>1082</v>
      </c>
      <c r="D137" s="0" t="s">
        <v>125</v>
      </c>
      <c r="E137" s="158"/>
      <c r="F137" s="158"/>
      <c r="G137" s="158" t="n">
        <f aca="false">SUM(H137:BP137)</f>
        <v>0</v>
      </c>
      <c r="H137" s="158" t="n">
        <f aca="false">-H$7*SUM(H133:H136)</f>
        <v>-0</v>
      </c>
      <c r="I137" s="158" t="n">
        <f aca="false">-I$7*SUM(I133:I136)</f>
        <v>-0</v>
      </c>
      <c r="J137" s="158" t="n">
        <f aca="false">-J$7*SUM(J133:J136)</f>
        <v>-0</v>
      </c>
      <c r="K137" s="158" t="n">
        <f aca="false">-K$7*SUM(K133:K136)</f>
        <v>-0</v>
      </c>
      <c r="L137" s="158" t="n">
        <f aca="false">-L$7*SUM(L133:L136)</f>
        <v>-0</v>
      </c>
      <c r="M137" s="158" t="n">
        <f aca="false">-M$7*SUM(M133:M136)</f>
        <v>-0</v>
      </c>
      <c r="N137" s="158" t="n">
        <f aca="false">-N$7*SUM(N133:N136)</f>
        <v>-0</v>
      </c>
      <c r="O137" s="158" t="n">
        <f aca="false">-O$7*SUM(O133:O136)</f>
        <v>-0</v>
      </c>
      <c r="P137" s="158" t="n">
        <f aca="false">-P$7*SUM(P133:P136)</f>
        <v>-0</v>
      </c>
      <c r="Q137" s="158" t="n">
        <f aca="false">-Q$7*SUM(Q133:Q136)</f>
        <v>-0</v>
      </c>
      <c r="R137" s="158" t="n">
        <f aca="false">-R$7*SUM(R133:R136)</f>
        <v>-0</v>
      </c>
      <c r="S137" s="158" t="n">
        <f aca="false">-S$7*SUM(S133:S136)</f>
        <v>-0</v>
      </c>
      <c r="T137" s="158" t="n">
        <f aca="false">-T$7*SUM(T133:T136)</f>
        <v>-0</v>
      </c>
      <c r="U137" s="158" t="n">
        <f aca="false">-U$7*SUM(U133:U136)</f>
        <v>-0</v>
      </c>
      <c r="V137" s="158" t="n">
        <f aca="false">-V$7*SUM(V133:V136)</f>
        <v>-0</v>
      </c>
      <c r="W137" s="158" t="n">
        <f aca="false">-W$7*SUM(W133:W136)</f>
        <v>-0</v>
      </c>
      <c r="X137" s="158" t="n">
        <f aca="false">-X$7*SUM(X133:X136)</f>
        <v>-0</v>
      </c>
      <c r="Y137" s="158" t="n">
        <f aca="false">-Y$7*SUM(Y133:Y136)</f>
        <v>-0</v>
      </c>
      <c r="Z137" s="158" t="n">
        <f aca="false">-Z$7*SUM(Z133:Z136)</f>
        <v>-0</v>
      </c>
      <c r="AA137" s="158" t="n">
        <f aca="false">-AA$7*SUM(AA133:AA136)</f>
        <v>-0</v>
      </c>
      <c r="AB137" s="158" t="n">
        <f aca="false">-AB$7*SUM(AB133:AB136)</f>
        <v>-0</v>
      </c>
      <c r="AC137" s="158" t="n">
        <f aca="false">-AC$7*SUM(AC133:AC136)</f>
        <v>-0</v>
      </c>
      <c r="AD137" s="158" t="n">
        <f aca="false">-AD$7*SUM(AD133:AD136)</f>
        <v>-0</v>
      </c>
      <c r="AE137" s="158" t="n">
        <f aca="false">-AE$7*SUM(AE133:AE136)</f>
        <v>-0</v>
      </c>
      <c r="AF137" s="158" t="n">
        <f aca="false">-AF$7*SUM(AF133:AF136)</f>
        <v>-0</v>
      </c>
      <c r="AG137" s="158" t="n">
        <f aca="false">-AG$7*SUM(AG133:AG136)</f>
        <v>-0</v>
      </c>
      <c r="AH137" s="158" t="n">
        <f aca="false">-AH$7*SUM(AH133:AH136)</f>
        <v>-0</v>
      </c>
      <c r="AI137" s="158" t="n">
        <f aca="false">-AI$7*SUM(AI133:AI136)</f>
        <v>-0</v>
      </c>
      <c r="AJ137" s="158" t="n">
        <f aca="false">-AJ$7*SUM(AJ133:AJ136)</f>
        <v>-0</v>
      </c>
      <c r="AK137" s="158" t="n">
        <f aca="false">-AK$7*SUM(AK133:AK136)</f>
        <v>-0</v>
      </c>
      <c r="AL137" s="158" t="n">
        <f aca="false">-AL$7*SUM(AL133:AL136)</f>
        <v>-0</v>
      </c>
      <c r="AM137" s="158" t="n">
        <f aca="false">-AM$7*SUM(AM133:AM136)</f>
        <v>-0</v>
      </c>
      <c r="AN137" s="158" t="n">
        <f aca="false">-AN$7*SUM(AN133:AN136)</f>
        <v>-0</v>
      </c>
      <c r="AO137" s="158" t="n">
        <f aca="false">-AO$7*SUM(AO133:AO136)</f>
        <v>-0</v>
      </c>
      <c r="AP137" s="158" t="n">
        <f aca="false">-AP$7*SUM(AP133:AP136)</f>
        <v>-0</v>
      </c>
      <c r="AQ137" s="158" t="n">
        <f aca="false">-AQ$7*SUM(AQ133:AQ136)</f>
        <v>-0</v>
      </c>
      <c r="AR137" s="158" t="n">
        <f aca="false">-AR$7*SUM(AR133:AR136)</f>
        <v>-0</v>
      </c>
      <c r="AS137" s="158" t="n">
        <f aca="false">-AS$7*SUM(AS133:AS136)</f>
        <v>-0</v>
      </c>
      <c r="AT137" s="158" t="n">
        <f aca="false">-AT$7*SUM(AT133:AT136)</f>
        <v>-0</v>
      </c>
      <c r="AU137" s="158" t="n">
        <f aca="false">-AU$7*SUM(AU133:AU136)</f>
        <v>-0</v>
      </c>
      <c r="AV137" s="158" t="n">
        <f aca="false">-AV$7*SUM(AV133:AV136)</f>
        <v>-0</v>
      </c>
      <c r="AW137" s="158" t="n">
        <f aca="false">-AW$7*SUM(AW133:AW136)</f>
        <v>-0</v>
      </c>
      <c r="AX137" s="158" t="n">
        <f aca="false">-AX$7*SUM(AX133:AX136)</f>
        <v>-0</v>
      </c>
      <c r="AY137" s="158" t="n">
        <f aca="false">-AY$7*SUM(AY133:AY136)</f>
        <v>-0</v>
      </c>
      <c r="AZ137" s="158" t="n">
        <f aca="false">-AZ$7*SUM(AZ133:AZ136)</f>
        <v>-0</v>
      </c>
      <c r="BA137" s="158" t="n">
        <f aca="false">-BA$7*SUM(BA133:BA136)</f>
        <v>-0</v>
      </c>
      <c r="BB137" s="158" t="n">
        <f aca="false">-BB$7*SUM(BB133:BB136)</f>
        <v>-0</v>
      </c>
      <c r="BC137" s="158" t="n">
        <f aca="false">-BC$7*SUM(BC133:BC136)</f>
        <v>-0</v>
      </c>
      <c r="BD137" s="158" t="n">
        <f aca="false">-BD$7*SUM(BD133:BD136)</f>
        <v>-0</v>
      </c>
      <c r="BE137" s="158" t="n">
        <f aca="false">-BE$7*SUM(BE133:BE136)</f>
        <v>-0</v>
      </c>
      <c r="BF137" s="158" t="n">
        <f aca="false">-BF$7*SUM(BF133:BF136)</f>
        <v>-0</v>
      </c>
      <c r="BG137" s="158" t="n">
        <f aca="false">-BG$7*SUM(BG133:BG136)</f>
        <v>-0</v>
      </c>
      <c r="BH137" s="158" t="n">
        <f aca="false">-BH$7*SUM(BH133:BH136)</f>
        <v>-0</v>
      </c>
      <c r="BI137" s="158" t="n">
        <f aca="false">-BI$7*SUM(BI133:BI136)</f>
        <v>-0</v>
      </c>
      <c r="BJ137" s="158" t="n">
        <f aca="false">-BJ$7*SUM(BJ133:BJ136)</f>
        <v>-0</v>
      </c>
      <c r="BK137" s="158" t="n">
        <f aca="false">-BK$7*SUM(BK133:BK136)</f>
        <v>-0</v>
      </c>
      <c r="BL137" s="158" t="n">
        <f aca="false">-BL$7*SUM(BL133:BL136)</f>
        <v>-0</v>
      </c>
      <c r="BM137" s="158" t="n">
        <f aca="false">-BM$7*SUM(BM133:BM136)</f>
        <v>-0</v>
      </c>
      <c r="BN137" s="158" t="n">
        <f aca="false">-BN$7*SUM(BN133:BN136)</f>
        <v>-0</v>
      </c>
      <c r="BO137" s="158" t="n">
        <f aca="false">-BO$7*SUM(BO133:BO136)</f>
        <v>-0</v>
      </c>
      <c r="BP137" s="158" t="n">
        <f aca="false">-BP$7*SUM(BP133:BP136)</f>
        <v>-0</v>
      </c>
    </row>
    <row r="138" customFormat="false" ht="15" hidden="false" customHeight="false" outlineLevel="0" collapsed="false">
      <c r="C138" s="0" t="s">
        <v>1050</v>
      </c>
      <c r="D138" s="0" t="s">
        <v>125</v>
      </c>
      <c r="E138" s="158"/>
      <c r="F138" s="158"/>
      <c r="G138" s="158"/>
      <c r="H138" s="158" t="n">
        <f aca="false">SUM(H133:H137)</f>
        <v>0</v>
      </c>
      <c r="I138" s="158" t="n">
        <f aca="false">SUM(I133:I137)</f>
        <v>0</v>
      </c>
      <c r="J138" s="158" t="n">
        <f aca="false">SUM(J133:J137)</f>
        <v>0</v>
      </c>
      <c r="K138" s="158" t="n">
        <f aca="false">SUM(K133:K137)</f>
        <v>0</v>
      </c>
      <c r="L138" s="158" t="n">
        <f aca="false">SUM(L133:L137)</f>
        <v>0</v>
      </c>
      <c r="M138" s="158" t="n">
        <f aca="false">SUM(M133:M137)</f>
        <v>0</v>
      </c>
      <c r="N138" s="158" t="n">
        <f aca="false">SUM(N133:N137)</f>
        <v>0</v>
      </c>
      <c r="O138" s="158" t="n">
        <f aca="false">SUM(O133:O137)</f>
        <v>0</v>
      </c>
      <c r="P138" s="158" t="n">
        <f aca="false">SUM(P133:P137)</f>
        <v>0</v>
      </c>
      <c r="Q138" s="158" t="n">
        <f aca="false">SUM(Q133:Q137)</f>
        <v>0</v>
      </c>
      <c r="R138" s="158" t="n">
        <f aca="false">SUM(R133:R137)</f>
        <v>0</v>
      </c>
      <c r="S138" s="158" t="n">
        <f aca="false">SUM(S133:S137)</f>
        <v>0</v>
      </c>
      <c r="T138" s="158" t="n">
        <f aca="false">SUM(T133:T137)</f>
        <v>0</v>
      </c>
      <c r="U138" s="158" t="n">
        <f aca="false">SUM(U133:U137)</f>
        <v>0</v>
      </c>
      <c r="V138" s="158" t="n">
        <f aca="false">SUM(V133:V137)</f>
        <v>0</v>
      </c>
      <c r="W138" s="158" t="n">
        <f aca="false">SUM(W133:W137)</f>
        <v>0</v>
      </c>
      <c r="X138" s="158" t="n">
        <f aca="false">SUM(X133:X137)</f>
        <v>0</v>
      </c>
      <c r="Y138" s="158" t="n">
        <f aca="false">SUM(Y133:Y137)</f>
        <v>0</v>
      </c>
      <c r="Z138" s="158" t="n">
        <f aca="false">SUM(Z133:Z137)</f>
        <v>0</v>
      </c>
      <c r="AA138" s="158" t="n">
        <f aca="false">SUM(AA133:AA137)</f>
        <v>0</v>
      </c>
      <c r="AB138" s="158" t="n">
        <f aca="false">SUM(AB133:AB137)</f>
        <v>0</v>
      </c>
      <c r="AC138" s="158" t="n">
        <f aca="false">SUM(AC133:AC137)</f>
        <v>0</v>
      </c>
      <c r="AD138" s="158" t="n">
        <f aca="false">SUM(AD133:AD137)</f>
        <v>0</v>
      </c>
      <c r="AE138" s="158" t="n">
        <f aca="false">SUM(AE133:AE137)</f>
        <v>0</v>
      </c>
      <c r="AF138" s="158" t="n">
        <f aca="false">SUM(AF133:AF137)</f>
        <v>0</v>
      </c>
      <c r="AG138" s="158" t="n">
        <f aca="false">SUM(AG133:AG137)</f>
        <v>0</v>
      </c>
      <c r="AH138" s="158" t="n">
        <f aca="false">SUM(AH133:AH137)</f>
        <v>0</v>
      </c>
      <c r="AI138" s="158" t="n">
        <f aca="false">SUM(AI133:AI137)</f>
        <v>0</v>
      </c>
      <c r="AJ138" s="158" t="n">
        <f aca="false">SUM(AJ133:AJ137)</f>
        <v>0</v>
      </c>
      <c r="AK138" s="158" t="n">
        <f aca="false">SUM(AK133:AK137)</f>
        <v>0</v>
      </c>
      <c r="AL138" s="158" t="n">
        <f aca="false">SUM(AL133:AL137)</f>
        <v>0</v>
      </c>
      <c r="AM138" s="158" t="n">
        <f aca="false">SUM(AM133:AM137)</f>
        <v>0</v>
      </c>
      <c r="AN138" s="158" t="n">
        <f aca="false">SUM(AN133:AN137)</f>
        <v>0</v>
      </c>
      <c r="AO138" s="158" t="n">
        <f aca="false">SUM(AO133:AO137)</f>
        <v>0</v>
      </c>
      <c r="AP138" s="158" t="n">
        <f aca="false">SUM(AP133:AP137)</f>
        <v>0</v>
      </c>
      <c r="AQ138" s="158" t="n">
        <f aca="false">SUM(AQ133:AQ137)</f>
        <v>0</v>
      </c>
      <c r="AR138" s="158" t="n">
        <f aca="false">SUM(AR133:AR137)</f>
        <v>0</v>
      </c>
      <c r="AS138" s="158" t="n">
        <f aca="false">SUM(AS133:AS137)</f>
        <v>0</v>
      </c>
      <c r="AT138" s="158" t="n">
        <f aca="false">SUM(AT133:AT137)</f>
        <v>0</v>
      </c>
      <c r="AU138" s="158" t="n">
        <f aca="false">SUM(AU133:AU137)</f>
        <v>0</v>
      </c>
      <c r="AV138" s="158" t="n">
        <f aca="false">SUM(AV133:AV137)</f>
        <v>0</v>
      </c>
      <c r="AW138" s="158" t="n">
        <f aca="false">SUM(AW133:AW137)</f>
        <v>0</v>
      </c>
      <c r="AX138" s="158" t="n">
        <f aca="false">SUM(AX133:AX137)</f>
        <v>0</v>
      </c>
      <c r="AY138" s="158" t="n">
        <f aca="false">SUM(AY133:AY137)</f>
        <v>0</v>
      </c>
      <c r="AZ138" s="158" t="n">
        <f aca="false">SUM(AZ133:AZ137)</f>
        <v>0</v>
      </c>
      <c r="BA138" s="158" t="n">
        <f aca="false">SUM(BA133:BA137)</f>
        <v>0</v>
      </c>
      <c r="BB138" s="158" t="n">
        <f aca="false">SUM(BB133:BB137)</f>
        <v>0</v>
      </c>
      <c r="BC138" s="158" t="n">
        <f aca="false">SUM(BC133:BC137)</f>
        <v>0</v>
      </c>
      <c r="BD138" s="158" t="n">
        <f aca="false">SUM(BD133:BD137)</f>
        <v>0</v>
      </c>
      <c r="BE138" s="158" t="n">
        <f aca="false">SUM(BE133:BE137)</f>
        <v>0</v>
      </c>
      <c r="BF138" s="158" t="n">
        <f aca="false">SUM(BF133:BF137)</f>
        <v>0</v>
      </c>
      <c r="BG138" s="158" t="n">
        <f aca="false">SUM(BG133:BG137)</f>
        <v>0</v>
      </c>
      <c r="BH138" s="158" t="n">
        <f aca="false">SUM(BH133:BH137)</f>
        <v>0</v>
      </c>
      <c r="BI138" s="158" t="n">
        <f aca="false">SUM(BI133:BI137)</f>
        <v>0</v>
      </c>
      <c r="BJ138" s="158" t="n">
        <f aca="false">SUM(BJ133:BJ137)</f>
        <v>0</v>
      </c>
      <c r="BK138" s="158" t="n">
        <f aca="false">SUM(BK133:BK137)</f>
        <v>0</v>
      </c>
      <c r="BL138" s="158" t="n">
        <f aca="false">SUM(BL133:BL137)</f>
        <v>0</v>
      </c>
      <c r="BM138" s="158" t="n">
        <f aca="false">SUM(BM133:BM137)</f>
        <v>0</v>
      </c>
      <c r="BN138" s="158" t="n">
        <f aca="false">SUM(BN133:BN137)</f>
        <v>0</v>
      </c>
      <c r="BO138" s="158" t="n">
        <f aca="false">SUM(BO133:BO137)</f>
        <v>0</v>
      </c>
      <c r="BP138" s="158" t="n">
        <f aca="false">SUM(BP133:BP137)</f>
        <v>0</v>
      </c>
    </row>
    <row r="139" customFormat="false" ht="15" hidden="false" customHeight="false" outlineLevel="0" collapsed="false">
      <c r="C139" s="0" t="s">
        <v>1087</v>
      </c>
      <c r="D139" s="0" t="s">
        <v>125</v>
      </c>
      <c r="E139" s="158"/>
      <c r="F139" s="158"/>
      <c r="G139" s="158"/>
      <c r="H139" s="158" t="n">
        <f aca="false">H134+H135</f>
        <v>0</v>
      </c>
      <c r="I139" s="158" t="n">
        <f aca="false">H139+I134+I135</f>
        <v>0</v>
      </c>
      <c r="J139" s="158" t="n">
        <f aca="false">I139+J134+J135</f>
        <v>0</v>
      </c>
      <c r="K139" s="158" t="n">
        <f aca="false">J139+K134+K135</f>
        <v>0</v>
      </c>
      <c r="L139" s="158" t="n">
        <f aca="false">K139+L134+L135</f>
        <v>0</v>
      </c>
      <c r="M139" s="158" t="n">
        <f aca="false">L139+M134+M135</f>
        <v>0</v>
      </c>
      <c r="N139" s="158" t="n">
        <f aca="false">M139+N134+N135</f>
        <v>0</v>
      </c>
      <c r="O139" s="158" t="n">
        <f aca="false">N139+O134+O135</f>
        <v>0</v>
      </c>
      <c r="P139" s="158" t="n">
        <f aca="false">O139+P134+P135</f>
        <v>0</v>
      </c>
      <c r="Q139" s="158" t="n">
        <f aca="false">P139+Q134+Q135</f>
        <v>0</v>
      </c>
      <c r="R139" s="158" t="n">
        <f aca="false">Q139+R134+R135</f>
        <v>0</v>
      </c>
      <c r="S139" s="158" t="n">
        <f aca="false">R139+S134+S135</f>
        <v>0</v>
      </c>
      <c r="T139" s="158" t="n">
        <f aca="false">S139+T134+T135</f>
        <v>0</v>
      </c>
      <c r="U139" s="158" t="n">
        <f aca="false">T139+U134+U135</f>
        <v>0</v>
      </c>
      <c r="V139" s="158" t="n">
        <f aca="false">U139+V134+V135</f>
        <v>0</v>
      </c>
      <c r="W139" s="158" t="n">
        <f aca="false">V139+W134+W135</f>
        <v>0</v>
      </c>
      <c r="X139" s="158" t="n">
        <f aca="false">W139+X134+X135</f>
        <v>0</v>
      </c>
      <c r="Y139" s="158" t="n">
        <f aca="false">X139+Y134+Y135</f>
        <v>0</v>
      </c>
      <c r="Z139" s="158" t="n">
        <f aca="false">Y139+Z134+Z135</f>
        <v>0</v>
      </c>
      <c r="AA139" s="158" t="n">
        <f aca="false">Z139+AA134+AA135</f>
        <v>0</v>
      </c>
      <c r="AB139" s="158" t="n">
        <f aca="false">AA139+AB134+AB135</f>
        <v>0</v>
      </c>
      <c r="AC139" s="158" t="n">
        <f aca="false">AB139+AC134+AC135</f>
        <v>0</v>
      </c>
      <c r="AD139" s="158" t="n">
        <f aca="false">AC139+AD134+AD135</f>
        <v>0</v>
      </c>
      <c r="AE139" s="158" t="n">
        <f aca="false">AD139+AE134+AE135</f>
        <v>0</v>
      </c>
      <c r="AF139" s="158" t="n">
        <f aca="false">AE139+AF134+AF135</f>
        <v>0</v>
      </c>
      <c r="AG139" s="158" t="n">
        <f aca="false">AF139+AG134+AG135</f>
        <v>0</v>
      </c>
      <c r="AH139" s="158" t="n">
        <f aca="false">AG139+AH134+AH135</f>
        <v>0</v>
      </c>
      <c r="AI139" s="158" t="n">
        <f aca="false">AH139+AI134+AI135</f>
        <v>0</v>
      </c>
      <c r="AJ139" s="158" t="n">
        <f aca="false">AI139+AJ134+AJ135</f>
        <v>0</v>
      </c>
      <c r="AK139" s="158" t="n">
        <f aca="false">AJ139+AK134+AK135</f>
        <v>0</v>
      </c>
      <c r="AL139" s="158" t="n">
        <f aca="false">AK139+AL134+AL135</f>
        <v>0</v>
      </c>
      <c r="AM139" s="158" t="n">
        <f aca="false">AL139+AM134+AM135</f>
        <v>0</v>
      </c>
      <c r="AN139" s="158" t="n">
        <f aca="false">AM139+AN134+AN135</f>
        <v>0</v>
      </c>
      <c r="AO139" s="158" t="n">
        <f aca="false">AN139+AO134+AO135</f>
        <v>0</v>
      </c>
      <c r="AP139" s="158" t="n">
        <f aca="false">AO139+AP134+AP135</f>
        <v>0</v>
      </c>
      <c r="AQ139" s="158" t="n">
        <f aca="false">AP139+AQ134+AQ135</f>
        <v>0</v>
      </c>
      <c r="AR139" s="158" t="n">
        <f aca="false">AQ139+AR134+AR135</f>
        <v>0</v>
      </c>
      <c r="AS139" s="158" t="n">
        <f aca="false">AR139+AS134+AS135</f>
        <v>0</v>
      </c>
      <c r="AT139" s="158" t="n">
        <f aca="false">AS139+AT134+AT135</f>
        <v>0</v>
      </c>
      <c r="AU139" s="158" t="n">
        <f aca="false">AT139+AU134+AU135</f>
        <v>0</v>
      </c>
      <c r="AV139" s="158" t="n">
        <f aca="false">AU139+AV134+AV135</f>
        <v>0</v>
      </c>
      <c r="AW139" s="158" t="n">
        <f aca="false">AV139+AW134+AW135</f>
        <v>0</v>
      </c>
      <c r="AX139" s="158" t="n">
        <f aca="false">AW139+AX134+AX135</f>
        <v>0</v>
      </c>
      <c r="AY139" s="158" t="n">
        <f aca="false">AX139+AY134+AY135</f>
        <v>0</v>
      </c>
      <c r="AZ139" s="158" t="n">
        <f aca="false">AY139+AZ134+AZ135</f>
        <v>0</v>
      </c>
      <c r="BA139" s="158" t="n">
        <f aca="false">AZ139+BA134+BA135</f>
        <v>0</v>
      </c>
      <c r="BB139" s="158" t="n">
        <f aca="false">BA139+BB134+BB135</f>
        <v>0</v>
      </c>
      <c r="BC139" s="158" t="n">
        <f aca="false">BB139+BC134+BC135</f>
        <v>0</v>
      </c>
      <c r="BD139" s="158" t="n">
        <f aca="false">BC139+BD134+BD135</f>
        <v>0</v>
      </c>
      <c r="BE139" s="158" t="n">
        <f aca="false">BD139+BE134+BE135</f>
        <v>0</v>
      </c>
      <c r="BF139" s="158" t="n">
        <f aca="false">BE139+BF134+BF135</f>
        <v>0</v>
      </c>
      <c r="BG139" s="158" t="n">
        <f aca="false">BF139+BG134+BG135</f>
        <v>0</v>
      </c>
      <c r="BH139" s="158" t="n">
        <f aca="false">BG139+BH134+BH135</f>
        <v>0</v>
      </c>
      <c r="BI139" s="158" t="n">
        <f aca="false">BH139+BI134+BI135</f>
        <v>0</v>
      </c>
      <c r="BJ139" s="158" t="n">
        <f aca="false">BI139+BJ134+BJ135</f>
        <v>0</v>
      </c>
      <c r="BK139" s="158" t="n">
        <f aca="false">BJ139+BK134+BK135</f>
        <v>0</v>
      </c>
      <c r="BL139" s="158" t="n">
        <f aca="false">BK139+BL134+BL135</f>
        <v>0</v>
      </c>
      <c r="BM139" s="158" t="n">
        <f aca="false">BL139+BM134+BM135</f>
        <v>0</v>
      </c>
      <c r="BN139" s="158" t="n">
        <f aca="false">BM139+BN134+BN135</f>
        <v>0</v>
      </c>
      <c r="BO139" s="158" t="n">
        <f aca="false">BN139+BO134+BO135</f>
        <v>0</v>
      </c>
      <c r="BP139" s="158" t="n">
        <f aca="false">BO139+BP134+BP135</f>
        <v>0</v>
      </c>
    </row>
    <row r="140" customFormat="false" ht="15" hidden="false" customHeight="false" outlineLevel="0" collapsed="false">
      <c r="C140" s="0" t="s">
        <v>1091</v>
      </c>
      <c r="D140" s="0" t="s">
        <v>125</v>
      </c>
      <c r="E140" s="162" t="n">
        <f aca="false">Inputs!$E$63</f>
        <v>2</v>
      </c>
      <c r="F140" s="158"/>
      <c r="G140" s="158" t="n">
        <f aca="false">SUM(H140:BP140)</f>
        <v>0</v>
      </c>
      <c r="H140" s="158" t="n">
        <f aca="false">H$7*MAX($E$140*H139-SUM(H133:H136),0)</f>
        <v>0</v>
      </c>
      <c r="I140" s="158" t="n">
        <f aca="false">I$7*MAX($E$140*I139-SUM(I133:I136),0)</f>
        <v>0</v>
      </c>
      <c r="J140" s="158" t="n">
        <f aca="false">J$7*MAX($E$140*J139-SUM(J133:J136),0)</f>
        <v>0</v>
      </c>
      <c r="K140" s="158" t="n">
        <f aca="false">K$7*MAX($E$140*K139-SUM(K133:K136),0)</f>
        <v>0</v>
      </c>
      <c r="L140" s="158" t="n">
        <f aca="false">L$7*MAX($E$140*L139-SUM(L133:L136),0)</f>
        <v>0</v>
      </c>
      <c r="M140" s="158" t="n">
        <f aca="false">M$7*MAX($E$140*M139-SUM(M133:M136),0)</f>
        <v>0</v>
      </c>
      <c r="N140" s="158" t="n">
        <f aca="false">N$7*MAX($E$140*N139-SUM(N133:N136),0)</f>
        <v>0</v>
      </c>
      <c r="O140" s="158" t="n">
        <f aca="false">O$7*MAX($E$140*O139-SUM(O133:O136),0)</f>
        <v>0</v>
      </c>
      <c r="P140" s="158" t="n">
        <f aca="false">P$7*MAX($E$140*P139-SUM(P133:P136),0)</f>
        <v>0</v>
      </c>
      <c r="Q140" s="158" t="n">
        <f aca="false">Q$7*MAX($E$140*Q139-SUM(Q133:Q136),0)</f>
        <v>0</v>
      </c>
      <c r="R140" s="158" t="n">
        <f aca="false">R$7*MAX($E$140*R139-SUM(R133:R136),0)</f>
        <v>0</v>
      </c>
      <c r="S140" s="158" t="n">
        <f aca="false">S$7*MAX($E$140*S139-SUM(S133:S136),0)</f>
        <v>0</v>
      </c>
      <c r="T140" s="158" t="n">
        <f aca="false">T$7*MAX($E$140*T139-SUM(T133:T136),0)</f>
        <v>0</v>
      </c>
      <c r="U140" s="158" t="n">
        <f aca="false">U$7*MAX($E$140*U139-SUM(U133:U136),0)</f>
        <v>0</v>
      </c>
      <c r="V140" s="158" t="n">
        <f aca="false">V$7*MAX($E$140*V139-SUM(V133:V136),0)</f>
        <v>0</v>
      </c>
      <c r="W140" s="158" t="n">
        <f aca="false">W$7*MAX($E$140*W139-SUM(W133:W136),0)</f>
        <v>0</v>
      </c>
      <c r="X140" s="158" t="n">
        <f aca="false">X$7*MAX($E$140*X139-SUM(X133:X136),0)</f>
        <v>0</v>
      </c>
      <c r="Y140" s="158" t="n">
        <f aca="false">Y$7*MAX($E$140*Y139-SUM(Y133:Y136),0)</f>
        <v>0</v>
      </c>
      <c r="Z140" s="158" t="n">
        <f aca="false">Z$7*MAX($E$140*Z139-SUM(Z133:Z136),0)</f>
        <v>0</v>
      </c>
      <c r="AA140" s="158" t="n">
        <f aca="false">AA$7*MAX($E$140*AA139-SUM(AA133:AA136),0)</f>
        <v>0</v>
      </c>
      <c r="AB140" s="158" t="n">
        <f aca="false">AB$7*MAX($E$140*AB139-SUM(AB133:AB136),0)</f>
        <v>0</v>
      </c>
      <c r="AC140" s="158" t="n">
        <f aca="false">AC$7*MAX($E$140*AC139-SUM(AC133:AC136),0)</f>
        <v>0</v>
      </c>
      <c r="AD140" s="158" t="n">
        <f aca="false">AD$7*MAX($E$140*AD139-SUM(AD133:AD136),0)</f>
        <v>0</v>
      </c>
      <c r="AE140" s="158" t="n">
        <f aca="false">AE$7*MAX($E$140*AE139-SUM(AE133:AE136),0)</f>
        <v>0</v>
      </c>
      <c r="AF140" s="158" t="n">
        <f aca="false">AF$7*MAX($E$140*AF139-SUM(AF133:AF136),0)</f>
        <v>0</v>
      </c>
      <c r="AG140" s="158" t="n">
        <f aca="false">AG$7*MAX($E$140*AG139-SUM(AG133:AG136),0)</f>
        <v>0</v>
      </c>
      <c r="AH140" s="158" t="n">
        <f aca="false">AH$7*MAX($E$140*AH139-SUM(AH133:AH136),0)</f>
        <v>0</v>
      </c>
      <c r="AI140" s="158" t="n">
        <f aca="false">AI$7*MAX($E$140*AI139-SUM(AI133:AI136),0)</f>
        <v>0</v>
      </c>
      <c r="AJ140" s="158" t="n">
        <f aca="false">AJ$7*MAX($E$140*AJ139-SUM(AJ133:AJ136),0)</f>
        <v>0</v>
      </c>
      <c r="AK140" s="158" t="n">
        <f aca="false">AK$7*MAX($E$140*AK139-SUM(AK133:AK136),0)</f>
        <v>0</v>
      </c>
      <c r="AL140" s="158" t="n">
        <f aca="false">AL$7*MAX($E$140*AL139-SUM(AL133:AL136),0)</f>
        <v>0</v>
      </c>
      <c r="AM140" s="158" t="n">
        <f aca="false">AM$7*MAX($E$140*AM139-SUM(AM133:AM136),0)</f>
        <v>0</v>
      </c>
      <c r="AN140" s="158" t="n">
        <f aca="false">AN$7*MAX($E$140*AN139-SUM(AN133:AN136),0)</f>
        <v>0</v>
      </c>
      <c r="AO140" s="158" t="n">
        <f aca="false">AO$7*MAX($E$140*AO139-SUM(AO133:AO136),0)</f>
        <v>0</v>
      </c>
      <c r="AP140" s="158" t="n">
        <f aca="false">AP$7*MAX($E$140*AP139-SUM(AP133:AP136),0)</f>
        <v>0</v>
      </c>
      <c r="AQ140" s="158" t="n">
        <f aca="false">AQ$7*MAX($E$140*AQ139-SUM(AQ133:AQ136),0)</f>
        <v>0</v>
      </c>
      <c r="AR140" s="158" t="n">
        <f aca="false">AR$7*MAX($E$140*AR139-SUM(AR133:AR136),0)</f>
        <v>0</v>
      </c>
      <c r="AS140" s="158" t="n">
        <f aca="false">AS$7*MAX($E$140*AS139-SUM(AS133:AS136),0)</f>
        <v>0</v>
      </c>
      <c r="AT140" s="158" t="n">
        <f aca="false">AT$7*MAX($E$140*AT139-SUM(AT133:AT136),0)</f>
        <v>0</v>
      </c>
      <c r="AU140" s="158" t="n">
        <f aca="false">AU$7*MAX($E$140*AU139-SUM(AU133:AU136),0)</f>
        <v>0</v>
      </c>
      <c r="AV140" s="158" t="n">
        <f aca="false">AV$7*MAX($E$140*AV139-SUM(AV133:AV136),0)</f>
        <v>0</v>
      </c>
      <c r="AW140" s="158" t="n">
        <f aca="false">AW$7*MAX($E$140*AW139-SUM(AW133:AW136),0)</f>
        <v>0</v>
      </c>
      <c r="AX140" s="158" t="n">
        <f aca="false">AX$7*MAX($E$140*AX139-SUM(AX133:AX136),0)</f>
        <v>0</v>
      </c>
      <c r="AY140" s="158" t="n">
        <f aca="false">AY$7*MAX($E$140*AY139-SUM(AY133:AY136),0)</f>
        <v>0</v>
      </c>
      <c r="AZ140" s="158" t="n">
        <f aca="false">AZ$7*MAX($E$140*AZ139-SUM(AZ133:AZ136),0)</f>
        <v>0</v>
      </c>
      <c r="BA140" s="158" t="n">
        <f aca="false">BA$7*MAX($E$140*BA139-SUM(BA133:BA136),0)</f>
        <v>0</v>
      </c>
      <c r="BB140" s="158" t="n">
        <f aca="false">BB$7*MAX($E$140*BB139-SUM(BB133:BB136),0)</f>
        <v>0</v>
      </c>
      <c r="BC140" s="158" t="n">
        <f aca="false">BC$7*MAX($E$140*BC139-SUM(BC133:BC136),0)</f>
        <v>0</v>
      </c>
      <c r="BD140" s="158" t="n">
        <f aca="false">BD$7*MAX($E$140*BD139-SUM(BD133:BD136),0)</f>
        <v>0</v>
      </c>
      <c r="BE140" s="158" t="n">
        <f aca="false">BE$7*MAX($E$140*BE139-SUM(BE133:BE136),0)</f>
        <v>0</v>
      </c>
      <c r="BF140" s="158" t="n">
        <f aca="false">BF$7*MAX($E$140*BF139-SUM(BF133:BF136),0)</f>
        <v>0</v>
      </c>
      <c r="BG140" s="158" t="n">
        <f aca="false">BG$7*MAX($E$140*BG139-SUM(BG133:BG136),0)</f>
        <v>0</v>
      </c>
      <c r="BH140" s="158" t="n">
        <f aca="false">BH$7*MAX($E$140*BH139-SUM(BH133:BH136),0)</f>
        <v>0</v>
      </c>
      <c r="BI140" s="158" t="n">
        <f aca="false">BI$7*MAX($E$140*BI139-SUM(BI133:BI136),0)</f>
        <v>0</v>
      </c>
      <c r="BJ140" s="158" t="n">
        <f aca="false">BJ$7*MAX($E$140*BJ139-SUM(BJ133:BJ136),0)</f>
        <v>0</v>
      </c>
      <c r="BK140" s="158" t="n">
        <f aca="false">BK$7*MAX($E$140*BK139-SUM(BK133:BK136),0)</f>
        <v>0</v>
      </c>
      <c r="BL140" s="158" t="n">
        <f aca="false">BL$7*MAX($E$140*BL139-SUM(BL133:BL136),0)</f>
        <v>0</v>
      </c>
      <c r="BM140" s="158" t="n">
        <f aca="false">BM$7*MAX($E$140*BM139-SUM(BM133:BM136),0)</f>
        <v>0</v>
      </c>
      <c r="BN140" s="158" t="n">
        <f aca="false">BN$7*MAX($E$140*BN139-SUM(BN133:BN136),0)</f>
        <v>0</v>
      </c>
      <c r="BO140" s="158" t="n">
        <f aca="false">BO$7*MAX($E$140*BO139-SUM(BO133:BO136),0)</f>
        <v>0</v>
      </c>
      <c r="BP140" s="158" t="n">
        <f aca="false">BP$7*MAX($E$140*BP139-SUM(BP133:BP136),0)</f>
        <v>0</v>
      </c>
    </row>
    <row r="141" customFormat="false" ht="15" hidden="false" customHeight="false" outlineLevel="0" collapsed="false">
      <c r="E141" s="158"/>
      <c r="F141" s="158"/>
      <c r="G141" s="158"/>
      <c r="H141" s="158"/>
      <c r="I141" s="158"/>
      <c r="J141" s="158"/>
      <c r="K141" s="158"/>
      <c r="L141" s="158"/>
      <c r="M141" s="158"/>
      <c r="N141" s="158"/>
      <c r="O141" s="158"/>
      <c r="P141" s="158"/>
      <c r="Q141" s="158"/>
      <c r="R141" s="158"/>
      <c r="S141" s="158"/>
      <c r="T141" s="158"/>
      <c r="U141" s="158"/>
      <c r="V141" s="158"/>
      <c r="W141" s="158"/>
      <c r="X141" s="158"/>
      <c r="Y141" s="158"/>
      <c r="Z141" s="158"/>
      <c r="AA141" s="158"/>
      <c r="AB141" s="158"/>
      <c r="AC141" s="158"/>
      <c r="AD141" s="158"/>
      <c r="AE141" s="158"/>
      <c r="AF141" s="158"/>
      <c r="AG141" s="158"/>
      <c r="AH141" s="158"/>
      <c r="AI141" s="158"/>
      <c r="AJ141" s="158"/>
      <c r="AK141" s="158"/>
      <c r="AL141" s="158"/>
      <c r="AM141" s="158"/>
      <c r="AN141" s="158"/>
      <c r="AO141" s="158"/>
      <c r="AP141" s="158"/>
      <c r="AQ141" s="158"/>
      <c r="AR141" s="158"/>
      <c r="AS141" s="158"/>
      <c r="AT141" s="158"/>
      <c r="AU141" s="158"/>
      <c r="AV141" s="158"/>
      <c r="AW141" s="158"/>
      <c r="AX141" s="158"/>
      <c r="AY141" s="158"/>
      <c r="AZ141" s="158"/>
      <c r="BA141" s="158"/>
      <c r="BB141" s="158"/>
      <c r="BC141" s="158"/>
      <c r="BD141" s="158"/>
      <c r="BE141" s="158"/>
      <c r="BF141" s="158"/>
      <c r="BG141" s="158"/>
      <c r="BH141" s="158"/>
      <c r="BI141" s="158"/>
      <c r="BJ141" s="158"/>
      <c r="BK141" s="158"/>
      <c r="BL141" s="158"/>
      <c r="BM141" s="158"/>
      <c r="BN141" s="158"/>
      <c r="BO141" s="158"/>
      <c r="BP141" s="158"/>
    </row>
    <row r="142" customFormat="false" ht="15" hidden="false" customHeight="false" outlineLevel="0" collapsed="false">
      <c r="C142" s="136" t="s">
        <v>1092</v>
      </c>
      <c r="D142" s="136"/>
      <c r="E142" s="259"/>
      <c r="F142" s="259"/>
      <c r="G142" s="259"/>
      <c r="H142" s="259"/>
      <c r="I142" s="259"/>
      <c r="J142" s="259"/>
      <c r="K142" s="259"/>
      <c r="L142" s="259"/>
      <c r="M142" s="259"/>
      <c r="N142" s="259"/>
      <c r="O142" s="259"/>
      <c r="P142" s="259"/>
      <c r="Q142" s="259"/>
      <c r="R142" s="259"/>
      <c r="S142" s="259"/>
      <c r="T142" s="259"/>
      <c r="U142" s="259"/>
      <c r="V142" s="259"/>
      <c r="W142" s="259"/>
      <c r="X142" s="259"/>
      <c r="Y142" s="259"/>
      <c r="Z142" s="259"/>
      <c r="AA142" s="259"/>
      <c r="AB142" s="259"/>
      <c r="AC142" s="259"/>
      <c r="AD142" s="259"/>
      <c r="AE142" s="259"/>
      <c r="AF142" s="259"/>
      <c r="AG142" s="259"/>
      <c r="AH142" s="259"/>
      <c r="AI142" s="259"/>
      <c r="AJ142" s="259"/>
      <c r="AK142" s="259"/>
      <c r="AL142" s="259"/>
      <c r="AM142" s="259"/>
      <c r="AN142" s="259"/>
      <c r="AO142" s="259"/>
      <c r="AP142" s="259"/>
      <c r="AQ142" s="259"/>
      <c r="AR142" s="259"/>
      <c r="AS142" s="259"/>
      <c r="AT142" s="259"/>
      <c r="AU142" s="259"/>
      <c r="AV142" s="259"/>
      <c r="AW142" s="259"/>
      <c r="AX142" s="259"/>
      <c r="AY142" s="259"/>
      <c r="AZ142" s="259"/>
      <c r="BA142" s="259"/>
      <c r="BB142" s="259"/>
      <c r="BC142" s="259"/>
      <c r="BD142" s="259"/>
      <c r="BE142" s="259"/>
      <c r="BF142" s="259"/>
      <c r="BG142" s="259"/>
      <c r="BH142" s="259"/>
      <c r="BI142" s="259"/>
      <c r="BJ142" s="259"/>
      <c r="BK142" s="259"/>
      <c r="BL142" s="259"/>
      <c r="BM142" s="259"/>
      <c r="BN142" s="259"/>
      <c r="BO142" s="259"/>
      <c r="BP142" s="259"/>
    </row>
    <row r="143" customFormat="false" ht="15" hidden="false" customHeight="false" outlineLevel="0" collapsed="false">
      <c r="C143" s="0" t="s">
        <v>1093</v>
      </c>
      <c r="D143" s="0" t="s">
        <v>125</v>
      </c>
      <c r="E143" s="158"/>
      <c r="F143" s="158"/>
      <c r="G143" s="158" t="n">
        <f aca="false">Inputs!$E$141*Dash_MVA</f>
        <v>20000</v>
      </c>
      <c r="H143" s="158"/>
      <c r="I143" s="158"/>
      <c r="J143" s="158"/>
      <c r="K143" s="158"/>
      <c r="L143" s="158"/>
      <c r="M143" s="158"/>
      <c r="N143" s="158"/>
      <c r="O143" s="158"/>
      <c r="P143" s="158"/>
      <c r="Q143" s="158"/>
      <c r="R143" s="158"/>
      <c r="S143" s="158"/>
      <c r="T143" s="158"/>
      <c r="U143" s="158"/>
      <c r="V143" s="158"/>
      <c r="W143" s="158"/>
      <c r="X143" s="158"/>
      <c r="Y143" s="158"/>
      <c r="Z143" s="158"/>
      <c r="AA143" s="158"/>
      <c r="AB143" s="158"/>
      <c r="AC143" s="158"/>
      <c r="AD143" s="158"/>
      <c r="AE143" s="158"/>
      <c r="AF143" s="158"/>
      <c r="AG143" s="158"/>
      <c r="AH143" s="158"/>
      <c r="AI143" s="158"/>
      <c r="AJ143" s="158"/>
      <c r="AK143" s="158"/>
      <c r="AL143" s="158"/>
      <c r="AM143" s="158"/>
      <c r="AN143" s="158"/>
      <c r="AO143" s="158"/>
      <c r="AP143" s="158"/>
      <c r="AQ143" s="158"/>
      <c r="AR143" s="158"/>
      <c r="AS143" s="158"/>
      <c r="AT143" s="158"/>
      <c r="AU143" s="158"/>
      <c r="AV143" s="158"/>
      <c r="AW143" s="158"/>
      <c r="AX143" s="158"/>
      <c r="AY143" s="158"/>
      <c r="AZ143" s="158"/>
      <c r="BA143" s="158"/>
      <c r="BB143" s="158"/>
      <c r="BC143" s="158"/>
      <c r="BD143" s="158"/>
      <c r="BE143" s="158"/>
      <c r="BF143" s="158"/>
      <c r="BG143" s="158"/>
      <c r="BH143" s="158"/>
      <c r="BI143" s="158"/>
      <c r="BJ143" s="158"/>
      <c r="BK143" s="158"/>
      <c r="BL143" s="158"/>
      <c r="BM143" s="158"/>
      <c r="BN143" s="158"/>
      <c r="BO143" s="158"/>
      <c r="BP143" s="158"/>
    </row>
    <row r="144" customFormat="false" ht="15" hidden="false" customHeight="false" outlineLevel="0" collapsed="false">
      <c r="C144" s="0" t="s">
        <v>1094</v>
      </c>
      <c r="D144" s="0" t="s">
        <v>125</v>
      </c>
      <c r="E144" s="158"/>
      <c r="F144" s="158"/>
      <c r="G144" s="158" t="n">
        <f aca="false">G99+G20</f>
        <v>20928.5898703443</v>
      </c>
      <c r="H144" s="158"/>
      <c r="I144" s="158"/>
      <c r="J144" s="158"/>
      <c r="K144" s="158"/>
      <c r="L144" s="158"/>
      <c r="M144" s="158"/>
      <c r="N144" s="158"/>
      <c r="O144" s="158"/>
      <c r="P144" s="158"/>
      <c r="Q144" s="158"/>
      <c r="R144" s="158"/>
      <c r="S144" s="158"/>
      <c r="T144" s="158"/>
      <c r="U144" s="158"/>
      <c r="V144" s="158"/>
      <c r="W144" s="158"/>
      <c r="X144" s="158"/>
      <c r="Y144" s="158"/>
      <c r="Z144" s="158"/>
      <c r="AA144" s="158"/>
      <c r="AB144" s="158"/>
      <c r="AC144" s="158"/>
      <c r="AD144" s="158"/>
      <c r="AE144" s="158"/>
      <c r="AF144" s="158"/>
      <c r="AG144" s="158"/>
      <c r="AH144" s="158"/>
      <c r="AI144" s="158"/>
      <c r="AJ144" s="158"/>
      <c r="AK144" s="158"/>
      <c r="AL144" s="158"/>
      <c r="AM144" s="158"/>
      <c r="AN144" s="158"/>
      <c r="AO144" s="158"/>
      <c r="AP144" s="158"/>
      <c r="AQ144" s="158"/>
      <c r="AR144" s="158"/>
      <c r="AS144" s="158"/>
      <c r="AT144" s="158"/>
      <c r="AU144" s="158"/>
      <c r="AV144" s="158"/>
      <c r="AW144" s="158"/>
      <c r="AX144" s="158"/>
      <c r="AY144" s="158"/>
      <c r="AZ144" s="158"/>
      <c r="BA144" s="158"/>
      <c r="BB144" s="158"/>
      <c r="BC144" s="158"/>
      <c r="BD144" s="158"/>
      <c r="BE144" s="158"/>
      <c r="BF144" s="158"/>
      <c r="BG144" s="158"/>
      <c r="BH144" s="158"/>
      <c r="BI144" s="158"/>
      <c r="BJ144" s="158"/>
      <c r="BK144" s="158"/>
      <c r="BL144" s="158"/>
      <c r="BM144" s="158"/>
      <c r="BN144" s="158"/>
      <c r="BO144" s="158"/>
      <c r="BP144" s="158"/>
    </row>
    <row r="145" customFormat="false" ht="15" hidden="false" customHeight="false" outlineLevel="0" collapsed="false">
      <c r="C145" s="205" t="s">
        <v>1095</v>
      </c>
      <c r="D145" s="205" t="s">
        <v>125</v>
      </c>
      <c r="E145" s="251"/>
      <c r="F145" s="251"/>
      <c r="G145" s="158" t="n">
        <f aca="false">G143+G144</f>
        <v>40928.5898703443</v>
      </c>
      <c r="H145" s="251"/>
      <c r="I145" s="251"/>
      <c r="J145" s="251"/>
      <c r="K145" s="251"/>
      <c r="L145" s="251"/>
      <c r="M145" s="251"/>
      <c r="N145" s="251"/>
      <c r="O145" s="251"/>
      <c r="P145" s="251"/>
      <c r="Q145" s="251"/>
      <c r="R145" s="251"/>
      <c r="S145" s="251"/>
      <c r="T145" s="251"/>
      <c r="U145" s="251"/>
      <c r="V145" s="251"/>
      <c r="W145" s="251"/>
      <c r="X145" s="251"/>
      <c r="Y145" s="251"/>
      <c r="Z145" s="251"/>
      <c r="AA145" s="251"/>
      <c r="AB145" s="251"/>
      <c r="AC145" s="251"/>
      <c r="AD145" s="251"/>
      <c r="AE145" s="251"/>
      <c r="AF145" s="251"/>
      <c r="AG145" s="251"/>
      <c r="AH145" s="251"/>
      <c r="AI145" s="251"/>
      <c r="AJ145" s="251"/>
      <c r="AK145" s="251"/>
      <c r="AL145" s="251"/>
      <c r="AM145" s="251"/>
      <c r="AN145" s="251"/>
      <c r="AO145" s="251"/>
      <c r="AP145" s="251"/>
      <c r="AQ145" s="251"/>
      <c r="AR145" s="251"/>
      <c r="AS145" s="251"/>
      <c r="AT145" s="251"/>
      <c r="AU145" s="251"/>
      <c r="AV145" s="251"/>
      <c r="AW145" s="251"/>
      <c r="AX145" s="251"/>
      <c r="AY145" s="251"/>
      <c r="AZ145" s="251"/>
      <c r="BA145" s="251"/>
      <c r="BB145" s="251"/>
      <c r="BC145" s="251"/>
      <c r="BD145" s="251"/>
      <c r="BE145" s="251"/>
      <c r="BF145" s="251"/>
      <c r="BG145" s="251"/>
      <c r="BH145" s="251"/>
      <c r="BI145" s="251"/>
      <c r="BJ145" s="251"/>
      <c r="BK145" s="251"/>
      <c r="BL145" s="251"/>
      <c r="BM145" s="251"/>
      <c r="BN145" s="251"/>
      <c r="BO145" s="251"/>
      <c r="BP145" s="251"/>
    </row>
    <row r="146" customFormat="false" ht="15" hidden="false" customHeight="false" outlineLevel="0" collapsed="false">
      <c r="C146" s="0" t="s">
        <v>1096</v>
      </c>
      <c r="D146" s="0" t="s">
        <v>125</v>
      </c>
      <c r="E146" s="158"/>
      <c r="F146" s="158"/>
      <c r="G146" s="158" t="n">
        <f aca="false">-MIN(Inputs!$E$26,G145)</f>
        <v>-250</v>
      </c>
      <c r="H146" s="158"/>
      <c r="I146" s="158"/>
      <c r="J146" s="158"/>
      <c r="K146" s="158"/>
      <c r="L146" s="158"/>
      <c r="M146" s="158"/>
      <c r="N146" s="158"/>
      <c r="O146" s="158"/>
      <c r="P146" s="158"/>
      <c r="Q146" s="158"/>
      <c r="R146" s="158"/>
      <c r="S146" s="158"/>
      <c r="T146" s="158"/>
      <c r="U146" s="158"/>
      <c r="V146" s="158"/>
      <c r="W146" s="158"/>
      <c r="X146" s="158"/>
      <c r="Y146" s="158"/>
      <c r="Z146" s="158"/>
      <c r="AA146" s="158"/>
      <c r="AB146" s="158"/>
      <c r="AC146" s="158"/>
      <c r="AD146" s="158"/>
      <c r="AE146" s="158"/>
      <c r="AF146" s="158"/>
      <c r="AG146" s="158"/>
      <c r="AH146" s="158"/>
      <c r="AI146" s="158"/>
      <c r="AJ146" s="158"/>
      <c r="AK146" s="158"/>
      <c r="AL146" s="158"/>
      <c r="AM146" s="158"/>
      <c r="AN146" s="158"/>
      <c r="AO146" s="158"/>
      <c r="AP146" s="158"/>
      <c r="AQ146" s="158"/>
      <c r="AR146" s="158"/>
      <c r="AS146" s="158"/>
      <c r="AT146" s="158"/>
      <c r="AU146" s="158"/>
      <c r="AV146" s="158"/>
      <c r="AW146" s="158"/>
      <c r="AX146" s="158"/>
      <c r="AY146" s="158"/>
      <c r="AZ146" s="158"/>
      <c r="BA146" s="158"/>
      <c r="BB146" s="158"/>
      <c r="BC146" s="158"/>
      <c r="BD146" s="158"/>
      <c r="BE146" s="158"/>
      <c r="BF146" s="158"/>
      <c r="BG146" s="158"/>
      <c r="BH146" s="158"/>
      <c r="BI146" s="158"/>
      <c r="BJ146" s="158"/>
      <c r="BK146" s="158"/>
      <c r="BL146" s="158"/>
      <c r="BM146" s="158"/>
      <c r="BN146" s="158"/>
      <c r="BO146" s="158"/>
      <c r="BP146" s="158"/>
    </row>
    <row r="147" customFormat="false" ht="15" hidden="false" customHeight="false" outlineLevel="0" collapsed="false">
      <c r="C147" s="0" t="s">
        <v>1097</v>
      </c>
      <c r="D147" s="0" t="s">
        <v>125</v>
      </c>
      <c r="E147" s="158"/>
      <c r="F147" s="158"/>
      <c r="G147" s="158" t="n">
        <f aca="false">-MIN((G110+G117)+Deposits!$Y$23,SUM(G145:G146))</f>
        <v>-22239.6072562943</v>
      </c>
      <c r="H147" s="158"/>
      <c r="I147" s="158"/>
      <c r="J147" s="158"/>
      <c r="K147" s="158"/>
      <c r="L147" s="158"/>
      <c r="M147" s="158"/>
      <c r="N147" s="158"/>
      <c r="O147" s="158"/>
      <c r="P147" s="158"/>
      <c r="Q147" s="158"/>
      <c r="R147" s="158"/>
      <c r="S147" s="158"/>
      <c r="T147" s="158"/>
      <c r="U147" s="158"/>
      <c r="V147" s="158"/>
      <c r="W147" s="158"/>
      <c r="X147" s="158"/>
      <c r="Y147" s="158"/>
      <c r="Z147" s="158"/>
      <c r="AA147" s="158"/>
      <c r="AB147" s="158"/>
      <c r="AC147" s="158"/>
      <c r="AD147" s="158"/>
      <c r="AE147" s="158"/>
      <c r="AF147" s="158"/>
      <c r="AG147" s="158"/>
      <c r="AH147" s="158"/>
      <c r="AI147" s="158"/>
      <c r="AJ147" s="158"/>
      <c r="AK147" s="158"/>
      <c r="AL147" s="158"/>
      <c r="AM147" s="158"/>
      <c r="AN147" s="158"/>
      <c r="AO147" s="158"/>
      <c r="AP147" s="158"/>
      <c r="AQ147" s="158"/>
      <c r="AR147" s="158"/>
      <c r="AS147" s="158"/>
      <c r="AT147" s="158"/>
      <c r="AU147" s="158"/>
      <c r="AV147" s="158"/>
      <c r="AW147" s="158"/>
      <c r="AX147" s="158"/>
      <c r="AY147" s="158"/>
      <c r="AZ147" s="158"/>
      <c r="BA147" s="158"/>
      <c r="BB147" s="158"/>
      <c r="BC147" s="158"/>
      <c r="BD147" s="158"/>
      <c r="BE147" s="158"/>
      <c r="BF147" s="158"/>
      <c r="BG147" s="158"/>
      <c r="BH147" s="158"/>
      <c r="BI147" s="158"/>
      <c r="BJ147" s="158"/>
      <c r="BK147" s="158"/>
      <c r="BL147" s="158"/>
      <c r="BM147" s="158"/>
      <c r="BN147" s="158"/>
      <c r="BO147" s="158"/>
      <c r="BP147" s="158"/>
    </row>
    <row r="148" customFormat="false" ht="15" hidden="false" customHeight="false" outlineLevel="0" collapsed="false">
      <c r="C148" s="0" t="s">
        <v>1098</v>
      </c>
      <c r="D148" s="0" t="s">
        <v>125</v>
      </c>
      <c r="E148" s="158"/>
      <c r="F148" s="158"/>
      <c r="G148" s="158" t="n">
        <f aca="false">-MIN(IF(Inputs!$E$71=1,-(G127+G137),G20),SUM(G145:G147))</f>
        <v>-212.689864864865</v>
      </c>
      <c r="H148" s="158"/>
      <c r="I148" s="158"/>
      <c r="J148" s="158"/>
      <c r="K148" s="158"/>
      <c r="L148" s="158"/>
      <c r="M148" s="158"/>
      <c r="N148" s="158"/>
      <c r="O148" s="158"/>
      <c r="P148" s="158"/>
      <c r="Q148" s="158"/>
      <c r="R148" s="158"/>
      <c r="S148" s="158"/>
      <c r="T148" s="158"/>
      <c r="U148" s="158"/>
      <c r="V148" s="158"/>
      <c r="W148" s="158"/>
      <c r="X148" s="158"/>
      <c r="Y148" s="158"/>
      <c r="Z148" s="158"/>
      <c r="AA148" s="158"/>
      <c r="AB148" s="158"/>
      <c r="AC148" s="158"/>
      <c r="AD148" s="158"/>
      <c r="AE148" s="158"/>
      <c r="AF148" s="158"/>
      <c r="AG148" s="158"/>
      <c r="AH148" s="158"/>
      <c r="AI148" s="158"/>
      <c r="AJ148" s="158"/>
      <c r="AK148" s="158"/>
      <c r="AL148" s="158"/>
      <c r="AM148" s="158"/>
      <c r="AN148" s="158"/>
      <c r="AO148" s="158"/>
      <c r="AP148" s="158"/>
      <c r="AQ148" s="158"/>
      <c r="AR148" s="158"/>
      <c r="AS148" s="158"/>
      <c r="AT148" s="158"/>
      <c r="AU148" s="158"/>
      <c r="AV148" s="158"/>
      <c r="AW148" s="158"/>
      <c r="AX148" s="158"/>
      <c r="AY148" s="158"/>
      <c r="AZ148" s="158"/>
      <c r="BA148" s="158"/>
      <c r="BB148" s="158"/>
      <c r="BC148" s="158"/>
      <c r="BD148" s="158"/>
      <c r="BE148" s="158"/>
      <c r="BF148" s="158"/>
      <c r="BG148" s="158"/>
      <c r="BH148" s="158"/>
      <c r="BI148" s="158"/>
      <c r="BJ148" s="158"/>
      <c r="BK148" s="158"/>
      <c r="BL148" s="158"/>
      <c r="BM148" s="158"/>
      <c r="BN148" s="158"/>
      <c r="BO148" s="158"/>
      <c r="BP148" s="158"/>
    </row>
    <row r="149" customFormat="false" ht="15" hidden="false" customHeight="false" outlineLevel="0" collapsed="false">
      <c r="C149" s="0" t="s">
        <v>1099</v>
      </c>
      <c r="D149" s="0" t="s">
        <v>125</v>
      </c>
      <c r="E149" s="158"/>
      <c r="F149" s="158"/>
      <c r="G149" s="158" t="n">
        <f aca="false">-MIN(G131+Deposits!$Y$24,SUM(G145:G148))</f>
        <v>-1546.85369800002</v>
      </c>
      <c r="H149" s="158"/>
      <c r="I149" s="158"/>
      <c r="J149" s="158"/>
      <c r="K149" s="158"/>
      <c r="L149" s="158"/>
      <c r="M149" s="158"/>
      <c r="N149" s="158"/>
      <c r="O149" s="158"/>
      <c r="P149" s="158"/>
      <c r="Q149" s="158"/>
      <c r="R149" s="158"/>
      <c r="S149" s="158"/>
      <c r="T149" s="158"/>
      <c r="U149" s="158"/>
      <c r="V149" s="158"/>
      <c r="W149" s="158"/>
      <c r="X149" s="158"/>
      <c r="Y149" s="158"/>
      <c r="Z149" s="158"/>
      <c r="AA149" s="158"/>
      <c r="AB149" s="158"/>
      <c r="AC149" s="158"/>
      <c r="AD149" s="158"/>
      <c r="AE149" s="158"/>
      <c r="AF149" s="158"/>
      <c r="AG149" s="158"/>
      <c r="AH149" s="158"/>
      <c r="AI149" s="158"/>
      <c r="AJ149" s="158"/>
      <c r="AK149" s="158"/>
      <c r="AL149" s="158"/>
      <c r="AM149" s="158"/>
      <c r="AN149" s="158"/>
      <c r="AO149" s="158"/>
      <c r="AP149" s="158"/>
      <c r="AQ149" s="158"/>
      <c r="AR149" s="158"/>
      <c r="AS149" s="158"/>
      <c r="AT149" s="158"/>
      <c r="AU149" s="158"/>
      <c r="AV149" s="158"/>
      <c r="AW149" s="158"/>
      <c r="AX149" s="158"/>
      <c r="AY149" s="158"/>
      <c r="AZ149" s="158"/>
      <c r="BA149" s="158"/>
      <c r="BB149" s="158"/>
      <c r="BC149" s="158"/>
      <c r="BD149" s="158"/>
      <c r="BE149" s="158"/>
      <c r="BF149" s="158"/>
      <c r="BG149" s="158"/>
      <c r="BH149" s="158"/>
      <c r="BI149" s="158"/>
      <c r="BJ149" s="158"/>
      <c r="BK149" s="158"/>
      <c r="BL149" s="158"/>
      <c r="BM149" s="158"/>
      <c r="BN149" s="158"/>
      <c r="BO149" s="158"/>
      <c r="BP149" s="158"/>
    </row>
    <row r="150" customFormat="false" ht="15" hidden="false" customHeight="false" outlineLevel="0" collapsed="false">
      <c r="C150" s="0" t="s">
        <v>1100</v>
      </c>
      <c r="D150" s="0" t="s">
        <v>125</v>
      </c>
      <c r="E150" s="158"/>
      <c r="F150" s="158"/>
      <c r="G150" s="158" t="n">
        <f aca="false">-MIN(Deposits!$Y$22,SUM(G145:G149))</f>
        <v>-933.292884158135</v>
      </c>
      <c r="H150" s="158"/>
      <c r="I150" s="158"/>
      <c r="J150" s="158"/>
      <c r="K150" s="158"/>
      <c r="L150" s="158"/>
      <c r="M150" s="158"/>
      <c r="N150" s="158"/>
      <c r="O150" s="158"/>
      <c r="P150" s="158"/>
      <c r="Q150" s="158"/>
      <c r="R150" s="158"/>
      <c r="S150" s="158"/>
      <c r="T150" s="158"/>
      <c r="U150" s="158"/>
      <c r="V150" s="158"/>
      <c r="W150" s="158"/>
      <c r="X150" s="158"/>
      <c r="Y150" s="158"/>
      <c r="Z150" s="158"/>
      <c r="AA150" s="158"/>
      <c r="AB150" s="158"/>
      <c r="AC150" s="158"/>
      <c r="AD150" s="158"/>
      <c r="AE150" s="158"/>
      <c r="AF150" s="158"/>
      <c r="AG150" s="158"/>
      <c r="AH150" s="158"/>
      <c r="AI150" s="158"/>
      <c r="AJ150" s="158"/>
      <c r="AK150" s="158"/>
      <c r="AL150" s="158"/>
      <c r="AM150" s="158"/>
      <c r="AN150" s="158"/>
      <c r="AO150" s="158"/>
      <c r="AP150" s="158"/>
      <c r="AQ150" s="158"/>
      <c r="AR150" s="158"/>
      <c r="AS150" s="158"/>
      <c r="AT150" s="158"/>
      <c r="AU150" s="158"/>
      <c r="AV150" s="158"/>
      <c r="AW150" s="158"/>
      <c r="AX150" s="158"/>
      <c r="AY150" s="158"/>
      <c r="AZ150" s="158"/>
      <c r="BA150" s="158"/>
      <c r="BB150" s="158"/>
      <c r="BC150" s="158"/>
      <c r="BD150" s="158"/>
      <c r="BE150" s="158"/>
      <c r="BF150" s="158"/>
      <c r="BG150" s="158"/>
      <c r="BH150" s="158"/>
      <c r="BI150" s="158"/>
      <c r="BJ150" s="158"/>
      <c r="BK150" s="158"/>
      <c r="BL150" s="158"/>
      <c r="BM150" s="158"/>
      <c r="BN150" s="158"/>
      <c r="BO150" s="158"/>
      <c r="BP150" s="158"/>
    </row>
    <row r="151" customFormat="false" ht="15" hidden="false" customHeight="false" outlineLevel="0" collapsed="false">
      <c r="C151" s="0" t="s">
        <v>1101</v>
      </c>
      <c r="D151" s="0" t="s">
        <v>125</v>
      </c>
      <c r="E151" s="158"/>
      <c r="F151" s="158"/>
      <c r="G151" s="158" t="n">
        <f aca="false">-MIN(G25,SUM(G145:G150))</f>
        <v>-1105.23611111111</v>
      </c>
      <c r="H151" s="158"/>
      <c r="I151" s="158"/>
      <c r="J151" s="158"/>
      <c r="K151" s="158"/>
      <c r="L151" s="158"/>
      <c r="M151" s="158"/>
      <c r="N151" s="158"/>
      <c r="O151" s="158"/>
      <c r="P151" s="158"/>
      <c r="Q151" s="158"/>
      <c r="R151" s="158"/>
      <c r="S151" s="158"/>
      <c r="T151" s="158"/>
      <c r="U151" s="158"/>
      <c r="V151" s="158"/>
      <c r="W151" s="158"/>
      <c r="X151" s="158"/>
      <c r="Y151" s="158"/>
      <c r="Z151" s="158"/>
      <c r="AA151" s="158"/>
      <c r="AB151" s="158"/>
      <c r="AC151" s="158"/>
      <c r="AD151" s="158"/>
      <c r="AE151" s="158"/>
      <c r="AF151" s="158"/>
      <c r="AG151" s="158"/>
      <c r="AH151" s="158"/>
      <c r="AI151" s="158"/>
      <c r="AJ151" s="158"/>
      <c r="AK151" s="158"/>
      <c r="AL151" s="158"/>
      <c r="AM151" s="158"/>
      <c r="AN151" s="158"/>
      <c r="AO151" s="158"/>
      <c r="AP151" s="158"/>
      <c r="AQ151" s="158"/>
      <c r="AR151" s="158"/>
      <c r="AS151" s="158"/>
      <c r="AT151" s="158"/>
      <c r="AU151" s="158"/>
      <c r="AV151" s="158"/>
      <c r="AW151" s="158"/>
      <c r="AX151" s="158"/>
      <c r="AY151" s="158"/>
      <c r="AZ151" s="158"/>
      <c r="BA151" s="158"/>
      <c r="BB151" s="158"/>
      <c r="BC151" s="158"/>
      <c r="BD151" s="158"/>
      <c r="BE151" s="158"/>
      <c r="BF151" s="158"/>
      <c r="BG151" s="158"/>
      <c r="BH151" s="158"/>
      <c r="BI151" s="158"/>
      <c r="BJ151" s="158"/>
      <c r="BK151" s="158"/>
      <c r="BL151" s="158"/>
      <c r="BM151" s="158"/>
      <c r="BN151" s="158"/>
      <c r="BO151" s="158"/>
      <c r="BP151" s="158"/>
    </row>
    <row r="152" customFormat="false" ht="15" hidden="false" customHeight="false" outlineLevel="0" collapsed="false">
      <c r="C152" s="205" t="s">
        <v>1102</v>
      </c>
      <c r="D152" s="205" t="s">
        <v>125</v>
      </c>
      <c r="E152" s="251"/>
      <c r="F152" s="251"/>
      <c r="G152" s="158" t="n">
        <f aca="false">MAX(SUM(G145:G151),0)</f>
        <v>14640.9100559159</v>
      </c>
      <c r="H152" s="251"/>
      <c r="I152" s="251"/>
      <c r="J152" s="251"/>
      <c r="K152" s="251"/>
      <c r="L152" s="251"/>
      <c r="M152" s="251"/>
      <c r="N152" s="251"/>
      <c r="O152" s="251"/>
      <c r="P152" s="251"/>
      <c r="Q152" s="251"/>
      <c r="R152" s="251"/>
      <c r="S152" s="251"/>
      <c r="T152" s="251"/>
      <c r="U152" s="251"/>
      <c r="V152" s="251"/>
      <c r="W152" s="251"/>
      <c r="X152" s="251"/>
      <c r="Y152" s="251"/>
      <c r="Z152" s="251"/>
      <c r="AA152" s="251"/>
      <c r="AB152" s="251"/>
      <c r="AC152" s="251"/>
      <c r="AD152" s="251"/>
      <c r="AE152" s="251"/>
      <c r="AF152" s="251"/>
      <c r="AG152" s="251"/>
      <c r="AH152" s="251"/>
      <c r="AI152" s="251"/>
      <c r="AJ152" s="251"/>
      <c r="AK152" s="251"/>
      <c r="AL152" s="251"/>
      <c r="AM152" s="251"/>
      <c r="AN152" s="251"/>
      <c r="AO152" s="251"/>
      <c r="AP152" s="251"/>
      <c r="AQ152" s="251"/>
      <c r="AR152" s="251"/>
      <c r="AS152" s="251"/>
      <c r="AT152" s="251"/>
      <c r="AU152" s="251"/>
      <c r="AV152" s="251"/>
      <c r="AW152" s="251"/>
      <c r="AX152" s="251"/>
      <c r="AY152" s="251"/>
      <c r="AZ152" s="251"/>
      <c r="BA152" s="251"/>
      <c r="BB152" s="251"/>
      <c r="BC152" s="251"/>
      <c r="BD152" s="251"/>
      <c r="BE152" s="251"/>
      <c r="BF152" s="251"/>
      <c r="BG152" s="251"/>
      <c r="BH152" s="251"/>
      <c r="BI152" s="251"/>
      <c r="BJ152" s="251"/>
      <c r="BK152" s="251"/>
      <c r="BL152" s="251"/>
      <c r="BM152" s="251"/>
      <c r="BN152" s="251"/>
      <c r="BO152" s="251"/>
      <c r="BP152" s="251"/>
    </row>
    <row r="153" customFormat="false" ht="15" hidden="false" customHeight="false" outlineLevel="0" collapsed="false">
      <c r="C153" s="0" t="s">
        <v>1103</v>
      </c>
      <c r="D153" s="0" t="s">
        <v>125</v>
      </c>
      <c r="E153" s="141" t="n">
        <f aca="false">Inputs!$E$33</f>
        <v>0.7</v>
      </c>
      <c r="F153" s="158"/>
      <c r="G153" s="158" t="n">
        <f aca="false">G152*E153</f>
        <v>10248.6370391411</v>
      </c>
      <c r="H153" s="158"/>
      <c r="I153" s="158"/>
      <c r="J153" s="158"/>
      <c r="K153" s="158"/>
      <c r="L153" s="158"/>
      <c r="M153" s="158"/>
      <c r="N153" s="158"/>
      <c r="O153" s="158"/>
      <c r="P153" s="158"/>
      <c r="Q153" s="158"/>
      <c r="R153" s="158"/>
      <c r="S153" s="158"/>
      <c r="T153" s="158"/>
      <c r="U153" s="158"/>
      <c r="V153" s="158"/>
      <c r="W153" s="158"/>
      <c r="X153" s="158"/>
      <c r="Y153" s="158"/>
      <c r="Z153" s="158"/>
      <c r="AA153" s="158"/>
      <c r="AB153" s="158"/>
      <c r="AC153" s="158"/>
      <c r="AD153" s="158"/>
      <c r="AE153" s="158"/>
      <c r="AF153" s="158"/>
      <c r="AG153" s="158"/>
      <c r="AH153" s="158"/>
      <c r="AI153" s="158"/>
      <c r="AJ153" s="158"/>
      <c r="AK153" s="158"/>
      <c r="AL153" s="158"/>
      <c r="AM153" s="158"/>
      <c r="AN153" s="158"/>
      <c r="AO153" s="158"/>
      <c r="AP153" s="158"/>
      <c r="AQ153" s="158"/>
      <c r="AR153" s="158"/>
      <c r="AS153" s="158"/>
      <c r="AT153" s="158"/>
      <c r="AU153" s="158"/>
      <c r="AV153" s="158"/>
      <c r="AW153" s="158"/>
      <c r="AX153" s="158"/>
      <c r="AY153" s="158"/>
      <c r="AZ153" s="158"/>
      <c r="BA153" s="158"/>
      <c r="BB153" s="158"/>
      <c r="BC153" s="158"/>
      <c r="BD153" s="158"/>
      <c r="BE153" s="158"/>
      <c r="BF153" s="158"/>
      <c r="BG153" s="158"/>
      <c r="BH153" s="158"/>
      <c r="BI153" s="158"/>
      <c r="BJ153" s="158"/>
      <c r="BK153" s="158"/>
      <c r="BL153" s="158"/>
      <c r="BM153" s="158"/>
      <c r="BN153" s="158"/>
      <c r="BO153" s="158"/>
      <c r="BP153" s="158"/>
    </row>
    <row r="154" customFormat="false" ht="15" hidden="false" customHeight="false" outlineLevel="0" collapsed="false">
      <c r="C154" s="0" t="s">
        <v>1104</v>
      </c>
      <c r="D154" s="0" t="s">
        <v>125</v>
      </c>
      <c r="E154" s="141" t="n">
        <f aca="false">Inputs!$E$34</f>
        <v>0.3</v>
      </c>
      <c r="F154" s="158"/>
      <c r="G154" s="158" t="n">
        <f aca="false">G152*E154</f>
        <v>4392.27301677477</v>
      </c>
      <c r="H154" s="158"/>
      <c r="I154" s="158"/>
      <c r="J154" s="158"/>
      <c r="K154" s="158"/>
      <c r="L154" s="158"/>
      <c r="M154" s="158"/>
      <c r="N154" s="158"/>
      <c r="O154" s="158"/>
      <c r="P154" s="158"/>
      <c r="Q154" s="158"/>
      <c r="R154" s="158"/>
      <c r="S154" s="158"/>
      <c r="T154" s="158"/>
      <c r="U154" s="158"/>
      <c r="V154" s="158"/>
      <c r="W154" s="158"/>
      <c r="X154" s="158"/>
      <c r="Y154" s="158"/>
      <c r="Z154" s="158"/>
      <c r="AA154" s="158"/>
      <c r="AB154" s="158"/>
      <c r="AC154" s="158"/>
      <c r="AD154" s="158"/>
      <c r="AE154" s="158"/>
      <c r="AF154" s="158"/>
      <c r="AG154" s="158"/>
      <c r="AH154" s="158"/>
      <c r="AI154" s="158"/>
      <c r="AJ154" s="158"/>
      <c r="AK154" s="158"/>
      <c r="AL154" s="158"/>
      <c r="AM154" s="158"/>
      <c r="AN154" s="158"/>
      <c r="AO154" s="158"/>
      <c r="AP154" s="158"/>
      <c r="AQ154" s="158"/>
      <c r="AR154" s="158"/>
      <c r="AS154" s="158"/>
      <c r="AT154" s="158"/>
      <c r="AU154" s="158"/>
      <c r="AV154" s="158"/>
      <c r="AW154" s="158"/>
      <c r="AX154" s="158"/>
      <c r="AY154" s="158"/>
      <c r="AZ154" s="158"/>
      <c r="BA154" s="158"/>
      <c r="BB154" s="158"/>
      <c r="BC154" s="158"/>
      <c r="BD154" s="158"/>
      <c r="BE154" s="158"/>
      <c r="BF154" s="158"/>
      <c r="BG154" s="158"/>
      <c r="BH154" s="158"/>
      <c r="BI154" s="158"/>
      <c r="BJ154" s="158"/>
      <c r="BK154" s="158"/>
      <c r="BL154" s="158"/>
      <c r="BM154" s="158"/>
      <c r="BN154" s="158"/>
      <c r="BO154" s="158"/>
      <c r="BP154" s="158"/>
    </row>
    <row r="155" customFormat="false" ht="15" hidden="false" customHeight="false" outlineLevel="0" collapsed="false">
      <c r="C155" s="0" t="s">
        <v>1105</v>
      </c>
      <c r="D155" s="0" t="s">
        <v>125</v>
      </c>
      <c r="E155" s="158"/>
      <c r="F155" s="158"/>
      <c r="G155" s="158" t="n">
        <f aca="false">(Inputs!$E$26+(G110+G117)+Deposits!$Y$23+IF(Inputs!$E$71=1,-(G127+G137),G20)+G131+Deposits!$Y$24+Deposits!$Y$22+G25)+SUM(G146:G151)</f>
        <v>0</v>
      </c>
      <c r="H155" s="158"/>
      <c r="I155" s="158"/>
      <c r="J155" s="158"/>
      <c r="K155" s="158"/>
      <c r="L155" s="158"/>
      <c r="M155" s="158"/>
      <c r="N155" s="158"/>
      <c r="O155" s="158"/>
      <c r="P155" s="158"/>
      <c r="Q155" s="158"/>
      <c r="R155" s="158"/>
      <c r="S155" s="158"/>
      <c r="T155" s="158"/>
      <c r="U155" s="158"/>
      <c r="V155" s="158"/>
      <c r="W155" s="158"/>
      <c r="X155" s="158"/>
      <c r="Y155" s="158"/>
      <c r="Z155" s="158"/>
      <c r="AA155" s="158"/>
      <c r="AB155" s="158"/>
      <c r="AC155" s="158"/>
      <c r="AD155" s="158"/>
      <c r="AE155" s="158"/>
      <c r="AF155" s="158"/>
      <c r="AG155" s="158"/>
      <c r="AH155" s="158"/>
      <c r="AI155" s="158"/>
      <c r="AJ155" s="158"/>
      <c r="AK155" s="158"/>
      <c r="AL155" s="158"/>
      <c r="AM155" s="158"/>
      <c r="AN155" s="158"/>
      <c r="AO155" s="158"/>
      <c r="AP155" s="158"/>
      <c r="AQ155" s="158"/>
      <c r="AR155" s="158"/>
      <c r="AS155" s="158"/>
      <c r="AT155" s="158"/>
      <c r="AU155" s="158"/>
      <c r="AV155" s="158"/>
      <c r="AW155" s="158"/>
      <c r="AX155" s="158"/>
      <c r="AY155" s="158"/>
      <c r="AZ155" s="158"/>
      <c r="BA155" s="158"/>
      <c r="BB155" s="158"/>
      <c r="BC155" s="158"/>
      <c r="BD155" s="158"/>
      <c r="BE155" s="158"/>
      <c r="BF155" s="158"/>
      <c r="BG155" s="158"/>
      <c r="BH155" s="158"/>
      <c r="BI155" s="158"/>
      <c r="BJ155" s="158"/>
      <c r="BK155" s="158"/>
      <c r="BL155" s="158"/>
      <c r="BM155" s="158"/>
      <c r="BN155" s="158"/>
      <c r="BO155" s="158"/>
      <c r="BP155" s="158"/>
    </row>
    <row r="156" customFormat="false" ht="15" hidden="false" customHeight="false" outlineLevel="0" collapsed="false">
      <c r="E156" s="158"/>
      <c r="F156" s="158"/>
      <c r="G156" s="158"/>
      <c r="H156" s="158"/>
      <c r="I156" s="158"/>
      <c r="J156" s="158"/>
      <c r="K156" s="158"/>
      <c r="L156" s="158"/>
      <c r="M156" s="158"/>
      <c r="N156" s="158"/>
      <c r="O156" s="158"/>
      <c r="P156" s="158"/>
      <c r="Q156" s="158"/>
      <c r="R156" s="158"/>
      <c r="S156" s="158"/>
      <c r="T156" s="158"/>
      <c r="U156" s="158"/>
      <c r="V156" s="158"/>
      <c r="W156" s="158"/>
      <c r="X156" s="158"/>
      <c r="Y156" s="158"/>
      <c r="Z156" s="158"/>
      <c r="AA156" s="158"/>
      <c r="AB156" s="158"/>
      <c r="AC156" s="158"/>
      <c r="AD156" s="158"/>
      <c r="AE156" s="158"/>
      <c r="AF156" s="158"/>
      <c r="AG156" s="158"/>
      <c r="AH156" s="158"/>
      <c r="AI156" s="158"/>
      <c r="AJ156" s="158"/>
      <c r="AK156" s="158"/>
      <c r="AL156" s="158"/>
      <c r="AM156" s="158"/>
      <c r="AN156" s="158"/>
      <c r="AO156" s="158"/>
      <c r="AP156" s="158"/>
      <c r="AQ156" s="158"/>
      <c r="AR156" s="158"/>
      <c r="AS156" s="158"/>
      <c r="AT156" s="158"/>
      <c r="AU156" s="158"/>
      <c r="AV156" s="158"/>
      <c r="AW156" s="158"/>
      <c r="AX156" s="158"/>
      <c r="AY156" s="158"/>
      <c r="AZ156" s="158"/>
      <c r="BA156" s="158"/>
      <c r="BB156" s="158"/>
      <c r="BC156" s="158"/>
      <c r="BD156" s="158"/>
      <c r="BE156" s="158"/>
      <c r="BF156" s="158"/>
      <c r="BG156" s="158"/>
      <c r="BH156" s="158"/>
      <c r="BI156" s="158"/>
      <c r="BJ156" s="158"/>
      <c r="BK156" s="158"/>
      <c r="BL156" s="158"/>
      <c r="BM156" s="158"/>
      <c r="BN156" s="158"/>
      <c r="BO156" s="158"/>
      <c r="BP156" s="158"/>
    </row>
    <row r="157" customFormat="false" ht="15" hidden="false" customHeight="false" outlineLevel="0" collapsed="false">
      <c r="C157" s="136" t="s">
        <v>1106</v>
      </c>
      <c r="D157" s="136"/>
      <c r="E157" s="259"/>
      <c r="F157" s="259"/>
      <c r="G157" s="259"/>
      <c r="H157" s="259"/>
      <c r="I157" s="259"/>
      <c r="J157" s="259"/>
      <c r="K157" s="259"/>
      <c r="L157" s="259"/>
      <c r="M157" s="259"/>
      <c r="N157" s="259"/>
      <c r="O157" s="259"/>
      <c r="P157" s="259"/>
      <c r="Q157" s="259"/>
      <c r="R157" s="259"/>
      <c r="S157" s="259"/>
      <c r="T157" s="259"/>
      <c r="U157" s="259"/>
      <c r="V157" s="259"/>
      <c r="W157" s="259"/>
      <c r="X157" s="259"/>
      <c r="Y157" s="259"/>
      <c r="Z157" s="259"/>
      <c r="AA157" s="259"/>
      <c r="AB157" s="259"/>
      <c r="AC157" s="259"/>
      <c r="AD157" s="259"/>
      <c r="AE157" s="259"/>
      <c r="AF157" s="259"/>
      <c r="AG157" s="259"/>
      <c r="AH157" s="259"/>
      <c r="AI157" s="259"/>
      <c r="AJ157" s="259"/>
      <c r="AK157" s="259"/>
      <c r="AL157" s="259"/>
      <c r="AM157" s="259"/>
      <c r="AN157" s="259"/>
      <c r="AO157" s="259"/>
      <c r="AP157" s="259"/>
      <c r="AQ157" s="259"/>
      <c r="AR157" s="259"/>
      <c r="AS157" s="259"/>
      <c r="AT157" s="259"/>
      <c r="AU157" s="259"/>
      <c r="AV157" s="259"/>
      <c r="AW157" s="259"/>
      <c r="AX157" s="259"/>
      <c r="AY157" s="259"/>
      <c r="AZ157" s="259"/>
      <c r="BA157" s="259"/>
      <c r="BB157" s="259"/>
      <c r="BC157" s="259"/>
      <c r="BD157" s="259"/>
      <c r="BE157" s="259"/>
      <c r="BF157" s="259"/>
      <c r="BG157" s="259"/>
      <c r="BH157" s="259"/>
      <c r="BI157" s="259"/>
      <c r="BJ157" s="259"/>
      <c r="BK157" s="259"/>
      <c r="BL157" s="259"/>
      <c r="BM157" s="259"/>
      <c r="BN157" s="259"/>
      <c r="BO157" s="259"/>
      <c r="BP157" s="259"/>
    </row>
    <row r="158" customFormat="false" ht="15" hidden="false" customHeight="false" outlineLevel="0" collapsed="false">
      <c r="C158" s="0" t="s">
        <v>1107</v>
      </c>
      <c r="D158" s="0" t="s">
        <v>125</v>
      </c>
      <c r="E158" s="158"/>
      <c r="F158" s="158"/>
      <c r="G158" s="158" t="n">
        <f aca="false">SUM(H158:BP158)</f>
        <v>-125</v>
      </c>
      <c r="H158" s="158" t="n">
        <f aca="false">-N(H$4=0)*Inputs!$E$24</f>
        <v>-125</v>
      </c>
      <c r="I158" s="158" t="n">
        <f aca="false">-N(I$4=0)*Inputs!$E$24</f>
        <v>-0</v>
      </c>
      <c r="J158" s="158" t="n">
        <f aca="false">-N(J$4=0)*Inputs!$E$24</f>
        <v>-0</v>
      </c>
      <c r="K158" s="158" t="n">
        <f aca="false">-N(K$4=0)*Inputs!$E$24</f>
        <v>-0</v>
      </c>
      <c r="L158" s="158" t="n">
        <f aca="false">-N(L$4=0)*Inputs!$E$24</f>
        <v>-0</v>
      </c>
      <c r="M158" s="158" t="n">
        <f aca="false">-N(M$4=0)*Inputs!$E$24</f>
        <v>-0</v>
      </c>
      <c r="N158" s="158" t="n">
        <f aca="false">-N(N$4=0)*Inputs!$E$24</f>
        <v>-0</v>
      </c>
      <c r="O158" s="158" t="n">
        <f aca="false">-N(O$4=0)*Inputs!$E$24</f>
        <v>-0</v>
      </c>
      <c r="P158" s="158" t="n">
        <f aca="false">-N(P$4=0)*Inputs!$E$24</f>
        <v>-0</v>
      </c>
      <c r="Q158" s="158" t="n">
        <f aca="false">-N(Q$4=0)*Inputs!$E$24</f>
        <v>-0</v>
      </c>
      <c r="R158" s="158" t="n">
        <f aca="false">-N(R$4=0)*Inputs!$E$24</f>
        <v>-0</v>
      </c>
      <c r="S158" s="158" t="n">
        <f aca="false">-N(S$4=0)*Inputs!$E$24</f>
        <v>-0</v>
      </c>
      <c r="T158" s="158" t="n">
        <f aca="false">-N(T$4=0)*Inputs!$E$24</f>
        <v>-0</v>
      </c>
      <c r="U158" s="158" t="n">
        <f aca="false">-N(U$4=0)*Inputs!$E$24</f>
        <v>-0</v>
      </c>
      <c r="V158" s="158" t="n">
        <f aca="false">-N(V$4=0)*Inputs!$E$24</f>
        <v>-0</v>
      </c>
      <c r="W158" s="158" t="n">
        <f aca="false">-N(W$4=0)*Inputs!$E$24</f>
        <v>-0</v>
      </c>
      <c r="X158" s="158" t="n">
        <f aca="false">-N(X$4=0)*Inputs!$E$24</f>
        <v>-0</v>
      </c>
      <c r="Y158" s="158" t="n">
        <f aca="false">-N(Y$4=0)*Inputs!$E$24</f>
        <v>-0</v>
      </c>
      <c r="Z158" s="158" t="n">
        <f aca="false">-N(Z$4=0)*Inputs!$E$24</f>
        <v>-0</v>
      </c>
      <c r="AA158" s="158" t="n">
        <f aca="false">-N(AA$4=0)*Inputs!$E$24</f>
        <v>-0</v>
      </c>
      <c r="AB158" s="158" t="n">
        <f aca="false">-N(AB$4=0)*Inputs!$E$24</f>
        <v>-0</v>
      </c>
      <c r="AC158" s="158" t="n">
        <f aca="false">-N(AC$4=0)*Inputs!$E$24</f>
        <v>-0</v>
      </c>
      <c r="AD158" s="158" t="n">
        <f aca="false">-N(AD$4=0)*Inputs!$E$24</f>
        <v>-0</v>
      </c>
      <c r="AE158" s="158" t="n">
        <f aca="false">-N(AE$4=0)*Inputs!$E$24</f>
        <v>-0</v>
      </c>
      <c r="AF158" s="158" t="n">
        <f aca="false">-N(AF$4=0)*Inputs!$E$24</f>
        <v>-0</v>
      </c>
      <c r="AG158" s="158" t="n">
        <f aca="false">-N(AG$4=0)*Inputs!$E$24</f>
        <v>-0</v>
      </c>
      <c r="AH158" s="158" t="n">
        <f aca="false">-N(AH$4=0)*Inputs!$E$24</f>
        <v>-0</v>
      </c>
      <c r="AI158" s="158" t="n">
        <f aca="false">-N(AI$4=0)*Inputs!$E$24</f>
        <v>-0</v>
      </c>
      <c r="AJ158" s="158" t="n">
        <f aca="false">-N(AJ$4=0)*Inputs!$E$24</f>
        <v>-0</v>
      </c>
      <c r="AK158" s="158" t="n">
        <f aca="false">-N(AK$4=0)*Inputs!$E$24</f>
        <v>-0</v>
      </c>
      <c r="AL158" s="158" t="n">
        <f aca="false">-N(AL$4=0)*Inputs!$E$24</f>
        <v>-0</v>
      </c>
      <c r="AM158" s="158" t="n">
        <f aca="false">-N(AM$4=0)*Inputs!$E$24</f>
        <v>-0</v>
      </c>
      <c r="AN158" s="158" t="n">
        <f aca="false">-N(AN$4=0)*Inputs!$E$24</f>
        <v>-0</v>
      </c>
      <c r="AO158" s="158" t="n">
        <f aca="false">-N(AO$4=0)*Inputs!$E$24</f>
        <v>-0</v>
      </c>
      <c r="AP158" s="158" t="n">
        <f aca="false">-N(AP$4=0)*Inputs!$E$24</f>
        <v>-0</v>
      </c>
      <c r="AQ158" s="158" t="n">
        <f aca="false">-N(AQ$4=0)*Inputs!$E$24</f>
        <v>-0</v>
      </c>
      <c r="AR158" s="158" t="n">
        <f aca="false">-N(AR$4=0)*Inputs!$E$24</f>
        <v>-0</v>
      </c>
      <c r="AS158" s="158" t="n">
        <f aca="false">-N(AS$4=0)*Inputs!$E$24</f>
        <v>-0</v>
      </c>
      <c r="AT158" s="158" t="n">
        <f aca="false">-N(AT$4=0)*Inputs!$E$24</f>
        <v>-0</v>
      </c>
      <c r="AU158" s="158" t="n">
        <f aca="false">-N(AU$4=0)*Inputs!$E$24</f>
        <v>-0</v>
      </c>
      <c r="AV158" s="158" t="n">
        <f aca="false">-N(AV$4=0)*Inputs!$E$24</f>
        <v>-0</v>
      </c>
      <c r="AW158" s="158" t="n">
        <f aca="false">-N(AW$4=0)*Inputs!$E$24</f>
        <v>-0</v>
      </c>
      <c r="AX158" s="158" t="n">
        <f aca="false">-N(AX$4=0)*Inputs!$E$24</f>
        <v>-0</v>
      </c>
      <c r="AY158" s="158" t="n">
        <f aca="false">-N(AY$4=0)*Inputs!$E$24</f>
        <v>-0</v>
      </c>
      <c r="AZ158" s="158" t="n">
        <f aca="false">-N(AZ$4=0)*Inputs!$E$24</f>
        <v>-0</v>
      </c>
      <c r="BA158" s="158" t="n">
        <f aca="false">-N(BA$4=0)*Inputs!$E$24</f>
        <v>-0</v>
      </c>
      <c r="BB158" s="158" t="n">
        <f aca="false">-N(BB$4=0)*Inputs!$E$24</f>
        <v>-0</v>
      </c>
      <c r="BC158" s="158" t="n">
        <f aca="false">-N(BC$4=0)*Inputs!$E$24</f>
        <v>-0</v>
      </c>
      <c r="BD158" s="158" t="n">
        <f aca="false">-N(BD$4=0)*Inputs!$E$24</f>
        <v>-0</v>
      </c>
      <c r="BE158" s="158" t="n">
        <f aca="false">-N(BE$4=0)*Inputs!$E$24</f>
        <v>-0</v>
      </c>
      <c r="BF158" s="158" t="n">
        <f aca="false">-N(BF$4=0)*Inputs!$E$24</f>
        <v>-0</v>
      </c>
      <c r="BG158" s="158" t="n">
        <f aca="false">-N(BG$4=0)*Inputs!$E$24</f>
        <v>-0</v>
      </c>
      <c r="BH158" s="158" t="n">
        <f aca="false">-N(BH$4=0)*Inputs!$E$24</f>
        <v>-0</v>
      </c>
      <c r="BI158" s="158" t="n">
        <f aca="false">-N(BI$4=0)*Inputs!$E$24</f>
        <v>-0</v>
      </c>
      <c r="BJ158" s="158" t="n">
        <f aca="false">-N(BJ$4=0)*Inputs!$E$24</f>
        <v>-0</v>
      </c>
      <c r="BK158" s="158" t="n">
        <f aca="false">-N(BK$4=0)*Inputs!$E$24</f>
        <v>-0</v>
      </c>
      <c r="BL158" s="158" t="n">
        <f aca="false">-N(BL$4=0)*Inputs!$E$24</f>
        <v>-0</v>
      </c>
      <c r="BM158" s="158" t="n">
        <f aca="false">-N(BM$4=0)*Inputs!$E$24</f>
        <v>-0</v>
      </c>
      <c r="BN158" s="158" t="n">
        <f aca="false">-N(BN$4=0)*Inputs!$E$24</f>
        <v>-0</v>
      </c>
      <c r="BO158" s="158" t="n">
        <f aca="false">-N(BO$4=0)*Inputs!$E$24</f>
        <v>-0</v>
      </c>
      <c r="BP158" s="158" t="n">
        <f aca="false">-N(BP$4=0)*Inputs!$E$24</f>
        <v>-0</v>
      </c>
    </row>
    <row r="159" customFormat="false" ht="15" hidden="false" customHeight="false" outlineLevel="0" collapsed="false">
      <c r="C159" s="0" t="s">
        <v>1108</v>
      </c>
      <c r="D159" s="0" t="s">
        <v>125</v>
      </c>
      <c r="E159" s="158"/>
      <c r="F159" s="158"/>
      <c r="G159" s="158" t="n">
        <f aca="false">SUM(H159:BP159)</f>
        <v>-75</v>
      </c>
      <c r="H159" s="158" t="n">
        <f aca="false">-N(H$4=0)*Inputs!$E$25</f>
        <v>-75</v>
      </c>
      <c r="I159" s="158" t="n">
        <f aca="false">-N(I$4=0)*Inputs!$E$25</f>
        <v>-0</v>
      </c>
      <c r="J159" s="158" t="n">
        <f aca="false">-N(J$4=0)*Inputs!$E$25</f>
        <v>-0</v>
      </c>
      <c r="K159" s="158" t="n">
        <f aca="false">-N(K$4=0)*Inputs!$E$25</f>
        <v>-0</v>
      </c>
      <c r="L159" s="158" t="n">
        <f aca="false">-N(L$4=0)*Inputs!$E$25</f>
        <v>-0</v>
      </c>
      <c r="M159" s="158" t="n">
        <f aca="false">-N(M$4=0)*Inputs!$E$25</f>
        <v>-0</v>
      </c>
      <c r="N159" s="158" t="n">
        <f aca="false">-N(N$4=0)*Inputs!$E$25</f>
        <v>-0</v>
      </c>
      <c r="O159" s="158" t="n">
        <f aca="false">-N(O$4=0)*Inputs!$E$25</f>
        <v>-0</v>
      </c>
      <c r="P159" s="158" t="n">
        <f aca="false">-N(P$4=0)*Inputs!$E$25</f>
        <v>-0</v>
      </c>
      <c r="Q159" s="158" t="n">
        <f aca="false">-N(Q$4=0)*Inputs!$E$25</f>
        <v>-0</v>
      </c>
      <c r="R159" s="158" t="n">
        <f aca="false">-N(R$4=0)*Inputs!$E$25</f>
        <v>-0</v>
      </c>
      <c r="S159" s="158" t="n">
        <f aca="false">-N(S$4=0)*Inputs!$E$25</f>
        <v>-0</v>
      </c>
      <c r="T159" s="158" t="n">
        <f aca="false">-N(T$4=0)*Inputs!$E$25</f>
        <v>-0</v>
      </c>
      <c r="U159" s="158" t="n">
        <f aca="false">-N(U$4=0)*Inputs!$E$25</f>
        <v>-0</v>
      </c>
      <c r="V159" s="158" t="n">
        <f aca="false">-N(V$4=0)*Inputs!$E$25</f>
        <v>-0</v>
      </c>
      <c r="W159" s="158" t="n">
        <f aca="false">-N(W$4=0)*Inputs!$E$25</f>
        <v>-0</v>
      </c>
      <c r="X159" s="158" t="n">
        <f aca="false">-N(X$4=0)*Inputs!$E$25</f>
        <v>-0</v>
      </c>
      <c r="Y159" s="158" t="n">
        <f aca="false">-N(Y$4=0)*Inputs!$E$25</f>
        <v>-0</v>
      </c>
      <c r="Z159" s="158" t="n">
        <f aca="false">-N(Z$4=0)*Inputs!$E$25</f>
        <v>-0</v>
      </c>
      <c r="AA159" s="158" t="n">
        <f aca="false">-N(AA$4=0)*Inputs!$E$25</f>
        <v>-0</v>
      </c>
      <c r="AB159" s="158" t="n">
        <f aca="false">-N(AB$4=0)*Inputs!$E$25</f>
        <v>-0</v>
      </c>
      <c r="AC159" s="158" t="n">
        <f aca="false">-N(AC$4=0)*Inputs!$E$25</f>
        <v>-0</v>
      </c>
      <c r="AD159" s="158" t="n">
        <f aca="false">-N(AD$4=0)*Inputs!$E$25</f>
        <v>-0</v>
      </c>
      <c r="AE159" s="158" t="n">
        <f aca="false">-N(AE$4=0)*Inputs!$E$25</f>
        <v>-0</v>
      </c>
      <c r="AF159" s="158" t="n">
        <f aca="false">-N(AF$4=0)*Inputs!$E$25</f>
        <v>-0</v>
      </c>
      <c r="AG159" s="158" t="n">
        <f aca="false">-N(AG$4=0)*Inputs!$E$25</f>
        <v>-0</v>
      </c>
      <c r="AH159" s="158" t="n">
        <f aca="false">-N(AH$4=0)*Inputs!$E$25</f>
        <v>-0</v>
      </c>
      <c r="AI159" s="158" t="n">
        <f aca="false">-N(AI$4=0)*Inputs!$E$25</f>
        <v>-0</v>
      </c>
      <c r="AJ159" s="158" t="n">
        <f aca="false">-N(AJ$4=0)*Inputs!$E$25</f>
        <v>-0</v>
      </c>
      <c r="AK159" s="158" t="n">
        <f aca="false">-N(AK$4=0)*Inputs!$E$25</f>
        <v>-0</v>
      </c>
      <c r="AL159" s="158" t="n">
        <f aca="false">-N(AL$4=0)*Inputs!$E$25</f>
        <v>-0</v>
      </c>
      <c r="AM159" s="158" t="n">
        <f aca="false">-N(AM$4=0)*Inputs!$E$25</f>
        <v>-0</v>
      </c>
      <c r="AN159" s="158" t="n">
        <f aca="false">-N(AN$4=0)*Inputs!$E$25</f>
        <v>-0</v>
      </c>
      <c r="AO159" s="158" t="n">
        <f aca="false">-N(AO$4=0)*Inputs!$E$25</f>
        <v>-0</v>
      </c>
      <c r="AP159" s="158" t="n">
        <f aca="false">-N(AP$4=0)*Inputs!$E$25</f>
        <v>-0</v>
      </c>
      <c r="AQ159" s="158" t="n">
        <f aca="false">-N(AQ$4=0)*Inputs!$E$25</f>
        <v>-0</v>
      </c>
      <c r="AR159" s="158" t="n">
        <f aca="false">-N(AR$4=0)*Inputs!$E$25</f>
        <v>-0</v>
      </c>
      <c r="AS159" s="158" t="n">
        <f aca="false">-N(AS$4=0)*Inputs!$E$25</f>
        <v>-0</v>
      </c>
      <c r="AT159" s="158" t="n">
        <f aca="false">-N(AT$4=0)*Inputs!$E$25</f>
        <v>-0</v>
      </c>
      <c r="AU159" s="158" t="n">
        <f aca="false">-N(AU$4=0)*Inputs!$E$25</f>
        <v>-0</v>
      </c>
      <c r="AV159" s="158" t="n">
        <f aca="false">-N(AV$4=0)*Inputs!$E$25</f>
        <v>-0</v>
      </c>
      <c r="AW159" s="158" t="n">
        <f aca="false">-N(AW$4=0)*Inputs!$E$25</f>
        <v>-0</v>
      </c>
      <c r="AX159" s="158" t="n">
        <f aca="false">-N(AX$4=0)*Inputs!$E$25</f>
        <v>-0</v>
      </c>
      <c r="AY159" s="158" t="n">
        <f aca="false">-N(AY$4=0)*Inputs!$E$25</f>
        <v>-0</v>
      </c>
      <c r="AZ159" s="158" t="n">
        <f aca="false">-N(AZ$4=0)*Inputs!$E$25</f>
        <v>-0</v>
      </c>
      <c r="BA159" s="158" t="n">
        <f aca="false">-N(BA$4=0)*Inputs!$E$25</f>
        <v>-0</v>
      </c>
      <c r="BB159" s="158" t="n">
        <f aca="false">-N(BB$4=0)*Inputs!$E$25</f>
        <v>-0</v>
      </c>
      <c r="BC159" s="158" t="n">
        <f aca="false">-N(BC$4=0)*Inputs!$E$25</f>
        <v>-0</v>
      </c>
      <c r="BD159" s="158" t="n">
        <f aca="false">-N(BD$4=0)*Inputs!$E$25</f>
        <v>-0</v>
      </c>
      <c r="BE159" s="158" t="n">
        <f aca="false">-N(BE$4=0)*Inputs!$E$25</f>
        <v>-0</v>
      </c>
      <c r="BF159" s="158" t="n">
        <f aca="false">-N(BF$4=0)*Inputs!$E$25</f>
        <v>-0</v>
      </c>
      <c r="BG159" s="158" t="n">
        <f aca="false">-N(BG$4=0)*Inputs!$E$25</f>
        <v>-0</v>
      </c>
      <c r="BH159" s="158" t="n">
        <f aca="false">-N(BH$4=0)*Inputs!$E$25</f>
        <v>-0</v>
      </c>
      <c r="BI159" s="158" t="n">
        <f aca="false">-N(BI$4=0)*Inputs!$E$25</f>
        <v>-0</v>
      </c>
      <c r="BJ159" s="158" t="n">
        <f aca="false">-N(BJ$4=0)*Inputs!$E$25</f>
        <v>-0</v>
      </c>
      <c r="BK159" s="158" t="n">
        <f aca="false">-N(BK$4=0)*Inputs!$E$25</f>
        <v>-0</v>
      </c>
      <c r="BL159" s="158" t="n">
        <f aca="false">-N(BL$4=0)*Inputs!$E$25</f>
        <v>-0</v>
      </c>
      <c r="BM159" s="158" t="n">
        <f aca="false">-N(BM$4=0)*Inputs!$E$25</f>
        <v>-0</v>
      </c>
      <c r="BN159" s="158" t="n">
        <f aca="false">-N(BN$4=0)*Inputs!$E$25</f>
        <v>-0</v>
      </c>
      <c r="BO159" s="158" t="n">
        <f aca="false">-N(BO$4=0)*Inputs!$E$25</f>
        <v>-0</v>
      </c>
      <c r="BP159" s="158" t="n">
        <f aca="false">-N(BP$4=0)*Inputs!$E$25</f>
        <v>-0</v>
      </c>
    </row>
    <row r="160" customFormat="false" ht="15" hidden="false" customHeight="false" outlineLevel="0" collapsed="false">
      <c r="C160" s="0" t="s">
        <v>1109</v>
      </c>
      <c r="D160" s="0" t="s">
        <v>125</v>
      </c>
      <c r="E160" s="158"/>
      <c r="F160" s="158"/>
      <c r="G160" s="158" t="n">
        <f aca="false">SUM(H160:BP160)</f>
        <v>-20715.9000054795</v>
      </c>
      <c r="H160" s="158" t="n">
        <f aca="false">-H110</f>
        <v>-0</v>
      </c>
      <c r="I160" s="158" t="n">
        <f aca="false">-I110</f>
        <v>-0</v>
      </c>
      <c r="J160" s="158" t="n">
        <f aca="false">-J110</f>
        <v>-0</v>
      </c>
      <c r="K160" s="158" t="n">
        <f aca="false">-K110</f>
        <v>-0</v>
      </c>
      <c r="L160" s="158" t="n">
        <f aca="false">-L110</f>
        <v>-0</v>
      </c>
      <c r="M160" s="158" t="n">
        <f aca="false">-M110</f>
        <v>-1232.87671232877</v>
      </c>
      <c r="N160" s="158" t="n">
        <f aca="false">-N110</f>
        <v>-0</v>
      </c>
      <c r="O160" s="158" t="n">
        <f aca="false">-O110</f>
        <v>-0</v>
      </c>
      <c r="P160" s="158" t="n">
        <f aca="false">-P110</f>
        <v>-0</v>
      </c>
      <c r="Q160" s="158" t="n">
        <f aca="false">-Q110</f>
        <v>-0</v>
      </c>
      <c r="R160" s="158" t="n">
        <f aca="false">-R110</f>
        <v>-0</v>
      </c>
      <c r="S160" s="158" t="n">
        <f aca="false">-S110</f>
        <v>-0</v>
      </c>
      <c r="T160" s="158" t="n">
        <f aca="false">-T110</f>
        <v>-0</v>
      </c>
      <c r="U160" s="158" t="n">
        <f aca="false">-U110</f>
        <v>-0</v>
      </c>
      <c r="V160" s="158" t="n">
        <f aca="false">-V110</f>
        <v>-0</v>
      </c>
      <c r="W160" s="158" t="n">
        <f aca="false">-W110</f>
        <v>-0</v>
      </c>
      <c r="X160" s="158" t="n">
        <f aca="false">-X110</f>
        <v>-0</v>
      </c>
      <c r="Y160" s="158" t="n">
        <f aca="false">-Y110</f>
        <v>-0</v>
      </c>
      <c r="Z160" s="158" t="n">
        <f aca="false">-Z110</f>
        <v>-0</v>
      </c>
      <c r="AA160" s="158" t="n">
        <f aca="false">-AA110</f>
        <v>-0</v>
      </c>
      <c r="AB160" s="158" t="n">
        <f aca="false">-AB110</f>
        <v>-0</v>
      </c>
      <c r="AC160" s="158" t="n">
        <f aca="false">-AC110</f>
        <v>-0</v>
      </c>
      <c r="AD160" s="158" t="n">
        <f aca="false">-AD110</f>
        <v>-0</v>
      </c>
      <c r="AE160" s="158" t="n">
        <f aca="false">-AE110</f>
        <v>-0</v>
      </c>
      <c r="AF160" s="158" t="n">
        <f aca="false">-AF110</f>
        <v>-0</v>
      </c>
      <c r="AG160" s="158" t="n">
        <f aca="false">-AG110</f>
        <v>-0</v>
      </c>
      <c r="AH160" s="158" t="n">
        <f aca="false">-AH110</f>
        <v>-0</v>
      </c>
      <c r="AI160" s="158" t="n">
        <f aca="false">-AI110</f>
        <v>-0</v>
      </c>
      <c r="AJ160" s="158" t="n">
        <f aca="false">-AJ110</f>
        <v>-0</v>
      </c>
      <c r="AK160" s="158" t="n">
        <f aca="false">-AK110</f>
        <v>-0</v>
      </c>
      <c r="AL160" s="158" t="n">
        <f aca="false">-AL110</f>
        <v>-19483.0232931507</v>
      </c>
      <c r="AM160" s="158" t="n">
        <f aca="false">-AM110</f>
        <v>-0</v>
      </c>
      <c r="AN160" s="158" t="n">
        <f aca="false">-AN110</f>
        <v>-0</v>
      </c>
      <c r="AO160" s="158" t="n">
        <f aca="false">-AO110</f>
        <v>-0</v>
      </c>
      <c r="AP160" s="158" t="n">
        <f aca="false">-AP110</f>
        <v>-0</v>
      </c>
      <c r="AQ160" s="158" t="n">
        <f aca="false">-AQ110</f>
        <v>-0</v>
      </c>
      <c r="AR160" s="158" t="n">
        <f aca="false">-AR110</f>
        <v>-0</v>
      </c>
      <c r="AS160" s="158" t="n">
        <f aca="false">-AS110</f>
        <v>-0</v>
      </c>
      <c r="AT160" s="158" t="n">
        <f aca="false">-AT110</f>
        <v>-0</v>
      </c>
      <c r="AU160" s="158" t="n">
        <f aca="false">-AU110</f>
        <v>-0</v>
      </c>
      <c r="AV160" s="158" t="n">
        <f aca="false">-AV110</f>
        <v>-0</v>
      </c>
      <c r="AW160" s="158" t="n">
        <f aca="false">-AW110</f>
        <v>-0</v>
      </c>
      <c r="AX160" s="158" t="n">
        <f aca="false">-AX110</f>
        <v>-0</v>
      </c>
      <c r="AY160" s="158" t="n">
        <f aca="false">-AY110</f>
        <v>-0</v>
      </c>
      <c r="AZ160" s="158" t="n">
        <f aca="false">-AZ110</f>
        <v>-0</v>
      </c>
      <c r="BA160" s="158" t="n">
        <f aca="false">-BA110</f>
        <v>-0</v>
      </c>
      <c r="BB160" s="158" t="n">
        <f aca="false">-BB110</f>
        <v>-0</v>
      </c>
      <c r="BC160" s="158" t="n">
        <f aca="false">-BC110</f>
        <v>-0</v>
      </c>
      <c r="BD160" s="158" t="n">
        <f aca="false">-BD110</f>
        <v>-0</v>
      </c>
      <c r="BE160" s="158" t="n">
        <f aca="false">-BE110</f>
        <v>-0</v>
      </c>
      <c r="BF160" s="158" t="n">
        <f aca="false">-BF110</f>
        <v>-0</v>
      </c>
      <c r="BG160" s="158" t="n">
        <f aca="false">-BG110</f>
        <v>-0</v>
      </c>
      <c r="BH160" s="158" t="n">
        <f aca="false">-BH110</f>
        <v>-0</v>
      </c>
      <c r="BI160" s="158" t="n">
        <f aca="false">-BI110</f>
        <v>-0</v>
      </c>
      <c r="BJ160" s="158" t="n">
        <f aca="false">-BJ110</f>
        <v>-0</v>
      </c>
      <c r="BK160" s="158" t="n">
        <f aca="false">-BK110</f>
        <v>-0</v>
      </c>
      <c r="BL160" s="158" t="n">
        <f aca="false">-BL110</f>
        <v>-0</v>
      </c>
      <c r="BM160" s="158" t="n">
        <f aca="false">-BM110</f>
        <v>-0</v>
      </c>
      <c r="BN160" s="158" t="n">
        <f aca="false">-BN110</f>
        <v>-0</v>
      </c>
      <c r="BO160" s="158" t="n">
        <f aca="false">-BO110</f>
        <v>-0</v>
      </c>
      <c r="BP160" s="158" t="n">
        <f aca="false">-BP110</f>
        <v>-0</v>
      </c>
    </row>
    <row r="161" customFormat="false" ht="15" hidden="false" customHeight="false" outlineLevel="0" collapsed="false">
      <c r="C161" s="0" t="s">
        <v>1110</v>
      </c>
      <c r="D161" s="0" t="s">
        <v>125</v>
      </c>
      <c r="E161" s="158"/>
      <c r="F161" s="158"/>
      <c r="G161" s="158" t="n">
        <f aca="false">SUM(H161:BP161)</f>
        <v>-8.21917808219178</v>
      </c>
      <c r="H161" s="158" t="n">
        <f aca="false">-H124</f>
        <v>-0</v>
      </c>
      <c r="I161" s="158" t="n">
        <f aca="false">-I124</f>
        <v>-0</v>
      </c>
      <c r="J161" s="158" t="n">
        <f aca="false">-J124</f>
        <v>-0</v>
      </c>
      <c r="K161" s="158" t="n">
        <f aca="false">-K124</f>
        <v>-8.21917808219178</v>
      </c>
      <c r="L161" s="158" t="n">
        <f aca="false">-L124</f>
        <v>-0</v>
      </c>
      <c r="M161" s="158" t="n">
        <f aca="false">-M124</f>
        <v>-0</v>
      </c>
      <c r="N161" s="158" t="n">
        <f aca="false">-N124</f>
        <v>-0</v>
      </c>
      <c r="O161" s="158" t="n">
        <f aca="false">-O124</f>
        <v>-0</v>
      </c>
      <c r="P161" s="158" t="n">
        <f aca="false">-P124</f>
        <v>-0</v>
      </c>
      <c r="Q161" s="158" t="n">
        <f aca="false">-Q124</f>
        <v>-0</v>
      </c>
      <c r="R161" s="158" t="n">
        <f aca="false">-R124</f>
        <v>-0</v>
      </c>
      <c r="S161" s="158" t="n">
        <f aca="false">-S124</f>
        <v>-0</v>
      </c>
      <c r="T161" s="158" t="n">
        <f aca="false">-T124</f>
        <v>-0</v>
      </c>
      <c r="U161" s="158" t="n">
        <f aca="false">-U124</f>
        <v>-0</v>
      </c>
      <c r="V161" s="158" t="n">
        <f aca="false">-V124</f>
        <v>-0</v>
      </c>
      <c r="W161" s="158" t="n">
        <f aca="false">-W124</f>
        <v>-0</v>
      </c>
      <c r="X161" s="158" t="n">
        <f aca="false">-X124</f>
        <v>-0</v>
      </c>
      <c r="Y161" s="158" t="n">
        <f aca="false">-Y124</f>
        <v>-0</v>
      </c>
      <c r="Z161" s="158" t="n">
        <f aca="false">-Z124</f>
        <v>-0</v>
      </c>
      <c r="AA161" s="158" t="n">
        <f aca="false">-AA124</f>
        <v>-0</v>
      </c>
      <c r="AB161" s="158" t="n">
        <f aca="false">-AB124</f>
        <v>-0</v>
      </c>
      <c r="AC161" s="158" t="n">
        <f aca="false">-AC124</f>
        <v>-0</v>
      </c>
      <c r="AD161" s="158" t="n">
        <f aca="false">-AD124</f>
        <v>-0</v>
      </c>
      <c r="AE161" s="158" t="n">
        <f aca="false">-AE124</f>
        <v>-0</v>
      </c>
      <c r="AF161" s="158" t="n">
        <f aca="false">-AF124</f>
        <v>-0</v>
      </c>
      <c r="AG161" s="158" t="n">
        <f aca="false">-AG124</f>
        <v>-0</v>
      </c>
      <c r="AH161" s="158" t="n">
        <f aca="false">-AH124</f>
        <v>-0</v>
      </c>
      <c r="AI161" s="158" t="n">
        <f aca="false">-AI124</f>
        <v>-0</v>
      </c>
      <c r="AJ161" s="158" t="n">
        <f aca="false">-AJ124</f>
        <v>-0</v>
      </c>
      <c r="AK161" s="158" t="n">
        <f aca="false">-AK124</f>
        <v>-0</v>
      </c>
      <c r="AL161" s="158" t="n">
        <f aca="false">-AL124</f>
        <v>-0</v>
      </c>
      <c r="AM161" s="158" t="n">
        <f aca="false">-AM124</f>
        <v>-0</v>
      </c>
      <c r="AN161" s="158" t="n">
        <f aca="false">-AN124</f>
        <v>-0</v>
      </c>
      <c r="AO161" s="158" t="n">
        <f aca="false">-AO124</f>
        <v>-0</v>
      </c>
      <c r="AP161" s="158" t="n">
        <f aca="false">-AP124</f>
        <v>-0</v>
      </c>
      <c r="AQ161" s="158" t="n">
        <f aca="false">-AQ124</f>
        <v>-0</v>
      </c>
      <c r="AR161" s="158" t="n">
        <f aca="false">-AR124</f>
        <v>-0</v>
      </c>
      <c r="AS161" s="158" t="n">
        <f aca="false">-AS124</f>
        <v>-0</v>
      </c>
      <c r="AT161" s="158" t="n">
        <f aca="false">-AT124</f>
        <v>-0</v>
      </c>
      <c r="AU161" s="158" t="n">
        <f aca="false">-AU124</f>
        <v>-0</v>
      </c>
      <c r="AV161" s="158" t="n">
        <f aca="false">-AV124</f>
        <v>-0</v>
      </c>
      <c r="AW161" s="158" t="n">
        <f aca="false">-AW124</f>
        <v>-0</v>
      </c>
      <c r="AX161" s="158" t="n">
        <f aca="false">-AX124</f>
        <v>-0</v>
      </c>
      <c r="AY161" s="158" t="n">
        <f aca="false">-AY124</f>
        <v>-0</v>
      </c>
      <c r="AZ161" s="158" t="n">
        <f aca="false">-AZ124</f>
        <v>-0</v>
      </c>
      <c r="BA161" s="158" t="n">
        <f aca="false">-BA124</f>
        <v>-0</v>
      </c>
      <c r="BB161" s="158" t="n">
        <f aca="false">-BB124</f>
        <v>-0</v>
      </c>
      <c r="BC161" s="158" t="n">
        <f aca="false">-BC124</f>
        <v>-0</v>
      </c>
      <c r="BD161" s="158" t="n">
        <f aca="false">-BD124</f>
        <v>-0</v>
      </c>
      <c r="BE161" s="158" t="n">
        <f aca="false">-BE124</f>
        <v>-0</v>
      </c>
      <c r="BF161" s="158" t="n">
        <f aca="false">-BF124</f>
        <v>-0</v>
      </c>
      <c r="BG161" s="158" t="n">
        <f aca="false">-BG124</f>
        <v>-0</v>
      </c>
      <c r="BH161" s="158" t="n">
        <f aca="false">-BH124</f>
        <v>-0</v>
      </c>
      <c r="BI161" s="158" t="n">
        <f aca="false">-BI124</f>
        <v>-0</v>
      </c>
      <c r="BJ161" s="158" t="n">
        <f aca="false">-BJ124</f>
        <v>-0</v>
      </c>
      <c r="BK161" s="158" t="n">
        <f aca="false">-BK124</f>
        <v>-0</v>
      </c>
      <c r="BL161" s="158" t="n">
        <f aca="false">-BL124</f>
        <v>-0</v>
      </c>
      <c r="BM161" s="158" t="n">
        <f aca="false">-BM124</f>
        <v>-0</v>
      </c>
      <c r="BN161" s="158" t="n">
        <f aca="false">-BN124</f>
        <v>-0</v>
      </c>
      <c r="BO161" s="158" t="n">
        <f aca="false">-BO124</f>
        <v>-0</v>
      </c>
      <c r="BP161" s="158" t="n">
        <f aca="false">-BP124</f>
        <v>-0</v>
      </c>
    </row>
    <row r="162" customFormat="false" ht="15" hidden="false" customHeight="false" outlineLevel="0" collapsed="false">
      <c r="C162" s="0" t="s">
        <v>1111</v>
      </c>
      <c r="D162" s="0" t="s">
        <v>125</v>
      </c>
      <c r="E162" s="158"/>
      <c r="F162" s="158"/>
      <c r="G162" s="158" t="n">
        <f aca="false">SUM(H162:BP162)</f>
        <v>-1543.92296087496</v>
      </c>
      <c r="H162" s="158" t="n">
        <f aca="false">-H125</f>
        <v>-0</v>
      </c>
      <c r="I162" s="158" t="n">
        <f aca="false">-I125</f>
        <v>-0</v>
      </c>
      <c r="J162" s="158" t="n">
        <f aca="false">-J125</f>
        <v>-0</v>
      </c>
      <c r="K162" s="158" t="n">
        <f aca="false">-K125</f>
        <v>-88.6216216216216</v>
      </c>
      <c r="L162" s="158" t="n">
        <f aca="false">-L125</f>
        <v>-0</v>
      </c>
      <c r="M162" s="158" t="n">
        <f aca="false">-M125</f>
        <v>-0</v>
      </c>
      <c r="N162" s="158" t="n">
        <f aca="false">-N125</f>
        <v>-4.86486486486487</v>
      </c>
      <c r="O162" s="158" t="n">
        <f aca="false">-O125</f>
        <v>-89.4466216216216</v>
      </c>
      <c r="P162" s="158" t="n">
        <f aca="false">-P125</f>
        <v>-199</v>
      </c>
      <c r="Q162" s="158" t="n">
        <f aca="false">-Q125</f>
        <v>-0</v>
      </c>
      <c r="R162" s="158" t="n">
        <f aca="false">-R125</f>
        <v>-0</v>
      </c>
      <c r="S162" s="158" t="n">
        <f aca="false">-S125</f>
        <v>-21.6216216216216</v>
      </c>
      <c r="T162" s="158" t="n">
        <f aca="false">-T125</f>
        <v>-21.6216216216216</v>
      </c>
      <c r="U162" s="158" t="n">
        <f aca="false">-U125</f>
        <v>-0</v>
      </c>
      <c r="V162" s="158" t="n">
        <f aca="false">-V125</f>
        <v>-0</v>
      </c>
      <c r="W162" s="158" t="n">
        <f aca="false">-W125</f>
        <v>-0</v>
      </c>
      <c r="X162" s="158" t="n">
        <f aca="false">-X125</f>
        <v>-20.2702702702703</v>
      </c>
      <c r="Y162" s="158" t="n">
        <f aca="false">-Y125</f>
        <v>-71.3405405405405</v>
      </c>
      <c r="Z162" s="158" t="n">
        <f aca="false">-Z125</f>
        <v>-477.371966354109</v>
      </c>
      <c r="AA162" s="158" t="n">
        <f aca="false">-AA125</f>
        <v>-114.864864864865</v>
      </c>
      <c r="AB162" s="158" t="n">
        <f aca="false">-AB125</f>
        <v>-44.0675675675676</v>
      </c>
      <c r="AC162" s="158" t="n">
        <f aca="false">-AC125</f>
        <v>-0.0540540540540541</v>
      </c>
      <c r="AD162" s="158" t="n">
        <f aca="false">-AD125</f>
        <v>-0</v>
      </c>
      <c r="AE162" s="158" t="n">
        <f aca="false">-AE125</f>
        <v>-2.25</v>
      </c>
      <c r="AF162" s="158" t="n">
        <f aca="false">-AF125</f>
        <v>-0</v>
      </c>
      <c r="AG162" s="158" t="n">
        <f aca="false">-AG125</f>
        <v>-80.9370285714286</v>
      </c>
      <c r="AH162" s="158" t="n">
        <f aca="false">-AH125</f>
        <v>-0</v>
      </c>
      <c r="AI162" s="158" t="n">
        <f aca="false">-AI125</f>
        <v>-0</v>
      </c>
      <c r="AJ162" s="158" t="n">
        <f aca="false">-AJ125</f>
        <v>-16.2162162162162</v>
      </c>
      <c r="AK162" s="158" t="n">
        <f aca="false">-AK125</f>
        <v>-141.103830814286</v>
      </c>
      <c r="AL162" s="158" t="n">
        <f aca="false">-AL125</f>
        <v>-27.027027027027</v>
      </c>
      <c r="AM162" s="158" t="n">
        <f aca="false">-AM125</f>
        <v>-0</v>
      </c>
      <c r="AN162" s="158" t="n">
        <f aca="false">-AN125</f>
        <v>-123.243243243243</v>
      </c>
      <c r="AO162" s="158" t="n">
        <f aca="false">-AO125</f>
        <v>-0</v>
      </c>
      <c r="AP162" s="158" t="n">
        <f aca="false">-AP125</f>
        <v>-0</v>
      </c>
      <c r="AQ162" s="158" t="n">
        <f aca="false">-AQ125</f>
        <v>-0</v>
      </c>
      <c r="AR162" s="158" t="n">
        <f aca="false">-AR125</f>
        <v>-0</v>
      </c>
      <c r="AS162" s="158" t="n">
        <f aca="false">-AS125</f>
        <v>-0</v>
      </c>
      <c r="AT162" s="158" t="n">
        <f aca="false">-AT125</f>
        <v>-0</v>
      </c>
      <c r="AU162" s="158" t="n">
        <f aca="false">-AU125</f>
        <v>-0</v>
      </c>
      <c r="AV162" s="158" t="n">
        <f aca="false">-AV125</f>
        <v>-0</v>
      </c>
      <c r="AW162" s="158" t="n">
        <f aca="false">-AW125</f>
        <v>-0</v>
      </c>
      <c r="AX162" s="158" t="n">
        <f aca="false">-AX125</f>
        <v>-0</v>
      </c>
      <c r="AY162" s="158" t="n">
        <f aca="false">-AY125</f>
        <v>-0</v>
      </c>
      <c r="AZ162" s="158" t="n">
        <f aca="false">-AZ125</f>
        <v>-0</v>
      </c>
      <c r="BA162" s="158" t="n">
        <f aca="false">-BA125</f>
        <v>-0</v>
      </c>
      <c r="BB162" s="158" t="n">
        <f aca="false">-BB125</f>
        <v>-0</v>
      </c>
      <c r="BC162" s="158" t="n">
        <f aca="false">-BC125</f>
        <v>-0</v>
      </c>
      <c r="BD162" s="158" t="n">
        <f aca="false">-BD125</f>
        <v>-0</v>
      </c>
      <c r="BE162" s="158" t="n">
        <f aca="false">-BE125</f>
        <v>-0</v>
      </c>
      <c r="BF162" s="158" t="n">
        <f aca="false">-BF125</f>
        <v>-0</v>
      </c>
      <c r="BG162" s="158" t="n">
        <f aca="false">-BG125</f>
        <v>-0</v>
      </c>
      <c r="BH162" s="158" t="n">
        <f aca="false">-BH125</f>
        <v>-0</v>
      </c>
      <c r="BI162" s="158" t="n">
        <f aca="false">-BI125</f>
        <v>-0</v>
      </c>
      <c r="BJ162" s="158" t="n">
        <f aca="false">-BJ125</f>
        <v>-0</v>
      </c>
      <c r="BK162" s="158" t="n">
        <f aca="false">-BK125</f>
        <v>-0</v>
      </c>
      <c r="BL162" s="158" t="n">
        <f aca="false">-BL125</f>
        <v>-0</v>
      </c>
      <c r="BM162" s="158" t="n">
        <f aca="false">-BM125</f>
        <v>-0</v>
      </c>
      <c r="BN162" s="158" t="n">
        <f aca="false">-BN125</f>
        <v>-0</v>
      </c>
      <c r="BO162" s="158" t="n">
        <f aca="false">-BO125</f>
        <v>-0</v>
      </c>
      <c r="BP162" s="158" t="n">
        <f aca="false">-BP125</f>
        <v>-0</v>
      </c>
    </row>
    <row r="163" customFormat="false" ht="15" hidden="false" customHeight="false" outlineLevel="0" collapsed="false">
      <c r="C163" s="0" t="s">
        <v>1112</v>
      </c>
      <c r="D163" s="0" t="s">
        <v>125</v>
      </c>
      <c r="E163" s="158"/>
      <c r="F163" s="158"/>
      <c r="G163" s="158" t="n">
        <f aca="false">SUM(H163:BP163)</f>
        <v>-1004.97479452055</v>
      </c>
      <c r="H163" s="158" t="n">
        <f aca="false">-$E$106*H79</f>
        <v>-0</v>
      </c>
      <c r="I163" s="158" t="n">
        <f aca="false">-$E$106*I79</f>
        <v>-0</v>
      </c>
      <c r="J163" s="158" t="n">
        <f aca="false">-$E$106*J79</f>
        <v>-0</v>
      </c>
      <c r="K163" s="158" t="n">
        <f aca="false">-$E$106*K79</f>
        <v>-5.84287671232877</v>
      </c>
      <c r="L163" s="158" t="n">
        <f aca="false">-$E$106*L79</f>
        <v>-5.84287671232877</v>
      </c>
      <c r="M163" s="158" t="n">
        <f aca="false">-$E$106*M79</f>
        <v>-29.2143835616438</v>
      </c>
      <c r="N163" s="158" t="n">
        <f aca="false">-$E$106*N79</f>
        <v>-29.2143835616438</v>
      </c>
      <c r="O163" s="158" t="n">
        <f aca="false">-$E$106*O79</f>
        <v>-29.2143835616438</v>
      </c>
      <c r="P163" s="158" t="n">
        <f aca="false">-$E$106*P79</f>
        <v>-29.2143835616438</v>
      </c>
      <c r="Q163" s="158" t="n">
        <f aca="false">-$E$106*Q79</f>
        <v>-29.2143835616438</v>
      </c>
      <c r="R163" s="158" t="n">
        <f aca="false">-$E$106*R79</f>
        <v>-29.2143835616438</v>
      </c>
      <c r="S163" s="158" t="n">
        <f aca="false">-$E$106*S79</f>
        <v>-29.2143835616438</v>
      </c>
      <c r="T163" s="158" t="n">
        <f aca="false">-$E$106*T79</f>
        <v>-29.2143835616438</v>
      </c>
      <c r="U163" s="158" t="n">
        <f aca="false">-$E$106*U79</f>
        <v>-29.2143835616438</v>
      </c>
      <c r="V163" s="158" t="n">
        <f aca="false">-$E$106*V79</f>
        <v>-29.2143835616438</v>
      </c>
      <c r="W163" s="158" t="n">
        <f aca="false">-$E$106*W79</f>
        <v>-29.2143835616438</v>
      </c>
      <c r="X163" s="158" t="n">
        <f aca="false">-$E$106*X79</f>
        <v>-29.2143835616438</v>
      </c>
      <c r="Y163" s="158" t="n">
        <f aca="false">-$E$106*Y79</f>
        <v>-29.2143835616438</v>
      </c>
      <c r="Z163" s="158" t="n">
        <f aca="false">-$E$106*Z79</f>
        <v>-29.2143835616438</v>
      </c>
      <c r="AA163" s="158" t="n">
        <f aca="false">-$E$106*AA79</f>
        <v>-29.2143835616438</v>
      </c>
      <c r="AB163" s="158" t="n">
        <f aca="false">-$E$106*AB79</f>
        <v>-29.2143835616438</v>
      </c>
      <c r="AC163" s="158" t="n">
        <f aca="false">-$E$106*AC79</f>
        <v>-29.2143835616438</v>
      </c>
      <c r="AD163" s="158" t="n">
        <f aca="false">-$E$106*AD79</f>
        <v>-29.2143835616438</v>
      </c>
      <c r="AE163" s="158" t="n">
        <f aca="false">-$E$106*AE79</f>
        <v>-29.2143835616438</v>
      </c>
      <c r="AF163" s="158" t="n">
        <f aca="false">-$E$106*AF79</f>
        <v>-29.2143835616438</v>
      </c>
      <c r="AG163" s="158" t="n">
        <f aca="false">-$E$106*AG79</f>
        <v>-29.2143835616438</v>
      </c>
      <c r="AH163" s="158" t="n">
        <f aca="false">-$E$106*AH79</f>
        <v>-29.2143835616438</v>
      </c>
      <c r="AI163" s="158" t="n">
        <f aca="false">-$E$106*AI79</f>
        <v>-29.2143835616438</v>
      </c>
      <c r="AJ163" s="158" t="n">
        <f aca="false">-$E$106*AJ79</f>
        <v>-29.2143835616438</v>
      </c>
      <c r="AK163" s="158" t="n">
        <f aca="false">-$E$106*AK79</f>
        <v>-29.2143835616438</v>
      </c>
      <c r="AL163" s="158" t="n">
        <f aca="false">-$E$106*AL79</f>
        <v>-29.2143835616438</v>
      </c>
      <c r="AM163" s="158" t="n">
        <f aca="false">-$E$106*AM79</f>
        <v>-29.2143835616438</v>
      </c>
      <c r="AN163" s="158" t="n">
        <f aca="false">-$E$106*AN79</f>
        <v>-29.2143835616438</v>
      </c>
      <c r="AO163" s="158" t="n">
        <f aca="false">-$E$106*AO79</f>
        <v>-29.2143835616438</v>
      </c>
      <c r="AP163" s="158" t="n">
        <f aca="false">-$E$106*AP79</f>
        <v>-29.2143835616438</v>
      </c>
      <c r="AQ163" s="158" t="n">
        <f aca="false">-$E$106*AQ79</f>
        <v>-29.2143835616438</v>
      </c>
      <c r="AR163" s="158" t="n">
        <f aca="false">-$E$106*AR79</f>
        <v>-29.2143835616438</v>
      </c>
      <c r="AS163" s="158" t="n">
        <f aca="false">-$E$106*AS79</f>
        <v>-29.2143835616438</v>
      </c>
      <c r="AT163" s="158" t="n">
        <f aca="false">-$E$106*AT79</f>
        <v>-29.2143835616438</v>
      </c>
      <c r="AU163" s="158" t="n">
        <f aca="false">-$E$106*AU79</f>
        <v>-0</v>
      </c>
      <c r="AV163" s="158" t="n">
        <f aca="false">-$E$106*AV79</f>
        <v>-0</v>
      </c>
      <c r="AW163" s="158" t="n">
        <f aca="false">-$E$106*AW79</f>
        <v>-0</v>
      </c>
      <c r="AX163" s="158" t="n">
        <f aca="false">-$E$106*AX79</f>
        <v>-0</v>
      </c>
      <c r="AY163" s="158" t="n">
        <f aca="false">-$E$106*AY79</f>
        <v>-0</v>
      </c>
      <c r="AZ163" s="158" t="n">
        <f aca="false">-$E$106*AZ79</f>
        <v>-0</v>
      </c>
      <c r="BA163" s="158" t="n">
        <f aca="false">-$E$106*BA79</f>
        <v>-0</v>
      </c>
      <c r="BB163" s="158" t="n">
        <f aca="false">-$E$106*BB79</f>
        <v>-0</v>
      </c>
      <c r="BC163" s="158" t="n">
        <f aca="false">-$E$106*BC79</f>
        <v>-0</v>
      </c>
      <c r="BD163" s="158" t="n">
        <f aca="false">-$E$106*BD79</f>
        <v>-0</v>
      </c>
      <c r="BE163" s="158" t="n">
        <f aca="false">-$E$106*BE79</f>
        <v>-0</v>
      </c>
      <c r="BF163" s="158" t="n">
        <f aca="false">-$E$106*BF79</f>
        <v>-0</v>
      </c>
      <c r="BG163" s="158" t="n">
        <f aca="false">-$E$106*BG79</f>
        <v>-0</v>
      </c>
      <c r="BH163" s="158" t="n">
        <f aca="false">-$E$106*BH79</f>
        <v>-0</v>
      </c>
      <c r="BI163" s="158" t="n">
        <f aca="false">-$E$106*BI79</f>
        <v>-0</v>
      </c>
      <c r="BJ163" s="158" t="n">
        <f aca="false">-$E$106*BJ79</f>
        <v>-0</v>
      </c>
      <c r="BK163" s="158" t="n">
        <f aca="false">-$E$106*BK79</f>
        <v>-0</v>
      </c>
      <c r="BL163" s="158" t="n">
        <f aca="false">-$E$106*BL79</f>
        <v>-0</v>
      </c>
      <c r="BM163" s="158" t="n">
        <f aca="false">-$E$106*BM79</f>
        <v>-0</v>
      </c>
      <c r="BN163" s="158" t="n">
        <f aca="false">-$E$106*BN79</f>
        <v>-0</v>
      </c>
      <c r="BO163" s="158" t="n">
        <f aca="false">-$E$106*BO79</f>
        <v>-0</v>
      </c>
      <c r="BP163" s="158" t="n">
        <f aca="false">-$E$106*BP79</f>
        <v>-0</v>
      </c>
    </row>
    <row r="164" customFormat="false" ht="15" hidden="false" customHeight="false" outlineLevel="0" collapsed="false">
      <c r="C164" s="205" t="s">
        <v>1113</v>
      </c>
      <c r="D164" s="205" t="s">
        <v>125</v>
      </c>
      <c r="E164" s="251"/>
      <c r="F164" s="251"/>
      <c r="G164" s="251" t="n">
        <f aca="false">SUM(H164:BP164)</f>
        <v>-23473.0169389572</v>
      </c>
      <c r="H164" s="251" t="n">
        <f aca="false">SUM(H158:H163)</f>
        <v>-200</v>
      </c>
      <c r="I164" s="251" t="n">
        <f aca="false">SUM(I158:I163)</f>
        <v>0</v>
      </c>
      <c r="J164" s="251" t="n">
        <f aca="false">SUM(J158:J163)</f>
        <v>0</v>
      </c>
      <c r="K164" s="251" t="n">
        <f aca="false">SUM(K158:K163)</f>
        <v>-102.683676416142</v>
      </c>
      <c r="L164" s="251" t="n">
        <f aca="false">SUM(L158:L163)</f>
        <v>-5.84287671232877</v>
      </c>
      <c r="M164" s="251" t="n">
        <f aca="false">SUM(M158:M163)</f>
        <v>-1262.09109589041</v>
      </c>
      <c r="N164" s="251" t="n">
        <f aca="false">SUM(N158:N163)</f>
        <v>-34.0792484265087</v>
      </c>
      <c r="O164" s="251" t="n">
        <f aca="false">SUM(O158:O163)</f>
        <v>-118.661005183265</v>
      </c>
      <c r="P164" s="251" t="n">
        <f aca="false">SUM(P158:P163)</f>
        <v>-228.214383561644</v>
      </c>
      <c r="Q164" s="251" t="n">
        <f aca="false">SUM(Q158:Q163)</f>
        <v>-29.2143835616438</v>
      </c>
      <c r="R164" s="251" t="n">
        <f aca="false">SUM(R158:R163)</f>
        <v>-29.2143835616438</v>
      </c>
      <c r="S164" s="251" t="n">
        <f aca="false">SUM(S158:S163)</f>
        <v>-50.8360051832655</v>
      </c>
      <c r="T164" s="251" t="n">
        <f aca="false">SUM(T158:T163)</f>
        <v>-50.8360051832655</v>
      </c>
      <c r="U164" s="251" t="n">
        <f aca="false">SUM(U158:U163)</f>
        <v>-29.2143835616438</v>
      </c>
      <c r="V164" s="251" t="n">
        <f aca="false">SUM(V158:V163)</f>
        <v>-29.2143835616438</v>
      </c>
      <c r="W164" s="251" t="n">
        <f aca="false">SUM(W158:W163)</f>
        <v>-29.2143835616438</v>
      </c>
      <c r="X164" s="251" t="n">
        <f aca="false">SUM(X158:X163)</f>
        <v>-49.4846538319141</v>
      </c>
      <c r="Y164" s="251" t="n">
        <f aca="false">SUM(Y158:Y163)</f>
        <v>-100.554924102184</v>
      </c>
      <c r="Z164" s="251" t="n">
        <f aca="false">SUM(Z158:Z163)</f>
        <v>-506.586349915753</v>
      </c>
      <c r="AA164" s="251" t="n">
        <f aca="false">SUM(AA158:AA163)</f>
        <v>-144.079248426509</v>
      </c>
      <c r="AB164" s="251" t="n">
        <f aca="false">SUM(AB158:AB163)</f>
        <v>-73.2819511292114</v>
      </c>
      <c r="AC164" s="251" t="n">
        <f aca="false">SUM(AC158:AC163)</f>
        <v>-29.2684376156979</v>
      </c>
      <c r="AD164" s="251" t="n">
        <f aca="false">SUM(AD158:AD163)</f>
        <v>-29.2143835616438</v>
      </c>
      <c r="AE164" s="251" t="n">
        <f aca="false">SUM(AE158:AE163)</f>
        <v>-31.4643835616438</v>
      </c>
      <c r="AF164" s="251" t="n">
        <f aca="false">SUM(AF158:AF163)</f>
        <v>-29.2143835616438</v>
      </c>
      <c r="AG164" s="251" t="n">
        <f aca="false">SUM(AG158:AG163)</f>
        <v>-110.151412133072</v>
      </c>
      <c r="AH164" s="251" t="n">
        <f aca="false">SUM(AH158:AH163)</f>
        <v>-29.2143835616438</v>
      </c>
      <c r="AI164" s="251" t="n">
        <f aca="false">SUM(AI158:AI163)</f>
        <v>-29.2143835616438</v>
      </c>
      <c r="AJ164" s="251" t="n">
        <f aca="false">SUM(AJ158:AJ163)</f>
        <v>-45.4305997778601</v>
      </c>
      <c r="AK164" s="251" t="n">
        <f aca="false">SUM(AK158:AK163)</f>
        <v>-170.31821437593</v>
      </c>
      <c r="AL164" s="251" t="n">
        <f aca="false">SUM(AL158:AL163)</f>
        <v>-19539.2647037394</v>
      </c>
      <c r="AM164" s="251" t="n">
        <f aca="false">SUM(AM158:AM163)</f>
        <v>-29.2143835616438</v>
      </c>
      <c r="AN164" s="251" t="n">
        <f aca="false">SUM(AN158:AN163)</f>
        <v>-152.457626804887</v>
      </c>
      <c r="AO164" s="251" t="n">
        <f aca="false">SUM(AO158:AO163)</f>
        <v>-29.2143835616438</v>
      </c>
      <c r="AP164" s="251" t="n">
        <f aca="false">SUM(AP158:AP163)</f>
        <v>-29.2143835616438</v>
      </c>
      <c r="AQ164" s="251" t="n">
        <f aca="false">SUM(AQ158:AQ163)</f>
        <v>-29.2143835616438</v>
      </c>
      <c r="AR164" s="251" t="n">
        <f aca="false">SUM(AR158:AR163)</f>
        <v>-29.2143835616438</v>
      </c>
      <c r="AS164" s="251" t="n">
        <f aca="false">SUM(AS158:AS163)</f>
        <v>-29.2143835616438</v>
      </c>
      <c r="AT164" s="251" t="n">
        <f aca="false">SUM(AT158:AT163)</f>
        <v>-29.2143835616438</v>
      </c>
      <c r="AU164" s="251" t="n">
        <f aca="false">SUM(AU158:AU163)</f>
        <v>0</v>
      </c>
      <c r="AV164" s="251" t="n">
        <f aca="false">SUM(AV158:AV163)</f>
        <v>0</v>
      </c>
      <c r="AW164" s="251" t="n">
        <f aca="false">SUM(AW158:AW163)</f>
        <v>0</v>
      </c>
      <c r="AX164" s="251" t="n">
        <f aca="false">SUM(AX158:AX163)</f>
        <v>0</v>
      </c>
      <c r="AY164" s="251" t="n">
        <f aca="false">SUM(AY158:AY163)</f>
        <v>0</v>
      </c>
      <c r="AZ164" s="251" t="n">
        <f aca="false">SUM(AZ158:AZ163)</f>
        <v>0</v>
      </c>
      <c r="BA164" s="251" t="n">
        <f aca="false">SUM(BA158:BA163)</f>
        <v>0</v>
      </c>
      <c r="BB164" s="251" t="n">
        <f aca="false">SUM(BB158:BB163)</f>
        <v>0</v>
      </c>
      <c r="BC164" s="251" t="n">
        <f aca="false">SUM(BC158:BC163)</f>
        <v>0</v>
      </c>
      <c r="BD164" s="251" t="n">
        <f aca="false">SUM(BD158:BD163)</f>
        <v>0</v>
      </c>
      <c r="BE164" s="251" t="n">
        <f aca="false">SUM(BE158:BE163)</f>
        <v>0</v>
      </c>
      <c r="BF164" s="251" t="n">
        <f aca="false">SUM(BF158:BF163)</f>
        <v>0</v>
      </c>
      <c r="BG164" s="251" t="n">
        <f aca="false">SUM(BG158:BG163)</f>
        <v>0</v>
      </c>
      <c r="BH164" s="251" t="n">
        <f aca="false">SUM(BH158:BH163)</f>
        <v>0</v>
      </c>
      <c r="BI164" s="251" t="n">
        <f aca="false">SUM(BI158:BI163)</f>
        <v>0</v>
      </c>
      <c r="BJ164" s="251" t="n">
        <f aca="false">SUM(BJ158:BJ163)</f>
        <v>0</v>
      </c>
      <c r="BK164" s="251" t="n">
        <f aca="false">SUM(BK158:BK163)</f>
        <v>0</v>
      </c>
      <c r="BL164" s="251" t="n">
        <f aca="false">SUM(BL158:BL163)</f>
        <v>0</v>
      </c>
      <c r="BM164" s="251" t="n">
        <f aca="false">SUM(BM158:BM163)</f>
        <v>0</v>
      </c>
      <c r="BN164" s="251" t="n">
        <f aca="false">SUM(BN158:BN163)</f>
        <v>0</v>
      </c>
      <c r="BO164" s="251" t="n">
        <f aca="false">SUM(BO158:BO163)</f>
        <v>0</v>
      </c>
      <c r="BP164" s="251" t="n">
        <f aca="false">SUM(BP158:BP163)</f>
        <v>0</v>
      </c>
    </row>
    <row r="165" customFormat="false" ht="15" hidden="false" customHeight="false" outlineLevel="0" collapsed="false">
      <c r="C165" s="0" t="s">
        <v>1114</v>
      </c>
      <c r="D165" s="0" t="s">
        <v>125</v>
      </c>
      <c r="E165" s="158"/>
      <c r="F165" s="158"/>
      <c r="G165" s="158" t="n">
        <f aca="false">MIN(H165:BP165)</f>
        <v>-23473.0169389572</v>
      </c>
      <c r="H165" s="158" t="n">
        <f aca="false">H164</f>
        <v>-200</v>
      </c>
      <c r="I165" s="158" t="n">
        <f aca="false">H165+I164</f>
        <v>-200</v>
      </c>
      <c r="J165" s="158" t="n">
        <f aca="false">I165+J164</f>
        <v>-200</v>
      </c>
      <c r="K165" s="158" t="n">
        <f aca="false">J165+K164</f>
        <v>-302.683676416142</v>
      </c>
      <c r="L165" s="158" t="n">
        <f aca="false">K165+L164</f>
        <v>-308.526553128471</v>
      </c>
      <c r="M165" s="158" t="n">
        <f aca="false">L165+M164</f>
        <v>-1570.61764901888</v>
      </c>
      <c r="N165" s="158" t="n">
        <f aca="false">M165+N164</f>
        <v>-1604.69689744539</v>
      </c>
      <c r="O165" s="158" t="n">
        <f aca="false">N165+O164</f>
        <v>-1723.35790262866</v>
      </c>
      <c r="P165" s="158" t="n">
        <f aca="false">O165+P164</f>
        <v>-1951.5722861903</v>
      </c>
      <c r="Q165" s="158" t="n">
        <f aca="false">P165+Q164</f>
        <v>-1980.78666975194</v>
      </c>
      <c r="R165" s="158" t="n">
        <f aca="false">Q165+R164</f>
        <v>-2010.00105331359</v>
      </c>
      <c r="S165" s="158" t="n">
        <f aca="false">R165+S164</f>
        <v>-2060.83705849685</v>
      </c>
      <c r="T165" s="158" t="n">
        <f aca="false">S165+T164</f>
        <v>-2111.67306368012</v>
      </c>
      <c r="U165" s="158" t="n">
        <f aca="false">T165+U164</f>
        <v>-2140.88744724176</v>
      </c>
      <c r="V165" s="158" t="n">
        <f aca="false">U165+V164</f>
        <v>-2170.10183080341</v>
      </c>
      <c r="W165" s="158" t="n">
        <f aca="false">V165+W164</f>
        <v>-2199.31621436505</v>
      </c>
      <c r="X165" s="158" t="n">
        <f aca="false">W165+X164</f>
        <v>-2248.80086819696</v>
      </c>
      <c r="Y165" s="158" t="n">
        <f aca="false">X165+Y164</f>
        <v>-2349.35579229915</v>
      </c>
      <c r="Z165" s="158" t="n">
        <f aca="false">Y165+Z164</f>
        <v>-2855.9421422149</v>
      </c>
      <c r="AA165" s="158" t="n">
        <f aca="false">Z165+AA164</f>
        <v>-3000.02139064141</v>
      </c>
      <c r="AB165" s="158" t="n">
        <f aca="false">AA165+AB164</f>
        <v>-3073.30334177062</v>
      </c>
      <c r="AC165" s="158" t="n">
        <f aca="false">AB165+AC164</f>
        <v>-3102.57177938632</v>
      </c>
      <c r="AD165" s="158" t="n">
        <f aca="false">AC165+AD164</f>
        <v>-3131.78616294796</v>
      </c>
      <c r="AE165" s="158" t="n">
        <f aca="false">AD165+AE164</f>
        <v>-3163.25054650961</v>
      </c>
      <c r="AF165" s="158" t="n">
        <f aca="false">AE165+AF164</f>
        <v>-3192.46493007125</v>
      </c>
      <c r="AG165" s="158" t="n">
        <f aca="false">AF165+AG164</f>
        <v>-3302.61634220432</v>
      </c>
      <c r="AH165" s="158" t="n">
        <f aca="false">AG165+AH164</f>
        <v>-3331.83072576597</v>
      </c>
      <c r="AI165" s="158" t="n">
        <f aca="false">AH165+AI164</f>
        <v>-3361.04510932761</v>
      </c>
      <c r="AJ165" s="158" t="n">
        <f aca="false">AI165+AJ164</f>
        <v>-3406.47570910547</v>
      </c>
      <c r="AK165" s="158" t="n">
        <f aca="false">AJ165+AK164</f>
        <v>-3576.7939234814</v>
      </c>
      <c r="AL165" s="158" t="n">
        <f aca="false">AK165+AL164</f>
        <v>-23116.0586272208</v>
      </c>
      <c r="AM165" s="158" t="n">
        <f aca="false">AL165+AM164</f>
        <v>-23145.2730107824</v>
      </c>
      <c r="AN165" s="158" t="n">
        <f aca="false">AM165+AN164</f>
        <v>-23297.7306375873</v>
      </c>
      <c r="AO165" s="158" t="n">
        <f aca="false">AN165+AO164</f>
        <v>-23326.9450211489</v>
      </c>
      <c r="AP165" s="158" t="n">
        <f aca="false">AO165+AP164</f>
        <v>-23356.1594047106</v>
      </c>
      <c r="AQ165" s="158" t="n">
        <f aca="false">AP165+AQ164</f>
        <v>-23385.3737882722</v>
      </c>
      <c r="AR165" s="158" t="n">
        <f aca="false">AQ165+AR164</f>
        <v>-23414.5881718339</v>
      </c>
      <c r="AS165" s="158" t="n">
        <f aca="false">AR165+AS164</f>
        <v>-23443.8025553955</v>
      </c>
      <c r="AT165" s="158" t="n">
        <f aca="false">AS165+AT164</f>
        <v>-23473.0169389572</v>
      </c>
      <c r="AU165" s="158" t="n">
        <f aca="false">AT165+AU164</f>
        <v>-23473.0169389572</v>
      </c>
      <c r="AV165" s="158" t="n">
        <f aca="false">AU165+AV164</f>
        <v>-23473.0169389572</v>
      </c>
      <c r="AW165" s="158" t="n">
        <f aca="false">AV165+AW164</f>
        <v>-23473.0169389572</v>
      </c>
      <c r="AX165" s="158" t="n">
        <f aca="false">AW165+AX164</f>
        <v>-23473.0169389572</v>
      </c>
      <c r="AY165" s="158" t="n">
        <f aca="false">AX165+AY164</f>
        <v>-23473.0169389572</v>
      </c>
      <c r="AZ165" s="158" t="n">
        <f aca="false">AY165+AZ164</f>
        <v>-23473.0169389572</v>
      </c>
      <c r="BA165" s="158" t="n">
        <f aca="false">AZ165+BA164</f>
        <v>-23473.0169389572</v>
      </c>
      <c r="BB165" s="158" t="n">
        <f aca="false">BA165+BB164</f>
        <v>-23473.0169389572</v>
      </c>
      <c r="BC165" s="158" t="n">
        <f aca="false">BB165+BC164</f>
        <v>-23473.0169389572</v>
      </c>
      <c r="BD165" s="158" t="n">
        <f aca="false">BC165+BD164</f>
        <v>-23473.0169389572</v>
      </c>
      <c r="BE165" s="158" t="n">
        <f aca="false">BD165+BE164</f>
        <v>-23473.0169389572</v>
      </c>
      <c r="BF165" s="158" t="n">
        <f aca="false">BE165+BF164</f>
        <v>-23473.0169389572</v>
      </c>
      <c r="BG165" s="158" t="n">
        <f aca="false">BF165+BG164</f>
        <v>-23473.0169389572</v>
      </c>
      <c r="BH165" s="158" t="n">
        <f aca="false">BG165+BH164</f>
        <v>-23473.0169389572</v>
      </c>
      <c r="BI165" s="158" t="n">
        <f aca="false">BH165+BI164</f>
        <v>-23473.0169389572</v>
      </c>
      <c r="BJ165" s="158" t="n">
        <f aca="false">BI165+BJ164</f>
        <v>-23473.0169389572</v>
      </c>
      <c r="BK165" s="158" t="n">
        <f aca="false">BJ165+BK164</f>
        <v>-23473.0169389572</v>
      </c>
      <c r="BL165" s="158" t="n">
        <f aca="false">BK165+BL164</f>
        <v>-23473.0169389572</v>
      </c>
      <c r="BM165" s="158" t="n">
        <f aca="false">BL165+BM164</f>
        <v>-23473.0169389572</v>
      </c>
      <c r="BN165" s="158" t="n">
        <f aca="false">BM165+BN164</f>
        <v>-23473.0169389572</v>
      </c>
      <c r="BO165" s="158" t="n">
        <f aca="false">BN165+BO164</f>
        <v>-23473.0169389572</v>
      </c>
      <c r="BP165" s="158" t="n">
        <f aca="false">BO165+BP164</f>
        <v>-23473.0169389572</v>
      </c>
    </row>
    <row r="166" customFormat="false" ht="15" hidden="false" customHeight="false" outlineLevel="0" collapsed="false">
      <c r="C166" s="0" t="s">
        <v>1115</v>
      </c>
      <c r="D166" s="0" t="s">
        <v>125</v>
      </c>
      <c r="E166" s="158"/>
      <c r="F166" s="158"/>
      <c r="G166" s="158" t="n">
        <f aca="false">SUM(H166:BP166)</f>
        <v>22239.6072562943</v>
      </c>
      <c r="H166" s="158" t="n">
        <f aca="false">-H$7*$G$147*$E$106</f>
        <v>0</v>
      </c>
      <c r="I166" s="158" t="n">
        <f aca="false">-I$7*$G$147*$E$106</f>
        <v>0</v>
      </c>
      <c r="J166" s="158" t="n">
        <f aca="false">-J$7*$G$147*$E$106</f>
        <v>0</v>
      </c>
      <c r="K166" s="158" t="n">
        <f aca="false">-K$7*$G$147*$E$106</f>
        <v>0</v>
      </c>
      <c r="L166" s="158" t="n">
        <f aca="false">-L$7*$G$147*$E$106</f>
        <v>0</v>
      </c>
      <c r="M166" s="158" t="n">
        <f aca="false">-M$7*$G$147*$E$106</f>
        <v>0</v>
      </c>
      <c r="N166" s="158" t="n">
        <f aca="false">-N$7*$G$147*$E$106</f>
        <v>0</v>
      </c>
      <c r="O166" s="158" t="n">
        <f aca="false">-O$7*$G$147*$E$106</f>
        <v>0</v>
      </c>
      <c r="P166" s="158" t="n">
        <f aca="false">-P$7*$G$147*$E$106</f>
        <v>0</v>
      </c>
      <c r="Q166" s="158" t="n">
        <f aca="false">-Q$7*$G$147*$E$106</f>
        <v>0</v>
      </c>
      <c r="R166" s="158" t="n">
        <f aca="false">-R$7*$G$147*$E$106</f>
        <v>0</v>
      </c>
      <c r="S166" s="158" t="n">
        <f aca="false">-S$7*$G$147*$E$106</f>
        <v>0</v>
      </c>
      <c r="T166" s="158" t="n">
        <f aca="false">-T$7*$G$147*$E$106</f>
        <v>0</v>
      </c>
      <c r="U166" s="158" t="n">
        <f aca="false">-U$7*$G$147*$E$106</f>
        <v>0</v>
      </c>
      <c r="V166" s="158" t="n">
        <f aca="false">-V$7*$G$147*$E$106</f>
        <v>0</v>
      </c>
      <c r="W166" s="158" t="n">
        <f aca="false">-W$7*$G$147*$E$106</f>
        <v>0</v>
      </c>
      <c r="X166" s="158" t="n">
        <f aca="false">-X$7*$G$147*$E$106</f>
        <v>0</v>
      </c>
      <c r="Y166" s="158" t="n">
        <f aca="false">-Y$7*$G$147*$E$106</f>
        <v>0</v>
      </c>
      <c r="Z166" s="158" t="n">
        <f aca="false">-Z$7*$G$147*$E$106</f>
        <v>0</v>
      </c>
      <c r="AA166" s="158" t="n">
        <f aca="false">-AA$7*$G$147*$E$106</f>
        <v>0</v>
      </c>
      <c r="AB166" s="158" t="n">
        <f aca="false">-AB$7*$G$147*$E$106</f>
        <v>0</v>
      </c>
      <c r="AC166" s="158" t="n">
        <f aca="false">-AC$7*$G$147*$E$106</f>
        <v>0</v>
      </c>
      <c r="AD166" s="158" t="n">
        <f aca="false">-AD$7*$G$147*$E$106</f>
        <v>0</v>
      </c>
      <c r="AE166" s="158" t="n">
        <f aca="false">-AE$7*$G$147*$E$106</f>
        <v>0</v>
      </c>
      <c r="AF166" s="158" t="n">
        <f aca="false">-AF$7*$G$147*$E$106</f>
        <v>0</v>
      </c>
      <c r="AG166" s="158" t="n">
        <f aca="false">-AG$7*$G$147*$E$106</f>
        <v>0</v>
      </c>
      <c r="AH166" s="158" t="n">
        <f aca="false">-AH$7*$G$147*$E$106</f>
        <v>0</v>
      </c>
      <c r="AI166" s="158" t="n">
        <f aca="false">-AI$7*$G$147*$E$106</f>
        <v>0</v>
      </c>
      <c r="AJ166" s="158" t="n">
        <f aca="false">-AJ$7*$G$147*$E$106</f>
        <v>0</v>
      </c>
      <c r="AK166" s="158" t="n">
        <f aca="false">-AK$7*$G$147*$E$106</f>
        <v>0</v>
      </c>
      <c r="AL166" s="158" t="n">
        <f aca="false">-AL$7*$G$147*$E$106</f>
        <v>0</v>
      </c>
      <c r="AM166" s="158" t="n">
        <f aca="false">-AM$7*$G$147*$E$106</f>
        <v>0</v>
      </c>
      <c r="AN166" s="158" t="n">
        <f aca="false">-AN$7*$G$147*$E$106</f>
        <v>0</v>
      </c>
      <c r="AO166" s="158" t="n">
        <f aca="false">-AO$7*$G$147*$E$106</f>
        <v>0</v>
      </c>
      <c r="AP166" s="158" t="n">
        <f aca="false">-AP$7*$G$147*$E$106</f>
        <v>0</v>
      </c>
      <c r="AQ166" s="158" t="n">
        <f aca="false">-AQ$7*$G$147*$E$106</f>
        <v>0</v>
      </c>
      <c r="AR166" s="158" t="n">
        <f aca="false">-AR$7*$G$147*$E$106</f>
        <v>0</v>
      </c>
      <c r="AS166" s="158" t="n">
        <f aca="false">-AS$7*$G$147*$E$106</f>
        <v>0</v>
      </c>
      <c r="AT166" s="158" t="n">
        <f aca="false">-AT$7*$G$147*$E$106</f>
        <v>22239.6072562943</v>
      </c>
      <c r="AU166" s="158" t="n">
        <f aca="false">-AU$7*$G$147*$E$106</f>
        <v>0</v>
      </c>
      <c r="AV166" s="158" t="n">
        <f aca="false">-AV$7*$G$147*$E$106</f>
        <v>0</v>
      </c>
      <c r="AW166" s="158" t="n">
        <f aca="false">-AW$7*$G$147*$E$106</f>
        <v>0</v>
      </c>
      <c r="AX166" s="158" t="n">
        <f aca="false">-AX$7*$G$147*$E$106</f>
        <v>0</v>
      </c>
      <c r="AY166" s="158" t="n">
        <f aca="false">-AY$7*$G$147*$E$106</f>
        <v>0</v>
      </c>
      <c r="AZ166" s="158" t="n">
        <f aca="false">-AZ$7*$G$147*$E$106</f>
        <v>0</v>
      </c>
      <c r="BA166" s="158" t="n">
        <f aca="false">-BA$7*$G$147*$E$106</f>
        <v>0</v>
      </c>
      <c r="BB166" s="158" t="n">
        <f aca="false">-BB$7*$G$147*$E$106</f>
        <v>0</v>
      </c>
      <c r="BC166" s="158" t="n">
        <f aca="false">-BC$7*$G$147*$E$106</f>
        <v>0</v>
      </c>
      <c r="BD166" s="158" t="n">
        <f aca="false">-BD$7*$G$147*$E$106</f>
        <v>0</v>
      </c>
      <c r="BE166" s="158" t="n">
        <f aca="false">-BE$7*$G$147*$E$106</f>
        <v>0</v>
      </c>
      <c r="BF166" s="158" t="n">
        <f aca="false">-BF$7*$G$147*$E$106</f>
        <v>0</v>
      </c>
      <c r="BG166" s="158" t="n">
        <f aca="false">-BG$7*$G$147*$E$106</f>
        <v>0</v>
      </c>
      <c r="BH166" s="158" t="n">
        <f aca="false">-BH$7*$G$147*$E$106</f>
        <v>0</v>
      </c>
      <c r="BI166" s="158" t="n">
        <f aca="false">-BI$7*$G$147*$E$106</f>
        <v>0</v>
      </c>
      <c r="BJ166" s="158" t="n">
        <f aca="false">-BJ$7*$G$147*$E$106</f>
        <v>0</v>
      </c>
      <c r="BK166" s="158" t="n">
        <f aca="false">-BK$7*$G$147*$E$106</f>
        <v>0</v>
      </c>
      <c r="BL166" s="158" t="n">
        <f aca="false">-BL$7*$G$147*$E$106</f>
        <v>0</v>
      </c>
      <c r="BM166" s="158" t="n">
        <f aca="false">-BM$7*$G$147*$E$106</f>
        <v>0</v>
      </c>
      <c r="BN166" s="158" t="n">
        <f aca="false">-BN$7*$G$147*$E$106</f>
        <v>0</v>
      </c>
      <c r="BO166" s="158" t="n">
        <f aca="false">-BO$7*$G$147*$E$106</f>
        <v>0</v>
      </c>
      <c r="BP166" s="158" t="n">
        <f aca="false">-BP$7*$G$147*$E$106</f>
        <v>0</v>
      </c>
    </row>
    <row r="167" customFormat="false" ht="15" hidden="false" customHeight="false" outlineLevel="0" collapsed="false">
      <c r="C167" s="0" t="s">
        <v>1116</v>
      </c>
      <c r="D167" s="0" t="s">
        <v>125</v>
      </c>
      <c r="E167" s="158"/>
      <c r="F167" s="158"/>
      <c r="G167" s="158" t="n">
        <f aca="false">SUM(H167:BP167)</f>
        <v>212.689864864865</v>
      </c>
      <c r="H167" s="158" t="n">
        <f aca="false">-H$7*$G$148*$E$106</f>
        <v>0</v>
      </c>
      <c r="I167" s="158" t="n">
        <f aca="false">-I$7*$G$148*$E$106</f>
        <v>0</v>
      </c>
      <c r="J167" s="158" t="n">
        <f aca="false">-J$7*$G$148*$E$106</f>
        <v>0</v>
      </c>
      <c r="K167" s="158" t="n">
        <f aca="false">-K$7*$G$148*$E$106</f>
        <v>0</v>
      </c>
      <c r="L167" s="158" t="n">
        <f aca="false">-L$7*$G$148*$E$106</f>
        <v>0</v>
      </c>
      <c r="M167" s="158" t="n">
        <f aca="false">-M$7*$G$148*$E$106</f>
        <v>0</v>
      </c>
      <c r="N167" s="158" t="n">
        <f aca="false">-N$7*$G$148*$E$106</f>
        <v>0</v>
      </c>
      <c r="O167" s="158" t="n">
        <f aca="false">-O$7*$G$148*$E$106</f>
        <v>0</v>
      </c>
      <c r="P167" s="158" t="n">
        <f aca="false">-P$7*$G$148*$E$106</f>
        <v>0</v>
      </c>
      <c r="Q167" s="158" t="n">
        <f aca="false">-Q$7*$G$148*$E$106</f>
        <v>0</v>
      </c>
      <c r="R167" s="158" t="n">
        <f aca="false">-R$7*$G$148*$E$106</f>
        <v>0</v>
      </c>
      <c r="S167" s="158" t="n">
        <f aca="false">-S$7*$G$148*$E$106</f>
        <v>0</v>
      </c>
      <c r="T167" s="158" t="n">
        <f aca="false">-T$7*$G$148*$E$106</f>
        <v>0</v>
      </c>
      <c r="U167" s="158" t="n">
        <f aca="false">-U$7*$G$148*$E$106</f>
        <v>0</v>
      </c>
      <c r="V167" s="158" t="n">
        <f aca="false">-V$7*$G$148*$E$106</f>
        <v>0</v>
      </c>
      <c r="W167" s="158" t="n">
        <f aca="false">-W$7*$G$148*$E$106</f>
        <v>0</v>
      </c>
      <c r="X167" s="158" t="n">
        <f aca="false">-X$7*$G$148*$E$106</f>
        <v>0</v>
      </c>
      <c r="Y167" s="158" t="n">
        <f aca="false">-Y$7*$G$148*$E$106</f>
        <v>0</v>
      </c>
      <c r="Z167" s="158" t="n">
        <f aca="false">-Z$7*$G$148*$E$106</f>
        <v>0</v>
      </c>
      <c r="AA167" s="158" t="n">
        <f aca="false">-AA$7*$G$148*$E$106</f>
        <v>0</v>
      </c>
      <c r="AB167" s="158" t="n">
        <f aca="false">-AB$7*$G$148*$E$106</f>
        <v>0</v>
      </c>
      <c r="AC167" s="158" t="n">
        <f aca="false">-AC$7*$G$148*$E$106</f>
        <v>0</v>
      </c>
      <c r="AD167" s="158" t="n">
        <f aca="false">-AD$7*$G$148*$E$106</f>
        <v>0</v>
      </c>
      <c r="AE167" s="158" t="n">
        <f aca="false">-AE$7*$G$148*$E$106</f>
        <v>0</v>
      </c>
      <c r="AF167" s="158" t="n">
        <f aca="false">-AF$7*$G$148*$E$106</f>
        <v>0</v>
      </c>
      <c r="AG167" s="158" t="n">
        <f aca="false">-AG$7*$G$148*$E$106</f>
        <v>0</v>
      </c>
      <c r="AH167" s="158" t="n">
        <f aca="false">-AH$7*$G$148*$E$106</f>
        <v>0</v>
      </c>
      <c r="AI167" s="158" t="n">
        <f aca="false">-AI$7*$G$148*$E$106</f>
        <v>0</v>
      </c>
      <c r="AJ167" s="158" t="n">
        <f aca="false">-AJ$7*$G$148*$E$106</f>
        <v>0</v>
      </c>
      <c r="AK167" s="158" t="n">
        <f aca="false">-AK$7*$G$148*$E$106</f>
        <v>0</v>
      </c>
      <c r="AL167" s="158" t="n">
        <f aca="false">-AL$7*$G$148*$E$106</f>
        <v>0</v>
      </c>
      <c r="AM167" s="158" t="n">
        <f aca="false">-AM$7*$G$148*$E$106</f>
        <v>0</v>
      </c>
      <c r="AN167" s="158" t="n">
        <f aca="false">-AN$7*$G$148*$E$106</f>
        <v>0</v>
      </c>
      <c r="AO167" s="158" t="n">
        <f aca="false">-AO$7*$G$148*$E$106</f>
        <v>0</v>
      </c>
      <c r="AP167" s="158" t="n">
        <f aca="false">-AP$7*$G$148*$E$106</f>
        <v>0</v>
      </c>
      <c r="AQ167" s="158" t="n">
        <f aca="false">-AQ$7*$G$148*$E$106</f>
        <v>0</v>
      </c>
      <c r="AR167" s="158" t="n">
        <f aca="false">-AR$7*$G$148*$E$106</f>
        <v>0</v>
      </c>
      <c r="AS167" s="158" t="n">
        <f aca="false">-AS$7*$G$148*$E$106</f>
        <v>0</v>
      </c>
      <c r="AT167" s="158" t="n">
        <f aca="false">-AT$7*$G$148*$E$106</f>
        <v>212.689864864865</v>
      </c>
      <c r="AU167" s="158" t="n">
        <f aca="false">-AU$7*$G$148*$E$106</f>
        <v>0</v>
      </c>
      <c r="AV167" s="158" t="n">
        <f aca="false">-AV$7*$G$148*$E$106</f>
        <v>0</v>
      </c>
      <c r="AW167" s="158" t="n">
        <f aca="false">-AW$7*$G$148*$E$106</f>
        <v>0</v>
      </c>
      <c r="AX167" s="158" t="n">
        <f aca="false">-AX$7*$G$148*$E$106</f>
        <v>0</v>
      </c>
      <c r="AY167" s="158" t="n">
        <f aca="false">-AY$7*$G$148*$E$106</f>
        <v>0</v>
      </c>
      <c r="AZ167" s="158" t="n">
        <f aca="false">-AZ$7*$G$148*$E$106</f>
        <v>0</v>
      </c>
      <c r="BA167" s="158" t="n">
        <f aca="false">-BA$7*$G$148*$E$106</f>
        <v>0</v>
      </c>
      <c r="BB167" s="158" t="n">
        <f aca="false">-BB$7*$G$148*$E$106</f>
        <v>0</v>
      </c>
      <c r="BC167" s="158" t="n">
        <f aca="false">-BC$7*$G$148*$E$106</f>
        <v>0</v>
      </c>
      <c r="BD167" s="158" t="n">
        <f aca="false">-BD$7*$G$148*$E$106</f>
        <v>0</v>
      </c>
      <c r="BE167" s="158" t="n">
        <f aca="false">-BE$7*$G$148*$E$106</f>
        <v>0</v>
      </c>
      <c r="BF167" s="158" t="n">
        <f aca="false">-BF$7*$G$148*$E$106</f>
        <v>0</v>
      </c>
      <c r="BG167" s="158" t="n">
        <f aca="false">-BG$7*$G$148*$E$106</f>
        <v>0</v>
      </c>
      <c r="BH167" s="158" t="n">
        <f aca="false">-BH$7*$G$148*$E$106</f>
        <v>0</v>
      </c>
      <c r="BI167" s="158" t="n">
        <f aca="false">-BI$7*$G$148*$E$106</f>
        <v>0</v>
      </c>
      <c r="BJ167" s="158" t="n">
        <f aca="false">-BJ$7*$G$148*$E$106</f>
        <v>0</v>
      </c>
      <c r="BK167" s="158" t="n">
        <f aca="false">-BK$7*$G$148*$E$106</f>
        <v>0</v>
      </c>
      <c r="BL167" s="158" t="n">
        <f aca="false">-BL$7*$G$148*$E$106</f>
        <v>0</v>
      </c>
      <c r="BM167" s="158" t="n">
        <f aca="false">-BM$7*$G$148*$E$106</f>
        <v>0</v>
      </c>
      <c r="BN167" s="158" t="n">
        <f aca="false">-BN$7*$G$148*$E$106</f>
        <v>0</v>
      </c>
      <c r="BO167" s="158" t="n">
        <f aca="false">-BO$7*$G$148*$E$106</f>
        <v>0</v>
      </c>
      <c r="BP167" s="158" t="n">
        <f aca="false">-BP$7*$G$148*$E$106</f>
        <v>0</v>
      </c>
    </row>
    <row r="168" customFormat="false" ht="15" hidden="false" customHeight="false" outlineLevel="0" collapsed="false">
      <c r="C168" s="0" t="s">
        <v>1117</v>
      </c>
      <c r="D168" s="0" t="s">
        <v>125</v>
      </c>
      <c r="E168" s="158"/>
      <c r="F168" s="158"/>
      <c r="G168" s="158" t="n">
        <f aca="false">SUM(H168:BP168)</f>
        <v>1546.85369800002</v>
      </c>
      <c r="H168" s="158" t="n">
        <f aca="false">-H$7*$G$149*$E$106</f>
        <v>0</v>
      </c>
      <c r="I168" s="158" t="n">
        <f aca="false">-I$7*$G$149*$E$106</f>
        <v>0</v>
      </c>
      <c r="J168" s="158" t="n">
        <f aca="false">-J$7*$G$149*$E$106</f>
        <v>0</v>
      </c>
      <c r="K168" s="158" t="n">
        <f aca="false">-K$7*$G$149*$E$106</f>
        <v>0</v>
      </c>
      <c r="L168" s="158" t="n">
        <f aca="false">-L$7*$G$149*$E$106</f>
        <v>0</v>
      </c>
      <c r="M168" s="158" t="n">
        <f aca="false">-M$7*$G$149*$E$106</f>
        <v>0</v>
      </c>
      <c r="N168" s="158" t="n">
        <f aca="false">-N$7*$G$149*$E$106</f>
        <v>0</v>
      </c>
      <c r="O168" s="158" t="n">
        <f aca="false">-O$7*$G$149*$E$106</f>
        <v>0</v>
      </c>
      <c r="P168" s="158" t="n">
        <f aca="false">-P$7*$G$149*$E$106</f>
        <v>0</v>
      </c>
      <c r="Q168" s="158" t="n">
        <f aca="false">-Q$7*$G$149*$E$106</f>
        <v>0</v>
      </c>
      <c r="R168" s="158" t="n">
        <f aca="false">-R$7*$G$149*$E$106</f>
        <v>0</v>
      </c>
      <c r="S168" s="158" t="n">
        <f aca="false">-S$7*$G$149*$E$106</f>
        <v>0</v>
      </c>
      <c r="T168" s="158" t="n">
        <f aca="false">-T$7*$G$149*$E$106</f>
        <v>0</v>
      </c>
      <c r="U168" s="158" t="n">
        <f aca="false">-U$7*$G$149*$E$106</f>
        <v>0</v>
      </c>
      <c r="V168" s="158" t="n">
        <f aca="false">-V$7*$G$149*$E$106</f>
        <v>0</v>
      </c>
      <c r="W168" s="158" t="n">
        <f aca="false">-W$7*$G$149*$E$106</f>
        <v>0</v>
      </c>
      <c r="X168" s="158" t="n">
        <f aca="false">-X$7*$G$149*$E$106</f>
        <v>0</v>
      </c>
      <c r="Y168" s="158" t="n">
        <f aca="false">-Y$7*$G$149*$E$106</f>
        <v>0</v>
      </c>
      <c r="Z168" s="158" t="n">
        <f aca="false">-Z$7*$G$149*$E$106</f>
        <v>0</v>
      </c>
      <c r="AA168" s="158" t="n">
        <f aca="false">-AA$7*$G$149*$E$106</f>
        <v>0</v>
      </c>
      <c r="AB168" s="158" t="n">
        <f aca="false">-AB$7*$G$149*$E$106</f>
        <v>0</v>
      </c>
      <c r="AC168" s="158" t="n">
        <f aca="false">-AC$7*$G$149*$E$106</f>
        <v>0</v>
      </c>
      <c r="AD168" s="158" t="n">
        <f aca="false">-AD$7*$G$149*$E$106</f>
        <v>0</v>
      </c>
      <c r="AE168" s="158" t="n">
        <f aca="false">-AE$7*$G$149*$E$106</f>
        <v>0</v>
      </c>
      <c r="AF168" s="158" t="n">
        <f aca="false">-AF$7*$G$149*$E$106</f>
        <v>0</v>
      </c>
      <c r="AG168" s="158" t="n">
        <f aca="false">-AG$7*$G$149*$E$106</f>
        <v>0</v>
      </c>
      <c r="AH168" s="158" t="n">
        <f aca="false">-AH$7*$G$149*$E$106</f>
        <v>0</v>
      </c>
      <c r="AI168" s="158" t="n">
        <f aca="false">-AI$7*$G$149*$E$106</f>
        <v>0</v>
      </c>
      <c r="AJ168" s="158" t="n">
        <f aca="false">-AJ$7*$G$149*$E$106</f>
        <v>0</v>
      </c>
      <c r="AK168" s="158" t="n">
        <f aca="false">-AK$7*$G$149*$E$106</f>
        <v>0</v>
      </c>
      <c r="AL168" s="158" t="n">
        <f aca="false">-AL$7*$G$149*$E$106</f>
        <v>0</v>
      </c>
      <c r="AM168" s="158" t="n">
        <f aca="false">-AM$7*$G$149*$E$106</f>
        <v>0</v>
      </c>
      <c r="AN168" s="158" t="n">
        <f aca="false">-AN$7*$G$149*$E$106</f>
        <v>0</v>
      </c>
      <c r="AO168" s="158" t="n">
        <f aca="false">-AO$7*$G$149*$E$106</f>
        <v>0</v>
      </c>
      <c r="AP168" s="158" t="n">
        <f aca="false">-AP$7*$G$149*$E$106</f>
        <v>0</v>
      </c>
      <c r="AQ168" s="158" t="n">
        <f aca="false">-AQ$7*$G$149*$E$106</f>
        <v>0</v>
      </c>
      <c r="AR168" s="158" t="n">
        <f aca="false">-AR$7*$G$149*$E$106</f>
        <v>0</v>
      </c>
      <c r="AS168" s="158" t="n">
        <f aca="false">-AS$7*$G$149*$E$106</f>
        <v>0</v>
      </c>
      <c r="AT168" s="158" t="n">
        <f aca="false">-AT$7*$G$149*$E$106</f>
        <v>1546.85369800002</v>
      </c>
      <c r="AU168" s="158" t="n">
        <f aca="false">-AU$7*$G$149*$E$106</f>
        <v>0</v>
      </c>
      <c r="AV168" s="158" t="n">
        <f aca="false">-AV$7*$G$149*$E$106</f>
        <v>0</v>
      </c>
      <c r="AW168" s="158" t="n">
        <f aca="false">-AW$7*$G$149*$E$106</f>
        <v>0</v>
      </c>
      <c r="AX168" s="158" t="n">
        <f aca="false">-AX$7*$G$149*$E$106</f>
        <v>0</v>
      </c>
      <c r="AY168" s="158" t="n">
        <f aca="false">-AY$7*$G$149*$E$106</f>
        <v>0</v>
      </c>
      <c r="AZ168" s="158" t="n">
        <f aca="false">-AZ$7*$G$149*$E$106</f>
        <v>0</v>
      </c>
      <c r="BA168" s="158" t="n">
        <f aca="false">-BA$7*$G$149*$E$106</f>
        <v>0</v>
      </c>
      <c r="BB168" s="158" t="n">
        <f aca="false">-BB$7*$G$149*$E$106</f>
        <v>0</v>
      </c>
      <c r="BC168" s="158" t="n">
        <f aca="false">-BC$7*$G$149*$E$106</f>
        <v>0</v>
      </c>
      <c r="BD168" s="158" t="n">
        <f aca="false">-BD$7*$G$149*$E$106</f>
        <v>0</v>
      </c>
      <c r="BE168" s="158" t="n">
        <f aca="false">-BE$7*$G$149*$E$106</f>
        <v>0</v>
      </c>
      <c r="BF168" s="158" t="n">
        <f aca="false">-BF$7*$G$149*$E$106</f>
        <v>0</v>
      </c>
      <c r="BG168" s="158" t="n">
        <f aca="false">-BG$7*$G$149*$E$106</f>
        <v>0</v>
      </c>
      <c r="BH168" s="158" t="n">
        <f aca="false">-BH$7*$G$149*$E$106</f>
        <v>0</v>
      </c>
      <c r="BI168" s="158" t="n">
        <f aca="false">-BI$7*$G$149*$E$106</f>
        <v>0</v>
      </c>
      <c r="BJ168" s="158" t="n">
        <f aca="false">-BJ$7*$G$149*$E$106</f>
        <v>0</v>
      </c>
      <c r="BK168" s="158" t="n">
        <f aca="false">-BK$7*$G$149*$E$106</f>
        <v>0</v>
      </c>
      <c r="BL168" s="158" t="n">
        <f aca="false">-BL$7*$G$149*$E$106</f>
        <v>0</v>
      </c>
      <c r="BM168" s="158" t="n">
        <f aca="false">-BM$7*$G$149*$E$106</f>
        <v>0</v>
      </c>
      <c r="BN168" s="158" t="n">
        <f aca="false">-BN$7*$G$149*$E$106</f>
        <v>0</v>
      </c>
      <c r="BO168" s="158" t="n">
        <f aca="false">-BO$7*$G$149*$E$106</f>
        <v>0</v>
      </c>
      <c r="BP168" s="158" t="n">
        <f aca="false">-BP$7*$G$149*$E$106</f>
        <v>0</v>
      </c>
    </row>
    <row r="169" customFormat="false" ht="15" hidden="false" customHeight="false" outlineLevel="0" collapsed="false">
      <c r="C169" s="0" t="s">
        <v>1118</v>
      </c>
      <c r="D169" s="0" t="s">
        <v>125</v>
      </c>
      <c r="E169" s="158"/>
      <c r="F169" s="158"/>
      <c r="G169" s="158" t="n">
        <f aca="false">SUM(H169:BP169)</f>
        <v>933.292884158135</v>
      </c>
      <c r="H169" s="158" t="n">
        <f aca="false">-H$7*$G$150*$E$106</f>
        <v>0</v>
      </c>
      <c r="I169" s="158" t="n">
        <f aca="false">-I$7*$G$150*$E$106</f>
        <v>0</v>
      </c>
      <c r="J169" s="158" t="n">
        <f aca="false">-J$7*$G$150*$E$106</f>
        <v>0</v>
      </c>
      <c r="K169" s="158" t="n">
        <f aca="false">-K$7*$G$150*$E$106</f>
        <v>0</v>
      </c>
      <c r="L169" s="158" t="n">
        <f aca="false">-L$7*$G$150*$E$106</f>
        <v>0</v>
      </c>
      <c r="M169" s="158" t="n">
        <f aca="false">-M$7*$G$150*$E$106</f>
        <v>0</v>
      </c>
      <c r="N169" s="158" t="n">
        <f aca="false">-N$7*$G$150*$E$106</f>
        <v>0</v>
      </c>
      <c r="O169" s="158" t="n">
        <f aca="false">-O$7*$G$150*$E$106</f>
        <v>0</v>
      </c>
      <c r="P169" s="158" t="n">
        <f aca="false">-P$7*$G$150*$E$106</f>
        <v>0</v>
      </c>
      <c r="Q169" s="158" t="n">
        <f aca="false">-Q$7*$G$150*$E$106</f>
        <v>0</v>
      </c>
      <c r="R169" s="158" t="n">
        <f aca="false">-R$7*$G$150*$E$106</f>
        <v>0</v>
      </c>
      <c r="S169" s="158" t="n">
        <f aca="false">-S$7*$G$150*$E$106</f>
        <v>0</v>
      </c>
      <c r="T169" s="158" t="n">
        <f aca="false">-T$7*$G$150*$E$106</f>
        <v>0</v>
      </c>
      <c r="U169" s="158" t="n">
        <f aca="false">-U$7*$G$150*$E$106</f>
        <v>0</v>
      </c>
      <c r="V169" s="158" t="n">
        <f aca="false">-V$7*$G$150*$E$106</f>
        <v>0</v>
      </c>
      <c r="W169" s="158" t="n">
        <f aca="false">-W$7*$G$150*$E$106</f>
        <v>0</v>
      </c>
      <c r="X169" s="158" t="n">
        <f aca="false">-X$7*$G$150*$E$106</f>
        <v>0</v>
      </c>
      <c r="Y169" s="158" t="n">
        <f aca="false">-Y$7*$G$150*$E$106</f>
        <v>0</v>
      </c>
      <c r="Z169" s="158" t="n">
        <f aca="false">-Z$7*$G$150*$E$106</f>
        <v>0</v>
      </c>
      <c r="AA169" s="158" t="n">
        <f aca="false">-AA$7*$G$150*$E$106</f>
        <v>0</v>
      </c>
      <c r="AB169" s="158" t="n">
        <f aca="false">-AB$7*$G$150*$E$106</f>
        <v>0</v>
      </c>
      <c r="AC169" s="158" t="n">
        <f aca="false">-AC$7*$G$150*$E$106</f>
        <v>0</v>
      </c>
      <c r="AD169" s="158" t="n">
        <f aca="false">-AD$7*$G$150*$E$106</f>
        <v>0</v>
      </c>
      <c r="AE169" s="158" t="n">
        <f aca="false">-AE$7*$G$150*$E$106</f>
        <v>0</v>
      </c>
      <c r="AF169" s="158" t="n">
        <f aca="false">-AF$7*$G$150*$E$106</f>
        <v>0</v>
      </c>
      <c r="AG169" s="158" t="n">
        <f aca="false">-AG$7*$G$150*$E$106</f>
        <v>0</v>
      </c>
      <c r="AH169" s="158" t="n">
        <f aca="false">-AH$7*$G$150*$E$106</f>
        <v>0</v>
      </c>
      <c r="AI169" s="158" t="n">
        <f aca="false">-AI$7*$G$150*$E$106</f>
        <v>0</v>
      </c>
      <c r="AJ169" s="158" t="n">
        <f aca="false">-AJ$7*$G$150*$E$106</f>
        <v>0</v>
      </c>
      <c r="AK169" s="158" t="n">
        <f aca="false">-AK$7*$G$150*$E$106</f>
        <v>0</v>
      </c>
      <c r="AL169" s="158" t="n">
        <f aca="false">-AL$7*$G$150*$E$106</f>
        <v>0</v>
      </c>
      <c r="AM169" s="158" t="n">
        <f aca="false">-AM$7*$G$150*$E$106</f>
        <v>0</v>
      </c>
      <c r="AN169" s="158" t="n">
        <f aca="false">-AN$7*$G$150*$E$106</f>
        <v>0</v>
      </c>
      <c r="AO169" s="158" t="n">
        <f aca="false">-AO$7*$G$150*$E$106</f>
        <v>0</v>
      </c>
      <c r="AP169" s="158" t="n">
        <f aca="false">-AP$7*$G$150*$E$106</f>
        <v>0</v>
      </c>
      <c r="AQ169" s="158" t="n">
        <f aca="false">-AQ$7*$G$150*$E$106</f>
        <v>0</v>
      </c>
      <c r="AR169" s="158" t="n">
        <f aca="false">-AR$7*$G$150*$E$106</f>
        <v>0</v>
      </c>
      <c r="AS169" s="158" t="n">
        <f aca="false">-AS$7*$G$150*$E$106</f>
        <v>0</v>
      </c>
      <c r="AT169" s="158" t="n">
        <f aca="false">-AT$7*$G$150*$E$106</f>
        <v>933.292884158135</v>
      </c>
      <c r="AU169" s="158" t="n">
        <f aca="false">-AU$7*$G$150*$E$106</f>
        <v>0</v>
      </c>
      <c r="AV169" s="158" t="n">
        <f aca="false">-AV$7*$G$150*$E$106</f>
        <v>0</v>
      </c>
      <c r="AW169" s="158" t="n">
        <f aca="false">-AW$7*$G$150*$E$106</f>
        <v>0</v>
      </c>
      <c r="AX169" s="158" t="n">
        <f aca="false">-AX$7*$G$150*$E$106</f>
        <v>0</v>
      </c>
      <c r="AY169" s="158" t="n">
        <f aca="false">-AY$7*$G$150*$E$106</f>
        <v>0</v>
      </c>
      <c r="AZ169" s="158" t="n">
        <f aca="false">-AZ$7*$G$150*$E$106</f>
        <v>0</v>
      </c>
      <c r="BA169" s="158" t="n">
        <f aca="false">-BA$7*$G$150*$E$106</f>
        <v>0</v>
      </c>
      <c r="BB169" s="158" t="n">
        <f aca="false">-BB$7*$G$150*$E$106</f>
        <v>0</v>
      </c>
      <c r="BC169" s="158" t="n">
        <f aca="false">-BC$7*$G$150*$E$106</f>
        <v>0</v>
      </c>
      <c r="BD169" s="158" t="n">
        <f aca="false">-BD$7*$G$150*$E$106</f>
        <v>0</v>
      </c>
      <c r="BE169" s="158" t="n">
        <f aca="false">-BE$7*$G$150*$E$106</f>
        <v>0</v>
      </c>
      <c r="BF169" s="158" t="n">
        <f aca="false">-BF$7*$G$150*$E$106</f>
        <v>0</v>
      </c>
      <c r="BG169" s="158" t="n">
        <f aca="false">-BG$7*$G$150*$E$106</f>
        <v>0</v>
      </c>
      <c r="BH169" s="158" t="n">
        <f aca="false">-BH$7*$G$150*$E$106</f>
        <v>0</v>
      </c>
      <c r="BI169" s="158" t="n">
        <f aca="false">-BI$7*$G$150*$E$106</f>
        <v>0</v>
      </c>
      <c r="BJ169" s="158" t="n">
        <f aca="false">-BJ$7*$G$150*$E$106</f>
        <v>0</v>
      </c>
      <c r="BK169" s="158" t="n">
        <f aca="false">-BK$7*$G$150*$E$106</f>
        <v>0</v>
      </c>
      <c r="BL169" s="158" t="n">
        <f aca="false">-BL$7*$G$150*$E$106</f>
        <v>0</v>
      </c>
      <c r="BM169" s="158" t="n">
        <f aca="false">-BM$7*$G$150*$E$106</f>
        <v>0</v>
      </c>
      <c r="BN169" s="158" t="n">
        <f aca="false">-BN$7*$G$150*$E$106</f>
        <v>0</v>
      </c>
      <c r="BO169" s="158" t="n">
        <f aca="false">-BO$7*$G$150*$E$106</f>
        <v>0</v>
      </c>
      <c r="BP169" s="158" t="n">
        <f aca="false">-BP$7*$G$150*$E$106</f>
        <v>0</v>
      </c>
    </row>
    <row r="170" customFormat="false" ht="15" hidden="false" customHeight="false" outlineLevel="0" collapsed="false">
      <c r="C170" s="0" t="s">
        <v>1119</v>
      </c>
      <c r="D170" s="0" t="s">
        <v>125</v>
      </c>
      <c r="E170" s="158"/>
      <c r="F170" s="158"/>
      <c r="G170" s="158" t="n">
        <f aca="false">SUM(H170:BP170)</f>
        <v>10248.6370391411</v>
      </c>
      <c r="H170" s="158" t="n">
        <f aca="false">H$7*$G$153</f>
        <v>0</v>
      </c>
      <c r="I170" s="158" t="n">
        <f aca="false">I$7*$G$153</f>
        <v>0</v>
      </c>
      <c r="J170" s="158" t="n">
        <f aca="false">J$7*$G$153</f>
        <v>0</v>
      </c>
      <c r="K170" s="158" t="n">
        <f aca="false">K$7*$G$153</f>
        <v>0</v>
      </c>
      <c r="L170" s="158" t="n">
        <f aca="false">L$7*$G$153</f>
        <v>0</v>
      </c>
      <c r="M170" s="158" t="n">
        <f aca="false">M$7*$G$153</f>
        <v>0</v>
      </c>
      <c r="N170" s="158" t="n">
        <f aca="false">N$7*$G$153</f>
        <v>0</v>
      </c>
      <c r="O170" s="158" t="n">
        <f aca="false">O$7*$G$153</f>
        <v>0</v>
      </c>
      <c r="P170" s="158" t="n">
        <f aca="false">P$7*$G$153</f>
        <v>0</v>
      </c>
      <c r="Q170" s="158" t="n">
        <f aca="false">Q$7*$G$153</f>
        <v>0</v>
      </c>
      <c r="R170" s="158" t="n">
        <f aca="false">R$7*$G$153</f>
        <v>0</v>
      </c>
      <c r="S170" s="158" t="n">
        <f aca="false">S$7*$G$153</f>
        <v>0</v>
      </c>
      <c r="T170" s="158" t="n">
        <f aca="false">T$7*$G$153</f>
        <v>0</v>
      </c>
      <c r="U170" s="158" t="n">
        <f aca="false">U$7*$G$153</f>
        <v>0</v>
      </c>
      <c r="V170" s="158" t="n">
        <f aca="false">V$7*$G$153</f>
        <v>0</v>
      </c>
      <c r="W170" s="158" t="n">
        <f aca="false">W$7*$G$153</f>
        <v>0</v>
      </c>
      <c r="X170" s="158" t="n">
        <f aca="false">X$7*$G$153</f>
        <v>0</v>
      </c>
      <c r="Y170" s="158" t="n">
        <f aca="false">Y$7*$G$153</f>
        <v>0</v>
      </c>
      <c r="Z170" s="158" t="n">
        <f aca="false">Z$7*$G$153</f>
        <v>0</v>
      </c>
      <c r="AA170" s="158" t="n">
        <f aca="false">AA$7*$G$153</f>
        <v>0</v>
      </c>
      <c r="AB170" s="158" t="n">
        <f aca="false">AB$7*$G$153</f>
        <v>0</v>
      </c>
      <c r="AC170" s="158" t="n">
        <f aca="false">AC$7*$G$153</f>
        <v>0</v>
      </c>
      <c r="AD170" s="158" t="n">
        <f aca="false">AD$7*$G$153</f>
        <v>0</v>
      </c>
      <c r="AE170" s="158" t="n">
        <f aca="false">AE$7*$G$153</f>
        <v>0</v>
      </c>
      <c r="AF170" s="158" t="n">
        <f aca="false">AF$7*$G$153</f>
        <v>0</v>
      </c>
      <c r="AG170" s="158" t="n">
        <f aca="false">AG$7*$G$153</f>
        <v>0</v>
      </c>
      <c r="AH170" s="158" t="n">
        <f aca="false">AH$7*$G$153</f>
        <v>0</v>
      </c>
      <c r="AI170" s="158" t="n">
        <f aca="false">AI$7*$G$153</f>
        <v>0</v>
      </c>
      <c r="AJ170" s="158" t="n">
        <f aca="false">AJ$7*$G$153</f>
        <v>0</v>
      </c>
      <c r="AK170" s="158" t="n">
        <f aca="false">AK$7*$G$153</f>
        <v>0</v>
      </c>
      <c r="AL170" s="158" t="n">
        <f aca="false">AL$7*$G$153</f>
        <v>0</v>
      </c>
      <c r="AM170" s="158" t="n">
        <f aca="false">AM$7*$G$153</f>
        <v>0</v>
      </c>
      <c r="AN170" s="158" t="n">
        <f aca="false">AN$7*$G$153</f>
        <v>0</v>
      </c>
      <c r="AO170" s="158" t="n">
        <f aca="false">AO$7*$G$153</f>
        <v>0</v>
      </c>
      <c r="AP170" s="158" t="n">
        <f aca="false">AP$7*$G$153</f>
        <v>0</v>
      </c>
      <c r="AQ170" s="158" t="n">
        <f aca="false">AQ$7*$G$153</f>
        <v>0</v>
      </c>
      <c r="AR170" s="158" t="n">
        <f aca="false">AR$7*$G$153</f>
        <v>0</v>
      </c>
      <c r="AS170" s="158" t="n">
        <f aca="false">AS$7*$G$153</f>
        <v>0</v>
      </c>
      <c r="AT170" s="158" t="n">
        <f aca="false">AT$7*$G$153</f>
        <v>10248.6370391411</v>
      </c>
      <c r="AU170" s="158" t="n">
        <f aca="false">AU$7*$G$153</f>
        <v>0</v>
      </c>
      <c r="AV170" s="158" t="n">
        <f aca="false">AV$7*$G$153</f>
        <v>0</v>
      </c>
      <c r="AW170" s="158" t="n">
        <f aca="false">AW$7*$G$153</f>
        <v>0</v>
      </c>
      <c r="AX170" s="158" t="n">
        <f aca="false">AX$7*$G$153</f>
        <v>0</v>
      </c>
      <c r="AY170" s="158" t="n">
        <f aca="false">AY$7*$G$153</f>
        <v>0</v>
      </c>
      <c r="AZ170" s="158" t="n">
        <f aca="false">AZ$7*$G$153</f>
        <v>0</v>
      </c>
      <c r="BA170" s="158" t="n">
        <f aca="false">BA$7*$G$153</f>
        <v>0</v>
      </c>
      <c r="BB170" s="158" t="n">
        <f aca="false">BB$7*$G$153</f>
        <v>0</v>
      </c>
      <c r="BC170" s="158" t="n">
        <f aca="false">BC$7*$G$153</f>
        <v>0</v>
      </c>
      <c r="BD170" s="158" t="n">
        <f aca="false">BD$7*$G$153</f>
        <v>0</v>
      </c>
      <c r="BE170" s="158" t="n">
        <f aca="false">BE$7*$G$153</f>
        <v>0</v>
      </c>
      <c r="BF170" s="158" t="n">
        <f aca="false">BF$7*$G$153</f>
        <v>0</v>
      </c>
      <c r="BG170" s="158" t="n">
        <f aca="false">BG$7*$G$153</f>
        <v>0</v>
      </c>
      <c r="BH170" s="158" t="n">
        <f aca="false">BH$7*$G$153</f>
        <v>0</v>
      </c>
      <c r="BI170" s="158" t="n">
        <f aca="false">BI$7*$G$153</f>
        <v>0</v>
      </c>
      <c r="BJ170" s="158" t="n">
        <f aca="false">BJ$7*$G$153</f>
        <v>0</v>
      </c>
      <c r="BK170" s="158" t="n">
        <f aca="false">BK$7*$G$153</f>
        <v>0</v>
      </c>
      <c r="BL170" s="158" t="n">
        <f aca="false">BL$7*$G$153</f>
        <v>0</v>
      </c>
      <c r="BM170" s="158" t="n">
        <f aca="false">BM$7*$G$153</f>
        <v>0</v>
      </c>
      <c r="BN170" s="158" t="n">
        <f aca="false">BN$7*$G$153</f>
        <v>0</v>
      </c>
      <c r="BO170" s="158" t="n">
        <f aca="false">BO$7*$G$153</f>
        <v>0</v>
      </c>
      <c r="BP170" s="158" t="n">
        <f aca="false">BP$7*$G$153</f>
        <v>0</v>
      </c>
    </row>
    <row r="171" customFormat="false" ht="15" hidden="false" customHeight="false" outlineLevel="0" collapsed="false">
      <c r="C171" s="205" t="s">
        <v>1120</v>
      </c>
      <c r="D171" s="205" t="s">
        <v>125</v>
      </c>
      <c r="E171" s="251"/>
      <c r="F171" s="251"/>
      <c r="G171" s="251" t="n">
        <f aca="false">SUM(H171:BP171)</f>
        <v>35181.0807424584</v>
      </c>
      <c r="H171" s="251" t="n">
        <f aca="false">SUM(H166:H170)</f>
        <v>0</v>
      </c>
      <c r="I171" s="251" t="n">
        <f aca="false">SUM(I166:I170)</f>
        <v>0</v>
      </c>
      <c r="J171" s="251" t="n">
        <f aca="false">SUM(J166:J170)</f>
        <v>0</v>
      </c>
      <c r="K171" s="251" t="n">
        <f aca="false">SUM(K166:K170)</f>
        <v>0</v>
      </c>
      <c r="L171" s="251" t="n">
        <f aca="false">SUM(L166:L170)</f>
        <v>0</v>
      </c>
      <c r="M171" s="251" t="n">
        <f aca="false">SUM(M166:M170)</f>
        <v>0</v>
      </c>
      <c r="N171" s="251" t="n">
        <f aca="false">SUM(N166:N170)</f>
        <v>0</v>
      </c>
      <c r="O171" s="251" t="n">
        <f aca="false">SUM(O166:O170)</f>
        <v>0</v>
      </c>
      <c r="P171" s="251" t="n">
        <f aca="false">SUM(P166:P170)</f>
        <v>0</v>
      </c>
      <c r="Q171" s="251" t="n">
        <f aca="false">SUM(Q166:Q170)</f>
        <v>0</v>
      </c>
      <c r="R171" s="251" t="n">
        <f aca="false">SUM(R166:R170)</f>
        <v>0</v>
      </c>
      <c r="S171" s="251" t="n">
        <f aca="false">SUM(S166:S170)</f>
        <v>0</v>
      </c>
      <c r="T171" s="251" t="n">
        <f aca="false">SUM(T166:T170)</f>
        <v>0</v>
      </c>
      <c r="U171" s="251" t="n">
        <f aca="false">SUM(U166:U170)</f>
        <v>0</v>
      </c>
      <c r="V171" s="251" t="n">
        <f aca="false">SUM(V166:V170)</f>
        <v>0</v>
      </c>
      <c r="W171" s="251" t="n">
        <f aca="false">SUM(W166:W170)</f>
        <v>0</v>
      </c>
      <c r="X171" s="251" t="n">
        <f aca="false">SUM(X166:X170)</f>
        <v>0</v>
      </c>
      <c r="Y171" s="251" t="n">
        <f aca="false">SUM(Y166:Y170)</f>
        <v>0</v>
      </c>
      <c r="Z171" s="251" t="n">
        <f aca="false">SUM(Z166:Z170)</f>
        <v>0</v>
      </c>
      <c r="AA171" s="251" t="n">
        <f aca="false">SUM(AA166:AA170)</f>
        <v>0</v>
      </c>
      <c r="AB171" s="251" t="n">
        <f aca="false">SUM(AB166:AB170)</f>
        <v>0</v>
      </c>
      <c r="AC171" s="251" t="n">
        <f aca="false">SUM(AC166:AC170)</f>
        <v>0</v>
      </c>
      <c r="AD171" s="251" t="n">
        <f aca="false">SUM(AD166:AD170)</f>
        <v>0</v>
      </c>
      <c r="AE171" s="251" t="n">
        <f aca="false">SUM(AE166:AE170)</f>
        <v>0</v>
      </c>
      <c r="AF171" s="251" t="n">
        <f aca="false">SUM(AF166:AF170)</f>
        <v>0</v>
      </c>
      <c r="AG171" s="251" t="n">
        <f aca="false">SUM(AG166:AG170)</f>
        <v>0</v>
      </c>
      <c r="AH171" s="251" t="n">
        <f aca="false">SUM(AH166:AH170)</f>
        <v>0</v>
      </c>
      <c r="AI171" s="251" t="n">
        <f aca="false">SUM(AI166:AI170)</f>
        <v>0</v>
      </c>
      <c r="AJ171" s="251" t="n">
        <f aca="false">SUM(AJ166:AJ170)</f>
        <v>0</v>
      </c>
      <c r="AK171" s="251" t="n">
        <f aca="false">SUM(AK166:AK170)</f>
        <v>0</v>
      </c>
      <c r="AL171" s="251" t="n">
        <f aca="false">SUM(AL166:AL170)</f>
        <v>0</v>
      </c>
      <c r="AM171" s="251" t="n">
        <f aca="false">SUM(AM166:AM170)</f>
        <v>0</v>
      </c>
      <c r="AN171" s="251" t="n">
        <f aca="false">SUM(AN166:AN170)</f>
        <v>0</v>
      </c>
      <c r="AO171" s="251" t="n">
        <f aca="false">SUM(AO166:AO170)</f>
        <v>0</v>
      </c>
      <c r="AP171" s="251" t="n">
        <f aca="false">SUM(AP166:AP170)</f>
        <v>0</v>
      </c>
      <c r="AQ171" s="251" t="n">
        <f aca="false">SUM(AQ166:AQ170)</f>
        <v>0</v>
      </c>
      <c r="AR171" s="251" t="n">
        <f aca="false">SUM(AR166:AR170)</f>
        <v>0</v>
      </c>
      <c r="AS171" s="251" t="n">
        <f aca="false">SUM(AS166:AS170)</f>
        <v>0</v>
      </c>
      <c r="AT171" s="251" t="n">
        <f aca="false">SUM(AT166:AT170)</f>
        <v>35181.0807424584</v>
      </c>
      <c r="AU171" s="251" t="n">
        <f aca="false">SUM(AU166:AU170)</f>
        <v>0</v>
      </c>
      <c r="AV171" s="251" t="n">
        <f aca="false">SUM(AV166:AV170)</f>
        <v>0</v>
      </c>
      <c r="AW171" s="251" t="n">
        <f aca="false">SUM(AW166:AW170)</f>
        <v>0</v>
      </c>
      <c r="AX171" s="251" t="n">
        <f aca="false">SUM(AX166:AX170)</f>
        <v>0</v>
      </c>
      <c r="AY171" s="251" t="n">
        <f aca="false">SUM(AY166:AY170)</f>
        <v>0</v>
      </c>
      <c r="AZ171" s="251" t="n">
        <f aca="false">SUM(AZ166:AZ170)</f>
        <v>0</v>
      </c>
      <c r="BA171" s="251" t="n">
        <f aca="false">SUM(BA166:BA170)</f>
        <v>0</v>
      </c>
      <c r="BB171" s="251" t="n">
        <f aca="false">SUM(BB166:BB170)</f>
        <v>0</v>
      </c>
      <c r="BC171" s="251" t="n">
        <f aca="false">SUM(BC166:BC170)</f>
        <v>0</v>
      </c>
      <c r="BD171" s="251" t="n">
        <f aca="false">SUM(BD166:BD170)</f>
        <v>0</v>
      </c>
      <c r="BE171" s="251" t="n">
        <f aca="false">SUM(BE166:BE170)</f>
        <v>0</v>
      </c>
      <c r="BF171" s="251" t="n">
        <f aca="false">SUM(BF166:BF170)</f>
        <v>0</v>
      </c>
      <c r="BG171" s="251" t="n">
        <f aca="false">SUM(BG166:BG170)</f>
        <v>0</v>
      </c>
      <c r="BH171" s="251" t="n">
        <f aca="false">SUM(BH166:BH170)</f>
        <v>0</v>
      </c>
      <c r="BI171" s="251" t="n">
        <f aca="false">SUM(BI166:BI170)</f>
        <v>0</v>
      </c>
      <c r="BJ171" s="251" t="n">
        <f aca="false">SUM(BJ166:BJ170)</f>
        <v>0</v>
      </c>
      <c r="BK171" s="251" t="n">
        <f aca="false">SUM(BK166:BK170)</f>
        <v>0</v>
      </c>
      <c r="BL171" s="251" t="n">
        <f aca="false">SUM(BL166:BL170)</f>
        <v>0</v>
      </c>
      <c r="BM171" s="251" t="n">
        <f aca="false">SUM(BM166:BM170)</f>
        <v>0</v>
      </c>
      <c r="BN171" s="251" t="n">
        <f aca="false">SUM(BN166:BN170)</f>
        <v>0</v>
      </c>
      <c r="BO171" s="251" t="n">
        <f aca="false">SUM(BO166:BO170)</f>
        <v>0</v>
      </c>
      <c r="BP171" s="251" t="n">
        <f aca="false">SUM(BP166:BP170)</f>
        <v>0</v>
      </c>
    </row>
    <row r="172" customFormat="false" ht="15" hidden="false" customHeight="false" outlineLevel="0" collapsed="false">
      <c r="C172" s="0" t="s">
        <v>1121</v>
      </c>
      <c r="D172" s="0" t="s">
        <v>125</v>
      </c>
      <c r="E172" s="158"/>
      <c r="F172" s="158"/>
      <c r="G172" s="158" t="n">
        <f aca="false">SUM(H172:BP172)</f>
        <v>11708.0638035013</v>
      </c>
      <c r="H172" s="158" t="n">
        <f aca="false">H164+H171</f>
        <v>-200</v>
      </c>
      <c r="I172" s="158" t="n">
        <f aca="false">I164+I171</f>
        <v>0</v>
      </c>
      <c r="J172" s="158" t="n">
        <f aca="false">J164+J171</f>
        <v>0</v>
      </c>
      <c r="K172" s="158" t="n">
        <f aca="false">K164+K171</f>
        <v>-102.683676416142</v>
      </c>
      <c r="L172" s="158" t="n">
        <f aca="false">L164+L171</f>
        <v>-5.84287671232877</v>
      </c>
      <c r="M172" s="158" t="n">
        <f aca="false">M164+M171</f>
        <v>-1262.09109589041</v>
      </c>
      <c r="N172" s="158" t="n">
        <f aca="false">N164+N171</f>
        <v>-34.0792484265087</v>
      </c>
      <c r="O172" s="158" t="n">
        <f aca="false">O164+O171</f>
        <v>-118.661005183265</v>
      </c>
      <c r="P172" s="158" t="n">
        <f aca="false">P164+P171</f>
        <v>-228.214383561644</v>
      </c>
      <c r="Q172" s="158" t="n">
        <f aca="false">Q164+Q171</f>
        <v>-29.2143835616438</v>
      </c>
      <c r="R172" s="158" t="n">
        <f aca="false">R164+R171</f>
        <v>-29.2143835616438</v>
      </c>
      <c r="S172" s="158" t="n">
        <f aca="false">S164+S171</f>
        <v>-50.8360051832655</v>
      </c>
      <c r="T172" s="158" t="n">
        <f aca="false">T164+T171</f>
        <v>-50.8360051832655</v>
      </c>
      <c r="U172" s="158" t="n">
        <f aca="false">U164+U171</f>
        <v>-29.2143835616438</v>
      </c>
      <c r="V172" s="158" t="n">
        <f aca="false">V164+V171</f>
        <v>-29.2143835616438</v>
      </c>
      <c r="W172" s="158" t="n">
        <f aca="false">W164+W171</f>
        <v>-29.2143835616438</v>
      </c>
      <c r="X172" s="158" t="n">
        <f aca="false">X164+X171</f>
        <v>-49.4846538319141</v>
      </c>
      <c r="Y172" s="158" t="n">
        <f aca="false">Y164+Y171</f>
        <v>-100.554924102184</v>
      </c>
      <c r="Z172" s="158" t="n">
        <f aca="false">Z164+Z171</f>
        <v>-506.586349915753</v>
      </c>
      <c r="AA172" s="158" t="n">
        <f aca="false">AA164+AA171</f>
        <v>-144.079248426509</v>
      </c>
      <c r="AB172" s="158" t="n">
        <f aca="false">AB164+AB171</f>
        <v>-73.2819511292114</v>
      </c>
      <c r="AC172" s="158" t="n">
        <f aca="false">AC164+AC171</f>
        <v>-29.2684376156979</v>
      </c>
      <c r="AD172" s="158" t="n">
        <f aca="false">AD164+AD171</f>
        <v>-29.2143835616438</v>
      </c>
      <c r="AE172" s="158" t="n">
        <f aca="false">AE164+AE171</f>
        <v>-31.4643835616438</v>
      </c>
      <c r="AF172" s="158" t="n">
        <f aca="false">AF164+AF171</f>
        <v>-29.2143835616438</v>
      </c>
      <c r="AG172" s="158" t="n">
        <f aca="false">AG164+AG171</f>
        <v>-110.151412133072</v>
      </c>
      <c r="AH172" s="158" t="n">
        <f aca="false">AH164+AH171</f>
        <v>-29.2143835616438</v>
      </c>
      <c r="AI172" s="158" t="n">
        <f aca="false">AI164+AI171</f>
        <v>-29.2143835616438</v>
      </c>
      <c r="AJ172" s="158" t="n">
        <f aca="false">AJ164+AJ171</f>
        <v>-45.4305997778601</v>
      </c>
      <c r="AK172" s="158" t="n">
        <f aca="false">AK164+AK171</f>
        <v>-170.31821437593</v>
      </c>
      <c r="AL172" s="158" t="n">
        <f aca="false">AL164+AL171</f>
        <v>-19539.2647037394</v>
      </c>
      <c r="AM172" s="158" t="n">
        <f aca="false">AM164+AM171</f>
        <v>-29.2143835616438</v>
      </c>
      <c r="AN172" s="158" t="n">
        <f aca="false">AN164+AN171</f>
        <v>-152.457626804887</v>
      </c>
      <c r="AO172" s="158" t="n">
        <f aca="false">AO164+AO171</f>
        <v>-29.2143835616438</v>
      </c>
      <c r="AP172" s="158" t="n">
        <f aca="false">AP164+AP171</f>
        <v>-29.2143835616438</v>
      </c>
      <c r="AQ172" s="158" t="n">
        <f aca="false">AQ164+AQ171</f>
        <v>-29.2143835616438</v>
      </c>
      <c r="AR172" s="158" t="n">
        <f aca="false">AR164+AR171</f>
        <v>-29.2143835616438</v>
      </c>
      <c r="AS172" s="158" t="n">
        <f aca="false">AS164+AS171</f>
        <v>-29.2143835616438</v>
      </c>
      <c r="AT172" s="158" t="n">
        <f aca="false">AT164+AT171</f>
        <v>35151.8663588968</v>
      </c>
      <c r="AU172" s="158" t="n">
        <f aca="false">AU164+AU171</f>
        <v>0</v>
      </c>
      <c r="AV172" s="158" t="n">
        <f aca="false">AV164+AV171</f>
        <v>0</v>
      </c>
      <c r="AW172" s="158" t="n">
        <f aca="false">AW164+AW171</f>
        <v>0</v>
      </c>
      <c r="AX172" s="158" t="n">
        <f aca="false">AX164+AX171</f>
        <v>0</v>
      </c>
      <c r="AY172" s="158" t="n">
        <f aca="false">AY164+AY171</f>
        <v>0</v>
      </c>
      <c r="AZ172" s="158" t="n">
        <f aca="false">AZ164+AZ171</f>
        <v>0</v>
      </c>
      <c r="BA172" s="158" t="n">
        <f aca="false">BA164+BA171</f>
        <v>0</v>
      </c>
      <c r="BB172" s="158" t="n">
        <f aca="false">BB164+BB171</f>
        <v>0</v>
      </c>
      <c r="BC172" s="158" t="n">
        <f aca="false">BC164+BC171</f>
        <v>0</v>
      </c>
      <c r="BD172" s="158" t="n">
        <f aca="false">BD164+BD171</f>
        <v>0</v>
      </c>
      <c r="BE172" s="158" t="n">
        <f aca="false">BE164+BE171</f>
        <v>0</v>
      </c>
      <c r="BF172" s="158" t="n">
        <f aca="false">BF164+BF171</f>
        <v>0</v>
      </c>
      <c r="BG172" s="158" t="n">
        <f aca="false">BG164+BG171</f>
        <v>0</v>
      </c>
      <c r="BH172" s="158" t="n">
        <f aca="false">BH164+BH171</f>
        <v>0</v>
      </c>
      <c r="BI172" s="158" t="n">
        <f aca="false">BI164+BI171</f>
        <v>0</v>
      </c>
      <c r="BJ172" s="158" t="n">
        <f aca="false">BJ164+BJ171</f>
        <v>0</v>
      </c>
      <c r="BK172" s="158" t="n">
        <f aca="false">BK164+BK171</f>
        <v>0</v>
      </c>
      <c r="BL172" s="158" t="n">
        <f aca="false">BL164+BL171</f>
        <v>0</v>
      </c>
      <c r="BM172" s="158" t="n">
        <f aca="false">BM164+BM171</f>
        <v>0</v>
      </c>
      <c r="BN172" s="158" t="n">
        <f aca="false">BN164+BN171</f>
        <v>0</v>
      </c>
      <c r="BO172" s="158" t="n">
        <f aca="false">BO164+BO171</f>
        <v>0</v>
      </c>
      <c r="BP172" s="158" t="n">
        <f aca="false">BP164+BP171</f>
        <v>0</v>
      </c>
    </row>
    <row r="173" customFormat="false" ht="15" hidden="false" customHeight="false" outlineLevel="0" collapsed="false">
      <c r="C173" s="0" t="s">
        <v>1122</v>
      </c>
      <c r="D173" s="0" t="s">
        <v>125</v>
      </c>
      <c r="E173" s="158"/>
      <c r="F173" s="158"/>
      <c r="G173" s="158"/>
      <c r="H173" s="158" t="n">
        <f aca="false">H172</f>
        <v>-200</v>
      </c>
      <c r="I173" s="158" t="n">
        <f aca="false">H173+I172</f>
        <v>-200</v>
      </c>
      <c r="J173" s="158" t="n">
        <f aca="false">I173+J172</f>
        <v>-200</v>
      </c>
      <c r="K173" s="158" t="n">
        <f aca="false">J173+K172</f>
        <v>-302.683676416142</v>
      </c>
      <c r="L173" s="158" t="n">
        <f aca="false">K173+L172</f>
        <v>-308.526553128471</v>
      </c>
      <c r="M173" s="158" t="n">
        <f aca="false">L173+M172</f>
        <v>-1570.61764901888</v>
      </c>
      <c r="N173" s="158" t="n">
        <f aca="false">M173+N172</f>
        <v>-1604.69689744539</v>
      </c>
      <c r="O173" s="158" t="n">
        <f aca="false">N173+O172</f>
        <v>-1723.35790262866</v>
      </c>
      <c r="P173" s="158" t="n">
        <f aca="false">O173+P172</f>
        <v>-1951.5722861903</v>
      </c>
      <c r="Q173" s="158" t="n">
        <f aca="false">P173+Q172</f>
        <v>-1980.78666975194</v>
      </c>
      <c r="R173" s="158" t="n">
        <f aca="false">Q173+R172</f>
        <v>-2010.00105331359</v>
      </c>
      <c r="S173" s="158" t="n">
        <f aca="false">R173+S172</f>
        <v>-2060.83705849685</v>
      </c>
      <c r="T173" s="158" t="n">
        <f aca="false">S173+T172</f>
        <v>-2111.67306368012</v>
      </c>
      <c r="U173" s="158" t="n">
        <f aca="false">T173+U172</f>
        <v>-2140.88744724176</v>
      </c>
      <c r="V173" s="158" t="n">
        <f aca="false">U173+V172</f>
        <v>-2170.10183080341</v>
      </c>
      <c r="W173" s="158" t="n">
        <f aca="false">V173+W172</f>
        <v>-2199.31621436505</v>
      </c>
      <c r="X173" s="158" t="n">
        <f aca="false">W173+X172</f>
        <v>-2248.80086819696</v>
      </c>
      <c r="Y173" s="158" t="n">
        <f aca="false">X173+Y172</f>
        <v>-2349.35579229915</v>
      </c>
      <c r="Z173" s="158" t="n">
        <f aca="false">Y173+Z172</f>
        <v>-2855.9421422149</v>
      </c>
      <c r="AA173" s="158" t="n">
        <f aca="false">Z173+AA172</f>
        <v>-3000.02139064141</v>
      </c>
      <c r="AB173" s="158" t="n">
        <f aca="false">AA173+AB172</f>
        <v>-3073.30334177062</v>
      </c>
      <c r="AC173" s="158" t="n">
        <f aca="false">AB173+AC172</f>
        <v>-3102.57177938632</v>
      </c>
      <c r="AD173" s="158" t="n">
        <f aca="false">AC173+AD172</f>
        <v>-3131.78616294796</v>
      </c>
      <c r="AE173" s="158" t="n">
        <f aca="false">AD173+AE172</f>
        <v>-3163.25054650961</v>
      </c>
      <c r="AF173" s="158" t="n">
        <f aca="false">AE173+AF172</f>
        <v>-3192.46493007125</v>
      </c>
      <c r="AG173" s="158" t="n">
        <f aca="false">AF173+AG172</f>
        <v>-3302.61634220432</v>
      </c>
      <c r="AH173" s="158" t="n">
        <f aca="false">AG173+AH172</f>
        <v>-3331.83072576597</v>
      </c>
      <c r="AI173" s="158" t="n">
        <f aca="false">AH173+AI172</f>
        <v>-3361.04510932761</v>
      </c>
      <c r="AJ173" s="158" t="n">
        <f aca="false">AI173+AJ172</f>
        <v>-3406.47570910547</v>
      </c>
      <c r="AK173" s="158" t="n">
        <f aca="false">AJ173+AK172</f>
        <v>-3576.7939234814</v>
      </c>
      <c r="AL173" s="158" t="n">
        <f aca="false">AK173+AL172</f>
        <v>-23116.0586272208</v>
      </c>
      <c r="AM173" s="158" t="n">
        <f aca="false">AL173+AM172</f>
        <v>-23145.2730107824</v>
      </c>
      <c r="AN173" s="158" t="n">
        <f aca="false">AM173+AN172</f>
        <v>-23297.7306375873</v>
      </c>
      <c r="AO173" s="158" t="n">
        <f aca="false">AN173+AO172</f>
        <v>-23326.9450211489</v>
      </c>
      <c r="AP173" s="158" t="n">
        <f aca="false">AO173+AP172</f>
        <v>-23356.1594047106</v>
      </c>
      <c r="AQ173" s="158" t="n">
        <f aca="false">AP173+AQ172</f>
        <v>-23385.3737882722</v>
      </c>
      <c r="AR173" s="158" t="n">
        <f aca="false">AQ173+AR172</f>
        <v>-23414.5881718339</v>
      </c>
      <c r="AS173" s="158" t="n">
        <f aca="false">AR173+AS172</f>
        <v>-23443.8025553955</v>
      </c>
      <c r="AT173" s="158" t="n">
        <f aca="false">AS173+AT172</f>
        <v>11708.0638035013</v>
      </c>
      <c r="AU173" s="158" t="n">
        <f aca="false">AT173+AU172</f>
        <v>11708.0638035013</v>
      </c>
      <c r="AV173" s="158" t="n">
        <f aca="false">AU173+AV172</f>
        <v>11708.0638035013</v>
      </c>
      <c r="AW173" s="158" t="n">
        <f aca="false">AV173+AW172</f>
        <v>11708.0638035013</v>
      </c>
      <c r="AX173" s="158" t="n">
        <f aca="false">AW173+AX172</f>
        <v>11708.0638035013</v>
      </c>
      <c r="AY173" s="158" t="n">
        <f aca="false">AX173+AY172</f>
        <v>11708.0638035013</v>
      </c>
      <c r="AZ173" s="158" t="n">
        <f aca="false">AY173+AZ172</f>
        <v>11708.0638035013</v>
      </c>
      <c r="BA173" s="158" t="n">
        <f aca="false">AZ173+BA172</f>
        <v>11708.0638035013</v>
      </c>
      <c r="BB173" s="158" t="n">
        <f aca="false">BA173+BB172</f>
        <v>11708.0638035013</v>
      </c>
      <c r="BC173" s="158" t="n">
        <f aca="false">BB173+BC172</f>
        <v>11708.0638035013</v>
      </c>
      <c r="BD173" s="158" t="n">
        <f aca="false">BC173+BD172</f>
        <v>11708.0638035013</v>
      </c>
      <c r="BE173" s="158" t="n">
        <f aca="false">BD173+BE172</f>
        <v>11708.0638035013</v>
      </c>
      <c r="BF173" s="158" t="n">
        <f aca="false">BE173+BF172</f>
        <v>11708.0638035013</v>
      </c>
      <c r="BG173" s="158" t="n">
        <f aca="false">BF173+BG172</f>
        <v>11708.0638035013</v>
      </c>
      <c r="BH173" s="158" t="n">
        <f aca="false">BG173+BH172</f>
        <v>11708.0638035013</v>
      </c>
      <c r="BI173" s="158" t="n">
        <f aca="false">BH173+BI172</f>
        <v>11708.0638035013</v>
      </c>
      <c r="BJ173" s="158" t="n">
        <f aca="false">BI173+BJ172</f>
        <v>11708.0638035013</v>
      </c>
      <c r="BK173" s="158" t="n">
        <f aca="false">BJ173+BK172</f>
        <v>11708.0638035013</v>
      </c>
      <c r="BL173" s="158" t="n">
        <f aca="false">BK173+BL172</f>
        <v>11708.0638035013</v>
      </c>
      <c r="BM173" s="158" t="n">
        <f aca="false">BL173+BM172</f>
        <v>11708.0638035013</v>
      </c>
      <c r="BN173" s="158" t="n">
        <f aca="false">BM173+BN172</f>
        <v>11708.0638035013</v>
      </c>
      <c r="BO173" s="158" t="n">
        <f aca="false">BN173+BO172</f>
        <v>11708.0638035013</v>
      </c>
      <c r="BP173" s="158" t="n">
        <f aca="false">BO173+BP172</f>
        <v>11708.0638035013</v>
      </c>
    </row>
    <row r="174" customFormat="false" ht="15" hidden="false" customHeight="false" outlineLevel="0" collapsed="false">
      <c r="C174" s="0" t="s">
        <v>1123</v>
      </c>
      <c r="D174" s="0" t="s">
        <v>125</v>
      </c>
      <c r="E174" s="141" t="n">
        <f aca="false">Inputs!$E$12</f>
        <v>0.15</v>
      </c>
      <c r="F174" s="158"/>
      <c r="G174" s="158" t="n">
        <f aca="false">SUM(H174:BP174)</f>
        <v>-218.914014654021</v>
      </c>
      <c r="H174" s="158" t="n">
        <f aca="false">-H$7*$E$174*MAX(H173-Inputs!$E$14*$G$170,0)</f>
        <v>-0</v>
      </c>
      <c r="I174" s="158" t="n">
        <f aca="false">-I$7*$E$174*MAX(I173-Inputs!$E$14*$G$170,0)</f>
        <v>-0</v>
      </c>
      <c r="J174" s="158" t="n">
        <f aca="false">-J$7*$E$174*MAX(J173-Inputs!$E$14*$G$170,0)</f>
        <v>-0</v>
      </c>
      <c r="K174" s="158" t="n">
        <f aca="false">-K$7*$E$174*MAX(K173-Inputs!$E$14*$G$170,0)</f>
        <v>-0</v>
      </c>
      <c r="L174" s="158" t="n">
        <f aca="false">-L$7*$E$174*MAX(L173-Inputs!$E$14*$G$170,0)</f>
        <v>-0</v>
      </c>
      <c r="M174" s="158" t="n">
        <f aca="false">-M$7*$E$174*MAX(M173-Inputs!$E$14*$G$170,0)</f>
        <v>-0</v>
      </c>
      <c r="N174" s="158" t="n">
        <f aca="false">-N$7*$E$174*MAX(N173-Inputs!$E$14*$G$170,0)</f>
        <v>-0</v>
      </c>
      <c r="O174" s="158" t="n">
        <f aca="false">-O$7*$E$174*MAX(O173-Inputs!$E$14*$G$170,0)</f>
        <v>-0</v>
      </c>
      <c r="P174" s="158" t="n">
        <f aca="false">-P$7*$E$174*MAX(P173-Inputs!$E$14*$G$170,0)</f>
        <v>-0</v>
      </c>
      <c r="Q174" s="158" t="n">
        <f aca="false">-Q$7*$E$174*MAX(Q173-Inputs!$E$14*$G$170,0)</f>
        <v>-0</v>
      </c>
      <c r="R174" s="158" t="n">
        <f aca="false">-R$7*$E$174*MAX(R173-Inputs!$E$14*$G$170,0)</f>
        <v>-0</v>
      </c>
      <c r="S174" s="158" t="n">
        <f aca="false">-S$7*$E$174*MAX(S173-Inputs!$E$14*$G$170,0)</f>
        <v>-0</v>
      </c>
      <c r="T174" s="158" t="n">
        <f aca="false">-T$7*$E$174*MAX(T173-Inputs!$E$14*$G$170,0)</f>
        <v>-0</v>
      </c>
      <c r="U174" s="158" t="n">
        <f aca="false">-U$7*$E$174*MAX(U173-Inputs!$E$14*$G$170,0)</f>
        <v>-0</v>
      </c>
      <c r="V174" s="158" t="n">
        <f aca="false">-V$7*$E$174*MAX(V173-Inputs!$E$14*$G$170,0)</f>
        <v>-0</v>
      </c>
      <c r="W174" s="158" t="n">
        <f aca="false">-W$7*$E$174*MAX(W173-Inputs!$E$14*$G$170,0)</f>
        <v>-0</v>
      </c>
      <c r="X174" s="158" t="n">
        <f aca="false">-X$7*$E$174*MAX(X173-Inputs!$E$14*$G$170,0)</f>
        <v>-0</v>
      </c>
      <c r="Y174" s="158" t="n">
        <f aca="false">-Y$7*$E$174*MAX(Y173-Inputs!$E$14*$G$170,0)</f>
        <v>-0</v>
      </c>
      <c r="Z174" s="158" t="n">
        <f aca="false">-Z$7*$E$174*MAX(Z173-Inputs!$E$14*$G$170,0)</f>
        <v>-0</v>
      </c>
      <c r="AA174" s="158" t="n">
        <f aca="false">-AA$7*$E$174*MAX(AA173-Inputs!$E$14*$G$170,0)</f>
        <v>-0</v>
      </c>
      <c r="AB174" s="158" t="n">
        <f aca="false">-AB$7*$E$174*MAX(AB173-Inputs!$E$14*$G$170,0)</f>
        <v>-0</v>
      </c>
      <c r="AC174" s="158" t="n">
        <f aca="false">-AC$7*$E$174*MAX(AC173-Inputs!$E$14*$G$170,0)</f>
        <v>-0</v>
      </c>
      <c r="AD174" s="158" t="n">
        <f aca="false">-AD$7*$E$174*MAX(AD173-Inputs!$E$14*$G$170,0)</f>
        <v>-0</v>
      </c>
      <c r="AE174" s="158" t="n">
        <f aca="false">-AE$7*$E$174*MAX(AE173-Inputs!$E$14*$G$170,0)</f>
        <v>-0</v>
      </c>
      <c r="AF174" s="158" t="n">
        <f aca="false">-AF$7*$E$174*MAX(AF173-Inputs!$E$14*$G$170,0)</f>
        <v>-0</v>
      </c>
      <c r="AG174" s="158" t="n">
        <f aca="false">-AG$7*$E$174*MAX(AG173-Inputs!$E$14*$G$170,0)</f>
        <v>-0</v>
      </c>
      <c r="AH174" s="158" t="n">
        <f aca="false">-AH$7*$E$174*MAX(AH173-Inputs!$E$14*$G$170,0)</f>
        <v>-0</v>
      </c>
      <c r="AI174" s="158" t="n">
        <f aca="false">-AI$7*$E$174*MAX(AI173-Inputs!$E$14*$G$170,0)</f>
        <v>-0</v>
      </c>
      <c r="AJ174" s="158" t="n">
        <f aca="false">-AJ$7*$E$174*MAX(AJ173-Inputs!$E$14*$G$170,0)</f>
        <v>-0</v>
      </c>
      <c r="AK174" s="158" t="n">
        <f aca="false">-AK$7*$E$174*MAX(AK173-Inputs!$E$14*$G$170,0)</f>
        <v>-0</v>
      </c>
      <c r="AL174" s="158" t="n">
        <f aca="false">-AL$7*$E$174*MAX(AL173-Inputs!$E$14*$G$170,0)</f>
        <v>-0</v>
      </c>
      <c r="AM174" s="158" t="n">
        <f aca="false">-AM$7*$E$174*MAX(AM173-Inputs!$E$14*$G$170,0)</f>
        <v>-0</v>
      </c>
      <c r="AN174" s="158" t="n">
        <f aca="false">-AN$7*$E$174*MAX(AN173-Inputs!$E$14*$G$170,0)</f>
        <v>-0</v>
      </c>
      <c r="AO174" s="158" t="n">
        <f aca="false">-AO$7*$E$174*MAX(AO173-Inputs!$E$14*$G$170,0)</f>
        <v>-0</v>
      </c>
      <c r="AP174" s="158" t="n">
        <f aca="false">-AP$7*$E$174*MAX(AP173-Inputs!$E$14*$G$170,0)</f>
        <v>-0</v>
      </c>
      <c r="AQ174" s="158" t="n">
        <f aca="false">-AQ$7*$E$174*MAX(AQ173-Inputs!$E$14*$G$170,0)</f>
        <v>-0</v>
      </c>
      <c r="AR174" s="158" t="n">
        <f aca="false">-AR$7*$E$174*MAX(AR173-Inputs!$E$14*$G$170,0)</f>
        <v>-0</v>
      </c>
      <c r="AS174" s="158" t="n">
        <f aca="false">-AS$7*$E$174*MAX(AS173-Inputs!$E$14*$G$170,0)</f>
        <v>-0</v>
      </c>
      <c r="AT174" s="158" t="n">
        <f aca="false">-AT$7*$E$174*MAX(AT173-Inputs!$E$14*$G$170,0)</f>
        <v>-218.914014654021</v>
      </c>
      <c r="AU174" s="158" t="n">
        <f aca="false">-AU$7*$E$174*MAX(AU173-Inputs!$E$14*$G$170,0)</f>
        <v>-0</v>
      </c>
      <c r="AV174" s="158" t="n">
        <f aca="false">-AV$7*$E$174*MAX(AV173-Inputs!$E$14*$G$170,0)</f>
        <v>-0</v>
      </c>
      <c r="AW174" s="158" t="n">
        <f aca="false">-AW$7*$E$174*MAX(AW173-Inputs!$E$14*$G$170,0)</f>
        <v>-0</v>
      </c>
      <c r="AX174" s="158" t="n">
        <f aca="false">-AX$7*$E$174*MAX(AX173-Inputs!$E$14*$G$170,0)</f>
        <v>-0</v>
      </c>
      <c r="AY174" s="158" t="n">
        <f aca="false">-AY$7*$E$174*MAX(AY173-Inputs!$E$14*$G$170,0)</f>
        <v>-0</v>
      </c>
      <c r="AZ174" s="158" t="n">
        <f aca="false">-AZ$7*$E$174*MAX(AZ173-Inputs!$E$14*$G$170,0)</f>
        <v>-0</v>
      </c>
      <c r="BA174" s="158" t="n">
        <f aca="false">-BA$7*$E$174*MAX(BA173-Inputs!$E$14*$G$170,0)</f>
        <v>-0</v>
      </c>
      <c r="BB174" s="158" t="n">
        <f aca="false">-BB$7*$E$174*MAX(BB173-Inputs!$E$14*$G$170,0)</f>
        <v>-0</v>
      </c>
      <c r="BC174" s="158" t="n">
        <f aca="false">-BC$7*$E$174*MAX(BC173-Inputs!$E$14*$G$170,0)</f>
        <v>-0</v>
      </c>
      <c r="BD174" s="158" t="n">
        <f aca="false">-BD$7*$E$174*MAX(BD173-Inputs!$E$14*$G$170,0)</f>
        <v>-0</v>
      </c>
      <c r="BE174" s="158" t="n">
        <f aca="false">-BE$7*$E$174*MAX(BE173-Inputs!$E$14*$G$170,0)</f>
        <v>-0</v>
      </c>
      <c r="BF174" s="158" t="n">
        <f aca="false">-BF$7*$E$174*MAX(BF173-Inputs!$E$14*$G$170,0)</f>
        <v>-0</v>
      </c>
      <c r="BG174" s="158" t="n">
        <f aca="false">-BG$7*$E$174*MAX(BG173-Inputs!$E$14*$G$170,0)</f>
        <v>-0</v>
      </c>
      <c r="BH174" s="158" t="n">
        <f aca="false">-BH$7*$E$174*MAX(BH173-Inputs!$E$14*$G$170,0)</f>
        <v>-0</v>
      </c>
      <c r="BI174" s="158" t="n">
        <f aca="false">-BI$7*$E$174*MAX(BI173-Inputs!$E$14*$G$170,0)</f>
        <v>-0</v>
      </c>
      <c r="BJ174" s="158" t="n">
        <f aca="false">-BJ$7*$E$174*MAX(BJ173-Inputs!$E$14*$G$170,0)</f>
        <v>-0</v>
      </c>
      <c r="BK174" s="158" t="n">
        <f aca="false">-BK$7*$E$174*MAX(BK173-Inputs!$E$14*$G$170,0)</f>
        <v>-0</v>
      </c>
      <c r="BL174" s="158" t="n">
        <f aca="false">-BL$7*$E$174*MAX(BL173-Inputs!$E$14*$G$170,0)</f>
        <v>-0</v>
      </c>
      <c r="BM174" s="158" t="n">
        <f aca="false">-BM$7*$E$174*MAX(BM173-Inputs!$E$14*$G$170,0)</f>
        <v>-0</v>
      </c>
      <c r="BN174" s="158" t="n">
        <f aca="false">-BN$7*$E$174*MAX(BN173-Inputs!$E$14*$G$170,0)</f>
        <v>-0</v>
      </c>
      <c r="BO174" s="158" t="n">
        <f aca="false">-BO$7*$E$174*MAX(BO173-Inputs!$E$14*$G$170,0)</f>
        <v>-0</v>
      </c>
      <c r="BP174" s="158" t="n">
        <f aca="false">-BP$7*$E$174*MAX(BP173-Inputs!$E$14*$G$170,0)</f>
        <v>-0</v>
      </c>
    </row>
    <row r="175" customFormat="false" ht="15" hidden="false" customHeight="false" outlineLevel="0" collapsed="false">
      <c r="C175" s="205" t="s">
        <v>1124</v>
      </c>
      <c r="D175" s="205" t="s">
        <v>125</v>
      </c>
      <c r="E175" s="251"/>
      <c r="F175" s="251"/>
      <c r="G175" s="251" t="n">
        <f aca="false">SUM(H175:BP175)</f>
        <v>11489.1497888473</v>
      </c>
      <c r="H175" s="251" t="n">
        <f aca="false">H172+H174</f>
        <v>-200</v>
      </c>
      <c r="I175" s="251" t="n">
        <f aca="false">I172+I174</f>
        <v>0</v>
      </c>
      <c r="J175" s="251" t="n">
        <f aca="false">J172+J174</f>
        <v>0</v>
      </c>
      <c r="K175" s="251" t="n">
        <f aca="false">K172+K174</f>
        <v>-102.683676416142</v>
      </c>
      <c r="L175" s="251" t="n">
        <f aca="false">L172+L174</f>
        <v>-5.84287671232877</v>
      </c>
      <c r="M175" s="251" t="n">
        <f aca="false">M172+M174</f>
        <v>-1262.09109589041</v>
      </c>
      <c r="N175" s="251" t="n">
        <f aca="false">N172+N174</f>
        <v>-34.0792484265087</v>
      </c>
      <c r="O175" s="251" t="n">
        <f aca="false">O172+O174</f>
        <v>-118.661005183265</v>
      </c>
      <c r="P175" s="251" t="n">
        <f aca="false">P172+P174</f>
        <v>-228.214383561644</v>
      </c>
      <c r="Q175" s="251" t="n">
        <f aca="false">Q172+Q174</f>
        <v>-29.2143835616438</v>
      </c>
      <c r="R175" s="251" t="n">
        <f aca="false">R172+R174</f>
        <v>-29.2143835616438</v>
      </c>
      <c r="S175" s="251" t="n">
        <f aca="false">S172+S174</f>
        <v>-50.8360051832655</v>
      </c>
      <c r="T175" s="251" t="n">
        <f aca="false">T172+T174</f>
        <v>-50.8360051832655</v>
      </c>
      <c r="U175" s="251" t="n">
        <f aca="false">U172+U174</f>
        <v>-29.2143835616438</v>
      </c>
      <c r="V175" s="251" t="n">
        <f aca="false">V172+V174</f>
        <v>-29.2143835616438</v>
      </c>
      <c r="W175" s="251" t="n">
        <f aca="false">W172+W174</f>
        <v>-29.2143835616438</v>
      </c>
      <c r="X175" s="251" t="n">
        <f aca="false">X172+X174</f>
        <v>-49.4846538319141</v>
      </c>
      <c r="Y175" s="251" t="n">
        <f aca="false">Y172+Y174</f>
        <v>-100.554924102184</v>
      </c>
      <c r="Z175" s="251" t="n">
        <f aca="false">Z172+Z174</f>
        <v>-506.586349915753</v>
      </c>
      <c r="AA175" s="251" t="n">
        <f aca="false">AA172+AA174</f>
        <v>-144.079248426509</v>
      </c>
      <c r="AB175" s="251" t="n">
        <f aca="false">AB172+AB174</f>
        <v>-73.2819511292114</v>
      </c>
      <c r="AC175" s="251" t="n">
        <f aca="false">AC172+AC174</f>
        <v>-29.2684376156979</v>
      </c>
      <c r="AD175" s="251" t="n">
        <f aca="false">AD172+AD174</f>
        <v>-29.2143835616438</v>
      </c>
      <c r="AE175" s="251" t="n">
        <f aca="false">AE172+AE174</f>
        <v>-31.4643835616438</v>
      </c>
      <c r="AF175" s="251" t="n">
        <f aca="false">AF172+AF174</f>
        <v>-29.2143835616438</v>
      </c>
      <c r="AG175" s="251" t="n">
        <f aca="false">AG172+AG174</f>
        <v>-110.151412133072</v>
      </c>
      <c r="AH175" s="251" t="n">
        <f aca="false">AH172+AH174</f>
        <v>-29.2143835616438</v>
      </c>
      <c r="AI175" s="251" t="n">
        <f aca="false">AI172+AI174</f>
        <v>-29.2143835616438</v>
      </c>
      <c r="AJ175" s="251" t="n">
        <f aca="false">AJ172+AJ174</f>
        <v>-45.4305997778601</v>
      </c>
      <c r="AK175" s="251" t="n">
        <f aca="false">AK172+AK174</f>
        <v>-170.31821437593</v>
      </c>
      <c r="AL175" s="251" t="n">
        <f aca="false">AL172+AL174</f>
        <v>-19539.2647037394</v>
      </c>
      <c r="AM175" s="251" t="n">
        <f aca="false">AM172+AM174</f>
        <v>-29.2143835616438</v>
      </c>
      <c r="AN175" s="251" t="n">
        <f aca="false">AN172+AN174</f>
        <v>-152.457626804887</v>
      </c>
      <c r="AO175" s="251" t="n">
        <f aca="false">AO172+AO174</f>
        <v>-29.2143835616438</v>
      </c>
      <c r="AP175" s="251" t="n">
        <f aca="false">AP172+AP174</f>
        <v>-29.2143835616438</v>
      </c>
      <c r="AQ175" s="251" t="n">
        <f aca="false">AQ172+AQ174</f>
        <v>-29.2143835616438</v>
      </c>
      <c r="AR175" s="251" t="n">
        <f aca="false">AR172+AR174</f>
        <v>-29.2143835616438</v>
      </c>
      <c r="AS175" s="251" t="n">
        <f aca="false">AS172+AS174</f>
        <v>-29.2143835616438</v>
      </c>
      <c r="AT175" s="251" t="n">
        <f aca="false">AT172+AT174</f>
        <v>34932.9523442428</v>
      </c>
      <c r="AU175" s="251" t="n">
        <f aca="false">AU172+AU174</f>
        <v>0</v>
      </c>
      <c r="AV175" s="251" t="n">
        <f aca="false">AV172+AV174</f>
        <v>0</v>
      </c>
      <c r="AW175" s="251" t="n">
        <f aca="false">AW172+AW174</f>
        <v>0</v>
      </c>
      <c r="AX175" s="251" t="n">
        <f aca="false">AX172+AX174</f>
        <v>0</v>
      </c>
      <c r="AY175" s="251" t="n">
        <f aca="false">AY172+AY174</f>
        <v>0</v>
      </c>
      <c r="AZ175" s="251" t="n">
        <f aca="false">AZ172+AZ174</f>
        <v>0</v>
      </c>
      <c r="BA175" s="251" t="n">
        <f aca="false">BA172+BA174</f>
        <v>0</v>
      </c>
      <c r="BB175" s="251" t="n">
        <f aca="false">BB172+BB174</f>
        <v>0</v>
      </c>
      <c r="BC175" s="251" t="n">
        <f aca="false">BC172+BC174</f>
        <v>0</v>
      </c>
      <c r="BD175" s="251" t="n">
        <f aca="false">BD172+BD174</f>
        <v>0</v>
      </c>
      <c r="BE175" s="251" t="n">
        <f aca="false">BE172+BE174</f>
        <v>0</v>
      </c>
      <c r="BF175" s="251" t="n">
        <f aca="false">BF172+BF174</f>
        <v>0</v>
      </c>
      <c r="BG175" s="251" t="n">
        <f aca="false">BG172+BG174</f>
        <v>0</v>
      </c>
      <c r="BH175" s="251" t="n">
        <f aca="false">BH172+BH174</f>
        <v>0</v>
      </c>
      <c r="BI175" s="251" t="n">
        <f aca="false">BI172+BI174</f>
        <v>0</v>
      </c>
      <c r="BJ175" s="251" t="n">
        <f aca="false">BJ172+BJ174</f>
        <v>0</v>
      </c>
      <c r="BK175" s="251" t="n">
        <f aca="false">BK172+BK174</f>
        <v>0</v>
      </c>
      <c r="BL175" s="251" t="n">
        <f aca="false">BL172+BL174</f>
        <v>0</v>
      </c>
      <c r="BM175" s="251" t="n">
        <f aca="false">BM172+BM174</f>
        <v>0</v>
      </c>
      <c r="BN175" s="251" t="n">
        <f aca="false">BN172+BN174</f>
        <v>0</v>
      </c>
      <c r="BO175" s="251" t="n">
        <f aca="false">BO172+BO174</f>
        <v>0</v>
      </c>
      <c r="BP175" s="251" t="n">
        <f aca="false">BP172+BP174</f>
        <v>0</v>
      </c>
    </row>
    <row r="176" customFormat="false" ht="15" hidden="false" customHeight="false" outlineLevel="0" collapsed="false">
      <c r="C176" s="0" t="s">
        <v>1125</v>
      </c>
      <c r="D176" s="0" t="s">
        <v>125</v>
      </c>
      <c r="E176" s="158"/>
      <c r="F176" s="158"/>
      <c r="G176" s="158" t="n">
        <f aca="false">MIN(H176:BP176)</f>
        <v>-23443.8025553955</v>
      </c>
      <c r="H176" s="158" t="n">
        <f aca="false">H175</f>
        <v>-200</v>
      </c>
      <c r="I176" s="158" t="n">
        <f aca="false">H176+I175</f>
        <v>-200</v>
      </c>
      <c r="J176" s="158" t="n">
        <f aca="false">I176+J175</f>
        <v>-200</v>
      </c>
      <c r="K176" s="158" t="n">
        <f aca="false">J176+K175</f>
        <v>-302.683676416142</v>
      </c>
      <c r="L176" s="158" t="n">
        <f aca="false">K176+L175</f>
        <v>-308.526553128471</v>
      </c>
      <c r="M176" s="158" t="n">
        <f aca="false">L176+M175</f>
        <v>-1570.61764901888</v>
      </c>
      <c r="N176" s="158" t="n">
        <f aca="false">M176+N175</f>
        <v>-1604.69689744539</v>
      </c>
      <c r="O176" s="158" t="n">
        <f aca="false">N176+O175</f>
        <v>-1723.35790262866</v>
      </c>
      <c r="P176" s="158" t="n">
        <f aca="false">O176+P175</f>
        <v>-1951.5722861903</v>
      </c>
      <c r="Q176" s="158" t="n">
        <f aca="false">P176+Q175</f>
        <v>-1980.78666975194</v>
      </c>
      <c r="R176" s="158" t="n">
        <f aca="false">Q176+R175</f>
        <v>-2010.00105331359</v>
      </c>
      <c r="S176" s="158" t="n">
        <f aca="false">R176+S175</f>
        <v>-2060.83705849685</v>
      </c>
      <c r="T176" s="158" t="n">
        <f aca="false">S176+T175</f>
        <v>-2111.67306368012</v>
      </c>
      <c r="U176" s="158" t="n">
        <f aca="false">T176+U175</f>
        <v>-2140.88744724176</v>
      </c>
      <c r="V176" s="158" t="n">
        <f aca="false">U176+V175</f>
        <v>-2170.10183080341</v>
      </c>
      <c r="W176" s="158" t="n">
        <f aca="false">V176+W175</f>
        <v>-2199.31621436505</v>
      </c>
      <c r="X176" s="158" t="n">
        <f aca="false">W176+X175</f>
        <v>-2248.80086819696</v>
      </c>
      <c r="Y176" s="158" t="n">
        <f aca="false">X176+Y175</f>
        <v>-2349.35579229915</v>
      </c>
      <c r="Z176" s="158" t="n">
        <f aca="false">Y176+Z175</f>
        <v>-2855.9421422149</v>
      </c>
      <c r="AA176" s="158" t="n">
        <f aca="false">Z176+AA175</f>
        <v>-3000.02139064141</v>
      </c>
      <c r="AB176" s="158" t="n">
        <f aca="false">AA176+AB175</f>
        <v>-3073.30334177062</v>
      </c>
      <c r="AC176" s="158" t="n">
        <f aca="false">AB176+AC175</f>
        <v>-3102.57177938632</v>
      </c>
      <c r="AD176" s="158" t="n">
        <f aca="false">AC176+AD175</f>
        <v>-3131.78616294796</v>
      </c>
      <c r="AE176" s="158" t="n">
        <f aca="false">AD176+AE175</f>
        <v>-3163.25054650961</v>
      </c>
      <c r="AF176" s="158" t="n">
        <f aca="false">AE176+AF175</f>
        <v>-3192.46493007125</v>
      </c>
      <c r="AG176" s="158" t="n">
        <f aca="false">AF176+AG175</f>
        <v>-3302.61634220432</v>
      </c>
      <c r="AH176" s="158" t="n">
        <f aca="false">AG176+AH175</f>
        <v>-3331.83072576597</v>
      </c>
      <c r="AI176" s="158" t="n">
        <f aca="false">AH176+AI175</f>
        <v>-3361.04510932761</v>
      </c>
      <c r="AJ176" s="158" t="n">
        <f aca="false">AI176+AJ175</f>
        <v>-3406.47570910547</v>
      </c>
      <c r="AK176" s="158" t="n">
        <f aca="false">AJ176+AK175</f>
        <v>-3576.7939234814</v>
      </c>
      <c r="AL176" s="158" t="n">
        <f aca="false">AK176+AL175</f>
        <v>-23116.0586272208</v>
      </c>
      <c r="AM176" s="158" t="n">
        <f aca="false">AL176+AM175</f>
        <v>-23145.2730107824</v>
      </c>
      <c r="AN176" s="158" t="n">
        <f aca="false">AM176+AN175</f>
        <v>-23297.7306375873</v>
      </c>
      <c r="AO176" s="158" t="n">
        <f aca="false">AN176+AO175</f>
        <v>-23326.9450211489</v>
      </c>
      <c r="AP176" s="158" t="n">
        <f aca="false">AO176+AP175</f>
        <v>-23356.1594047106</v>
      </c>
      <c r="AQ176" s="158" t="n">
        <f aca="false">AP176+AQ175</f>
        <v>-23385.3737882722</v>
      </c>
      <c r="AR176" s="158" t="n">
        <f aca="false">AQ176+AR175</f>
        <v>-23414.5881718339</v>
      </c>
      <c r="AS176" s="158" t="n">
        <f aca="false">AR176+AS175</f>
        <v>-23443.8025553955</v>
      </c>
      <c r="AT176" s="158" t="n">
        <f aca="false">AS176+AT175</f>
        <v>11489.1497888473</v>
      </c>
      <c r="AU176" s="158" t="n">
        <f aca="false">AT176+AU175</f>
        <v>11489.1497888473</v>
      </c>
      <c r="AV176" s="158" t="n">
        <f aca="false">AU176+AV175</f>
        <v>11489.1497888473</v>
      </c>
      <c r="AW176" s="158" t="n">
        <f aca="false">AV176+AW175</f>
        <v>11489.1497888473</v>
      </c>
      <c r="AX176" s="158" t="n">
        <f aca="false">AW176+AX175</f>
        <v>11489.1497888473</v>
      </c>
      <c r="AY176" s="158" t="n">
        <f aca="false">AX176+AY175</f>
        <v>11489.1497888473</v>
      </c>
      <c r="AZ176" s="158" t="n">
        <f aca="false">AY176+AZ175</f>
        <v>11489.1497888473</v>
      </c>
      <c r="BA176" s="158" t="n">
        <f aca="false">AZ176+BA175</f>
        <v>11489.1497888473</v>
      </c>
      <c r="BB176" s="158" t="n">
        <f aca="false">BA176+BB175</f>
        <v>11489.1497888473</v>
      </c>
      <c r="BC176" s="158" t="n">
        <f aca="false">BB176+BC175</f>
        <v>11489.1497888473</v>
      </c>
      <c r="BD176" s="158" t="n">
        <f aca="false">BC176+BD175</f>
        <v>11489.1497888473</v>
      </c>
      <c r="BE176" s="158" t="n">
        <f aca="false">BD176+BE175</f>
        <v>11489.1497888473</v>
      </c>
      <c r="BF176" s="158" t="n">
        <f aca="false">BE176+BF175</f>
        <v>11489.1497888473</v>
      </c>
      <c r="BG176" s="158" t="n">
        <f aca="false">BF176+BG175</f>
        <v>11489.1497888473</v>
      </c>
      <c r="BH176" s="158" t="n">
        <f aca="false">BG176+BH175</f>
        <v>11489.1497888473</v>
      </c>
      <c r="BI176" s="158" t="n">
        <f aca="false">BH176+BI175</f>
        <v>11489.1497888473</v>
      </c>
      <c r="BJ176" s="158" t="n">
        <f aca="false">BI176+BJ175</f>
        <v>11489.1497888473</v>
      </c>
      <c r="BK176" s="158" t="n">
        <f aca="false">BJ176+BK175</f>
        <v>11489.1497888473</v>
      </c>
      <c r="BL176" s="158" t="n">
        <f aca="false">BK176+BL175</f>
        <v>11489.1497888473</v>
      </c>
      <c r="BM176" s="158" t="n">
        <f aca="false">BL176+BM175</f>
        <v>11489.1497888473</v>
      </c>
      <c r="BN176" s="158" t="n">
        <f aca="false">BM176+BN175</f>
        <v>11489.1497888473</v>
      </c>
      <c r="BO176" s="158" t="n">
        <f aca="false">BN176+BO175</f>
        <v>11489.1497888473</v>
      </c>
      <c r="BP176" s="158" t="n">
        <f aca="false">BO176+BP175</f>
        <v>11489.1497888473</v>
      </c>
    </row>
    <row r="177" customFormat="false" ht="15" hidden="false" customHeight="false" outlineLevel="0" collapsed="false">
      <c r="C177" s="0" t="s">
        <v>1126</v>
      </c>
      <c r="D177" s="0" t="s">
        <v>125</v>
      </c>
      <c r="E177" s="158"/>
      <c r="F177" s="158"/>
      <c r="G177" s="158"/>
      <c r="H177" s="138" t="n">
        <f aca="false">H176</f>
        <v>-200</v>
      </c>
      <c r="I177" s="138" t="n">
        <f aca="false">I176</f>
        <v>-200</v>
      </c>
      <c r="J177" s="138" t="n">
        <f aca="false">J176</f>
        <v>-200</v>
      </c>
      <c r="K177" s="138" t="n">
        <f aca="false">K176</f>
        <v>-302.683676416142</v>
      </c>
      <c r="L177" s="138" t="n">
        <f aca="false">L176</f>
        <v>-308.526553128471</v>
      </c>
      <c r="M177" s="138" t="n">
        <f aca="false">M176</f>
        <v>-1570.61764901888</v>
      </c>
      <c r="N177" s="138" t="n">
        <f aca="false">N176</f>
        <v>-1604.69689744539</v>
      </c>
      <c r="O177" s="138" t="n">
        <f aca="false">O176</f>
        <v>-1723.35790262866</v>
      </c>
      <c r="P177" s="138" t="n">
        <f aca="false">P176</f>
        <v>-1951.5722861903</v>
      </c>
      <c r="Q177" s="138" t="n">
        <f aca="false">Q176</f>
        <v>-1980.78666975194</v>
      </c>
      <c r="R177" s="138" t="n">
        <f aca="false">R176</f>
        <v>-2010.00105331359</v>
      </c>
      <c r="S177" s="138" t="n">
        <f aca="false">S176</f>
        <v>-2060.83705849685</v>
      </c>
      <c r="T177" s="138" t="n">
        <f aca="false">T176</f>
        <v>-2111.67306368012</v>
      </c>
      <c r="U177" s="138" t="n">
        <f aca="false">U176</f>
        <v>-2140.88744724176</v>
      </c>
      <c r="V177" s="138" t="n">
        <f aca="false">V176</f>
        <v>-2170.10183080341</v>
      </c>
      <c r="W177" s="138" t="n">
        <f aca="false">W176</f>
        <v>-2199.31621436505</v>
      </c>
      <c r="X177" s="138" t="n">
        <f aca="false">X176</f>
        <v>-2248.80086819696</v>
      </c>
      <c r="Y177" s="138" t="n">
        <f aca="false">Y176</f>
        <v>-2349.35579229915</v>
      </c>
      <c r="Z177" s="138" t="n">
        <f aca="false">Z176</f>
        <v>-2855.9421422149</v>
      </c>
      <c r="AA177" s="138" t="n">
        <f aca="false">AA176</f>
        <v>-3000.02139064141</v>
      </c>
      <c r="AB177" s="138" t="n">
        <f aca="false">AB176</f>
        <v>-3073.30334177062</v>
      </c>
      <c r="AC177" s="138" t="n">
        <f aca="false">AC176</f>
        <v>-3102.57177938632</v>
      </c>
      <c r="AD177" s="138" t="n">
        <f aca="false">AD176</f>
        <v>-3131.78616294796</v>
      </c>
      <c r="AE177" s="138" t="n">
        <f aca="false">AE176</f>
        <v>-3163.25054650961</v>
      </c>
      <c r="AF177" s="138" t="n">
        <f aca="false">AF176</f>
        <v>-3192.46493007125</v>
      </c>
      <c r="AG177" s="138" t="n">
        <f aca="false">AG176</f>
        <v>-3302.61634220432</v>
      </c>
      <c r="AH177" s="138" t="n">
        <f aca="false">AH176</f>
        <v>-3331.83072576597</v>
      </c>
      <c r="AI177" s="138" t="n">
        <f aca="false">AI176</f>
        <v>-3361.04510932761</v>
      </c>
      <c r="AJ177" s="138" t="n">
        <f aca="false">AJ176</f>
        <v>-3406.47570910547</v>
      </c>
      <c r="AK177" s="138" t="n">
        <f aca="false">AK176</f>
        <v>-3576.7939234814</v>
      </c>
      <c r="AL177" s="138" t="n">
        <f aca="false">AL176</f>
        <v>-23116.0586272208</v>
      </c>
      <c r="AM177" s="138" t="n">
        <f aca="false">AM176</f>
        <v>-23145.2730107824</v>
      </c>
      <c r="AN177" s="138" t="n">
        <f aca="false">AN176</f>
        <v>-23297.7306375873</v>
      </c>
      <c r="AO177" s="138" t="n">
        <f aca="false">AO176</f>
        <v>-23326.9450211489</v>
      </c>
      <c r="AP177" s="138" t="n">
        <f aca="false">AP176</f>
        <v>-23356.1594047106</v>
      </c>
      <c r="AQ177" s="138" t="n">
        <f aca="false">AQ176</f>
        <v>-23385.3737882722</v>
      </c>
      <c r="AR177" s="138" t="n">
        <f aca="false">AR176</f>
        <v>-23414.5881718339</v>
      </c>
      <c r="AS177" s="138" t="n">
        <f aca="false">AS176</f>
        <v>-23443.8025553955</v>
      </c>
      <c r="AT177" s="138" t="n">
        <f aca="false">AT176</f>
        <v>11489.1497888473</v>
      </c>
      <c r="AU177" s="138" t="n">
        <f aca="false">AU176</f>
        <v>11489.1497888473</v>
      </c>
      <c r="AV177" s="138" t="n">
        <f aca="false">AV176</f>
        <v>11489.1497888473</v>
      </c>
      <c r="AW177" s="138" t="n">
        <f aca="false">AW176</f>
        <v>11489.1497888473</v>
      </c>
      <c r="AX177" s="138" t="n">
        <f aca="false">AX176</f>
        <v>11489.1497888473</v>
      </c>
      <c r="AY177" s="138" t="n">
        <f aca="false">AY176</f>
        <v>11489.1497888473</v>
      </c>
      <c r="AZ177" s="138" t="n">
        <f aca="false">AZ176</f>
        <v>11489.1497888473</v>
      </c>
      <c r="BA177" s="138" t="n">
        <f aca="false">BA176</f>
        <v>11489.1497888473</v>
      </c>
      <c r="BB177" s="138" t="n">
        <f aca="false">BB176</f>
        <v>11489.1497888473</v>
      </c>
      <c r="BC177" s="138" t="n">
        <f aca="false">BC176</f>
        <v>11489.1497888473</v>
      </c>
      <c r="BD177" s="138" t="n">
        <f aca="false">BD176</f>
        <v>11489.1497888473</v>
      </c>
      <c r="BE177" s="138" t="n">
        <f aca="false">BE176</f>
        <v>11489.1497888473</v>
      </c>
      <c r="BF177" s="138" t="n">
        <f aca="false">BF176</f>
        <v>11489.1497888473</v>
      </c>
      <c r="BG177" s="138" t="n">
        <f aca="false">BG176</f>
        <v>11489.1497888473</v>
      </c>
      <c r="BH177" s="138" t="n">
        <f aca="false">BH176</f>
        <v>11489.1497888473</v>
      </c>
      <c r="BI177" s="138" t="n">
        <f aca="false">BI176</f>
        <v>11489.1497888473</v>
      </c>
      <c r="BJ177" s="138" t="n">
        <f aca="false">BJ176</f>
        <v>11489.1497888473</v>
      </c>
      <c r="BK177" s="138" t="n">
        <f aca="false">BK176</f>
        <v>11489.1497888473</v>
      </c>
      <c r="BL177" s="138" t="n">
        <f aca="false">BL176</f>
        <v>11489.1497888473</v>
      </c>
      <c r="BM177" s="138" t="n">
        <f aca="false">BM176</f>
        <v>11489.1497888473</v>
      </c>
      <c r="BN177" s="138" t="n">
        <f aca="false">BN176</f>
        <v>11489.1497888473</v>
      </c>
      <c r="BO177" s="138" t="n">
        <f aca="false">BO176</f>
        <v>11489.1497888473</v>
      </c>
      <c r="BP177" s="138" t="n">
        <f aca="false">BP176</f>
        <v>11489.1497888473</v>
      </c>
    </row>
    <row r="178" customFormat="false" ht="15" hidden="false" customHeight="false" outlineLevel="0" collapsed="false">
      <c r="C178" s="0" t="s">
        <v>1127</v>
      </c>
      <c r="D178" s="0" t="s">
        <v>125</v>
      </c>
      <c r="E178" s="141" t="n">
        <f aca="false">Inputs!$E$13</f>
        <v>0.08</v>
      </c>
      <c r="F178" s="158"/>
      <c r="G178" s="158" t="n">
        <f aca="false">SUM(H178:BP178)</f>
        <v>-1623.41677272832</v>
      </c>
      <c r="H178" s="158" t="n">
        <v>0</v>
      </c>
      <c r="I178" s="158" t="n">
        <f aca="false">MIN(H176,0)*((1+$E$178)^(1/12)-1)</f>
        <v>-1.28680602200069</v>
      </c>
      <c r="J178" s="158" t="n">
        <f aca="false">MIN(I176,0)*((1+$E$178)^(1/12)-1)</f>
        <v>-1.28680602200069</v>
      </c>
      <c r="K178" s="158" t="n">
        <f aca="false">MIN(J176,0)*((1+$E$178)^(1/12)-1)</f>
        <v>-1.28680602200069</v>
      </c>
      <c r="L178" s="158" t="n">
        <f aca="false">MIN(K176,0)*((1+$E$178)^(1/12)-1)</f>
        <v>-1.94747588786799</v>
      </c>
      <c r="M178" s="158" t="n">
        <f aca="false">MIN(L176,0)*((1+$E$178)^(1/12)-1)</f>
        <v>-1.98506913256416</v>
      </c>
      <c r="N178" s="158" t="n">
        <f aca="false">MIN(M176,0)*((1+$E$178)^(1/12)-1)</f>
        <v>-10.1054012450903</v>
      </c>
      <c r="O178" s="158" t="n">
        <f aca="false">MIN(N176,0)*((1+$E$178)^(1/12)-1)</f>
        <v>-10.3246681555927</v>
      </c>
      <c r="P178" s="158" t="n">
        <f aca="false">MIN(O176,0)*((1+$E$178)^(1/12)-1)</f>
        <v>-11.0881366358251</v>
      </c>
      <c r="Q178" s="158" t="n">
        <f aca="false">MIN(P176,0)*((1+$E$178)^(1/12)-1)</f>
        <v>-12.5564748511966</v>
      </c>
      <c r="R178" s="158" t="n">
        <f aca="false">MIN(Q176,0)*((1+$E$178)^(1/12)-1)</f>
        <v>-12.7444410746774</v>
      </c>
      <c r="S178" s="158" t="n">
        <f aca="false">MIN(R176,0)*((1+$E$178)^(1/12)-1)</f>
        <v>-12.9324072981582</v>
      </c>
      <c r="T178" s="158" t="n">
        <f aca="false">MIN(S176,0)*((1+$E$178)^(1/12)-1)</f>
        <v>-13.2594876861797</v>
      </c>
      <c r="U178" s="158" t="n">
        <f aca="false">MIN(T176,0)*((1+$E$178)^(1/12)-1)</f>
        <v>-13.5865680742011</v>
      </c>
      <c r="V178" s="158" t="n">
        <f aca="false">MIN(U176,0)*((1+$E$178)^(1/12)-1)</f>
        <v>-13.7745342976819</v>
      </c>
      <c r="W178" s="158" t="n">
        <f aca="false">MIN(V176,0)*((1+$E$178)^(1/12)-1)</f>
        <v>-13.9625005211627</v>
      </c>
      <c r="X178" s="158" t="n">
        <f aca="false">MIN(W176,0)*((1+$E$178)^(1/12)-1)</f>
        <v>-14.1504667446435</v>
      </c>
      <c r="Y178" s="158" t="n">
        <f aca="false">MIN(X176,0)*((1+$E$178)^(1/12)-1)</f>
        <v>-14.4688524973811</v>
      </c>
      <c r="Z178" s="158" t="n">
        <f aca="false">MIN(Y176,0)*((1+$E$178)^(1/12)-1)</f>
        <v>-15.1158259067637</v>
      </c>
      <c r="AA178" s="158" t="n">
        <f aca="false">MIN(Z176,0)*((1+$E$178)^(1/12)-1)</f>
        <v>-18.3752177354384</v>
      </c>
      <c r="AB178" s="158" t="n">
        <f aca="false">MIN(AA176,0)*((1+$E$178)^(1/12)-1)</f>
        <v>-19.3022279580412</v>
      </c>
      <c r="AC178" s="158" t="n">
        <f aca="false">MIN(AB176,0)*((1+$E$178)^(1/12)-1)</f>
        <v>-19.7737262381263</v>
      </c>
      <c r="AD178" s="158" t="n">
        <f aca="false">MIN(AC176,0)*((1+$E$178)^(1/12)-1)</f>
        <v>-19.9620402470185</v>
      </c>
      <c r="AE178" s="158" t="n">
        <f aca="false">MIN(AD176,0)*((1+$E$178)^(1/12)-1)</f>
        <v>-20.1500064704993</v>
      </c>
      <c r="AF178" s="158" t="n">
        <f aca="false">MIN(AE176,0)*((1+$E$178)^(1/12)-1)</f>
        <v>-20.3524492617276</v>
      </c>
      <c r="AG178" s="158" t="n">
        <f aca="false">MIN(AF176,0)*((1+$E$178)^(1/12)-1)</f>
        <v>-20.5404154852084</v>
      </c>
      <c r="AH178" s="158" t="n">
        <f aca="false">MIN(AG176,0)*((1+$E$178)^(1/12)-1)</f>
        <v>-21.249132987532</v>
      </c>
      <c r="AI178" s="158" t="n">
        <f aca="false">MIN(AH176,0)*((1+$E$178)^(1/12)-1)</f>
        <v>-21.4370992110128</v>
      </c>
      <c r="AJ178" s="158" t="n">
        <f aca="false">MIN(AI176,0)*((1+$E$178)^(1/12)-1)</f>
        <v>-21.6250654344936</v>
      </c>
      <c r="AK178" s="158" t="n">
        <f aca="false">MIN(AJ176,0)*((1+$E$178)^(1/12)-1)</f>
        <v>-21.9173672813799</v>
      </c>
      <c r="AL178" s="158" t="n">
        <f aca="false">MIN(AK176,0)*((1+$E$178)^(1/12)-1)</f>
        <v>-23.0131998009567</v>
      </c>
      <c r="AM178" s="158" t="n">
        <f aca="false">MIN(AL176,0)*((1+$E$178)^(1/12)-1)</f>
        <v>-148.729417232143</v>
      </c>
      <c r="AN178" s="158" t="n">
        <f aca="false">MIN(AM176,0)*((1+$E$178)^(1/12)-1)</f>
        <v>-148.917383455624</v>
      </c>
      <c r="AO178" s="158" t="n">
        <f aca="false">MIN(AN176,0)*((1+$E$178)^(1/12)-1)</f>
        <v>-149.898300416986</v>
      </c>
      <c r="AP178" s="158" t="n">
        <f aca="false">MIN(AO176,0)*((1+$E$178)^(1/12)-1)</f>
        <v>-150.086266640467</v>
      </c>
      <c r="AQ178" s="158" t="n">
        <f aca="false">MIN(AP176,0)*((1+$E$178)^(1/12)-1)</f>
        <v>-150.274232863948</v>
      </c>
      <c r="AR178" s="158" t="n">
        <f aca="false">MIN(AQ176,0)*((1+$E$178)^(1/12)-1)</f>
        <v>-150.462199087429</v>
      </c>
      <c r="AS178" s="158" t="n">
        <f aca="false">MIN(AR176,0)*((1+$E$178)^(1/12)-1)</f>
        <v>-150.650165310909</v>
      </c>
      <c r="AT178" s="158" t="n">
        <f aca="false">MIN(AS176,0)*((1+$E$178)^(1/12)-1)</f>
        <v>-150.83813153439</v>
      </c>
      <c r="AU178" s="158" t="n">
        <f aca="false">MIN(AT176,0)*((1+$E$178)^(1/12)-1)</f>
        <v>0</v>
      </c>
      <c r="AV178" s="158" t="n">
        <f aca="false">MIN(AU176,0)*((1+$E$178)^(1/12)-1)</f>
        <v>0</v>
      </c>
      <c r="AW178" s="158" t="n">
        <f aca="false">MIN(AV176,0)*((1+$E$178)^(1/12)-1)</f>
        <v>0</v>
      </c>
      <c r="AX178" s="158" t="n">
        <f aca="false">MIN(AW176,0)*((1+$E$178)^(1/12)-1)</f>
        <v>0</v>
      </c>
      <c r="AY178" s="158" t="n">
        <f aca="false">MIN(AX176,0)*((1+$E$178)^(1/12)-1)</f>
        <v>0</v>
      </c>
      <c r="AZ178" s="158" t="n">
        <f aca="false">MIN(AY176,0)*((1+$E$178)^(1/12)-1)</f>
        <v>0</v>
      </c>
      <c r="BA178" s="158" t="n">
        <f aca="false">MIN(AZ176,0)*((1+$E$178)^(1/12)-1)</f>
        <v>0</v>
      </c>
      <c r="BB178" s="158" t="n">
        <f aca="false">MIN(BA176,0)*((1+$E$178)^(1/12)-1)</f>
        <v>0</v>
      </c>
      <c r="BC178" s="158" t="n">
        <f aca="false">MIN(BB176,0)*((1+$E$178)^(1/12)-1)</f>
        <v>0</v>
      </c>
      <c r="BD178" s="158" t="n">
        <f aca="false">MIN(BC176,0)*((1+$E$178)^(1/12)-1)</f>
        <v>0</v>
      </c>
      <c r="BE178" s="158" t="n">
        <f aca="false">MIN(BD176,0)*((1+$E$178)^(1/12)-1)</f>
        <v>0</v>
      </c>
      <c r="BF178" s="158" t="n">
        <f aca="false">MIN(BE176,0)*((1+$E$178)^(1/12)-1)</f>
        <v>0</v>
      </c>
      <c r="BG178" s="158" t="n">
        <f aca="false">MIN(BF176,0)*((1+$E$178)^(1/12)-1)</f>
        <v>0</v>
      </c>
      <c r="BH178" s="158" t="n">
        <f aca="false">MIN(BG176,0)*((1+$E$178)^(1/12)-1)</f>
        <v>0</v>
      </c>
      <c r="BI178" s="158" t="n">
        <f aca="false">MIN(BH176,0)*((1+$E$178)^(1/12)-1)</f>
        <v>0</v>
      </c>
      <c r="BJ178" s="158" t="n">
        <f aca="false">MIN(BI176,0)*((1+$E$178)^(1/12)-1)</f>
        <v>0</v>
      </c>
      <c r="BK178" s="158" t="n">
        <f aca="false">MIN(BJ176,0)*((1+$E$178)^(1/12)-1)</f>
        <v>0</v>
      </c>
      <c r="BL178" s="158" t="n">
        <f aca="false">MIN(BK176,0)*((1+$E$178)^(1/12)-1)</f>
        <v>0</v>
      </c>
      <c r="BM178" s="158" t="n">
        <f aca="false">MIN(BL176,0)*((1+$E$178)^(1/12)-1)</f>
        <v>0</v>
      </c>
      <c r="BN178" s="158" t="n">
        <f aca="false">MIN(BM176,0)*((1+$E$178)^(1/12)-1)</f>
        <v>0</v>
      </c>
      <c r="BO178" s="158" t="n">
        <f aca="false">MIN(BN176,0)*((1+$E$178)^(1/12)-1)</f>
        <v>0</v>
      </c>
      <c r="BP178" s="158" t="n">
        <f aca="false">MIN(BO176,0)*((1+$E$178)^(1/12)-1)</f>
        <v>0</v>
      </c>
    </row>
    <row r="179" customFormat="false" ht="15" hidden="false" customHeight="false" outlineLevel="0" collapsed="false">
      <c r="C179" s="0" t="s">
        <v>1128</v>
      </c>
      <c r="D179" s="0" t="s">
        <v>125</v>
      </c>
      <c r="E179" s="158"/>
      <c r="F179" s="158"/>
      <c r="G179" s="158" t="n">
        <f aca="false">SUM(H179:BP179)</f>
        <v>9865.73301611894</v>
      </c>
      <c r="H179" s="158" t="n">
        <f aca="false">H175+H178</f>
        <v>-200</v>
      </c>
      <c r="I179" s="158" t="n">
        <f aca="false">I175+I178</f>
        <v>-1.28680602200069</v>
      </c>
      <c r="J179" s="158" t="n">
        <f aca="false">J175+J178</f>
        <v>-1.28680602200069</v>
      </c>
      <c r="K179" s="158" t="n">
        <f aca="false">K175+K178</f>
        <v>-103.970482438143</v>
      </c>
      <c r="L179" s="158" t="n">
        <f aca="false">L175+L178</f>
        <v>-7.79035260019676</v>
      </c>
      <c r="M179" s="158" t="n">
        <f aca="false">M175+M178</f>
        <v>-1264.07616502298</v>
      </c>
      <c r="N179" s="158" t="n">
        <f aca="false">N175+N178</f>
        <v>-44.184649671599</v>
      </c>
      <c r="O179" s="158" t="n">
        <f aca="false">O175+O178</f>
        <v>-128.985673338858</v>
      </c>
      <c r="P179" s="158" t="n">
        <f aca="false">P175+P178</f>
        <v>-239.302520197469</v>
      </c>
      <c r="Q179" s="158" t="n">
        <f aca="false">Q175+Q178</f>
        <v>-41.7708584128405</v>
      </c>
      <c r="R179" s="158" t="n">
        <f aca="false">R175+R178</f>
        <v>-41.9588246363213</v>
      </c>
      <c r="S179" s="158" t="n">
        <f aca="false">S175+S178</f>
        <v>-63.7684124814237</v>
      </c>
      <c r="T179" s="158" t="n">
        <f aca="false">T175+T178</f>
        <v>-64.0954928694451</v>
      </c>
      <c r="U179" s="158" t="n">
        <f aca="false">U175+U178</f>
        <v>-42.8009516358449</v>
      </c>
      <c r="V179" s="158" t="n">
        <f aca="false">V175+V178</f>
        <v>-42.9889178593257</v>
      </c>
      <c r="W179" s="158" t="n">
        <f aca="false">W175+W178</f>
        <v>-43.1768840828065</v>
      </c>
      <c r="X179" s="158" t="n">
        <f aca="false">X175+X178</f>
        <v>-63.6351205765576</v>
      </c>
      <c r="Y179" s="158" t="n">
        <f aca="false">Y175+Y178</f>
        <v>-115.023776599566</v>
      </c>
      <c r="Z179" s="158" t="n">
        <f aca="false">Z175+Z178</f>
        <v>-521.702175822517</v>
      </c>
      <c r="AA179" s="158" t="n">
        <f aca="false">AA175+AA178</f>
        <v>-162.454466161947</v>
      </c>
      <c r="AB179" s="158" t="n">
        <f aca="false">AB175+AB178</f>
        <v>-92.5841790872526</v>
      </c>
      <c r="AC179" s="158" t="n">
        <f aca="false">AC175+AC178</f>
        <v>-49.0421638538242</v>
      </c>
      <c r="AD179" s="158" t="n">
        <f aca="false">AD175+AD178</f>
        <v>-49.1764238086624</v>
      </c>
      <c r="AE179" s="158" t="n">
        <f aca="false">AE175+AE178</f>
        <v>-51.6143900321432</v>
      </c>
      <c r="AF179" s="158" t="n">
        <f aca="false">AF175+AF178</f>
        <v>-49.5668328233715</v>
      </c>
      <c r="AG179" s="158" t="n">
        <f aca="false">AG175+AG178</f>
        <v>-130.691827618281</v>
      </c>
      <c r="AH179" s="158" t="n">
        <f aca="false">AH175+AH178</f>
        <v>-50.4635165491759</v>
      </c>
      <c r="AI179" s="158" t="n">
        <f aca="false">AI175+AI178</f>
        <v>-50.6514827726567</v>
      </c>
      <c r="AJ179" s="158" t="n">
        <f aca="false">AJ175+AJ178</f>
        <v>-67.0556652123537</v>
      </c>
      <c r="AK179" s="158" t="n">
        <f aca="false">AK175+AK178</f>
        <v>-192.23558165731</v>
      </c>
      <c r="AL179" s="158" t="n">
        <f aca="false">AL175+AL178</f>
        <v>-19562.2779035403</v>
      </c>
      <c r="AM179" s="158" t="n">
        <f aca="false">AM175+AM178</f>
        <v>-177.943800793787</v>
      </c>
      <c r="AN179" s="158" t="n">
        <f aca="false">AN175+AN178</f>
        <v>-301.375010260511</v>
      </c>
      <c r="AO179" s="158" t="n">
        <f aca="false">AO175+AO178</f>
        <v>-179.11268397863</v>
      </c>
      <c r="AP179" s="158" t="n">
        <f aca="false">AP175+AP178</f>
        <v>-179.300650202111</v>
      </c>
      <c r="AQ179" s="158" t="n">
        <f aca="false">AQ175+AQ178</f>
        <v>-179.488616425592</v>
      </c>
      <c r="AR179" s="158" t="n">
        <f aca="false">AR175+AR178</f>
        <v>-179.676582649072</v>
      </c>
      <c r="AS179" s="158" t="n">
        <f aca="false">AS175+AS178</f>
        <v>-179.864548872553</v>
      </c>
      <c r="AT179" s="158" t="n">
        <f aca="false">AT175+AT178</f>
        <v>34782.1142127084</v>
      </c>
      <c r="AU179" s="158" t="n">
        <f aca="false">AU175+AU178</f>
        <v>0</v>
      </c>
      <c r="AV179" s="158" t="n">
        <f aca="false">AV175+AV178</f>
        <v>0</v>
      </c>
      <c r="AW179" s="158" t="n">
        <f aca="false">AW175+AW178</f>
        <v>0</v>
      </c>
      <c r="AX179" s="158" t="n">
        <f aca="false">AX175+AX178</f>
        <v>0</v>
      </c>
      <c r="AY179" s="158" t="n">
        <f aca="false">AY175+AY178</f>
        <v>0</v>
      </c>
      <c r="AZ179" s="158" t="n">
        <f aca="false">AZ175+AZ178</f>
        <v>0</v>
      </c>
      <c r="BA179" s="158" t="n">
        <f aca="false">BA175+BA178</f>
        <v>0</v>
      </c>
      <c r="BB179" s="158" t="n">
        <f aca="false">BB175+BB178</f>
        <v>0</v>
      </c>
      <c r="BC179" s="158" t="n">
        <f aca="false">BC175+BC178</f>
        <v>0</v>
      </c>
      <c r="BD179" s="158" t="n">
        <f aca="false">BD175+BD178</f>
        <v>0</v>
      </c>
      <c r="BE179" s="158" t="n">
        <f aca="false">BE175+BE178</f>
        <v>0</v>
      </c>
      <c r="BF179" s="158" t="n">
        <f aca="false">BF175+BF178</f>
        <v>0</v>
      </c>
      <c r="BG179" s="158" t="n">
        <f aca="false">BG175+BG178</f>
        <v>0</v>
      </c>
      <c r="BH179" s="158" t="n">
        <f aca="false">BH175+BH178</f>
        <v>0</v>
      </c>
      <c r="BI179" s="158" t="n">
        <f aca="false">BI175+BI178</f>
        <v>0</v>
      </c>
      <c r="BJ179" s="158" t="n">
        <f aca="false">BJ175+BJ178</f>
        <v>0</v>
      </c>
      <c r="BK179" s="158" t="n">
        <f aca="false">BK175+BK178</f>
        <v>0</v>
      </c>
      <c r="BL179" s="158" t="n">
        <f aca="false">BL175+BL178</f>
        <v>0</v>
      </c>
      <c r="BM179" s="158" t="n">
        <f aca="false">BM175+BM178</f>
        <v>0</v>
      </c>
      <c r="BN179" s="158" t="n">
        <f aca="false">BN175+BN178</f>
        <v>0</v>
      </c>
      <c r="BO179" s="158" t="n">
        <f aca="false">BO175+BO178</f>
        <v>0</v>
      </c>
      <c r="BP179" s="158" t="n">
        <f aca="false">BP175+BP178</f>
        <v>0</v>
      </c>
    </row>
    <row r="180" customFormat="false" ht="15" hidden="false" customHeight="false" outlineLevel="0" collapsed="false">
      <c r="E180" s="158"/>
      <c r="F180" s="158"/>
      <c r="G180" s="158"/>
    </row>
    <row r="181" customFormat="false" ht="15" hidden="false" customHeight="false" outlineLevel="0" collapsed="false">
      <c r="C181" s="136" t="s">
        <v>1129</v>
      </c>
      <c r="D181" s="136"/>
      <c r="E181" s="259"/>
      <c r="F181" s="259"/>
      <c r="G181" s="158"/>
    </row>
    <row r="182" customFormat="false" ht="15" hidden="false" customHeight="false" outlineLevel="0" collapsed="false">
      <c r="C182" s="205" t="s">
        <v>1130</v>
      </c>
      <c r="D182" s="205" t="s">
        <v>125</v>
      </c>
      <c r="E182" s="251"/>
      <c r="F182" s="251"/>
      <c r="G182" s="158" t="n">
        <f aca="false">G175</f>
        <v>11489.1497888473</v>
      </c>
    </row>
    <row r="183" customFormat="false" ht="15" hidden="false" customHeight="false" outlineLevel="0" collapsed="false">
      <c r="C183" s="0" t="s">
        <v>1130</v>
      </c>
      <c r="D183" s="0" t="s">
        <v>169</v>
      </c>
      <c r="E183" s="158"/>
      <c r="F183" s="158"/>
      <c r="G183" s="264" t="n">
        <f aca="false">G182*Inputs!$E$11/1000</f>
        <v>4193.53967292925</v>
      </c>
      <c r="H183" s="158"/>
      <c r="I183" s="158"/>
      <c r="J183" s="158"/>
      <c r="K183" s="158"/>
      <c r="L183" s="158"/>
      <c r="M183" s="158"/>
      <c r="N183" s="158"/>
      <c r="O183" s="158"/>
      <c r="P183" s="158"/>
      <c r="Q183" s="158"/>
      <c r="R183" s="158"/>
      <c r="S183" s="158"/>
      <c r="T183" s="158"/>
      <c r="U183" s="158"/>
      <c r="V183" s="158"/>
      <c r="W183" s="158"/>
      <c r="X183" s="158"/>
      <c r="Y183" s="158"/>
      <c r="Z183" s="158"/>
      <c r="AA183" s="158"/>
      <c r="AB183" s="158"/>
      <c r="AC183" s="158"/>
      <c r="AD183" s="158"/>
      <c r="AE183" s="158"/>
      <c r="AF183" s="158"/>
      <c r="AG183" s="158"/>
      <c r="AH183" s="158"/>
      <c r="AI183" s="158"/>
      <c r="AJ183" s="158"/>
      <c r="AK183" s="158"/>
      <c r="AL183" s="158"/>
      <c r="AM183" s="158"/>
      <c r="AN183" s="158"/>
      <c r="AO183" s="158"/>
      <c r="AP183" s="158"/>
      <c r="AQ183" s="158"/>
      <c r="AR183" s="158"/>
      <c r="AS183" s="158"/>
      <c r="AT183" s="158"/>
      <c r="AU183" s="158"/>
      <c r="AV183" s="158"/>
      <c r="AW183" s="158"/>
      <c r="AX183" s="158"/>
      <c r="AY183" s="158"/>
      <c r="AZ183" s="158"/>
      <c r="BA183" s="158"/>
      <c r="BB183" s="158"/>
      <c r="BC183" s="158"/>
      <c r="BD183" s="158"/>
      <c r="BE183" s="158"/>
      <c r="BF183" s="158"/>
      <c r="BG183" s="158"/>
      <c r="BH183" s="158"/>
      <c r="BI183" s="158"/>
      <c r="BJ183" s="158"/>
      <c r="BK183" s="158"/>
      <c r="BL183" s="158"/>
      <c r="BM183" s="158"/>
      <c r="BN183" s="158"/>
      <c r="BO183" s="158"/>
      <c r="BP183" s="158"/>
    </row>
    <row r="184" customFormat="false" ht="15" hidden="false" customHeight="false" outlineLevel="0" collapsed="false">
      <c r="C184" s="0" t="s">
        <v>1131</v>
      </c>
      <c r="D184" s="0" t="s">
        <v>125</v>
      </c>
      <c r="E184" s="158"/>
      <c r="F184" s="158"/>
      <c r="G184" s="265" t="n">
        <f aca="false">-G164</f>
        <v>23473.0169389572</v>
      </c>
      <c r="H184" s="158"/>
      <c r="I184" s="158"/>
      <c r="J184" s="158"/>
      <c r="K184" s="158"/>
      <c r="L184" s="158"/>
      <c r="M184" s="158"/>
      <c r="N184" s="158"/>
      <c r="O184" s="158"/>
      <c r="P184" s="158"/>
      <c r="Q184" s="158"/>
      <c r="R184" s="158"/>
      <c r="S184" s="158"/>
      <c r="T184" s="158"/>
      <c r="U184" s="158"/>
      <c r="V184" s="158"/>
      <c r="W184" s="158"/>
      <c r="X184" s="158"/>
      <c r="Y184" s="158"/>
      <c r="Z184" s="158"/>
      <c r="AA184" s="158"/>
      <c r="AB184" s="158"/>
      <c r="AC184" s="158"/>
      <c r="AD184" s="158"/>
      <c r="AE184" s="158"/>
      <c r="AF184" s="158"/>
      <c r="AG184" s="158"/>
      <c r="AH184" s="158"/>
      <c r="AI184" s="158"/>
      <c r="AJ184" s="158"/>
      <c r="AK184" s="158"/>
      <c r="AL184" s="158"/>
      <c r="AM184" s="158"/>
      <c r="AN184" s="158"/>
      <c r="AO184" s="158"/>
      <c r="AP184" s="158"/>
      <c r="AQ184" s="158"/>
      <c r="AR184" s="158"/>
      <c r="AS184" s="158"/>
      <c r="AT184" s="158"/>
      <c r="AU184" s="158"/>
      <c r="AV184" s="158"/>
      <c r="AW184" s="158"/>
      <c r="AX184" s="158"/>
      <c r="AY184" s="158"/>
      <c r="AZ184" s="158"/>
      <c r="BA184" s="158"/>
      <c r="BB184" s="158"/>
      <c r="BC184" s="158"/>
      <c r="BD184" s="158"/>
      <c r="BE184" s="158"/>
      <c r="BF184" s="158"/>
      <c r="BG184" s="158"/>
      <c r="BH184" s="158"/>
      <c r="BI184" s="158"/>
      <c r="BJ184" s="158"/>
      <c r="BK184" s="158"/>
      <c r="BL184" s="158"/>
      <c r="BM184" s="158"/>
      <c r="BN184" s="158"/>
      <c r="BO184" s="158"/>
      <c r="BP184" s="158"/>
    </row>
    <row r="185" customFormat="false" ht="15" hidden="false" customHeight="false" outlineLevel="0" collapsed="false">
      <c r="C185" s="0" t="s">
        <v>1132</v>
      </c>
      <c r="D185" s="0" t="s">
        <v>125</v>
      </c>
      <c r="E185" s="158"/>
      <c r="F185" s="158"/>
      <c r="G185" s="265" t="n">
        <f aca="false">G171+G174</f>
        <v>34962.1667278044</v>
      </c>
      <c r="H185" s="158"/>
      <c r="I185" s="158"/>
      <c r="J185" s="158"/>
      <c r="K185" s="158"/>
      <c r="L185" s="158"/>
      <c r="M185" s="158"/>
      <c r="N185" s="158"/>
      <c r="O185" s="158"/>
      <c r="P185" s="158"/>
      <c r="Q185" s="158"/>
      <c r="R185" s="158"/>
      <c r="S185" s="158"/>
      <c r="T185" s="158"/>
      <c r="U185" s="158"/>
      <c r="V185" s="158"/>
      <c r="W185" s="158"/>
      <c r="X185" s="158"/>
      <c r="Y185" s="158"/>
      <c r="Z185" s="158"/>
      <c r="AA185" s="158"/>
      <c r="AB185" s="158"/>
      <c r="AC185" s="158"/>
      <c r="AD185" s="158"/>
      <c r="AE185" s="158"/>
      <c r="AF185" s="158"/>
      <c r="AG185" s="158"/>
      <c r="AH185" s="158"/>
      <c r="AI185" s="158"/>
      <c r="AJ185" s="158"/>
      <c r="AK185" s="158"/>
      <c r="AL185" s="158"/>
      <c r="AM185" s="158"/>
      <c r="AN185" s="158"/>
      <c r="AO185" s="158"/>
      <c r="AP185" s="158"/>
      <c r="AQ185" s="158"/>
      <c r="AR185" s="158"/>
      <c r="AS185" s="158"/>
      <c r="AT185" s="158"/>
      <c r="AU185" s="158"/>
      <c r="AV185" s="158"/>
      <c r="AW185" s="158"/>
      <c r="AX185" s="158"/>
      <c r="AY185" s="158"/>
      <c r="AZ185" s="158"/>
      <c r="BA185" s="158"/>
      <c r="BB185" s="158"/>
      <c r="BC185" s="158"/>
      <c r="BD185" s="158"/>
      <c r="BE185" s="158"/>
      <c r="BF185" s="158"/>
      <c r="BG185" s="158"/>
      <c r="BH185" s="158"/>
      <c r="BI185" s="158"/>
      <c r="BJ185" s="158"/>
      <c r="BK185" s="158"/>
      <c r="BL185" s="158"/>
      <c r="BM185" s="158"/>
      <c r="BN185" s="158"/>
      <c r="BO185" s="158"/>
      <c r="BP185" s="158"/>
    </row>
    <row r="186" customFormat="false" ht="15" hidden="false" customHeight="false" outlineLevel="0" collapsed="false">
      <c r="C186" s="205" t="s">
        <v>1133</v>
      </c>
      <c r="D186" s="205" t="s">
        <v>7</v>
      </c>
      <c r="E186" s="251"/>
      <c r="F186" s="251"/>
      <c r="G186" s="266" t="n">
        <f aca="false">IF(G184=0,"n/a",G185/G184)</f>
        <v>1.48946199880166</v>
      </c>
      <c r="H186" s="251"/>
      <c r="I186" s="251"/>
      <c r="J186" s="251"/>
      <c r="K186" s="251"/>
      <c r="L186" s="251"/>
      <c r="M186" s="251"/>
      <c r="N186" s="251"/>
      <c r="O186" s="251"/>
      <c r="P186" s="251"/>
      <c r="Q186" s="251"/>
      <c r="R186" s="251"/>
      <c r="S186" s="251"/>
      <c r="T186" s="251"/>
      <c r="U186" s="251"/>
      <c r="V186" s="251"/>
      <c r="W186" s="251"/>
      <c r="X186" s="251"/>
      <c r="Y186" s="251"/>
      <c r="Z186" s="251"/>
      <c r="AA186" s="251"/>
      <c r="AB186" s="251"/>
      <c r="AC186" s="251"/>
      <c r="AD186" s="251"/>
      <c r="AE186" s="251"/>
      <c r="AF186" s="251"/>
      <c r="AG186" s="251"/>
      <c r="AH186" s="251"/>
      <c r="AI186" s="251"/>
      <c r="AJ186" s="251"/>
      <c r="AK186" s="251"/>
      <c r="AL186" s="251"/>
      <c r="AM186" s="251"/>
      <c r="AN186" s="251"/>
      <c r="AO186" s="251"/>
      <c r="AP186" s="251"/>
      <c r="AQ186" s="251"/>
      <c r="AR186" s="251"/>
      <c r="AS186" s="251"/>
      <c r="AT186" s="251"/>
      <c r="AU186" s="251"/>
      <c r="AV186" s="251"/>
      <c r="AW186" s="251"/>
      <c r="AX186" s="251"/>
      <c r="AY186" s="251"/>
      <c r="AZ186" s="251"/>
      <c r="BA186" s="251"/>
      <c r="BB186" s="251"/>
      <c r="BC186" s="251"/>
      <c r="BD186" s="251"/>
      <c r="BE186" s="251"/>
      <c r="BF186" s="251"/>
      <c r="BG186" s="251"/>
      <c r="BH186" s="251"/>
      <c r="BI186" s="251"/>
      <c r="BJ186" s="251"/>
      <c r="BK186" s="251"/>
      <c r="BL186" s="251"/>
      <c r="BM186" s="251"/>
      <c r="BN186" s="251"/>
      <c r="BO186" s="251"/>
      <c r="BP186" s="251"/>
    </row>
    <row r="187" customFormat="false" ht="15" hidden="false" customHeight="false" outlineLevel="0" collapsed="false">
      <c r="C187" s="205" t="s">
        <v>1134</v>
      </c>
      <c r="D187" s="205" t="s">
        <v>51</v>
      </c>
      <c r="E187" s="251"/>
      <c r="F187" s="251"/>
      <c r="G187" s="267" t="n">
        <f aca="false">IFERROR(XIRR(H175:BP175,H5:BP5),"n/a")</f>
        <v>0.496874854514724</v>
      </c>
      <c r="H187" s="251"/>
      <c r="I187" s="251"/>
      <c r="J187" s="251"/>
      <c r="K187" s="251"/>
      <c r="L187" s="251"/>
      <c r="M187" s="251"/>
      <c r="N187" s="251"/>
      <c r="O187" s="251"/>
      <c r="P187" s="251"/>
      <c r="Q187" s="251"/>
      <c r="R187" s="251"/>
      <c r="S187" s="251"/>
      <c r="T187" s="251"/>
      <c r="U187" s="251"/>
      <c r="V187" s="251"/>
      <c r="W187" s="251"/>
      <c r="X187" s="251"/>
      <c r="Y187" s="251"/>
      <c r="Z187" s="251"/>
      <c r="AA187" s="251"/>
      <c r="AB187" s="251"/>
      <c r="AC187" s="251"/>
      <c r="AD187" s="251"/>
      <c r="AE187" s="251"/>
      <c r="AF187" s="251"/>
      <c r="AG187" s="251"/>
      <c r="AH187" s="251"/>
      <c r="AI187" s="251"/>
      <c r="AJ187" s="251"/>
      <c r="AK187" s="251"/>
      <c r="AL187" s="251"/>
      <c r="AM187" s="251"/>
      <c r="AN187" s="251"/>
      <c r="AO187" s="251"/>
      <c r="AP187" s="251"/>
      <c r="AQ187" s="251"/>
      <c r="AR187" s="251"/>
      <c r="AS187" s="251"/>
      <c r="AT187" s="251"/>
      <c r="AU187" s="251"/>
      <c r="AV187" s="251"/>
      <c r="AW187" s="251"/>
      <c r="AX187" s="251"/>
      <c r="AY187" s="251"/>
      <c r="AZ187" s="251"/>
      <c r="BA187" s="251"/>
      <c r="BB187" s="251"/>
      <c r="BC187" s="251"/>
      <c r="BD187" s="251"/>
      <c r="BE187" s="251"/>
      <c r="BF187" s="251"/>
      <c r="BG187" s="251"/>
      <c r="BH187" s="251"/>
      <c r="BI187" s="251"/>
      <c r="BJ187" s="251"/>
      <c r="BK187" s="251"/>
      <c r="BL187" s="251"/>
      <c r="BM187" s="251"/>
      <c r="BN187" s="251"/>
      <c r="BO187" s="251"/>
      <c r="BP187" s="251"/>
    </row>
    <row r="188" customFormat="false" ht="15" hidden="false" customHeight="false" outlineLevel="0" collapsed="false">
      <c r="C188" s="0" t="s">
        <v>1135</v>
      </c>
      <c r="D188" s="0" t="s">
        <v>125</v>
      </c>
      <c r="E188" s="158"/>
      <c r="F188" s="158"/>
      <c r="G188" s="265" t="n">
        <f aca="false">-MIN(H176:BP176)</f>
        <v>23443.8025553955</v>
      </c>
      <c r="H188" s="158"/>
      <c r="I188" s="158"/>
      <c r="J188" s="158"/>
      <c r="K188" s="158"/>
      <c r="L188" s="158"/>
      <c r="M188" s="158"/>
      <c r="N188" s="158"/>
      <c r="O188" s="158"/>
      <c r="P188" s="158"/>
      <c r="Q188" s="158"/>
      <c r="R188" s="158"/>
      <c r="S188" s="158"/>
      <c r="T188" s="158"/>
      <c r="U188" s="158"/>
      <c r="V188" s="158"/>
      <c r="W188" s="158"/>
      <c r="X188" s="158"/>
      <c r="Y188" s="158"/>
      <c r="Z188" s="158"/>
      <c r="AA188" s="158"/>
      <c r="AB188" s="158"/>
      <c r="AC188" s="158"/>
      <c r="AD188" s="158"/>
      <c r="AE188" s="158"/>
      <c r="AF188" s="158"/>
      <c r="AG188" s="158"/>
      <c r="AH188" s="158"/>
      <c r="AI188" s="158"/>
      <c r="AJ188" s="158"/>
      <c r="AK188" s="158"/>
      <c r="AL188" s="158"/>
      <c r="AM188" s="158"/>
      <c r="AN188" s="158"/>
      <c r="AO188" s="158"/>
      <c r="AP188" s="158"/>
      <c r="AQ188" s="158"/>
      <c r="AR188" s="158"/>
      <c r="AS188" s="158"/>
      <c r="AT188" s="158"/>
      <c r="AU188" s="158"/>
      <c r="AV188" s="158"/>
      <c r="AW188" s="158"/>
      <c r="AX188" s="158"/>
      <c r="AY188" s="158"/>
      <c r="AZ188" s="158"/>
      <c r="BA188" s="158"/>
      <c r="BB188" s="158"/>
      <c r="BC188" s="158"/>
      <c r="BD188" s="158"/>
      <c r="BE188" s="158"/>
      <c r="BF188" s="158"/>
      <c r="BG188" s="158"/>
      <c r="BH188" s="158"/>
      <c r="BI188" s="158"/>
      <c r="BJ188" s="158"/>
      <c r="BK188" s="158"/>
      <c r="BL188" s="158"/>
      <c r="BM188" s="158"/>
      <c r="BN188" s="158"/>
      <c r="BO188" s="158"/>
      <c r="BP188" s="158"/>
    </row>
    <row r="189" customFormat="false" ht="15" hidden="false" customHeight="false" outlineLevel="0" collapsed="false">
      <c r="C189" s="0" t="s">
        <v>1136</v>
      </c>
      <c r="D189" s="0" t="s">
        <v>169</v>
      </c>
      <c r="E189" s="158"/>
      <c r="F189" s="158"/>
      <c r="G189" s="264" t="n">
        <f aca="false">G188*Inputs!$E$11/1000</f>
        <v>8556.98793271936</v>
      </c>
      <c r="H189" s="158"/>
      <c r="I189" s="158"/>
      <c r="J189" s="158"/>
      <c r="K189" s="158"/>
      <c r="L189" s="158"/>
      <c r="M189" s="158"/>
      <c r="N189" s="158"/>
      <c r="O189" s="158"/>
      <c r="P189" s="158"/>
      <c r="Q189" s="158"/>
      <c r="R189" s="158"/>
      <c r="S189" s="158"/>
      <c r="T189" s="158"/>
      <c r="U189" s="158"/>
      <c r="V189" s="158"/>
      <c r="W189" s="158"/>
      <c r="X189" s="158"/>
      <c r="Y189" s="158"/>
      <c r="Z189" s="158"/>
      <c r="AA189" s="158"/>
      <c r="AB189" s="158"/>
      <c r="AC189" s="158"/>
      <c r="AD189" s="158"/>
      <c r="AE189" s="158"/>
      <c r="AF189" s="158"/>
      <c r="AG189" s="158"/>
      <c r="AH189" s="158"/>
      <c r="AI189" s="158"/>
      <c r="AJ189" s="158"/>
      <c r="AK189" s="158"/>
      <c r="AL189" s="158"/>
      <c r="AM189" s="158"/>
      <c r="AN189" s="158"/>
      <c r="AO189" s="158"/>
      <c r="AP189" s="158"/>
      <c r="AQ189" s="158"/>
      <c r="AR189" s="158"/>
      <c r="AS189" s="158"/>
      <c r="AT189" s="158"/>
      <c r="AU189" s="158"/>
      <c r="AV189" s="158"/>
      <c r="AW189" s="158"/>
      <c r="AX189" s="158"/>
      <c r="AY189" s="158"/>
      <c r="AZ189" s="158"/>
      <c r="BA189" s="158"/>
      <c r="BB189" s="158"/>
      <c r="BC189" s="158"/>
      <c r="BD189" s="158"/>
      <c r="BE189" s="158"/>
      <c r="BF189" s="158"/>
      <c r="BG189" s="158"/>
      <c r="BH189" s="158"/>
      <c r="BI189" s="158"/>
      <c r="BJ189" s="158"/>
      <c r="BK189" s="158"/>
      <c r="BL189" s="158"/>
      <c r="BM189" s="158"/>
      <c r="BN189" s="158"/>
      <c r="BO189" s="158"/>
      <c r="BP189" s="158"/>
    </row>
    <row r="190" customFormat="false" ht="15" hidden="false" customHeight="false" outlineLevel="0" collapsed="false">
      <c r="C190" s="0" t="s">
        <v>1137</v>
      </c>
      <c r="D190" s="0" t="s">
        <v>125</v>
      </c>
      <c r="E190" s="158"/>
      <c r="F190" s="158"/>
      <c r="G190" s="265" t="n">
        <f aca="false">G179</f>
        <v>9865.73301611894</v>
      </c>
      <c r="H190" s="158"/>
      <c r="I190" s="158"/>
      <c r="J190" s="158"/>
      <c r="K190" s="158"/>
      <c r="L190" s="158"/>
      <c r="M190" s="158"/>
      <c r="N190" s="158"/>
      <c r="O190" s="158"/>
      <c r="P190" s="158"/>
      <c r="Q190" s="158"/>
      <c r="R190" s="158"/>
      <c r="S190" s="158"/>
      <c r="T190" s="158"/>
      <c r="U190" s="158"/>
      <c r="V190" s="158"/>
      <c r="W190" s="158"/>
      <c r="X190" s="158"/>
      <c r="Y190" s="158"/>
      <c r="Z190" s="158"/>
      <c r="AA190" s="158"/>
      <c r="AB190" s="158"/>
      <c r="AC190" s="158"/>
      <c r="AD190" s="158"/>
      <c r="AE190" s="158"/>
      <c r="AF190" s="158"/>
      <c r="AG190" s="158"/>
      <c r="AH190" s="158"/>
      <c r="AI190" s="158"/>
      <c r="AJ190" s="158"/>
      <c r="AK190" s="158"/>
      <c r="AL190" s="158"/>
      <c r="AM190" s="158"/>
      <c r="AN190" s="158"/>
      <c r="AO190" s="158"/>
      <c r="AP190" s="158"/>
      <c r="AQ190" s="158"/>
      <c r="AR190" s="158"/>
      <c r="AS190" s="158"/>
      <c r="AT190" s="158"/>
      <c r="AU190" s="158"/>
      <c r="AV190" s="158"/>
      <c r="AW190" s="158"/>
      <c r="AX190" s="158"/>
      <c r="AY190" s="158"/>
      <c r="AZ190" s="158"/>
      <c r="BA190" s="158"/>
      <c r="BB190" s="158"/>
      <c r="BC190" s="158"/>
      <c r="BD190" s="158"/>
      <c r="BE190" s="158"/>
      <c r="BF190" s="158"/>
      <c r="BG190" s="158"/>
      <c r="BH190" s="158"/>
      <c r="BI190" s="158"/>
      <c r="BJ190" s="158"/>
      <c r="BK190" s="158"/>
      <c r="BL190" s="158"/>
      <c r="BM190" s="158"/>
      <c r="BN190" s="158"/>
      <c r="BO190" s="158"/>
      <c r="BP190" s="158"/>
    </row>
    <row r="191" customFormat="false" ht="15" hidden="false" customHeight="false" outlineLevel="0" collapsed="false">
      <c r="C191" s="0" t="s">
        <v>1138</v>
      </c>
      <c r="D191" s="0" t="s">
        <v>447</v>
      </c>
      <c r="E191" s="158"/>
      <c r="F191" s="158"/>
      <c r="G191" s="268" t="n">
        <f aca="false">Inputs!$E$57</f>
        <v>38</v>
      </c>
      <c r="H191" s="158"/>
      <c r="I191" s="158"/>
      <c r="J191" s="158"/>
      <c r="K191" s="158"/>
      <c r="L191" s="158"/>
      <c r="M191" s="158"/>
      <c r="N191" s="158"/>
      <c r="O191" s="158"/>
      <c r="P191" s="158"/>
      <c r="Q191" s="158"/>
      <c r="R191" s="158"/>
      <c r="S191" s="158"/>
      <c r="T191" s="158"/>
      <c r="U191" s="158"/>
      <c r="V191" s="158"/>
      <c r="W191" s="158"/>
      <c r="X191" s="158"/>
      <c r="Y191" s="158"/>
      <c r="Z191" s="158"/>
      <c r="AA191" s="158"/>
      <c r="AB191" s="158"/>
      <c r="AC191" s="158"/>
      <c r="AD191" s="158"/>
      <c r="AE191" s="158"/>
      <c r="AF191" s="158"/>
      <c r="AG191" s="158"/>
      <c r="AH191" s="158"/>
      <c r="AI191" s="158"/>
      <c r="AJ191" s="158"/>
      <c r="AK191" s="158"/>
      <c r="AL191" s="158"/>
      <c r="AM191" s="158"/>
      <c r="AN191" s="158"/>
      <c r="AO191" s="158"/>
      <c r="AP191" s="158"/>
      <c r="AQ191" s="158"/>
      <c r="AR191" s="158"/>
      <c r="AS191" s="158"/>
      <c r="AT191" s="158"/>
      <c r="AU191" s="158"/>
      <c r="AV191" s="158"/>
      <c r="AW191" s="158"/>
      <c r="AX191" s="158"/>
      <c r="AY191" s="158"/>
      <c r="AZ191" s="158"/>
      <c r="BA191" s="158"/>
      <c r="BB191" s="158"/>
      <c r="BC191" s="158"/>
      <c r="BD191" s="158"/>
      <c r="BE191" s="158"/>
      <c r="BF191" s="158"/>
      <c r="BG191" s="158"/>
      <c r="BH191" s="158"/>
      <c r="BI191" s="158"/>
      <c r="BJ191" s="158"/>
      <c r="BK191" s="158"/>
      <c r="BL191" s="158"/>
      <c r="BM191" s="158"/>
      <c r="BN191" s="158"/>
      <c r="BO191" s="158"/>
      <c r="BP191" s="158"/>
    </row>
    <row r="192" customFormat="false" ht="15" hidden="false" customHeight="false" outlineLevel="0" collapsed="false">
      <c r="C192" s="0" t="s">
        <v>1139</v>
      </c>
      <c r="D192" s="0" t="s">
        <v>125</v>
      </c>
      <c r="E192" s="158"/>
      <c r="F192" s="158"/>
      <c r="G192" s="265" t="n">
        <f aca="false" t="array" ref="G192:G192">SUMPRODUCT(H175:BP175/(1+Inputs!$E$255)^((H5:BP5-$H$5)/365))</f>
        <v>7670.46794302567</v>
      </c>
      <c r="H192" s="158"/>
      <c r="I192" s="158"/>
      <c r="J192" s="158"/>
      <c r="K192" s="158"/>
      <c r="L192" s="158"/>
      <c r="M192" s="158"/>
      <c r="N192" s="158"/>
      <c r="O192" s="158"/>
      <c r="P192" s="158"/>
      <c r="Q192" s="158"/>
      <c r="R192" s="158"/>
      <c r="S192" s="158"/>
      <c r="T192" s="158"/>
      <c r="U192" s="158"/>
      <c r="V192" s="158"/>
      <c r="W192" s="158"/>
      <c r="X192" s="158"/>
      <c r="Y192" s="158"/>
      <c r="Z192" s="158"/>
      <c r="AA192" s="158"/>
      <c r="AB192" s="158"/>
      <c r="AC192" s="158"/>
      <c r="AD192" s="158"/>
      <c r="AE192" s="158"/>
      <c r="AF192" s="158"/>
      <c r="AG192" s="158"/>
      <c r="AH192" s="158"/>
      <c r="AI192" s="158"/>
      <c r="AJ192" s="158"/>
      <c r="AK192" s="158"/>
      <c r="AL192" s="158"/>
      <c r="AM192" s="158"/>
      <c r="AN192" s="158"/>
      <c r="AO192" s="158"/>
      <c r="AP192" s="158"/>
      <c r="AQ192" s="158"/>
      <c r="AR192" s="158"/>
      <c r="AS192" s="158"/>
      <c r="AT192" s="158"/>
      <c r="AU192" s="158"/>
      <c r="AV192" s="158"/>
      <c r="AW192" s="158"/>
      <c r="AX192" s="158"/>
      <c r="AY192" s="158"/>
      <c r="AZ192" s="158"/>
      <c r="BA192" s="158"/>
      <c r="BB192" s="158"/>
      <c r="BC192" s="158"/>
      <c r="BD192" s="158"/>
      <c r="BE192" s="158"/>
      <c r="BF192" s="158"/>
      <c r="BG192" s="158"/>
      <c r="BH192" s="158"/>
      <c r="BI192" s="158"/>
      <c r="BJ192" s="158"/>
      <c r="BK192" s="158"/>
      <c r="BL192" s="158"/>
      <c r="BM192" s="158"/>
      <c r="BN192" s="158"/>
      <c r="BO192" s="158"/>
      <c r="BP192" s="158"/>
    </row>
    <row r="193" customFormat="false" ht="15" hidden="false" customHeight="false" outlineLevel="0" collapsed="false">
      <c r="C193" s="0" t="s">
        <v>1140</v>
      </c>
      <c r="D193" s="0" t="s">
        <v>125</v>
      </c>
      <c r="E193" s="158"/>
      <c r="F193" s="158"/>
      <c r="G193" s="265" t="n">
        <f aca="false" t="array" ref="G193:G193">-SUMPRODUCT((H175:BP175&lt;0)*H175:BP175/(1+Inputs!$E$255)^((H5:BP5-$H$5)/365))</f>
        <v>19700.2736883016</v>
      </c>
      <c r="H193" s="158"/>
      <c r="I193" s="158"/>
      <c r="J193" s="158"/>
      <c r="K193" s="158"/>
      <c r="L193" s="158"/>
      <c r="M193" s="158"/>
      <c r="N193" s="158"/>
      <c r="O193" s="158"/>
      <c r="P193" s="158"/>
      <c r="Q193" s="158"/>
      <c r="R193" s="158"/>
      <c r="S193" s="158"/>
      <c r="T193" s="158"/>
      <c r="U193" s="158"/>
      <c r="V193" s="158"/>
      <c r="W193" s="158"/>
      <c r="X193" s="158"/>
      <c r="Y193" s="158"/>
      <c r="Z193" s="158"/>
      <c r="AA193" s="158"/>
      <c r="AB193" s="158"/>
      <c r="AC193" s="158"/>
      <c r="AD193" s="158"/>
      <c r="AE193" s="158"/>
      <c r="AF193" s="158"/>
      <c r="AG193" s="158"/>
      <c r="AH193" s="158"/>
      <c r="AI193" s="158"/>
      <c r="AJ193" s="158"/>
      <c r="AK193" s="158"/>
      <c r="AL193" s="158"/>
      <c r="AM193" s="158"/>
      <c r="AN193" s="158"/>
      <c r="AO193" s="158"/>
      <c r="AP193" s="158"/>
      <c r="AQ193" s="158"/>
      <c r="AR193" s="158"/>
      <c r="AS193" s="158"/>
      <c r="AT193" s="158"/>
      <c r="AU193" s="158"/>
      <c r="AV193" s="158"/>
      <c r="AW193" s="158"/>
      <c r="AX193" s="158"/>
      <c r="AY193" s="158"/>
      <c r="AZ193" s="158"/>
      <c r="BA193" s="158"/>
      <c r="BB193" s="158"/>
      <c r="BC193" s="158"/>
      <c r="BD193" s="158"/>
      <c r="BE193" s="158"/>
      <c r="BF193" s="158"/>
      <c r="BG193" s="158"/>
      <c r="BH193" s="158"/>
      <c r="BI193" s="158"/>
      <c r="BJ193" s="158"/>
      <c r="BK193" s="158"/>
      <c r="BL193" s="158"/>
      <c r="BM193" s="158"/>
      <c r="BN193" s="158"/>
      <c r="BO193" s="158"/>
      <c r="BP193" s="158"/>
    </row>
    <row r="194" customFormat="false" ht="15" hidden="false" customHeight="false" outlineLevel="0" collapsed="false">
      <c r="C194" s="205" t="s">
        <v>1141</v>
      </c>
      <c r="D194" s="205" t="s">
        <v>7</v>
      </c>
      <c r="E194" s="251"/>
      <c r="F194" s="251"/>
      <c r="G194" s="266" t="n">
        <f aca="false">IF(G193=0,"n/a",G192/G193)</f>
        <v>0.38935844569411</v>
      </c>
      <c r="H194" s="251"/>
      <c r="I194" s="251"/>
      <c r="J194" s="251"/>
      <c r="K194" s="251"/>
      <c r="L194" s="251"/>
      <c r="M194" s="251"/>
      <c r="N194" s="251"/>
      <c r="O194" s="251"/>
      <c r="P194" s="251"/>
      <c r="Q194" s="251"/>
      <c r="R194" s="251"/>
      <c r="S194" s="251"/>
      <c r="T194" s="251"/>
      <c r="U194" s="251"/>
      <c r="V194" s="251"/>
      <c r="W194" s="251"/>
      <c r="X194" s="251"/>
      <c r="Y194" s="251"/>
      <c r="Z194" s="251"/>
      <c r="AA194" s="251"/>
      <c r="AB194" s="251"/>
      <c r="AC194" s="251"/>
      <c r="AD194" s="251"/>
      <c r="AE194" s="251"/>
      <c r="AF194" s="251"/>
      <c r="AG194" s="251"/>
      <c r="AH194" s="251"/>
      <c r="AI194" s="251"/>
      <c r="AJ194" s="251"/>
      <c r="AK194" s="251"/>
      <c r="AL194" s="251"/>
      <c r="AM194" s="251"/>
      <c r="AN194" s="251"/>
      <c r="AO194" s="251"/>
      <c r="AP194" s="251"/>
      <c r="AQ194" s="251"/>
      <c r="AR194" s="251"/>
      <c r="AS194" s="251"/>
      <c r="AT194" s="251"/>
      <c r="AU194" s="251"/>
      <c r="AV194" s="251"/>
      <c r="AW194" s="251"/>
      <c r="AX194" s="251"/>
      <c r="AY194" s="251"/>
      <c r="AZ194" s="251"/>
      <c r="BA194" s="251"/>
      <c r="BB194" s="251"/>
      <c r="BC194" s="251"/>
      <c r="BD194" s="251"/>
      <c r="BE194" s="251"/>
      <c r="BF194" s="251"/>
      <c r="BG194" s="251"/>
      <c r="BH194" s="251"/>
      <c r="BI194" s="251"/>
      <c r="BJ194" s="251"/>
      <c r="BK194" s="251"/>
      <c r="BL194" s="251"/>
      <c r="BM194" s="251"/>
      <c r="BN194" s="251"/>
      <c r="BO194" s="251"/>
      <c r="BP194" s="251"/>
    </row>
    <row r="195" customFormat="false" ht="15" hidden="false" customHeight="false" outlineLevel="0" collapsed="false">
      <c r="C195" s="205" t="s">
        <v>1142</v>
      </c>
      <c r="D195" s="205" t="s">
        <v>7</v>
      </c>
      <c r="E195" s="251"/>
      <c r="F195" s="251"/>
      <c r="G195" s="266" t="n">
        <f aca="false">IF(SUMIF(H175:BP175,"&lt;0")=0,"n/a",G192/-SUMIF(H175:BP175,"&lt;0"))</f>
        <v>0.327185315816454</v>
      </c>
      <c r="H195" s="251"/>
      <c r="I195" s="251"/>
      <c r="J195" s="251"/>
      <c r="K195" s="251"/>
      <c r="L195" s="251"/>
      <c r="M195" s="251"/>
      <c r="N195" s="251"/>
      <c r="O195" s="251"/>
      <c r="P195" s="251"/>
      <c r="Q195" s="251"/>
      <c r="R195" s="251"/>
      <c r="S195" s="251"/>
      <c r="T195" s="251"/>
      <c r="U195" s="251"/>
      <c r="V195" s="251"/>
      <c r="W195" s="251"/>
      <c r="X195" s="251"/>
      <c r="Y195" s="251"/>
      <c r="Z195" s="251"/>
      <c r="AA195" s="251"/>
      <c r="AB195" s="251"/>
      <c r="AC195" s="251"/>
      <c r="AD195" s="251"/>
      <c r="AE195" s="251"/>
      <c r="AF195" s="251"/>
      <c r="AG195" s="251"/>
      <c r="AH195" s="251"/>
      <c r="AI195" s="251"/>
      <c r="AJ195" s="251"/>
      <c r="AK195" s="251"/>
      <c r="AL195" s="251"/>
      <c r="AM195" s="251"/>
      <c r="AN195" s="251"/>
      <c r="AO195" s="251"/>
      <c r="AP195" s="251"/>
      <c r="AQ195" s="251"/>
      <c r="AR195" s="251"/>
      <c r="AS195" s="251"/>
      <c r="AT195" s="251"/>
      <c r="AU195" s="251"/>
      <c r="AV195" s="251"/>
      <c r="AW195" s="251"/>
      <c r="AX195" s="251"/>
      <c r="AY195" s="251"/>
      <c r="AZ195" s="251"/>
      <c r="BA195" s="251"/>
      <c r="BB195" s="251"/>
      <c r="BC195" s="251"/>
      <c r="BD195" s="251"/>
      <c r="BE195" s="251"/>
      <c r="BF195" s="251"/>
      <c r="BG195" s="251"/>
      <c r="BH195" s="251"/>
      <c r="BI195" s="251"/>
      <c r="BJ195" s="251"/>
      <c r="BK195" s="251"/>
      <c r="BL195" s="251"/>
      <c r="BM195" s="251"/>
      <c r="BN195" s="251"/>
      <c r="BO195" s="251"/>
      <c r="BP195" s="251"/>
    </row>
    <row r="196" customFormat="false" ht="15" hidden="false" customHeight="false" outlineLevel="0" collapsed="false">
      <c r="C196" s="205"/>
      <c r="D196" s="205"/>
      <c r="E196" s="251"/>
      <c r="F196" s="251"/>
      <c r="G196" s="266"/>
      <c r="H196" s="251"/>
      <c r="I196" s="251"/>
      <c r="J196" s="251"/>
      <c r="K196" s="251"/>
      <c r="L196" s="251"/>
      <c r="M196" s="251"/>
      <c r="N196" s="251"/>
      <c r="O196" s="251"/>
      <c r="P196" s="251"/>
      <c r="Q196" s="251"/>
      <c r="R196" s="251"/>
      <c r="S196" s="251"/>
      <c r="T196" s="251"/>
      <c r="U196" s="251"/>
      <c r="V196" s="251"/>
      <c r="W196" s="251"/>
      <c r="X196" s="251"/>
      <c r="Y196" s="251"/>
      <c r="Z196" s="251"/>
      <c r="AA196" s="251"/>
      <c r="AB196" s="251"/>
      <c r="AC196" s="251"/>
      <c r="AD196" s="251"/>
      <c r="AE196" s="251"/>
      <c r="AF196" s="251"/>
      <c r="AG196" s="251"/>
      <c r="AH196" s="251"/>
      <c r="AI196" s="251"/>
      <c r="AJ196" s="251"/>
      <c r="AK196" s="251"/>
      <c r="AL196" s="251"/>
      <c r="AM196" s="251"/>
      <c r="AN196" s="251"/>
      <c r="AO196" s="251"/>
      <c r="AP196" s="251"/>
      <c r="AQ196" s="251"/>
      <c r="AR196" s="251"/>
      <c r="AS196" s="251"/>
      <c r="AT196" s="251"/>
      <c r="AU196" s="251"/>
      <c r="AV196" s="251"/>
      <c r="AW196" s="251"/>
      <c r="AX196" s="251"/>
      <c r="AY196" s="251"/>
      <c r="AZ196" s="251"/>
      <c r="BA196" s="251"/>
      <c r="BB196" s="251"/>
      <c r="BC196" s="251"/>
      <c r="BD196" s="251"/>
      <c r="BE196" s="251"/>
      <c r="BF196" s="251"/>
      <c r="BG196" s="251"/>
      <c r="BH196" s="251"/>
      <c r="BI196" s="251"/>
      <c r="BJ196" s="251"/>
      <c r="BK196" s="251"/>
      <c r="BL196" s="251"/>
      <c r="BM196" s="251"/>
      <c r="BN196" s="251"/>
      <c r="BO196" s="251"/>
      <c r="BP196" s="251"/>
    </row>
    <row r="197" customFormat="false" ht="15" hidden="false" customHeight="false" outlineLevel="0" collapsed="false">
      <c r="C197" s="205" t="s">
        <v>1143</v>
      </c>
      <c r="D197" s="205"/>
      <c r="E197" s="251"/>
      <c r="F197" s="251"/>
      <c r="G197" s="266"/>
      <c r="H197" s="251"/>
      <c r="I197" s="251"/>
      <c r="J197" s="251"/>
      <c r="K197" s="251"/>
      <c r="L197" s="251"/>
      <c r="M197" s="251"/>
      <c r="N197" s="251"/>
      <c r="O197" s="251"/>
      <c r="P197" s="251"/>
      <c r="Q197" s="251"/>
      <c r="R197" s="251"/>
      <c r="S197" s="251"/>
      <c r="T197" s="251"/>
      <c r="U197" s="251"/>
      <c r="V197" s="251"/>
      <c r="W197" s="251"/>
      <c r="X197" s="251"/>
      <c r="Y197" s="251"/>
      <c r="Z197" s="251"/>
      <c r="AA197" s="251"/>
      <c r="AB197" s="251"/>
      <c r="AC197" s="251"/>
      <c r="AD197" s="251"/>
      <c r="AE197" s="251"/>
      <c r="AF197" s="251"/>
      <c r="AG197" s="251"/>
      <c r="AH197" s="251"/>
      <c r="AI197" s="251"/>
      <c r="AJ197" s="251"/>
      <c r="AK197" s="251"/>
      <c r="AL197" s="251"/>
      <c r="AM197" s="251"/>
      <c r="AN197" s="251"/>
      <c r="AO197" s="251"/>
      <c r="AP197" s="251"/>
      <c r="AQ197" s="251"/>
      <c r="AR197" s="251"/>
      <c r="AS197" s="251"/>
      <c r="AT197" s="251"/>
      <c r="AU197" s="251"/>
      <c r="AV197" s="251"/>
      <c r="AW197" s="251"/>
      <c r="AX197" s="251"/>
      <c r="AY197" s="251"/>
      <c r="AZ197" s="251"/>
      <c r="BA197" s="251"/>
      <c r="BB197" s="251"/>
      <c r="BC197" s="251"/>
      <c r="BD197" s="251"/>
      <c r="BE197" s="251"/>
      <c r="BF197" s="251"/>
      <c r="BG197" s="251"/>
      <c r="BH197" s="251"/>
      <c r="BI197" s="251"/>
      <c r="BJ197" s="251"/>
      <c r="BK197" s="251"/>
      <c r="BL197" s="251"/>
      <c r="BM197" s="251"/>
      <c r="BN197" s="251"/>
      <c r="BO197" s="251"/>
      <c r="BP197" s="251"/>
    </row>
    <row r="198" customFormat="false" ht="15" hidden="false" customHeight="false" outlineLevel="0" collapsed="false">
      <c r="C198" s="205" t="s">
        <v>1144</v>
      </c>
      <c r="D198" s="205" t="s">
        <v>125</v>
      </c>
      <c r="E198" s="251"/>
      <c r="F198" s="251"/>
      <c r="G198" s="158"/>
      <c r="H198" s="158" t="n">
        <v>0</v>
      </c>
      <c r="I198" s="158" t="n">
        <f aca="false">H201</f>
        <v>0</v>
      </c>
      <c r="J198" s="158" t="n">
        <f aca="false">I201</f>
        <v>0</v>
      </c>
      <c r="K198" s="158" t="n">
        <f aca="false">J201</f>
        <v>0</v>
      </c>
      <c r="L198" s="158" t="n">
        <f aca="false">K201</f>
        <v>97.4638763249846</v>
      </c>
      <c r="M198" s="158" t="n">
        <f aca="false">L201</f>
        <v>98.0909618398972</v>
      </c>
      <c r="N198" s="158" t="n">
        <f aca="false">M201</f>
        <v>1339.53116025971</v>
      </c>
      <c r="O198" s="158" t="n">
        <f aca="false">N201</f>
        <v>1353.04590962999</v>
      </c>
      <c r="P198" s="158" t="n">
        <f aca="false">O201</f>
        <v>1451.77357163114</v>
      </c>
      <c r="Q198" s="158" t="n">
        <f aca="false">P201</f>
        <v>1661.39469849581</v>
      </c>
      <c r="R198" s="158" t="n">
        <f aca="false">Q201</f>
        <v>1672.08416201054</v>
      </c>
      <c r="S198" s="158" t="n">
        <f aca="false">R201</f>
        <v>1682.84240185537</v>
      </c>
      <c r="T198" s="158" t="n">
        <f aca="false">S201</f>
        <v>1715.43059632546</v>
      </c>
      <c r="U198" s="158" t="n">
        <f aca="false">T201</f>
        <v>1748.22846422</v>
      </c>
      <c r="V198" s="158" t="n">
        <f aca="false">U201</f>
        <v>1759.47661879796</v>
      </c>
      <c r="W198" s="158" t="n">
        <f aca="false">V201</f>
        <v>1770.79714434115</v>
      </c>
      <c r="X198" s="158" t="n">
        <f aca="false">W201</f>
        <v>1782.19050648655</v>
      </c>
      <c r="Y198" s="158" t="n">
        <f aca="false">X201</f>
        <v>1814.05786366658</v>
      </c>
      <c r="Z198" s="158" t="n">
        <f aca="false">Y201</f>
        <v>1897.52911430914</v>
      </c>
      <c r="AA198" s="158" t="n">
        <f aca="false">Z201</f>
        <v>2390.18126572451</v>
      </c>
      <c r="AB198" s="158" t="n">
        <f aca="false">AA201</f>
        <v>2521.16367282054</v>
      </c>
      <c r="AC198" s="158" t="n">
        <f aca="false">AB201</f>
        <v>2581.73601542788</v>
      </c>
      <c r="AD198" s="158" t="n">
        <f aca="false">AC201</f>
        <v>2598.40138452669</v>
      </c>
      <c r="AE198" s="158" t="n">
        <f aca="false">AD201</f>
        <v>2615.11957727261</v>
      </c>
      <c r="AF198" s="158" t="n">
        <f aca="false">AE201</f>
        <v>2634.20981194179</v>
      </c>
      <c r="AG198" s="158" t="n">
        <f aca="false">AF201</f>
        <v>2651.15839718789</v>
      </c>
      <c r="AH198" s="158" t="n">
        <f aca="false">AG201</f>
        <v>2749.67380999206</v>
      </c>
      <c r="AI198" s="158" t="n">
        <f aca="false">AH201</f>
        <v>2767.36529407824</v>
      </c>
      <c r="AJ198" s="158" t="n">
        <f aca="false">AI201</f>
        <v>2785.17060570571</v>
      </c>
      <c r="AK198" s="158" t="n">
        <f aca="false">AJ201</f>
        <v>2819.41102908394</v>
      </c>
      <c r="AL198" s="158" t="n">
        <f aca="false">AK201</f>
        <v>2979.56290164793</v>
      </c>
      <c r="AM198" s="158" t="n">
        <f aca="false">AL201</f>
        <v>22634.3120704572</v>
      </c>
      <c r="AN198" s="158" t="n">
        <f aca="false">AM201</f>
        <v>22779.9419158377</v>
      </c>
      <c r="AO198" s="158" t="n">
        <f aca="false">AN201</f>
        <v>23050.5449420095</v>
      </c>
      <c r="AP198" s="158" t="n">
        <f aca="false">AO201</f>
        <v>23198.8528422184</v>
      </c>
      <c r="AQ198" s="158" t="n">
        <f aca="false">AP201</f>
        <v>23348.1149599227</v>
      </c>
      <c r="AR198" s="158" t="n">
        <f aca="false">AQ201</f>
        <v>23498.3374345867</v>
      </c>
      <c r="AS198" s="158" t="n">
        <f aca="false">AR201</f>
        <v>23649.5264451759</v>
      </c>
      <c r="AT198" s="158" t="n">
        <f aca="false">AS201</f>
        <v>23801.6882104114</v>
      </c>
      <c r="AU198" s="158" t="n">
        <f aca="false">AT201</f>
        <v>0</v>
      </c>
      <c r="AV198" s="158" t="n">
        <f aca="false">AU201</f>
        <v>0</v>
      </c>
      <c r="AW198" s="158" t="n">
        <f aca="false">AV201</f>
        <v>0</v>
      </c>
      <c r="AX198" s="158" t="n">
        <f aca="false">AW201</f>
        <v>0</v>
      </c>
      <c r="AY198" s="158" t="n">
        <f aca="false">AX201</f>
        <v>0</v>
      </c>
      <c r="AZ198" s="158" t="n">
        <f aca="false">AY201</f>
        <v>0</v>
      </c>
      <c r="BA198" s="158" t="n">
        <f aca="false">AZ201</f>
        <v>0</v>
      </c>
      <c r="BB198" s="158" t="n">
        <f aca="false">BA201</f>
        <v>0</v>
      </c>
      <c r="BC198" s="158" t="n">
        <f aca="false">BB201</f>
        <v>0</v>
      </c>
      <c r="BD198" s="158" t="n">
        <f aca="false">BC201</f>
        <v>0</v>
      </c>
      <c r="BE198" s="158" t="n">
        <f aca="false">BD201</f>
        <v>0</v>
      </c>
      <c r="BF198" s="158" t="n">
        <f aca="false">BE201</f>
        <v>0</v>
      </c>
      <c r="BG198" s="158" t="n">
        <f aca="false">BF201</f>
        <v>0</v>
      </c>
      <c r="BH198" s="158" t="n">
        <f aca="false">BG201</f>
        <v>0</v>
      </c>
      <c r="BI198" s="158" t="n">
        <f aca="false">BH201</f>
        <v>0</v>
      </c>
      <c r="BJ198" s="158" t="n">
        <f aca="false">BI201</f>
        <v>0</v>
      </c>
      <c r="BK198" s="158" t="n">
        <f aca="false">BJ201</f>
        <v>0</v>
      </c>
      <c r="BL198" s="158" t="n">
        <f aca="false">BK201</f>
        <v>0</v>
      </c>
      <c r="BM198" s="158" t="n">
        <f aca="false">BL201</f>
        <v>0</v>
      </c>
      <c r="BN198" s="158" t="n">
        <f aca="false">BM201</f>
        <v>0</v>
      </c>
      <c r="BO198" s="158" t="n">
        <f aca="false">BN201</f>
        <v>0</v>
      </c>
      <c r="BP198" s="158" t="n">
        <f aca="false">BO201</f>
        <v>0</v>
      </c>
    </row>
    <row r="199" customFormat="false" ht="15" hidden="false" customHeight="false" outlineLevel="0" collapsed="false">
      <c r="C199" s="205" t="s">
        <v>1145</v>
      </c>
      <c r="D199" s="205" t="s">
        <v>125</v>
      </c>
      <c r="E199" s="251"/>
      <c r="F199" s="251"/>
      <c r="G199" s="158" t="n">
        <f aca="false">SUM(H199:BP199)</f>
        <v>22268.0421444366</v>
      </c>
      <c r="H199" s="158" t="n">
        <f aca="false">H110+H124+H125</f>
        <v>0</v>
      </c>
      <c r="I199" s="158" t="n">
        <f aca="false">I110+I124+I125</f>
        <v>0</v>
      </c>
      <c r="J199" s="158" t="n">
        <f aca="false">J110+J124+J125</f>
        <v>0</v>
      </c>
      <c r="K199" s="158" t="n">
        <f aca="false">K110+K124+K125</f>
        <v>96.8407997038134</v>
      </c>
      <c r="L199" s="158" t="n">
        <f aca="false">L110+L124+L125</f>
        <v>0</v>
      </c>
      <c r="M199" s="158" t="n">
        <f aca="false">M110+M124+M125</f>
        <v>1232.87671232877</v>
      </c>
      <c r="N199" s="158" t="n">
        <f aca="false">N110+N124+N125</f>
        <v>4.86486486486487</v>
      </c>
      <c r="O199" s="158" t="n">
        <f aca="false">O110+O124+O125</f>
        <v>89.4466216216216</v>
      </c>
      <c r="P199" s="158" t="n">
        <f aca="false">P110+P124+P125</f>
        <v>199</v>
      </c>
      <c r="Q199" s="158" t="n">
        <f aca="false">Q110+Q124+Q125</f>
        <v>0</v>
      </c>
      <c r="R199" s="158" t="n">
        <f aca="false">R110+R124+R125</f>
        <v>0</v>
      </c>
      <c r="S199" s="158" t="n">
        <f aca="false">S110+S124+S125</f>
        <v>21.6216216216216</v>
      </c>
      <c r="T199" s="158" t="n">
        <f aca="false">T110+T124+T125</f>
        <v>21.6216216216216</v>
      </c>
      <c r="U199" s="158" t="n">
        <f aca="false">U110+U124+U125</f>
        <v>0</v>
      </c>
      <c r="V199" s="158" t="n">
        <f aca="false">V110+V124+V125</f>
        <v>0</v>
      </c>
      <c r="W199" s="158" t="n">
        <f aca="false">W110+W124+W125</f>
        <v>0</v>
      </c>
      <c r="X199" s="158" t="n">
        <f aca="false">X110+X124+X125</f>
        <v>20.2702702702703</v>
      </c>
      <c r="Y199" s="158" t="n">
        <f aca="false">Y110+Y124+Y125</f>
        <v>71.3405405405405</v>
      </c>
      <c r="Z199" s="158" t="n">
        <f aca="false">Z110+Z124+Z125</f>
        <v>477.371966354109</v>
      </c>
      <c r="AA199" s="158" t="n">
        <f aca="false">AA110+AA124+AA125</f>
        <v>114.864864864865</v>
      </c>
      <c r="AB199" s="158" t="n">
        <f aca="false">AB110+AB124+AB125</f>
        <v>44.0675675675676</v>
      </c>
      <c r="AC199" s="158" t="n">
        <f aca="false">AC110+AC124+AC125</f>
        <v>0.0540540540540541</v>
      </c>
      <c r="AD199" s="158" t="n">
        <f aca="false">AD110+AD124+AD125</f>
        <v>0</v>
      </c>
      <c r="AE199" s="158" t="n">
        <f aca="false">AE110+AE124+AE125</f>
        <v>2.25</v>
      </c>
      <c r="AF199" s="158" t="n">
        <f aca="false">AF110+AF124+AF125</f>
        <v>0</v>
      </c>
      <c r="AG199" s="158" t="n">
        <f aca="false">AG110+AG124+AG125</f>
        <v>80.9370285714286</v>
      </c>
      <c r="AH199" s="158" t="n">
        <f aca="false">AH110+AH124+AH125</f>
        <v>0</v>
      </c>
      <c r="AI199" s="158" t="n">
        <f aca="false">AI110+AI124+AI125</f>
        <v>0</v>
      </c>
      <c r="AJ199" s="158" t="n">
        <f aca="false">AJ110+AJ124+AJ125</f>
        <v>16.2162162162162</v>
      </c>
      <c r="AK199" s="158" t="n">
        <f aca="false">AK110+AK124+AK125</f>
        <v>141.103830814286</v>
      </c>
      <c r="AL199" s="158" t="n">
        <f aca="false">AL110+AL124+AL125</f>
        <v>19510.0503201777</v>
      </c>
      <c r="AM199" s="158" t="n">
        <f aca="false">AM110+AM124+AM125</f>
        <v>0</v>
      </c>
      <c r="AN199" s="158" t="n">
        <f aca="false">AN110+AN124+AN125</f>
        <v>123.243243243243</v>
      </c>
      <c r="AO199" s="158" t="n">
        <f aca="false">AO110+AO124+AO125</f>
        <v>0</v>
      </c>
      <c r="AP199" s="158" t="n">
        <f aca="false">AP110+AP124+AP125</f>
        <v>0</v>
      </c>
      <c r="AQ199" s="158" t="n">
        <f aca="false">AQ110+AQ124+AQ125</f>
        <v>0</v>
      </c>
      <c r="AR199" s="158" t="n">
        <f aca="false">AR110+AR124+AR125</f>
        <v>0</v>
      </c>
      <c r="AS199" s="158" t="n">
        <f aca="false">AS110+AS124+AS125</f>
        <v>0</v>
      </c>
      <c r="AT199" s="158" t="n">
        <f aca="false">AT110+AT124+AT125</f>
        <v>0</v>
      </c>
      <c r="AU199" s="158" t="n">
        <f aca="false">AU110+AU124+AU125</f>
        <v>0</v>
      </c>
      <c r="AV199" s="158" t="n">
        <f aca="false">AV110+AV124+AV125</f>
        <v>0</v>
      </c>
      <c r="AW199" s="158" t="n">
        <f aca="false">AW110+AW124+AW125</f>
        <v>0</v>
      </c>
      <c r="AX199" s="158" t="n">
        <f aca="false">AX110+AX124+AX125</f>
        <v>0</v>
      </c>
      <c r="AY199" s="158" t="n">
        <f aca="false">AY110+AY124+AY125</f>
        <v>0</v>
      </c>
      <c r="AZ199" s="158" t="n">
        <f aca="false">AZ110+AZ124+AZ125</f>
        <v>0</v>
      </c>
      <c r="BA199" s="158" t="n">
        <f aca="false">BA110+BA124+BA125</f>
        <v>0</v>
      </c>
      <c r="BB199" s="158" t="n">
        <f aca="false">BB110+BB124+BB125</f>
        <v>0</v>
      </c>
      <c r="BC199" s="158" t="n">
        <f aca="false">BC110+BC124+BC125</f>
        <v>0</v>
      </c>
      <c r="BD199" s="158" t="n">
        <f aca="false">BD110+BD124+BD125</f>
        <v>0</v>
      </c>
      <c r="BE199" s="158" t="n">
        <f aca="false">BE110+BE124+BE125</f>
        <v>0</v>
      </c>
      <c r="BF199" s="158" t="n">
        <f aca="false">BF110+BF124+BF125</f>
        <v>0</v>
      </c>
      <c r="BG199" s="158" t="n">
        <f aca="false">BG110+BG124+BG125</f>
        <v>0</v>
      </c>
      <c r="BH199" s="158" t="n">
        <f aca="false">BH110+BH124+BH125</f>
        <v>0</v>
      </c>
      <c r="BI199" s="158" t="n">
        <f aca="false">BI110+BI124+BI125</f>
        <v>0</v>
      </c>
      <c r="BJ199" s="158" t="n">
        <f aca="false">BJ110+BJ124+BJ125</f>
        <v>0</v>
      </c>
      <c r="BK199" s="158" t="n">
        <f aca="false">BK110+BK124+BK125</f>
        <v>0</v>
      </c>
      <c r="BL199" s="158" t="n">
        <f aca="false">BL110+BL124+BL125</f>
        <v>0</v>
      </c>
      <c r="BM199" s="158" t="n">
        <f aca="false">BM110+BM124+BM125</f>
        <v>0</v>
      </c>
      <c r="BN199" s="158" t="n">
        <f aca="false">BN110+BN124+BN125</f>
        <v>0</v>
      </c>
      <c r="BO199" s="158" t="n">
        <f aca="false">BO110+BO124+BO125</f>
        <v>0</v>
      </c>
      <c r="BP199" s="158" t="n">
        <f aca="false">BP110+BP124+BP125</f>
        <v>0</v>
      </c>
    </row>
    <row r="200" customFormat="false" ht="15" hidden="false" customHeight="false" outlineLevel="0" collapsed="false">
      <c r="C200" s="205" t="s">
        <v>1146</v>
      </c>
      <c r="D200" s="205" t="s">
        <v>125</v>
      </c>
      <c r="E200" s="251"/>
      <c r="F200" s="251"/>
      <c r="G200" s="158" t="n">
        <f aca="false">SUM(H200:BP200)</f>
        <v>1686.78684458953</v>
      </c>
      <c r="H200" s="158" t="n">
        <f aca="false">((1+Inputs!$E$72)^(1/12)-1)*(H198+H199)*H$9</f>
        <v>0</v>
      </c>
      <c r="I200" s="158" t="n">
        <f aca="false">((1+Inputs!$E$72)^(1/12)-1)*(I198+I199)*I$9</f>
        <v>0</v>
      </c>
      <c r="J200" s="158" t="n">
        <f aca="false">((1+Inputs!$E$72)^(1/12)-1)*(J198+J199)*J$9</f>
        <v>0</v>
      </c>
      <c r="K200" s="158" t="n">
        <f aca="false">((1+Inputs!$E$72)^(1/12)-1)*(K198+K199)*K$9</f>
        <v>0.623076621171147</v>
      </c>
      <c r="L200" s="158" t="n">
        <f aca="false">((1+Inputs!$E$72)^(1/12)-1)*(L198+L199)*L$9</f>
        <v>0.627085514912601</v>
      </c>
      <c r="M200" s="158" t="n">
        <f aca="false">((1+Inputs!$E$72)^(1/12)-1)*(M198+M199)*M$9</f>
        <v>8.56348609104242</v>
      </c>
      <c r="N200" s="158" t="n">
        <f aca="false">((1+Inputs!$E$72)^(1/12)-1)*(N198+N199)*N$9</f>
        <v>8.64988450542042</v>
      </c>
      <c r="O200" s="158" t="n">
        <f aca="false">((1+Inputs!$E$72)^(1/12)-1)*(O198+O199)*O$9</f>
        <v>9.28104037952795</v>
      </c>
      <c r="P200" s="158" t="n">
        <f aca="false">((1+Inputs!$E$72)^(1/12)-1)*(P198+P199)*P$9</f>
        <v>10.6211268646727</v>
      </c>
      <c r="Q200" s="158" t="n">
        <f aca="false">((1+Inputs!$E$72)^(1/12)-1)*(Q198+Q199)*Q$9</f>
        <v>10.6894635147221</v>
      </c>
      <c r="R200" s="158" t="n">
        <f aca="false">((1+Inputs!$E$72)^(1/12)-1)*(R198+R199)*R$9</f>
        <v>10.7582398448356</v>
      </c>
      <c r="S200" s="158" t="n">
        <f aca="false">((1+Inputs!$E$72)^(1/12)-1)*(S198+S199)*S$9</f>
        <v>10.9665728484686</v>
      </c>
      <c r="T200" s="158" t="n">
        <f aca="false">((1+Inputs!$E$72)^(1/12)-1)*(T198+T199)*T$9</f>
        <v>11.1762462729198</v>
      </c>
      <c r="U200" s="158" t="n">
        <f aca="false">((1+Inputs!$E$72)^(1/12)-1)*(U198+U199)*U$9</f>
        <v>11.2481545779566</v>
      </c>
      <c r="V200" s="158" t="n">
        <f aca="false">((1+Inputs!$E$72)^(1/12)-1)*(V198+V199)*V$9</f>
        <v>11.3205255431931</v>
      </c>
      <c r="W200" s="158" t="n">
        <f aca="false">((1+Inputs!$E$72)^(1/12)-1)*(W198+W199)*W$9</f>
        <v>11.3933621453991</v>
      </c>
      <c r="X200" s="158" t="n">
        <f aca="false">((1+Inputs!$E$72)^(1/12)-1)*(X198+X199)*X$9</f>
        <v>11.5970869097536</v>
      </c>
      <c r="Y200" s="158" t="n">
        <f aca="false">((1+Inputs!$E$72)^(1/12)-1)*(Y198+Y199)*Y$9</f>
        <v>12.130710102021</v>
      </c>
      <c r="Z200" s="158" t="n">
        <f aca="false">((1+Inputs!$E$72)^(1/12)-1)*(Z198+Z199)*Z$9</f>
        <v>15.280185061267</v>
      </c>
      <c r="AA200" s="158" t="n">
        <f aca="false">((1+Inputs!$E$72)^(1/12)-1)*(AA198+AA199)*AA$9</f>
        <v>16.1175422311596</v>
      </c>
      <c r="AB200" s="158" t="n">
        <f aca="false">((1+Inputs!$E$72)^(1/12)-1)*(AB198+AB199)*AB$9</f>
        <v>16.5047750397785</v>
      </c>
      <c r="AC200" s="158" t="n">
        <f aca="false">((1+Inputs!$E$72)^(1/12)-1)*(AC198+AC199)*AC$9</f>
        <v>16.6113150447546</v>
      </c>
      <c r="AD200" s="158" t="n">
        <f aca="false">((1+Inputs!$E$72)^(1/12)-1)*(AD198+AD199)*AD$9</f>
        <v>16.7181927459193</v>
      </c>
      <c r="AE200" s="158" t="n">
        <f aca="false">((1+Inputs!$E$72)^(1/12)-1)*(AE198+AE199)*AE$9</f>
        <v>16.8402346691789</v>
      </c>
      <c r="AF200" s="158" t="n">
        <f aca="false">((1+Inputs!$E$72)^(1/12)-1)*(AF198+AF199)*AF$9</f>
        <v>16.9485852461</v>
      </c>
      <c r="AG200" s="158" t="n">
        <f aca="false">((1+Inputs!$E$72)^(1/12)-1)*(AG198+AG199)*AG$9</f>
        <v>17.5783842327381</v>
      </c>
      <c r="AH200" s="158" t="n">
        <f aca="false">((1+Inputs!$E$72)^(1/12)-1)*(AH198+AH199)*AH$9</f>
        <v>17.6914840861768</v>
      </c>
      <c r="AI200" s="158" t="n">
        <f aca="false">((1+Inputs!$E$72)^(1/12)-1)*(AI198+AI199)*AI$9</f>
        <v>17.8053116274779</v>
      </c>
      <c r="AJ200" s="158" t="n">
        <f aca="false">((1+Inputs!$E$72)^(1/12)-1)*(AJ198+AJ199)*AJ$9</f>
        <v>18.0242071620125</v>
      </c>
      <c r="AK200" s="158" t="n">
        <f aca="false">((1+Inputs!$E$72)^(1/12)-1)*(AK198+AK199)*AK$9</f>
        <v>19.0480417496978</v>
      </c>
      <c r="AL200" s="158" t="n">
        <f aca="false">((1+Inputs!$E$72)^(1/12)-1)*(AL198+AL199)*AL$9</f>
        <v>144.698848631557</v>
      </c>
      <c r="AM200" s="158" t="n">
        <f aca="false">((1+Inputs!$E$72)^(1/12)-1)*(AM198+AM199)*AM$9</f>
        <v>145.629845380536</v>
      </c>
      <c r="AN200" s="158" t="n">
        <f aca="false">((1+Inputs!$E$72)^(1/12)-1)*(AN198+AN199)*AN$9</f>
        <v>147.359782928511</v>
      </c>
      <c r="AO200" s="158" t="n">
        <f aca="false">((1+Inputs!$E$72)^(1/12)-1)*(AO198+AO199)*AO$9</f>
        <v>148.307900208876</v>
      </c>
      <c r="AP200" s="158" t="n">
        <f aca="false">((1+Inputs!$E$72)^(1/12)-1)*(AP198+AP199)*AP$9</f>
        <v>149.262117704372</v>
      </c>
      <c r="AQ200" s="158" t="n">
        <f aca="false">((1+Inputs!$E$72)^(1/12)-1)*(AQ198+AQ199)*AQ$9</f>
        <v>150.222474663964</v>
      </c>
      <c r="AR200" s="158" t="n">
        <f aca="false">((1+Inputs!$E$72)^(1/12)-1)*(AR198+AR199)*AR$9</f>
        <v>151.189010589152</v>
      </c>
      <c r="AS200" s="158" t="n">
        <f aca="false">((1+Inputs!$E$72)^(1/12)-1)*(AS198+AS199)*AS$9</f>
        <v>152.161765235584</v>
      </c>
      <c r="AT200" s="158" t="n">
        <f aca="false">((1+Inputs!$E$72)^(1/12)-1)*(AT198+AT199)*AT$9</f>
        <v>153.140778614701</v>
      </c>
      <c r="AU200" s="158" t="n">
        <f aca="false">((1+Inputs!$E$72)^(1/12)-1)*(AU198+AU199)*AU$9</f>
        <v>0</v>
      </c>
      <c r="AV200" s="158" t="n">
        <f aca="false">((1+Inputs!$E$72)^(1/12)-1)*(AV198+AV199)*AV$9</f>
        <v>0</v>
      </c>
      <c r="AW200" s="158" t="n">
        <f aca="false">((1+Inputs!$E$72)^(1/12)-1)*(AW198+AW199)*AW$9</f>
        <v>0</v>
      </c>
      <c r="AX200" s="158" t="n">
        <f aca="false">((1+Inputs!$E$72)^(1/12)-1)*(AX198+AX199)*AX$9</f>
        <v>0</v>
      </c>
      <c r="AY200" s="158" t="n">
        <f aca="false">((1+Inputs!$E$72)^(1/12)-1)*(AY198+AY199)*AY$9</f>
        <v>0</v>
      </c>
      <c r="AZ200" s="158" t="n">
        <f aca="false">((1+Inputs!$E$72)^(1/12)-1)*(AZ198+AZ199)*AZ$9</f>
        <v>0</v>
      </c>
      <c r="BA200" s="158" t="n">
        <f aca="false">((1+Inputs!$E$72)^(1/12)-1)*(BA198+BA199)*BA$9</f>
        <v>0</v>
      </c>
      <c r="BB200" s="158" t="n">
        <f aca="false">((1+Inputs!$E$72)^(1/12)-1)*(BB198+BB199)*BB$9</f>
        <v>0</v>
      </c>
      <c r="BC200" s="158" t="n">
        <f aca="false">((1+Inputs!$E$72)^(1/12)-1)*(BC198+BC199)*BC$9</f>
        <v>0</v>
      </c>
      <c r="BD200" s="158" t="n">
        <f aca="false">((1+Inputs!$E$72)^(1/12)-1)*(BD198+BD199)*BD$9</f>
        <v>0</v>
      </c>
      <c r="BE200" s="158" t="n">
        <f aca="false">((1+Inputs!$E$72)^(1/12)-1)*(BE198+BE199)*BE$9</f>
        <v>0</v>
      </c>
      <c r="BF200" s="158" t="n">
        <f aca="false">((1+Inputs!$E$72)^(1/12)-1)*(BF198+BF199)*BF$9</f>
        <v>0</v>
      </c>
      <c r="BG200" s="158" t="n">
        <f aca="false">((1+Inputs!$E$72)^(1/12)-1)*(BG198+BG199)*BG$9</f>
        <v>0</v>
      </c>
      <c r="BH200" s="158" t="n">
        <f aca="false">((1+Inputs!$E$72)^(1/12)-1)*(BH198+BH199)*BH$9</f>
        <v>0</v>
      </c>
      <c r="BI200" s="158" t="n">
        <f aca="false">((1+Inputs!$E$72)^(1/12)-1)*(BI198+BI199)*BI$9</f>
        <v>0</v>
      </c>
      <c r="BJ200" s="158" t="n">
        <f aca="false">((1+Inputs!$E$72)^(1/12)-1)*(BJ198+BJ199)*BJ$9</f>
        <v>0</v>
      </c>
      <c r="BK200" s="158" t="n">
        <f aca="false">((1+Inputs!$E$72)^(1/12)-1)*(BK198+BK199)*BK$9</f>
        <v>0</v>
      </c>
      <c r="BL200" s="158" t="n">
        <f aca="false">((1+Inputs!$E$72)^(1/12)-1)*(BL198+BL199)*BL$9</f>
        <v>0</v>
      </c>
      <c r="BM200" s="158" t="n">
        <f aca="false">((1+Inputs!$E$72)^(1/12)-1)*(BM198+BM199)*BM$9</f>
        <v>0</v>
      </c>
      <c r="BN200" s="158" t="n">
        <f aca="false">((1+Inputs!$E$72)^(1/12)-1)*(BN198+BN199)*BN$9</f>
        <v>0</v>
      </c>
      <c r="BO200" s="158" t="n">
        <f aca="false">((1+Inputs!$E$72)^(1/12)-1)*(BO198+BO199)*BO$9</f>
        <v>0</v>
      </c>
      <c r="BP200" s="158" t="n">
        <f aca="false">((1+Inputs!$E$72)^(1/12)-1)*(BP198+BP199)*BP$9</f>
        <v>0</v>
      </c>
    </row>
    <row r="201" customFormat="false" ht="15" hidden="false" customHeight="false" outlineLevel="0" collapsed="false">
      <c r="C201" s="205" t="s">
        <v>1147</v>
      </c>
      <c r="D201" s="205" t="s">
        <v>125</v>
      </c>
      <c r="E201" s="251"/>
      <c r="F201" s="251"/>
      <c r="G201" s="158"/>
      <c r="H201" s="158" t="n">
        <f aca="false">(H198+H199+H200)*(1-H$7)</f>
        <v>0</v>
      </c>
      <c r="I201" s="158" t="n">
        <f aca="false">(I198+I199+I200)*(1-I$7)</f>
        <v>0</v>
      </c>
      <c r="J201" s="158" t="n">
        <f aca="false">(J198+J199+J200)*(1-J$7)</f>
        <v>0</v>
      </c>
      <c r="K201" s="158" t="n">
        <f aca="false">(K198+K199+K200)*(1-K$7)</f>
        <v>97.4638763249846</v>
      </c>
      <c r="L201" s="158" t="n">
        <f aca="false">(L198+L199+L200)*(1-L$7)</f>
        <v>98.0909618398972</v>
      </c>
      <c r="M201" s="158" t="n">
        <f aca="false">(M198+M199+M200)*(1-M$7)</f>
        <v>1339.53116025971</v>
      </c>
      <c r="N201" s="158" t="n">
        <f aca="false">(N198+N199+N200)*(1-N$7)</f>
        <v>1353.04590962999</v>
      </c>
      <c r="O201" s="158" t="n">
        <f aca="false">(O198+O199+O200)*(1-O$7)</f>
        <v>1451.77357163114</v>
      </c>
      <c r="P201" s="158" t="n">
        <f aca="false">(P198+P199+P200)*(1-P$7)</f>
        <v>1661.39469849581</v>
      </c>
      <c r="Q201" s="158" t="n">
        <f aca="false">(Q198+Q199+Q200)*(1-Q$7)</f>
        <v>1672.08416201054</v>
      </c>
      <c r="R201" s="158" t="n">
        <f aca="false">(R198+R199+R200)*(1-R$7)</f>
        <v>1682.84240185537</v>
      </c>
      <c r="S201" s="158" t="n">
        <f aca="false">(S198+S199+S200)*(1-S$7)</f>
        <v>1715.43059632546</v>
      </c>
      <c r="T201" s="158" t="n">
        <f aca="false">(T198+T199+T200)*(1-T$7)</f>
        <v>1748.22846422</v>
      </c>
      <c r="U201" s="158" t="n">
        <f aca="false">(U198+U199+U200)*(1-U$7)</f>
        <v>1759.47661879796</v>
      </c>
      <c r="V201" s="158" t="n">
        <f aca="false">(V198+V199+V200)*(1-V$7)</f>
        <v>1770.79714434115</v>
      </c>
      <c r="W201" s="158" t="n">
        <f aca="false">(W198+W199+W200)*(1-W$7)</f>
        <v>1782.19050648655</v>
      </c>
      <c r="X201" s="158" t="n">
        <f aca="false">(X198+X199+X200)*(1-X$7)</f>
        <v>1814.05786366658</v>
      </c>
      <c r="Y201" s="158" t="n">
        <f aca="false">(Y198+Y199+Y200)*(1-Y$7)</f>
        <v>1897.52911430914</v>
      </c>
      <c r="Z201" s="158" t="n">
        <f aca="false">(Z198+Z199+Z200)*(1-Z$7)</f>
        <v>2390.18126572451</v>
      </c>
      <c r="AA201" s="158" t="n">
        <f aca="false">(AA198+AA199+AA200)*(1-AA$7)</f>
        <v>2521.16367282054</v>
      </c>
      <c r="AB201" s="158" t="n">
        <f aca="false">(AB198+AB199+AB200)*(1-AB$7)</f>
        <v>2581.73601542788</v>
      </c>
      <c r="AC201" s="158" t="n">
        <f aca="false">(AC198+AC199+AC200)*(1-AC$7)</f>
        <v>2598.40138452669</v>
      </c>
      <c r="AD201" s="158" t="n">
        <f aca="false">(AD198+AD199+AD200)*(1-AD$7)</f>
        <v>2615.11957727261</v>
      </c>
      <c r="AE201" s="158" t="n">
        <f aca="false">(AE198+AE199+AE200)*(1-AE$7)</f>
        <v>2634.20981194179</v>
      </c>
      <c r="AF201" s="158" t="n">
        <f aca="false">(AF198+AF199+AF200)*(1-AF$7)</f>
        <v>2651.15839718789</v>
      </c>
      <c r="AG201" s="158" t="n">
        <f aca="false">(AG198+AG199+AG200)*(1-AG$7)</f>
        <v>2749.67380999206</v>
      </c>
      <c r="AH201" s="158" t="n">
        <f aca="false">(AH198+AH199+AH200)*(1-AH$7)</f>
        <v>2767.36529407824</v>
      </c>
      <c r="AI201" s="158" t="n">
        <f aca="false">(AI198+AI199+AI200)*(1-AI$7)</f>
        <v>2785.17060570571</v>
      </c>
      <c r="AJ201" s="158" t="n">
        <f aca="false">(AJ198+AJ199+AJ200)*(1-AJ$7)</f>
        <v>2819.41102908394</v>
      </c>
      <c r="AK201" s="158" t="n">
        <f aca="false">(AK198+AK199+AK200)*(1-AK$7)</f>
        <v>2979.56290164793</v>
      </c>
      <c r="AL201" s="158" t="n">
        <f aca="false">(AL198+AL199+AL200)*(1-AL$7)</f>
        <v>22634.3120704572</v>
      </c>
      <c r="AM201" s="158" t="n">
        <f aca="false">(AM198+AM199+AM200)*(1-AM$7)</f>
        <v>22779.9419158377</v>
      </c>
      <c r="AN201" s="158" t="n">
        <f aca="false">(AN198+AN199+AN200)*(1-AN$7)</f>
        <v>23050.5449420095</v>
      </c>
      <c r="AO201" s="158" t="n">
        <f aca="false">(AO198+AO199+AO200)*(1-AO$7)</f>
        <v>23198.8528422184</v>
      </c>
      <c r="AP201" s="158" t="n">
        <f aca="false">(AP198+AP199+AP200)*(1-AP$7)</f>
        <v>23348.1149599227</v>
      </c>
      <c r="AQ201" s="158" t="n">
        <f aca="false">(AQ198+AQ199+AQ200)*(1-AQ$7)</f>
        <v>23498.3374345867</v>
      </c>
      <c r="AR201" s="158" t="n">
        <f aca="false">(AR198+AR199+AR200)*(1-AR$7)</f>
        <v>23649.5264451759</v>
      </c>
      <c r="AS201" s="158" t="n">
        <f aca="false">(AS198+AS199+AS200)*(1-AS$7)</f>
        <v>23801.6882104114</v>
      </c>
      <c r="AT201" s="158" t="n">
        <f aca="false">(AT198+AT199+AT200)*(1-AT$7)</f>
        <v>0</v>
      </c>
      <c r="AU201" s="158" t="n">
        <f aca="false">(AU198+AU199+AU200)*(1-AU$7)</f>
        <v>0</v>
      </c>
      <c r="AV201" s="158" t="n">
        <f aca="false">(AV198+AV199+AV200)*(1-AV$7)</f>
        <v>0</v>
      </c>
      <c r="AW201" s="158" t="n">
        <f aca="false">(AW198+AW199+AW200)*(1-AW$7)</f>
        <v>0</v>
      </c>
      <c r="AX201" s="158" t="n">
        <f aca="false">(AX198+AX199+AX200)*(1-AX$7)</f>
        <v>0</v>
      </c>
      <c r="AY201" s="158" t="n">
        <f aca="false">(AY198+AY199+AY200)*(1-AY$7)</f>
        <v>0</v>
      </c>
      <c r="AZ201" s="158" t="n">
        <f aca="false">(AZ198+AZ199+AZ200)*(1-AZ$7)</f>
        <v>0</v>
      </c>
      <c r="BA201" s="158" t="n">
        <f aca="false">(BA198+BA199+BA200)*(1-BA$7)</f>
        <v>0</v>
      </c>
      <c r="BB201" s="158" t="n">
        <f aca="false">(BB198+BB199+BB200)*(1-BB$7)</f>
        <v>0</v>
      </c>
      <c r="BC201" s="158" t="n">
        <f aca="false">(BC198+BC199+BC200)*(1-BC$7)</f>
        <v>0</v>
      </c>
      <c r="BD201" s="158" t="n">
        <f aca="false">(BD198+BD199+BD200)*(1-BD$7)</f>
        <v>0</v>
      </c>
      <c r="BE201" s="158" t="n">
        <f aca="false">(BE198+BE199+BE200)*(1-BE$7)</f>
        <v>0</v>
      </c>
      <c r="BF201" s="158" t="n">
        <f aca="false">(BF198+BF199+BF200)*(1-BF$7)</f>
        <v>0</v>
      </c>
      <c r="BG201" s="158" t="n">
        <f aca="false">(BG198+BG199+BG200)*(1-BG$7)</f>
        <v>0</v>
      </c>
      <c r="BH201" s="158" t="n">
        <f aca="false">(BH198+BH199+BH200)*(1-BH$7)</f>
        <v>0</v>
      </c>
      <c r="BI201" s="158" t="n">
        <f aca="false">(BI198+BI199+BI200)*(1-BI$7)</f>
        <v>0</v>
      </c>
      <c r="BJ201" s="158" t="n">
        <f aca="false">(BJ198+BJ199+BJ200)*(1-BJ$7)</f>
        <v>0</v>
      </c>
      <c r="BK201" s="158" t="n">
        <f aca="false">(BK198+BK199+BK200)*(1-BK$7)</f>
        <v>0</v>
      </c>
      <c r="BL201" s="158" t="n">
        <f aca="false">(BL198+BL199+BL200)*(1-BL$7)</f>
        <v>0</v>
      </c>
      <c r="BM201" s="158" t="n">
        <f aca="false">(BM198+BM199+BM200)*(1-BM$7)</f>
        <v>0</v>
      </c>
      <c r="BN201" s="158" t="n">
        <f aca="false">(BN198+BN199+BN200)*(1-BN$7)</f>
        <v>0</v>
      </c>
      <c r="BO201" s="158" t="n">
        <f aca="false">(BO198+BO199+BO200)*(1-BO$7)</f>
        <v>0</v>
      </c>
      <c r="BP201" s="158" t="n">
        <f aca="false">(BP198+BP199+BP200)*(1-BP$7)</f>
        <v>0</v>
      </c>
    </row>
    <row r="202" customFormat="false" ht="15" hidden="false" customHeight="false" outlineLevel="0" collapsed="false">
      <c r="E202" s="158"/>
      <c r="F202" s="158"/>
      <c r="G202" s="158"/>
      <c r="H202" s="158"/>
      <c r="I202" s="158"/>
      <c r="J202" s="158"/>
      <c r="K202" s="158"/>
      <c r="L202" s="158"/>
      <c r="M202" s="158"/>
      <c r="N202" s="158"/>
      <c r="O202" s="158"/>
      <c r="P202" s="158"/>
      <c r="Q202" s="158"/>
      <c r="R202" s="158"/>
      <c r="S202" s="158"/>
      <c r="T202" s="158"/>
      <c r="U202" s="158"/>
      <c r="V202" s="158"/>
      <c r="W202" s="158"/>
      <c r="X202" s="158"/>
      <c r="Y202" s="158"/>
      <c r="Z202" s="158"/>
      <c r="AA202" s="158"/>
      <c r="AB202" s="158"/>
      <c r="AC202" s="158"/>
      <c r="AD202" s="158"/>
      <c r="AE202" s="158"/>
      <c r="AF202" s="158"/>
      <c r="AG202" s="158"/>
      <c r="AH202" s="158"/>
      <c r="AI202" s="158"/>
      <c r="AJ202" s="158"/>
      <c r="AK202" s="158"/>
      <c r="AL202" s="158"/>
      <c r="AM202" s="158"/>
      <c r="AN202" s="158"/>
      <c r="AO202" s="158"/>
      <c r="AP202" s="158"/>
      <c r="AQ202" s="158"/>
      <c r="AR202" s="158"/>
      <c r="AS202" s="158"/>
      <c r="AT202" s="158"/>
      <c r="AU202" s="158"/>
      <c r="AV202" s="158"/>
      <c r="AW202" s="158"/>
      <c r="AX202" s="158"/>
      <c r="AY202" s="158"/>
      <c r="AZ202" s="158"/>
      <c r="BA202" s="158"/>
      <c r="BB202" s="158"/>
      <c r="BC202" s="158"/>
      <c r="BD202" s="158"/>
      <c r="BE202" s="158"/>
      <c r="BF202" s="158"/>
      <c r="BG202" s="158"/>
      <c r="BH202" s="158"/>
      <c r="BI202" s="158"/>
      <c r="BJ202" s="158"/>
      <c r="BK202" s="158"/>
      <c r="BL202" s="158"/>
      <c r="BM202" s="158"/>
      <c r="BN202" s="158"/>
      <c r="BO202" s="158"/>
      <c r="BP202" s="158"/>
    </row>
    <row r="203" customFormat="false" ht="15" hidden="false" customHeight="false" outlineLevel="0" collapsed="false">
      <c r="C203" s="136" t="s">
        <v>1148</v>
      </c>
      <c r="D203" s="136"/>
      <c r="E203" s="259"/>
      <c r="F203" s="259"/>
      <c r="G203" s="259"/>
      <c r="H203" s="259"/>
      <c r="I203" s="259"/>
      <c r="J203" s="259"/>
      <c r="K203" s="259"/>
      <c r="L203" s="259"/>
      <c r="M203" s="259"/>
      <c r="N203" s="259"/>
      <c r="O203" s="259"/>
      <c r="P203" s="259"/>
      <c r="Q203" s="259"/>
      <c r="R203" s="259"/>
      <c r="S203" s="259"/>
      <c r="T203" s="259"/>
      <c r="U203" s="259"/>
      <c r="V203" s="259"/>
      <c r="W203" s="259"/>
      <c r="X203" s="259"/>
      <c r="Y203" s="259"/>
      <c r="Z203" s="259"/>
      <c r="AA203" s="259"/>
      <c r="AB203" s="259"/>
      <c r="AC203" s="259"/>
      <c r="AD203" s="259"/>
      <c r="AE203" s="259"/>
      <c r="AF203" s="259"/>
      <c r="AG203" s="259"/>
      <c r="AH203" s="259"/>
      <c r="AI203" s="259"/>
      <c r="AJ203" s="259"/>
      <c r="AK203" s="259"/>
      <c r="AL203" s="259"/>
      <c r="AM203" s="259"/>
      <c r="AN203" s="259"/>
      <c r="AO203" s="259"/>
      <c r="AP203" s="259"/>
      <c r="AQ203" s="259"/>
      <c r="AR203" s="259"/>
      <c r="AS203" s="259"/>
      <c r="AT203" s="259"/>
      <c r="AU203" s="259"/>
      <c r="AV203" s="259"/>
      <c r="AW203" s="259"/>
      <c r="AX203" s="259"/>
      <c r="AY203" s="259"/>
      <c r="AZ203" s="259"/>
      <c r="BA203" s="259"/>
      <c r="BB203" s="259"/>
      <c r="BC203" s="259"/>
      <c r="BD203" s="259"/>
      <c r="BE203" s="259"/>
      <c r="BF203" s="259"/>
      <c r="BG203" s="259"/>
      <c r="BH203" s="259"/>
      <c r="BI203" s="259"/>
      <c r="BJ203" s="259"/>
      <c r="BK203" s="259"/>
      <c r="BL203" s="259"/>
      <c r="BM203" s="259"/>
      <c r="BN203" s="259"/>
      <c r="BO203" s="259"/>
      <c r="BP203" s="259"/>
    </row>
    <row r="204" customFormat="false" ht="15" hidden="false" customHeight="false" outlineLevel="0" collapsed="false">
      <c r="C204" s="0" t="s">
        <v>1149</v>
      </c>
      <c r="D204" s="0" t="s">
        <v>125</v>
      </c>
      <c r="E204" s="158"/>
      <c r="F204" s="158"/>
      <c r="G204" s="158" t="n">
        <f aca="false">SUM(H204:BP204)</f>
        <v>0</v>
      </c>
      <c r="H204" s="158" t="n">
        <f aca="false">-H117</f>
        <v>-0</v>
      </c>
      <c r="I204" s="158" t="n">
        <f aca="false">-I117</f>
        <v>-0</v>
      </c>
      <c r="J204" s="158" t="n">
        <f aca="false">-J117</f>
        <v>-0</v>
      </c>
      <c r="K204" s="158" t="n">
        <f aca="false">-K117</f>
        <v>-0</v>
      </c>
      <c r="L204" s="158" t="n">
        <f aca="false">-L117</f>
        <v>-0</v>
      </c>
      <c r="M204" s="158" t="n">
        <f aca="false">-M117</f>
        <v>-0</v>
      </c>
      <c r="N204" s="158" t="n">
        <f aca="false">-N117</f>
        <v>-0</v>
      </c>
      <c r="O204" s="158" t="n">
        <f aca="false">-O117</f>
        <v>-0</v>
      </c>
      <c r="P204" s="158" t="n">
        <f aca="false">-P117</f>
        <v>-0</v>
      </c>
      <c r="Q204" s="158" t="n">
        <f aca="false">-Q117</f>
        <v>-0</v>
      </c>
      <c r="R204" s="158" t="n">
        <f aca="false">-R117</f>
        <v>-0</v>
      </c>
      <c r="S204" s="158" t="n">
        <f aca="false">-S117</f>
        <v>-0</v>
      </c>
      <c r="T204" s="158" t="n">
        <f aca="false">-T117</f>
        <v>-0</v>
      </c>
      <c r="U204" s="158" t="n">
        <f aca="false">-U117</f>
        <v>-0</v>
      </c>
      <c r="V204" s="158" t="n">
        <f aca="false">-V117</f>
        <v>-0</v>
      </c>
      <c r="W204" s="158" t="n">
        <f aca="false">-W117</f>
        <v>-0</v>
      </c>
      <c r="X204" s="158" t="n">
        <f aca="false">-X117</f>
        <v>-0</v>
      </c>
      <c r="Y204" s="158" t="n">
        <f aca="false">-Y117</f>
        <v>-0</v>
      </c>
      <c r="Z204" s="158" t="n">
        <f aca="false">-Z117</f>
        <v>-0</v>
      </c>
      <c r="AA204" s="158" t="n">
        <f aca="false">-AA117</f>
        <v>-0</v>
      </c>
      <c r="AB204" s="158" t="n">
        <f aca="false">-AB117</f>
        <v>-0</v>
      </c>
      <c r="AC204" s="158" t="n">
        <f aca="false">-AC117</f>
        <v>-0</v>
      </c>
      <c r="AD204" s="158" t="n">
        <f aca="false">-AD117</f>
        <v>-0</v>
      </c>
      <c r="AE204" s="158" t="n">
        <f aca="false">-AE117</f>
        <v>-0</v>
      </c>
      <c r="AF204" s="158" t="n">
        <f aca="false">-AF117</f>
        <v>-0</v>
      </c>
      <c r="AG204" s="158" t="n">
        <f aca="false">-AG117</f>
        <v>-0</v>
      </c>
      <c r="AH204" s="158" t="n">
        <f aca="false">-AH117</f>
        <v>-0</v>
      </c>
      <c r="AI204" s="158" t="n">
        <f aca="false">-AI117</f>
        <v>-0</v>
      </c>
      <c r="AJ204" s="158" t="n">
        <f aca="false">-AJ117</f>
        <v>-0</v>
      </c>
      <c r="AK204" s="158" t="n">
        <f aca="false">-AK117</f>
        <v>-0</v>
      </c>
      <c r="AL204" s="158" t="n">
        <f aca="false">-AL117</f>
        <v>-0</v>
      </c>
      <c r="AM204" s="158" t="n">
        <f aca="false">-AM117</f>
        <v>-0</v>
      </c>
      <c r="AN204" s="158" t="n">
        <f aca="false">-AN117</f>
        <v>-0</v>
      </c>
      <c r="AO204" s="158" t="n">
        <f aca="false">-AO117</f>
        <v>-0</v>
      </c>
      <c r="AP204" s="158" t="n">
        <f aca="false">-AP117</f>
        <v>-0</v>
      </c>
      <c r="AQ204" s="158" t="n">
        <f aca="false">-AQ117</f>
        <v>-0</v>
      </c>
      <c r="AR204" s="158" t="n">
        <f aca="false">-AR117</f>
        <v>-0</v>
      </c>
      <c r="AS204" s="158" t="n">
        <f aca="false">-AS117</f>
        <v>-0</v>
      </c>
      <c r="AT204" s="158" t="n">
        <f aca="false">-AT117</f>
        <v>-0</v>
      </c>
      <c r="AU204" s="158" t="n">
        <f aca="false">-AU117</f>
        <v>-0</v>
      </c>
      <c r="AV204" s="158" t="n">
        <f aca="false">-AV117</f>
        <v>-0</v>
      </c>
      <c r="AW204" s="158" t="n">
        <f aca="false">-AW117</f>
        <v>-0</v>
      </c>
      <c r="AX204" s="158" t="n">
        <f aca="false">-AX117</f>
        <v>-0</v>
      </c>
      <c r="AY204" s="158" t="n">
        <f aca="false">-AY117</f>
        <v>-0</v>
      </c>
      <c r="AZ204" s="158" t="n">
        <f aca="false">-AZ117</f>
        <v>-0</v>
      </c>
      <c r="BA204" s="158" t="n">
        <f aca="false">-BA117</f>
        <v>-0</v>
      </c>
      <c r="BB204" s="158" t="n">
        <f aca="false">-BB117</f>
        <v>-0</v>
      </c>
      <c r="BC204" s="158" t="n">
        <f aca="false">-BC117</f>
        <v>-0</v>
      </c>
      <c r="BD204" s="158" t="n">
        <f aca="false">-BD117</f>
        <v>-0</v>
      </c>
      <c r="BE204" s="158" t="n">
        <f aca="false">-BE117</f>
        <v>-0</v>
      </c>
      <c r="BF204" s="158" t="n">
        <f aca="false">-BF117</f>
        <v>-0</v>
      </c>
      <c r="BG204" s="158" t="n">
        <f aca="false">-BG117</f>
        <v>-0</v>
      </c>
      <c r="BH204" s="158" t="n">
        <f aca="false">-BH117</f>
        <v>-0</v>
      </c>
      <c r="BI204" s="158" t="n">
        <f aca="false">-BI117</f>
        <v>-0</v>
      </c>
      <c r="BJ204" s="158" t="n">
        <f aca="false">-BJ117</f>
        <v>-0</v>
      </c>
      <c r="BK204" s="158" t="n">
        <f aca="false">-BK117</f>
        <v>-0</v>
      </c>
      <c r="BL204" s="158" t="n">
        <f aca="false">-BL117</f>
        <v>-0</v>
      </c>
      <c r="BM204" s="158" t="n">
        <f aca="false">-BM117</f>
        <v>-0</v>
      </c>
      <c r="BN204" s="158" t="n">
        <f aca="false">-BN117</f>
        <v>-0</v>
      </c>
      <c r="BO204" s="158" t="n">
        <f aca="false">-BO117</f>
        <v>-0</v>
      </c>
      <c r="BP204" s="158" t="n">
        <f aca="false">-BP117</f>
        <v>-0</v>
      </c>
    </row>
    <row r="205" customFormat="false" ht="15" hidden="false" customHeight="false" outlineLevel="0" collapsed="false">
      <c r="C205" s="0" t="s">
        <v>1110</v>
      </c>
      <c r="D205" s="0" t="s">
        <v>125</v>
      </c>
      <c r="E205" s="158"/>
      <c r="F205" s="158"/>
      <c r="G205" s="158" t="n">
        <f aca="false">SUM(H205:BP205)</f>
        <v>0</v>
      </c>
      <c r="H205" s="158" t="n">
        <f aca="false">-H134</f>
        <v>-0</v>
      </c>
      <c r="I205" s="158" t="n">
        <f aca="false">-I134</f>
        <v>-0</v>
      </c>
      <c r="J205" s="158" t="n">
        <f aca="false">-J134</f>
        <v>-0</v>
      </c>
      <c r="K205" s="158" t="n">
        <f aca="false">-K134</f>
        <v>-0</v>
      </c>
      <c r="L205" s="158" t="n">
        <f aca="false">-L134</f>
        <v>-0</v>
      </c>
      <c r="M205" s="158" t="n">
        <f aca="false">-M134</f>
        <v>-0</v>
      </c>
      <c r="N205" s="158" t="n">
        <f aca="false">-N134</f>
        <v>-0</v>
      </c>
      <c r="O205" s="158" t="n">
        <f aca="false">-O134</f>
        <v>-0</v>
      </c>
      <c r="P205" s="158" t="n">
        <f aca="false">-P134</f>
        <v>-0</v>
      </c>
      <c r="Q205" s="158" t="n">
        <f aca="false">-Q134</f>
        <v>-0</v>
      </c>
      <c r="R205" s="158" t="n">
        <f aca="false">-R134</f>
        <v>-0</v>
      </c>
      <c r="S205" s="158" t="n">
        <f aca="false">-S134</f>
        <v>-0</v>
      </c>
      <c r="T205" s="158" t="n">
        <f aca="false">-T134</f>
        <v>-0</v>
      </c>
      <c r="U205" s="158" t="n">
        <f aca="false">-U134</f>
        <v>-0</v>
      </c>
      <c r="V205" s="158" t="n">
        <f aca="false">-V134</f>
        <v>-0</v>
      </c>
      <c r="W205" s="158" t="n">
        <f aca="false">-W134</f>
        <v>-0</v>
      </c>
      <c r="X205" s="158" t="n">
        <f aca="false">-X134</f>
        <v>-0</v>
      </c>
      <c r="Y205" s="158" t="n">
        <f aca="false">-Y134</f>
        <v>-0</v>
      </c>
      <c r="Z205" s="158" t="n">
        <f aca="false">-Z134</f>
        <v>-0</v>
      </c>
      <c r="AA205" s="158" t="n">
        <f aca="false">-AA134</f>
        <v>-0</v>
      </c>
      <c r="AB205" s="158" t="n">
        <f aca="false">-AB134</f>
        <v>-0</v>
      </c>
      <c r="AC205" s="158" t="n">
        <f aca="false">-AC134</f>
        <v>-0</v>
      </c>
      <c r="AD205" s="158" t="n">
        <f aca="false">-AD134</f>
        <v>-0</v>
      </c>
      <c r="AE205" s="158" t="n">
        <f aca="false">-AE134</f>
        <v>-0</v>
      </c>
      <c r="AF205" s="158" t="n">
        <f aca="false">-AF134</f>
        <v>-0</v>
      </c>
      <c r="AG205" s="158" t="n">
        <f aca="false">-AG134</f>
        <v>-0</v>
      </c>
      <c r="AH205" s="158" t="n">
        <f aca="false">-AH134</f>
        <v>-0</v>
      </c>
      <c r="AI205" s="158" t="n">
        <f aca="false">-AI134</f>
        <v>-0</v>
      </c>
      <c r="AJ205" s="158" t="n">
        <f aca="false">-AJ134</f>
        <v>-0</v>
      </c>
      <c r="AK205" s="158" t="n">
        <f aca="false">-AK134</f>
        <v>-0</v>
      </c>
      <c r="AL205" s="158" t="n">
        <f aca="false">-AL134</f>
        <v>-0</v>
      </c>
      <c r="AM205" s="158" t="n">
        <f aca="false">-AM134</f>
        <v>-0</v>
      </c>
      <c r="AN205" s="158" t="n">
        <f aca="false">-AN134</f>
        <v>-0</v>
      </c>
      <c r="AO205" s="158" t="n">
        <f aca="false">-AO134</f>
        <v>-0</v>
      </c>
      <c r="AP205" s="158" t="n">
        <f aca="false">-AP134</f>
        <v>-0</v>
      </c>
      <c r="AQ205" s="158" t="n">
        <f aca="false">-AQ134</f>
        <v>-0</v>
      </c>
      <c r="AR205" s="158" t="n">
        <f aca="false">-AR134</f>
        <v>-0</v>
      </c>
      <c r="AS205" s="158" t="n">
        <f aca="false">-AS134</f>
        <v>-0</v>
      </c>
      <c r="AT205" s="158" t="n">
        <f aca="false">-AT134</f>
        <v>-0</v>
      </c>
      <c r="AU205" s="158" t="n">
        <f aca="false">-AU134</f>
        <v>-0</v>
      </c>
      <c r="AV205" s="158" t="n">
        <f aca="false">-AV134</f>
        <v>-0</v>
      </c>
      <c r="AW205" s="158" t="n">
        <f aca="false">-AW134</f>
        <v>-0</v>
      </c>
      <c r="AX205" s="158" t="n">
        <f aca="false">-AX134</f>
        <v>-0</v>
      </c>
      <c r="AY205" s="158" t="n">
        <f aca="false">-AY134</f>
        <v>-0</v>
      </c>
      <c r="AZ205" s="158" t="n">
        <f aca="false">-AZ134</f>
        <v>-0</v>
      </c>
      <c r="BA205" s="158" t="n">
        <f aca="false">-BA134</f>
        <v>-0</v>
      </c>
      <c r="BB205" s="158" t="n">
        <f aca="false">-BB134</f>
        <v>-0</v>
      </c>
      <c r="BC205" s="158" t="n">
        <f aca="false">-BC134</f>
        <v>-0</v>
      </c>
      <c r="BD205" s="158" t="n">
        <f aca="false">-BD134</f>
        <v>-0</v>
      </c>
      <c r="BE205" s="158" t="n">
        <f aca="false">-BE134</f>
        <v>-0</v>
      </c>
      <c r="BF205" s="158" t="n">
        <f aca="false">-BF134</f>
        <v>-0</v>
      </c>
      <c r="BG205" s="158" t="n">
        <f aca="false">-BG134</f>
        <v>-0</v>
      </c>
      <c r="BH205" s="158" t="n">
        <f aca="false">-BH134</f>
        <v>-0</v>
      </c>
      <c r="BI205" s="158" t="n">
        <f aca="false">-BI134</f>
        <v>-0</v>
      </c>
      <c r="BJ205" s="158" t="n">
        <f aca="false">-BJ134</f>
        <v>-0</v>
      </c>
      <c r="BK205" s="158" t="n">
        <f aca="false">-BK134</f>
        <v>-0</v>
      </c>
      <c r="BL205" s="158" t="n">
        <f aca="false">-BL134</f>
        <v>-0</v>
      </c>
      <c r="BM205" s="158" t="n">
        <f aca="false">-BM134</f>
        <v>-0</v>
      </c>
      <c r="BN205" s="158" t="n">
        <f aca="false">-BN134</f>
        <v>-0</v>
      </c>
      <c r="BO205" s="158" t="n">
        <f aca="false">-BO134</f>
        <v>-0</v>
      </c>
      <c r="BP205" s="158" t="n">
        <f aca="false">-BP134</f>
        <v>-0</v>
      </c>
    </row>
    <row r="206" customFormat="false" ht="15" hidden="false" customHeight="false" outlineLevel="0" collapsed="false">
      <c r="C206" s="0" t="s">
        <v>1111</v>
      </c>
      <c r="D206" s="0" t="s">
        <v>125</v>
      </c>
      <c r="E206" s="158"/>
      <c r="F206" s="158"/>
      <c r="G206" s="158" t="n">
        <f aca="false">SUM(H206:BP206)</f>
        <v>0</v>
      </c>
      <c r="H206" s="158" t="n">
        <f aca="false">-H135</f>
        <v>-0</v>
      </c>
      <c r="I206" s="158" t="n">
        <f aca="false">-I135</f>
        <v>-0</v>
      </c>
      <c r="J206" s="158" t="n">
        <f aca="false">-J135</f>
        <v>-0</v>
      </c>
      <c r="K206" s="158" t="n">
        <f aca="false">-K135</f>
        <v>-0</v>
      </c>
      <c r="L206" s="158" t="n">
        <f aca="false">-L135</f>
        <v>-0</v>
      </c>
      <c r="M206" s="158" t="n">
        <f aca="false">-M135</f>
        <v>-0</v>
      </c>
      <c r="N206" s="158" t="n">
        <f aca="false">-N135</f>
        <v>-0</v>
      </c>
      <c r="O206" s="158" t="n">
        <f aca="false">-O135</f>
        <v>-0</v>
      </c>
      <c r="P206" s="158" t="n">
        <f aca="false">-P135</f>
        <v>-0</v>
      </c>
      <c r="Q206" s="158" t="n">
        <f aca="false">-Q135</f>
        <v>-0</v>
      </c>
      <c r="R206" s="158" t="n">
        <f aca="false">-R135</f>
        <v>-0</v>
      </c>
      <c r="S206" s="158" t="n">
        <f aca="false">-S135</f>
        <v>-0</v>
      </c>
      <c r="T206" s="158" t="n">
        <f aca="false">-T135</f>
        <v>-0</v>
      </c>
      <c r="U206" s="158" t="n">
        <f aca="false">-U135</f>
        <v>-0</v>
      </c>
      <c r="V206" s="158" t="n">
        <f aca="false">-V135</f>
        <v>-0</v>
      </c>
      <c r="W206" s="158" t="n">
        <f aca="false">-W135</f>
        <v>-0</v>
      </c>
      <c r="X206" s="158" t="n">
        <f aca="false">-X135</f>
        <v>-0</v>
      </c>
      <c r="Y206" s="158" t="n">
        <f aca="false">-Y135</f>
        <v>-0</v>
      </c>
      <c r="Z206" s="158" t="n">
        <f aca="false">-Z135</f>
        <v>-0</v>
      </c>
      <c r="AA206" s="158" t="n">
        <f aca="false">-AA135</f>
        <v>-0</v>
      </c>
      <c r="AB206" s="158" t="n">
        <f aca="false">-AB135</f>
        <v>-0</v>
      </c>
      <c r="AC206" s="158" t="n">
        <f aca="false">-AC135</f>
        <v>-0</v>
      </c>
      <c r="AD206" s="158" t="n">
        <f aca="false">-AD135</f>
        <v>-0</v>
      </c>
      <c r="AE206" s="158" t="n">
        <f aca="false">-AE135</f>
        <v>-0</v>
      </c>
      <c r="AF206" s="158" t="n">
        <f aca="false">-AF135</f>
        <v>-0</v>
      </c>
      <c r="AG206" s="158" t="n">
        <f aca="false">-AG135</f>
        <v>-0</v>
      </c>
      <c r="AH206" s="158" t="n">
        <f aca="false">-AH135</f>
        <v>-0</v>
      </c>
      <c r="AI206" s="158" t="n">
        <f aca="false">-AI135</f>
        <v>-0</v>
      </c>
      <c r="AJ206" s="158" t="n">
        <f aca="false">-AJ135</f>
        <v>-0</v>
      </c>
      <c r="AK206" s="158" t="n">
        <f aca="false">-AK135</f>
        <v>-0</v>
      </c>
      <c r="AL206" s="158" t="n">
        <f aca="false">-AL135</f>
        <v>-0</v>
      </c>
      <c r="AM206" s="158" t="n">
        <f aca="false">-AM135</f>
        <v>-0</v>
      </c>
      <c r="AN206" s="158" t="n">
        <f aca="false">-AN135</f>
        <v>-0</v>
      </c>
      <c r="AO206" s="158" t="n">
        <f aca="false">-AO135</f>
        <v>-0</v>
      </c>
      <c r="AP206" s="158" t="n">
        <f aca="false">-AP135</f>
        <v>-0</v>
      </c>
      <c r="AQ206" s="158" t="n">
        <f aca="false">-AQ135</f>
        <v>-0</v>
      </c>
      <c r="AR206" s="158" t="n">
        <f aca="false">-AR135</f>
        <v>-0</v>
      </c>
      <c r="AS206" s="158" t="n">
        <f aca="false">-AS135</f>
        <v>-0</v>
      </c>
      <c r="AT206" s="158" t="n">
        <f aca="false">-AT135</f>
        <v>-0</v>
      </c>
      <c r="AU206" s="158" t="n">
        <f aca="false">-AU135</f>
        <v>-0</v>
      </c>
      <c r="AV206" s="158" t="n">
        <f aca="false">-AV135</f>
        <v>-0</v>
      </c>
      <c r="AW206" s="158" t="n">
        <f aca="false">-AW135</f>
        <v>-0</v>
      </c>
      <c r="AX206" s="158" t="n">
        <f aca="false">-AX135</f>
        <v>-0</v>
      </c>
      <c r="AY206" s="158" t="n">
        <f aca="false">-AY135</f>
        <v>-0</v>
      </c>
      <c r="AZ206" s="158" t="n">
        <f aca="false">-AZ135</f>
        <v>-0</v>
      </c>
      <c r="BA206" s="158" t="n">
        <f aca="false">-BA135</f>
        <v>-0</v>
      </c>
      <c r="BB206" s="158" t="n">
        <f aca="false">-BB135</f>
        <v>-0</v>
      </c>
      <c r="BC206" s="158" t="n">
        <f aca="false">-BC135</f>
        <v>-0</v>
      </c>
      <c r="BD206" s="158" t="n">
        <f aca="false">-BD135</f>
        <v>-0</v>
      </c>
      <c r="BE206" s="158" t="n">
        <f aca="false">-BE135</f>
        <v>-0</v>
      </c>
      <c r="BF206" s="158" t="n">
        <f aca="false">-BF135</f>
        <v>-0</v>
      </c>
      <c r="BG206" s="158" t="n">
        <f aca="false">-BG135</f>
        <v>-0</v>
      </c>
      <c r="BH206" s="158" t="n">
        <f aca="false">-BH135</f>
        <v>-0</v>
      </c>
      <c r="BI206" s="158" t="n">
        <f aca="false">-BI135</f>
        <v>-0</v>
      </c>
      <c r="BJ206" s="158" t="n">
        <f aca="false">-BJ135</f>
        <v>-0</v>
      </c>
      <c r="BK206" s="158" t="n">
        <f aca="false">-BK135</f>
        <v>-0</v>
      </c>
      <c r="BL206" s="158" t="n">
        <f aca="false">-BL135</f>
        <v>-0</v>
      </c>
      <c r="BM206" s="158" t="n">
        <f aca="false">-BM135</f>
        <v>-0</v>
      </c>
      <c r="BN206" s="158" t="n">
        <f aca="false">-BN135</f>
        <v>-0</v>
      </c>
      <c r="BO206" s="158" t="n">
        <f aca="false">-BO135</f>
        <v>-0</v>
      </c>
      <c r="BP206" s="158" t="n">
        <f aca="false">-BP135</f>
        <v>-0</v>
      </c>
    </row>
    <row r="207" customFormat="false" ht="15" hidden="false" customHeight="false" outlineLevel="0" collapsed="false">
      <c r="C207" s="0" t="s">
        <v>1112</v>
      </c>
      <c r="D207" s="0" t="s">
        <v>125</v>
      </c>
      <c r="E207" s="158"/>
      <c r="F207" s="158"/>
      <c r="G207" s="158" t="n">
        <f aca="false">SUM(H207:BP207)</f>
        <v>0</v>
      </c>
      <c r="H207" s="158" t="n">
        <f aca="false">-$E$107*H79</f>
        <v>-0</v>
      </c>
      <c r="I207" s="158" t="n">
        <f aca="false">-$E$107*I79</f>
        <v>-0</v>
      </c>
      <c r="J207" s="158" t="n">
        <f aca="false">-$E$107*J79</f>
        <v>-0</v>
      </c>
      <c r="K207" s="158" t="n">
        <f aca="false">-$E$107*K79</f>
        <v>-0</v>
      </c>
      <c r="L207" s="158" t="n">
        <f aca="false">-$E$107*L79</f>
        <v>-0</v>
      </c>
      <c r="M207" s="158" t="n">
        <f aca="false">-$E$107*M79</f>
        <v>-0</v>
      </c>
      <c r="N207" s="158" t="n">
        <f aca="false">-$E$107*N79</f>
        <v>-0</v>
      </c>
      <c r="O207" s="158" t="n">
        <f aca="false">-$E$107*O79</f>
        <v>-0</v>
      </c>
      <c r="P207" s="158" t="n">
        <f aca="false">-$E$107*P79</f>
        <v>-0</v>
      </c>
      <c r="Q207" s="158" t="n">
        <f aca="false">-$E$107*Q79</f>
        <v>-0</v>
      </c>
      <c r="R207" s="158" t="n">
        <f aca="false">-$E$107*R79</f>
        <v>-0</v>
      </c>
      <c r="S207" s="158" t="n">
        <f aca="false">-$E$107*S79</f>
        <v>-0</v>
      </c>
      <c r="T207" s="158" t="n">
        <f aca="false">-$E$107*T79</f>
        <v>-0</v>
      </c>
      <c r="U207" s="158" t="n">
        <f aca="false">-$E$107*U79</f>
        <v>-0</v>
      </c>
      <c r="V207" s="158" t="n">
        <f aca="false">-$E$107*V79</f>
        <v>-0</v>
      </c>
      <c r="W207" s="158" t="n">
        <f aca="false">-$E$107*W79</f>
        <v>-0</v>
      </c>
      <c r="X207" s="158" t="n">
        <f aca="false">-$E$107*X79</f>
        <v>-0</v>
      </c>
      <c r="Y207" s="158" t="n">
        <f aca="false">-$E$107*Y79</f>
        <v>-0</v>
      </c>
      <c r="Z207" s="158" t="n">
        <f aca="false">-$E$107*Z79</f>
        <v>-0</v>
      </c>
      <c r="AA207" s="158" t="n">
        <f aca="false">-$E$107*AA79</f>
        <v>-0</v>
      </c>
      <c r="AB207" s="158" t="n">
        <f aca="false">-$E$107*AB79</f>
        <v>-0</v>
      </c>
      <c r="AC207" s="158" t="n">
        <f aca="false">-$E$107*AC79</f>
        <v>-0</v>
      </c>
      <c r="AD207" s="158" t="n">
        <f aca="false">-$E$107*AD79</f>
        <v>-0</v>
      </c>
      <c r="AE207" s="158" t="n">
        <f aca="false">-$E$107*AE79</f>
        <v>-0</v>
      </c>
      <c r="AF207" s="158" t="n">
        <f aca="false">-$E$107*AF79</f>
        <v>-0</v>
      </c>
      <c r="AG207" s="158" t="n">
        <f aca="false">-$E$107*AG79</f>
        <v>-0</v>
      </c>
      <c r="AH207" s="158" t="n">
        <f aca="false">-$E$107*AH79</f>
        <v>-0</v>
      </c>
      <c r="AI207" s="158" t="n">
        <f aca="false">-$E$107*AI79</f>
        <v>-0</v>
      </c>
      <c r="AJ207" s="158" t="n">
        <f aca="false">-$E$107*AJ79</f>
        <v>-0</v>
      </c>
      <c r="AK207" s="158" t="n">
        <f aca="false">-$E$107*AK79</f>
        <v>-0</v>
      </c>
      <c r="AL207" s="158" t="n">
        <f aca="false">-$E$107*AL79</f>
        <v>-0</v>
      </c>
      <c r="AM207" s="158" t="n">
        <f aca="false">-$E$107*AM79</f>
        <v>-0</v>
      </c>
      <c r="AN207" s="158" t="n">
        <f aca="false">-$E$107*AN79</f>
        <v>-0</v>
      </c>
      <c r="AO207" s="158" t="n">
        <f aca="false">-$E$107*AO79</f>
        <v>-0</v>
      </c>
      <c r="AP207" s="158" t="n">
        <f aca="false">-$E$107*AP79</f>
        <v>-0</v>
      </c>
      <c r="AQ207" s="158" t="n">
        <f aca="false">-$E$107*AQ79</f>
        <v>-0</v>
      </c>
      <c r="AR207" s="158" t="n">
        <f aca="false">-$E$107*AR79</f>
        <v>-0</v>
      </c>
      <c r="AS207" s="158" t="n">
        <f aca="false">-$E$107*AS79</f>
        <v>-0</v>
      </c>
      <c r="AT207" s="158" t="n">
        <f aca="false">-$E$107*AT79</f>
        <v>-0</v>
      </c>
      <c r="AU207" s="158" t="n">
        <f aca="false">-$E$107*AU79</f>
        <v>-0</v>
      </c>
      <c r="AV207" s="158" t="n">
        <f aca="false">-$E$107*AV79</f>
        <v>-0</v>
      </c>
      <c r="AW207" s="158" t="n">
        <f aca="false">-$E$107*AW79</f>
        <v>-0</v>
      </c>
      <c r="AX207" s="158" t="n">
        <f aca="false">-$E$107*AX79</f>
        <v>-0</v>
      </c>
      <c r="AY207" s="158" t="n">
        <f aca="false">-$E$107*AY79</f>
        <v>-0</v>
      </c>
      <c r="AZ207" s="158" t="n">
        <f aca="false">-$E$107*AZ79</f>
        <v>-0</v>
      </c>
      <c r="BA207" s="158" t="n">
        <f aca="false">-$E$107*BA79</f>
        <v>-0</v>
      </c>
      <c r="BB207" s="158" t="n">
        <f aca="false">-$E$107*BB79</f>
        <v>-0</v>
      </c>
      <c r="BC207" s="158" t="n">
        <f aca="false">-$E$107*BC79</f>
        <v>-0</v>
      </c>
      <c r="BD207" s="158" t="n">
        <f aca="false">-$E$107*BD79</f>
        <v>-0</v>
      </c>
      <c r="BE207" s="158" t="n">
        <f aca="false">-$E$107*BE79</f>
        <v>-0</v>
      </c>
      <c r="BF207" s="158" t="n">
        <f aca="false">-$E$107*BF79</f>
        <v>-0</v>
      </c>
      <c r="BG207" s="158" t="n">
        <f aca="false">-$E$107*BG79</f>
        <v>-0</v>
      </c>
      <c r="BH207" s="158" t="n">
        <f aca="false">-$E$107*BH79</f>
        <v>-0</v>
      </c>
      <c r="BI207" s="158" t="n">
        <f aca="false">-$E$107*BI79</f>
        <v>-0</v>
      </c>
      <c r="BJ207" s="158" t="n">
        <f aca="false">-$E$107*BJ79</f>
        <v>-0</v>
      </c>
      <c r="BK207" s="158" t="n">
        <f aca="false">-$E$107*BK79</f>
        <v>-0</v>
      </c>
      <c r="BL207" s="158" t="n">
        <f aca="false">-$E$107*BL79</f>
        <v>-0</v>
      </c>
      <c r="BM207" s="158" t="n">
        <f aca="false">-$E$107*BM79</f>
        <v>-0</v>
      </c>
      <c r="BN207" s="158" t="n">
        <f aca="false">-$E$107*BN79</f>
        <v>-0</v>
      </c>
      <c r="BO207" s="158" t="n">
        <f aca="false">-$E$107*BO79</f>
        <v>-0</v>
      </c>
      <c r="BP207" s="158" t="n">
        <f aca="false">-$E$107*BP79</f>
        <v>-0</v>
      </c>
    </row>
    <row r="208" customFormat="false" ht="15" hidden="false" customHeight="false" outlineLevel="0" collapsed="false">
      <c r="C208" s="205" t="s">
        <v>1113</v>
      </c>
      <c r="D208" s="205" t="s">
        <v>125</v>
      </c>
      <c r="E208" s="251"/>
      <c r="F208" s="251"/>
      <c r="G208" s="251" t="n">
        <f aca="false">SUM(H208:BP208)</f>
        <v>0</v>
      </c>
      <c r="H208" s="251" t="n">
        <f aca="false">SUM(H204:H207)</f>
        <v>0</v>
      </c>
      <c r="I208" s="251" t="n">
        <f aca="false">SUM(I204:I207)</f>
        <v>0</v>
      </c>
      <c r="J208" s="251" t="n">
        <f aca="false">SUM(J204:J207)</f>
        <v>0</v>
      </c>
      <c r="K208" s="251" t="n">
        <f aca="false">SUM(K204:K207)</f>
        <v>0</v>
      </c>
      <c r="L208" s="251" t="n">
        <f aca="false">SUM(L204:L207)</f>
        <v>0</v>
      </c>
      <c r="M208" s="251" t="n">
        <f aca="false">SUM(M204:M207)</f>
        <v>0</v>
      </c>
      <c r="N208" s="251" t="n">
        <f aca="false">SUM(N204:N207)</f>
        <v>0</v>
      </c>
      <c r="O208" s="251" t="n">
        <f aca="false">SUM(O204:O207)</f>
        <v>0</v>
      </c>
      <c r="P208" s="251" t="n">
        <f aca="false">SUM(P204:P207)</f>
        <v>0</v>
      </c>
      <c r="Q208" s="251" t="n">
        <f aca="false">SUM(Q204:Q207)</f>
        <v>0</v>
      </c>
      <c r="R208" s="251" t="n">
        <f aca="false">SUM(R204:R207)</f>
        <v>0</v>
      </c>
      <c r="S208" s="251" t="n">
        <f aca="false">SUM(S204:S207)</f>
        <v>0</v>
      </c>
      <c r="T208" s="251" t="n">
        <f aca="false">SUM(T204:T207)</f>
        <v>0</v>
      </c>
      <c r="U208" s="251" t="n">
        <f aca="false">SUM(U204:U207)</f>
        <v>0</v>
      </c>
      <c r="V208" s="251" t="n">
        <f aca="false">SUM(V204:V207)</f>
        <v>0</v>
      </c>
      <c r="W208" s="251" t="n">
        <f aca="false">SUM(W204:W207)</f>
        <v>0</v>
      </c>
      <c r="X208" s="251" t="n">
        <f aca="false">SUM(X204:X207)</f>
        <v>0</v>
      </c>
      <c r="Y208" s="251" t="n">
        <f aca="false">SUM(Y204:Y207)</f>
        <v>0</v>
      </c>
      <c r="Z208" s="251" t="n">
        <f aca="false">SUM(Z204:Z207)</f>
        <v>0</v>
      </c>
      <c r="AA208" s="251" t="n">
        <f aca="false">SUM(AA204:AA207)</f>
        <v>0</v>
      </c>
      <c r="AB208" s="251" t="n">
        <f aca="false">SUM(AB204:AB207)</f>
        <v>0</v>
      </c>
      <c r="AC208" s="251" t="n">
        <f aca="false">SUM(AC204:AC207)</f>
        <v>0</v>
      </c>
      <c r="AD208" s="251" t="n">
        <f aca="false">SUM(AD204:AD207)</f>
        <v>0</v>
      </c>
      <c r="AE208" s="251" t="n">
        <f aca="false">SUM(AE204:AE207)</f>
        <v>0</v>
      </c>
      <c r="AF208" s="251" t="n">
        <f aca="false">SUM(AF204:AF207)</f>
        <v>0</v>
      </c>
      <c r="AG208" s="251" t="n">
        <f aca="false">SUM(AG204:AG207)</f>
        <v>0</v>
      </c>
      <c r="AH208" s="251" t="n">
        <f aca="false">SUM(AH204:AH207)</f>
        <v>0</v>
      </c>
      <c r="AI208" s="251" t="n">
        <f aca="false">SUM(AI204:AI207)</f>
        <v>0</v>
      </c>
      <c r="AJ208" s="251" t="n">
        <f aca="false">SUM(AJ204:AJ207)</f>
        <v>0</v>
      </c>
      <c r="AK208" s="251" t="n">
        <f aca="false">SUM(AK204:AK207)</f>
        <v>0</v>
      </c>
      <c r="AL208" s="251" t="n">
        <f aca="false">SUM(AL204:AL207)</f>
        <v>0</v>
      </c>
      <c r="AM208" s="251" t="n">
        <f aca="false">SUM(AM204:AM207)</f>
        <v>0</v>
      </c>
      <c r="AN208" s="251" t="n">
        <f aca="false">SUM(AN204:AN207)</f>
        <v>0</v>
      </c>
      <c r="AO208" s="251" t="n">
        <f aca="false">SUM(AO204:AO207)</f>
        <v>0</v>
      </c>
      <c r="AP208" s="251" t="n">
        <f aca="false">SUM(AP204:AP207)</f>
        <v>0</v>
      </c>
      <c r="AQ208" s="251" t="n">
        <f aca="false">SUM(AQ204:AQ207)</f>
        <v>0</v>
      </c>
      <c r="AR208" s="251" t="n">
        <f aca="false">SUM(AR204:AR207)</f>
        <v>0</v>
      </c>
      <c r="AS208" s="251" t="n">
        <f aca="false">SUM(AS204:AS207)</f>
        <v>0</v>
      </c>
      <c r="AT208" s="251" t="n">
        <f aca="false">SUM(AT204:AT207)</f>
        <v>0</v>
      </c>
      <c r="AU208" s="251" t="n">
        <f aca="false">SUM(AU204:AU207)</f>
        <v>0</v>
      </c>
      <c r="AV208" s="251" t="n">
        <f aca="false">SUM(AV204:AV207)</f>
        <v>0</v>
      </c>
      <c r="AW208" s="251" t="n">
        <f aca="false">SUM(AW204:AW207)</f>
        <v>0</v>
      </c>
      <c r="AX208" s="251" t="n">
        <f aca="false">SUM(AX204:AX207)</f>
        <v>0</v>
      </c>
      <c r="AY208" s="251" t="n">
        <f aca="false">SUM(AY204:AY207)</f>
        <v>0</v>
      </c>
      <c r="AZ208" s="251" t="n">
        <f aca="false">SUM(AZ204:AZ207)</f>
        <v>0</v>
      </c>
      <c r="BA208" s="251" t="n">
        <f aca="false">SUM(BA204:BA207)</f>
        <v>0</v>
      </c>
      <c r="BB208" s="251" t="n">
        <f aca="false">SUM(BB204:BB207)</f>
        <v>0</v>
      </c>
      <c r="BC208" s="251" t="n">
        <f aca="false">SUM(BC204:BC207)</f>
        <v>0</v>
      </c>
      <c r="BD208" s="251" t="n">
        <f aca="false">SUM(BD204:BD207)</f>
        <v>0</v>
      </c>
      <c r="BE208" s="251" t="n">
        <f aca="false">SUM(BE204:BE207)</f>
        <v>0</v>
      </c>
      <c r="BF208" s="251" t="n">
        <f aca="false">SUM(BF204:BF207)</f>
        <v>0</v>
      </c>
      <c r="BG208" s="251" t="n">
        <f aca="false">SUM(BG204:BG207)</f>
        <v>0</v>
      </c>
      <c r="BH208" s="251" t="n">
        <f aca="false">SUM(BH204:BH207)</f>
        <v>0</v>
      </c>
      <c r="BI208" s="251" t="n">
        <f aca="false">SUM(BI204:BI207)</f>
        <v>0</v>
      </c>
      <c r="BJ208" s="251" t="n">
        <f aca="false">SUM(BJ204:BJ207)</f>
        <v>0</v>
      </c>
      <c r="BK208" s="251" t="n">
        <f aca="false">SUM(BK204:BK207)</f>
        <v>0</v>
      </c>
      <c r="BL208" s="251" t="n">
        <f aca="false">SUM(BL204:BL207)</f>
        <v>0</v>
      </c>
      <c r="BM208" s="251" t="n">
        <f aca="false">SUM(BM204:BM207)</f>
        <v>0</v>
      </c>
      <c r="BN208" s="251" t="n">
        <f aca="false">SUM(BN204:BN207)</f>
        <v>0</v>
      </c>
      <c r="BO208" s="251" t="n">
        <f aca="false">SUM(BO204:BO207)</f>
        <v>0</v>
      </c>
      <c r="BP208" s="251" t="n">
        <f aca="false">SUM(BP204:BP207)</f>
        <v>0</v>
      </c>
    </row>
    <row r="209" customFormat="false" ht="15" hidden="false" customHeight="false" outlineLevel="0" collapsed="false">
      <c r="C209" s="0" t="s">
        <v>1115</v>
      </c>
      <c r="D209" s="0" t="s">
        <v>125</v>
      </c>
      <c r="E209" s="158"/>
      <c r="F209" s="158"/>
      <c r="G209" s="158" t="n">
        <f aca="false">SUM(H209:BP209)</f>
        <v>0</v>
      </c>
      <c r="H209" s="158" t="n">
        <f aca="false">-H$7*$G$147*$E$107</f>
        <v>0</v>
      </c>
      <c r="I209" s="158" t="n">
        <f aca="false">-I$7*$G$147*$E$107</f>
        <v>0</v>
      </c>
      <c r="J209" s="158" t="n">
        <f aca="false">-J$7*$G$147*$E$107</f>
        <v>0</v>
      </c>
      <c r="K209" s="158" t="n">
        <f aca="false">-K$7*$G$147*$E$107</f>
        <v>0</v>
      </c>
      <c r="L209" s="158" t="n">
        <f aca="false">-L$7*$G$147*$E$107</f>
        <v>0</v>
      </c>
      <c r="M209" s="158" t="n">
        <f aca="false">-M$7*$G$147*$E$107</f>
        <v>0</v>
      </c>
      <c r="N209" s="158" t="n">
        <f aca="false">-N$7*$G$147*$E$107</f>
        <v>0</v>
      </c>
      <c r="O209" s="158" t="n">
        <f aca="false">-O$7*$G$147*$E$107</f>
        <v>0</v>
      </c>
      <c r="P209" s="158" t="n">
        <f aca="false">-P$7*$G$147*$E$107</f>
        <v>0</v>
      </c>
      <c r="Q209" s="158" t="n">
        <f aca="false">-Q$7*$G$147*$E$107</f>
        <v>0</v>
      </c>
      <c r="R209" s="158" t="n">
        <f aca="false">-R$7*$G$147*$E$107</f>
        <v>0</v>
      </c>
      <c r="S209" s="158" t="n">
        <f aca="false">-S$7*$G$147*$E$107</f>
        <v>0</v>
      </c>
      <c r="T209" s="158" t="n">
        <f aca="false">-T$7*$G$147*$E$107</f>
        <v>0</v>
      </c>
      <c r="U209" s="158" t="n">
        <f aca="false">-U$7*$G$147*$E$107</f>
        <v>0</v>
      </c>
      <c r="V209" s="158" t="n">
        <f aca="false">-V$7*$G$147*$E$107</f>
        <v>0</v>
      </c>
      <c r="W209" s="158" t="n">
        <f aca="false">-W$7*$G$147*$E$107</f>
        <v>0</v>
      </c>
      <c r="X209" s="158" t="n">
        <f aca="false">-X$7*$G$147*$E$107</f>
        <v>0</v>
      </c>
      <c r="Y209" s="158" t="n">
        <f aca="false">-Y$7*$G$147*$E$107</f>
        <v>0</v>
      </c>
      <c r="Z209" s="158" t="n">
        <f aca="false">-Z$7*$G$147*$E$107</f>
        <v>0</v>
      </c>
      <c r="AA209" s="158" t="n">
        <f aca="false">-AA$7*$G$147*$E$107</f>
        <v>0</v>
      </c>
      <c r="AB209" s="158" t="n">
        <f aca="false">-AB$7*$G$147*$E$107</f>
        <v>0</v>
      </c>
      <c r="AC209" s="158" t="n">
        <f aca="false">-AC$7*$G$147*$E$107</f>
        <v>0</v>
      </c>
      <c r="AD209" s="158" t="n">
        <f aca="false">-AD$7*$G$147*$E$107</f>
        <v>0</v>
      </c>
      <c r="AE209" s="158" t="n">
        <f aca="false">-AE$7*$G$147*$E$107</f>
        <v>0</v>
      </c>
      <c r="AF209" s="158" t="n">
        <f aca="false">-AF$7*$G$147*$E$107</f>
        <v>0</v>
      </c>
      <c r="AG209" s="158" t="n">
        <f aca="false">-AG$7*$G$147*$E$107</f>
        <v>0</v>
      </c>
      <c r="AH209" s="158" t="n">
        <f aca="false">-AH$7*$G$147*$E$107</f>
        <v>0</v>
      </c>
      <c r="AI209" s="158" t="n">
        <f aca="false">-AI$7*$G$147*$E$107</f>
        <v>0</v>
      </c>
      <c r="AJ209" s="158" t="n">
        <f aca="false">-AJ$7*$G$147*$E$107</f>
        <v>0</v>
      </c>
      <c r="AK209" s="158" t="n">
        <f aca="false">-AK$7*$G$147*$E$107</f>
        <v>0</v>
      </c>
      <c r="AL209" s="158" t="n">
        <f aca="false">-AL$7*$G$147*$E$107</f>
        <v>0</v>
      </c>
      <c r="AM209" s="158" t="n">
        <f aca="false">-AM$7*$G$147*$E$107</f>
        <v>0</v>
      </c>
      <c r="AN209" s="158" t="n">
        <f aca="false">-AN$7*$G$147*$E$107</f>
        <v>0</v>
      </c>
      <c r="AO209" s="158" t="n">
        <f aca="false">-AO$7*$G$147*$E$107</f>
        <v>0</v>
      </c>
      <c r="AP209" s="158" t="n">
        <f aca="false">-AP$7*$G$147*$E$107</f>
        <v>0</v>
      </c>
      <c r="AQ209" s="158" t="n">
        <f aca="false">-AQ$7*$G$147*$E$107</f>
        <v>0</v>
      </c>
      <c r="AR209" s="158" t="n">
        <f aca="false">-AR$7*$G$147*$E$107</f>
        <v>0</v>
      </c>
      <c r="AS209" s="158" t="n">
        <f aca="false">-AS$7*$G$147*$E$107</f>
        <v>0</v>
      </c>
      <c r="AT209" s="158" t="n">
        <f aca="false">-AT$7*$G$147*$E$107</f>
        <v>0</v>
      </c>
      <c r="AU209" s="158" t="n">
        <f aca="false">-AU$7*$G$147*$E$107</f>
        <v>0</v>
      </c>
      <c r="AV209" s="158" t="n">
        <f aca="false">-AV$7*$G$147*$E$107</f>
        <v>0</v>
      </c>
      <c r="AW209" s="158" t="n">
        <f aca="false">-AW$7*$G$147*$E$107</f>
        <v>0</v>
      </c>
      <c r="AX209" s="158" t="n">
        <f aca="false">-AX$7*$G$147*$E$107</f>
        <v>0</v>
      </c>
      <c r="AY209" s="158" t="n">
        <f aca="false">-AY$7*$G$147*$E$107</f>
        <v>0</v>
      </c>
      <c r="AZ209" s="158" t="n">
        <f aca="false">-AZ$7*$G$147*$E$107</f>
        <v>0</v>
      </c>
      <c r="BA209" s="158" t="n">
        <f aca="false">-BA$7*$G$147*$E$107</f>
        <v>0</v>
      </c>
      <c r="BB209" s="158" t="n">
        <f aca="false">-BB$7*$G$147*$E$107</f>
        <v>0</v>
      </c>
      <c r="BC209" s="158" t="n">
        <f aca="false">-BC$7*$G$147*$E$107</f>
        <v>0</v>
      </c>
      <c r="BD209" s="158" t="n">
        <f aca="false">-BD$7*$G$147*$E$107</f>
        <v>0</v>
      </c>
      <c r="BE209" s="158" t="n">
        <f aca="false">-BE$7*$G$147*$E$107</f>
        <v>0</v>
      </c>
      <c r="BF209" s="158" t="n">
        <f aca="false">-BF$7*$G$147*$E$107</f>
        <v>0</v>
      </c>
      <c r="BG209" s="158" t="n">
        <f aca="false">-BG$7*$G$147*$E$107</f>
        <v>0</v>
      </c>
      <c r="BH209" s="158" t="n">
        <f aca="false">-BH$7*$G$147*$E$107</f>
        <v>0</v>
      </c>
      <c r="BI209" s="158" t="n">
        <f aca="false">-BI$7*$G$147*$E$107</f>
        <v>0</v>
      </c>
      <c r="BJ209" s="158" t="n">
        <f aca="false">-BJ$7*$G$147*$E$107</f>
        <v>0</v>
      </c>
      <c r="BK209" s="158" t="n">
        <f aca="false">-BK$7*$G$147*$E$107</f>
        <v>0</v>
      </c>
      <c r="BL209" s="158" t="n">
        <f aca="false">-BL$7*$G$147*$E$107</f>
        <v>0</v>
      </c>
      <c r="BM209" s="158" t="n">
        <f aca="false">-BM$7*$G$147*$E$107</f>
        <v>0</v>
      </c>
      <c r="BN209" s="158" t="n">
        <f aca="false">-BN$7*$G$147*$E$107</f>
        <v>0</v>
      </c>
      <c r="BO209" s="158" t="n">
        <f aca="false">-BO$7*$G$147*$E$107</f>
        <v>0</v>
      </c>
      <c r="BP209" s="158" t="n">
        <f aca="false">-BP$7*$G$147*$E$107</f>
        <v>0</v>
      </c>
    </row>
    <row r="210" customFormat="false" ht="15" hidden="false" customHeight="false" outlineLevel="0" collapsed="false">
      <c r="C210" s="0" t="s">
        <v>1116</v>
      </c>
      <c r="D210" s="0" t="s">
        <v>125</v>
      </c>
      <c r="E210" s="158"/>
      <c r="F210" s="158"/>
      <c r="G210" s="158" t="n">
        <f aca="false">SUM(H210:BP210)</f>
        <v>0</v>
      </c>
      <c r="H210" s="158" t="n">
        <f aca="false">-H$7*$G$148*$E$107</f>
        <v>0</v>
      </c>
      <c r="I210" s="158" t="n">
        <f aca="false">-I$7*$G$148*$E$107</f>
        <v>0</v>
      </c>
      <c r="J210" s="158" t="n">
        <f aca="false">-J$7*$G$148*$E$107</f>
        <v>0</v>
      </c>
      <c r="K210" s="158" t="n">
        <f aca="false">-K$7*$G$148*$E$107</f>
        <v>0</v>
      </c>
      <c r="L210" s="158" t="n">
        <f aca="false">-L$7*$G$148*$E$107</f>
        <v>0</v>
      </c>
      <c r="M210" s="158" t="n">
        <f aca="false">-M$7*$G$148*$E$107</f>
        <v>0</v>
      </c>
      <c r="N210" s="158" t="n">
        <f aca="false">-N$7*$G$148*$E$107</f>
        <v>0</v>
      </c>
      <c r="O210" s="158" t="n">
        <f aca="false">-O$7*$G$148*$E$107</f>
        <v>0</v>
      </c>
      <c r="P210" s="158" t="n">
        <f aca="false">-P$7*$G$148*$E$107</f>
        <v>0</v>
      </c>
      <c r="Q210" s="158" t="n">
        <f aca="false">-Q$7*$G$148*$E$107</f>
        <v>0</v>
      </c>
      <c r="R210" s="158" t="n">
        <f aca="false">-R$7*$G$148*$E$107</f>
        <v>0</v>
      </c>
      <c r="S210" s="158" t="n">
        <f aca="false">-S$7*$G$148*$E$107</f>
        <v>0</v>
      </c>
      <c r="T210" s="158" t="n">
        <f aca="false">-T$7*$G$148*$E$107</f>
        <v>0</v>
      </c>
      <c r="U210" s="158" t="n">
        <f aca="false">-U$7*$G$148*$E$107</f>
        <v>0</v>
      </c>
      <c r="V210" s="158" t="n">
        <f aca="false">-V$7*$G$148*$E$107</f>
        <v>0</v>
      </c>
      <c r="W210" s="158" t="n">
        <f aca="false">-W$7*$G$148*$E$107</f>
        <v>0</v>
      </c>
      <c r="X210" s="158" t="n">
        <f aca="false">-X$7*$G$148*$E$107</f>
        <v>0</v>
      </c>
      <c r="Y210" s="158" t="n">
        <f aca="false">-Y$7*$G$148*$E$107</f>
        <v>0</v>
      </c>
      <c r="Z210" s="158" t="n">
        <f aca="false">-Z$7*$G$148*$E$107</f>
        <v>0</v>
      </c>
      <c r="AA210" s="158" t="n">
        <f aca="false">-AA$7*$G$148*$E$107</f>
        <v>0</v>
      </c>
      <c r="AB210" s="158" t="n">
        <f aca="false">-AB$7*$G$148*$E$107</f>
        <v>0</v>
      </c>
      <c r="AC210" s="158" t="n">
        <f aca="false">-AC$7*$G$148*$E$107</f>
        <v>0</v>
      </c>
      <c r="AD210" s="158" t="n">
        <f aca="false">-AD$7*$G$148*$E$107</f>
        <v>0</v>
      </c>
      <c r="AE210" s="158" t="n">
        <f aca="false">-AE$7*$G$148*$E$107</f>
        <v>0</v>
      </c>
      <c r="AF210" s="158" t="n">
        <f aca="false">-AF$7*$G$148*$E$107</f>
        <v>0</v>
      </c>
      <c r="AG210" s="158" t="n">
        <f aca="false">-AG$7*$G$148*$E$107</f>
        <v>0</v>
      </c>
      <c r="AH210" s="158" t="n">
        <f aca="false">-AH$7*$G$148*$E$107</f>
        <v>0</v>
      </c>
      <c r="AI210" s="158" t="n">
        <f aca="false">-AI$7*$G$148*$E$107</f>
        <v>0</v>
      </c>
      <c r="AJ210" s="158" t="n">
        <f aca="false">-AJ$7*$G$148*$E$107</f>
        <v>0</v>
      </c>
      <c r="AK210" s="158" t="n">
        <f aca="false">-AK$7*$G$148*$E$107</f>
        <v>0</v>
      </c>
      <c r="AL210" s="158" t="n">
        <f aca="false">-AL$7*$G$148*$E$107</f>
        <v>0</v>
      </c>
      <c r="AM210" s="158" t="n">
        <f aca="false">-AM$7*$G$148*$E$107</f>
        <v>0</v>
      </c>
      <c r="AN210" s="158" t="n">
        <f aca="false">-AN$7*$G$148*$E$107</f>
        <v>0</v>
      </c>
      <c r="AO210" s="158" t="n">
        <f aca="false">-AO$7*$G$148*$E$107</f>
        <v>0</v>
      </c>
      <c r="AP210" s="158" t="n">
        <f aca="false">-AP$7*$G$148*$E$107</f>
        <v>0</v>
      </c>
      <c r="AQ210" s="158" t="n">
        <f aca="false">-AQ$7*$G$148*$E$107</f>
        <v>0</v>
      </c>
      <c r="AR210" s="158" t="n">
        <f aca="false">-AR$7*$G$148*$E$107</f>
        <v>0</v>
      </c>
      <c r="AS210" s="158" t="n">
        <f aca="false">-AS$7*$G$148*$E$107</f>
        <v>0</v>
      </c>
      <c r="AT210" s="158" t="n">
        <f aca="false">-AT$7*$G$148*$E$107</f>
        <v>0</v>
      </c>
      <c r="AU210" s="158" t="n">
        <f aca="false">-AU$7*$G$148*$E$107</f>
        <v>0</v>
      </c>
      <c r="AV210" s="158" t="n">
        <f aca="false">-AV$7*$G$148*$E$107</f>
        <v>0</v>
      </c>
      <c r="AW210" s="158" t="n">
        <f aca="false">-AW$7*$G$148*$E$107</f>
        <v>0</v>
      </c>
      <c r="AX210" s="158" t="n">
        <f aca="false">-AX$7*$G$148*$E$107</f>
        <v>0</v>
      </c>
      <c r="AY210" s="158" t="n">
        <f aca="false">-AY$7*$G$148*$E$107</f>
        <v>0</v>
      </c>
      <c r="AZ210" s="158" t="n">
        <f aca="false">-AZ$7*$G$148*$E$107</f>
        <v>0</v>
      </c>
      <c r="BA210" s="158" t="n">
        <f aca="false">-BA$7*$G$148*$E$107</f>
        <v>0</v>
      </c>
      <c r="BB210" s="158" t="n">
        <f aca="false">-BB$7*$G$148*$E$107</f>
        <v>0</v>
      </c>
      <c r="BC210" s="158" t="n">
        <f aca="false">-BC$7*$G$148*$E$107</f>
        <v>0</v>
      </c>
      <c r="BD210" s="158" t="n">
        <f aca="false">-BD$7*$G$148*$E$107</f>
        <v>0</v>
      </c>
      <c r="BE210" s="158" t="n">
        <f aca="false">-BE$7*$G$148*$E$107</f>
        <v>0</v>
      </c>
      <c r="BF210" s="158" t="n">
        <f aca="false">-BF$7*$G$148*$E$107</f>
        <v>0</v>
      </c>
      <c r="BG210" s="158" t="n">
        <f aca="false">-BG$7*$G$148*$E$107</f>
        <v>0</v>
      </c>
      <c r="BH210" s="158" t="n">
        <f aca="false">-BH$7*$G$148*$E$107</f>
        <v>0</v>
      </c>
      <c r="BI210" s="158" t="n">
        <f aca="false">-BI$7*$G$148*$E$107</f>
        <v>0</v>
      </c>
      <c r="BJ210" s="158" t="n">
        <f aca="false">-BJ$7*$G$148*$E$107</f>
        <v>0</v>
      </c>
      <c r="BK210" s="158" t="n">
        <f aca="false">-BK$7*$G$148*$E$107</f>
        <v>0</v>
      </c>
      <c r="BL210" s="158" t="n">
        <f aca="false">-BL$7*$G$148*$E$107</f>
        <v>0</v>
      </c>
      <c r="BM210" s="158" t="n">
        <f aca="false">-BM$7*$G$148*$E$107</f>
        <v>0</v>
      </c>
      <c r="BN210" s="158" t="n">
        <f aca="false">-BN$7*$G$148*$E$107</f>
        <v>0</v>
      </c>
      <c r="BO210" s="158" t="n">
        <f aca="false">-BO$7*$G$148*$E$107</f>
        <v>0</v>
      </c>
      <c r="BP210" s="158" t="n">
        <f aca="false">-BP$7*$G$148*$E$107</f>
        <v>0</v>
      </c>
    </row>
    <row r="211" customFormat="false" ht="15" hidden="false" customHeight="false" outlineLevel="0" collapsed="false">
      <c r="C211" s="0" t="s">
        <v>1117</v>
      </c>
      <c r="D211" s="0" t="s">
        <v>125</v>
      </c>
      <c r="E211" s="158"/>
      <c r="F211" s="158"/>
      <c r="G211" s="158" t="n">
        <f aca="false">SUM(H211:BP211)</f>
        <v>0</v>
      </c>
      <c r="H211" s="158" t="n">
        <f aca="false">-H$7*$G$149*$E$107</f>
        <v>0</v>
      </c>
      <c r="I211" s="158" t="n">
        <f aca="false">-I$7*$G$149*$E$107</f>
        <v>0</v>
      </c>
      <c r="J211" s="158" t="n">
        <f aca="false">-J$7*$G$149*$E$107</f>
        <v>0</v>
      </c>
      <c r="K211" s="158" t="n">
        <f aca="false">-K$7*$G$149*$E$107</f>
        <v>0</v>
      </c>
      <c r="L211" s="158" t="n">
        <f aca="false">-L$7*$G$149*$E$107</f>
        <v>0</v>
      </c>
      <c r="M211" s="158" t="n">
        <f aca="false">-M$7*$G$149*$E$107</f>
        <v>0</v>
      </c>
      <c r="N211" s="158" t="n">
        <f aca="false">-N$7*$G$149*$E$107</f>
        <v>0</v>
      </c>
      <c r="O211" s="158" t="n">
        <f aca="false">-O$7*$G$149*$E$107</f>
        <v>0</v>
      </c>
      <c r="P211" s="158" t="n">
        <f aca="false">-P$7*$G$149*$E$107</f>
        <v>0</v>
      </c>
      <c r="Q211" s="158" t="n">
        <f aca="false">-Q$7*$G$149*$E$107</f>
        <v>0</v>
      </c>
      <c r="R211" s="158" t="n">
        <f aca="false">-R$7*$G$149*$E$107</f>
        <v>0</v>
      </c>
      <c r="S211" s="158" t="n">
        <f aca="false">-S$7*$G$149*$E$107</f>
        <v>0</v>
      </c>
      <c r="T211" s="158" t="n">
        <f aca="false">-T$7*$G$149*$E$107</f>
        <v>0</v>
      </c>
      <c r="U211" s="158" t="n">
        <f aca="false">-U$7*$G$149*$E$107</f>
        <v>0</v>
      </c>
      <c r="V211" s="158" t="n">
        <f aca="false">-V$7*$G$149*$E$107</f>
        <v>0</v>
      </c>
      <c r="W211" s="158" t="n">
        <f aca="false">-W$7*$G$149*$E$107</f>
        <v>0</v>
      </c>
      <c r="X211" s="158" t="n">
        <f aca="false">-X$7*$G$149*$E$107</f>
        <v>0</v>
      </c>
      <c r="Y211" s="158" t="n">
        <f aca="false">-Y$7*$G$149*$E$107</f>
        <v>0</v>
      </c>
      <c r="Z211" s="158" t="n">
        <f aca="false">-Z$7*$G$149*$E$107</f>
        <v>0</v>
      </c>
      <c r="AA211" s="158" t="n">
        <f aca="false">-AA$7*$G$149*$E$107</f>
        <v>0</v>
      </c>
      <c r="AB211" s="158" t="n">
        <f aca="false">-AB$7*$G$149*$E$107</f>
        <v>0</v>
      </c>
      <c r="AC211" s="158" t="n">
        <f aca="false">-AC$7*$G$149*$E$107</f>
        <v>0</v>
      </c>
      <c r="AD211" s="158" t="n">
        <f aca="false">-AD$7*$G$149*$E$107</f>
        <v>0</v>
      </c>
      <c r="AE211" s="158" t="n">
        <f aca="false">-AE$7*$G$149*$E$107</f>
        <v>0</v>
      </c>
      <c r="AF211" s="158" t="n">
        <f aca="false">-AF$7*$G$149*$E$107</f>
        <v>0</v>
      </c>
      <c r="AG211" s="158" t="n">
        <f aca="false">-AG$7*$G$149*$E$107</f>
        <v>0</v>
      </c>
      <c r="AH211" s="158" t="n">
        <f aca="false">-AH$7*$G$149*$E$107</f>
        <v>0</v>
      </c>
      <c r="AI211" s="158" t="n">
        <f aca="false">-AI$7*$G$149*$E$107</f>
        <v>0</v>
      </c>
      <c r="AJ211" s="158" t="n">
        <f aca="false">-AJ$7*$G$149*$E$107</f>
        <v>0</v>
      </c>
      <c r="AK211" s="158" t="n">
        <f aca="false">-AK$7*$G$149*$E$107</f>
        <v>0</v>
      </c>
      <c r="AL211" s="158" t="n">
        <f aca="false">-AL$7*$G$149*$E$107</f>
        <v>0</v>
      </c>
      <c r="AM211" s="158" t="n">
        <f aca="false">-AM$7*$G$149*$E$107</f>
        <v>0</v>
      </c>
      <c r="AN211" s="158" t="n">
        <f aca="false">-AN$7*$G$149*$E$107</f>
        <v>0</v>
      </c>
      <c r="AO211" s="158" t="n">
        <f aca="false">-AO$7*$G$149*$E$107</f>
        <v>0</v>
      </c>
      <c r="AP211" s="158" t="n">
        <f aca="false">-AP$7*$G$149*$E$107</f>
        <v>0</v>
      </c>
      <c r="AQ211" s="158" t="n">
        <f aca="false">-AQ$7*$G$149*$E$107</f>
        <v>0</v>
      </c>
      <c r="AR211" s="158" t="n">
        <f aca="false">-AR$7*$G$149*$E$107</f>
        <v>0</v>
      </c>
      <c r="AS211" s="158" t="n">
        <f aca="false">-AS$7*$G$149*$E$107</f>
        <v>0</v>
      </c>
      <c r="AT211" s="158" t="n">
        <f aca="false">-AT$7*$G$149*$E$107</f>
        <v>0</v>
      </c>
      <c r="AU211" s="158" t="n">
        <f aca="false">-AU$7*$G$149*$E$107</f>
        <v>0</v>
      </c>
      <c r="AV211" s="158" t="n">
        <f aca="false">-AV$7*$G$149*$E$107</f>
        <v>0</v>
      </c>
      <c r="AW211" s="158" t="n">
        <f aca="false">-AW$7*$G$149*$E$107</f>
        <v>0</v>
      </c>
      <c r="AX211" s="158" t="n">
        <f aca="false">-AX$7*$G$149*$E$107</f>
        <v>0</v>
      </c>
      <c r="AY211" s="158" t="n">
        <f aca="false">-AY$7*$G$149*$E$107</f>
        <v>0</v>
      </c>
      <c r="AZ211" s="158" t="n">
        <f aca="false">-AZ$7*$G$149*$E$107</f>
        <v>0</v>
      </c>
      <c r="BA211" s="158" t="n">
        <f aca="false">-BA$7*$G$149*$E$107</f>
        <v>0</v>
      </c>
      <c r="BB211" s="158" t="n">
        <f aca="false">-BB$7*$G$149*$E$107</f>
        <v>0</v>
      </c>
      <c r="BC211" s="158" t="n">
        <f aca="false">-BC$7*$G$149*$E$107</f>
        <v>0</v>
      </c>
      <c r="BD211" s="158" t="n">
        <f aca="false">-BD$7*$G$149*$E$107</f>
        <v>0</v>
      </c>
      <c r="BE211" s="158" t="n">
        <f aca="false">-BE$7*$G$149*$E$107</f>
        <v>0</v>
      </c>
      <c r="BF211" s="158" t="n">
        <f aca="false">-BF$7*$G$149*$E$107</f>
        <v>0</v>
      </c>
      <c r="BG211" s="158" t="n">
        <f aca="false">-BG$7*$G$149*$E$107</f>
        <v>0</v>
      </c>
      <c r="BH211" s="158" t="n">
        <f aca="false">-BH$7*$G$149*$E$107</f>
        <v>0</v>
      </c>
      <c r="BI211" s="158" t="n">
        <f aca="false">-BI$7*$G$149*$E$107</f>
        <v>0</v>
      </c>
      <c r="BJ211" s="158" t="n">
        <f aca="false">-BJ$7*$G$149*$E$107</f>
        <v>0</v>
      </c>
      <c r="BK211" s="158" t="n">
        <f aca="false">-BK$7*$G$149*$E$107</f>
        <v>0</v>
      </c>
      <c r="BL211" s="158" t="n">
        <f aca="false">-BL$7*$G$149*$E$107</f>
        <v>0</v>
      </c>
      <c r="BM211" s="158" t="n">
        <f aca="false">-BM$7*$G$149*$E$107</f>
        <v>0</v>
      </c>
      <c r="BN211" s="158" t="n">
        <f aca="false">-BN$7*$G$149*$E$107</f>
        <v>0</v>
      </c>
      <c r="BO211" s="158" t="n">
        <f aca="false">-BO$7*$G$149*$E$107</f>
        <v>0</v>
      </c>
      <c r="BP211" s="158" t="n">
        <f aca="false">-BP$7*$G$149*$E$107</f>
        <v>0</v>
      </c>
    </row>
    <row r="212" customFormat="false" ht="15" hidden="false" customHeight="false" outlineLevel="0" collapsed="false">
      <c r="C212" s="0" t="s">
        <v>1150</v>
      </c>
      <c r="D212" s="0" t="s">
        <v>125</v>
      </c>
      <c r="E212" s="158"/>
      <c r="F212" s="158"/>
      <c r="G212" s="158" t="n">
        <f aca="false">SUM(H212:BP212)</f>
        <v>1105.23611111111</v>
      </c>
      <c r="H212" s="158" t="n">
        <f aca="false">-H$7*$G$151</f>
        <v>0</v>
      </c>
      <c r="I212" s="158" t="n">
        <f aca="false">-I$7*$G$151</f>
        <v>0</v>
      </c>
      <c r="J212" s="158" t="n">
        <f aca="false">-J$7*$G$151</f>
        <v>0</v>
      </c>
      <c r="K212" s="158" t="n">
        <f aca="false">-K$7*$G$151</f>
        <v>0</v>
      </c>
      <c r="L212" s="158" t="n">
        <f aca="false">-L$7*$G$151</f>
        <v>0</v>
      </c>
      <c r="M212" s="158" t="n">
        <f aca="false">-M$7*$G$151</f>
        <v>0</v>
      </c>
      <c r="N212" s="158" t="n">
        <f aca="false">-N$7*$G$151</f>
        <v>0</v>
      </c>
      <c r="O212" s="158" t="n">
        <f aca="false">-O$7*$G$151</f>
        <v>0</v>
      </c>
      <c r="P212" s="158" t="n">
        <f aca="false">-P$7*$G$151</f>
        <v>0</v>
      </c>
      <c r="Q212" s="158" t="n">
        <f aca="false">-Q$7*$G$151</f>
        <v>0</v>
      </c>
      <c r="R212" s="158" t="n">
        <f aca="false">-R$7*$G$151</f>
        <v>0</v>
      </c>
      <c r="S212" s="158" t="n">
        <f aca="false">-S$7*$G$151</f>
        <v>0</v>
      </c>
      <c r="T212" s="158" t="n">
        <f aca="false">-T$7*$G$151</f>
        <v>0</v>
      </c>
      <c r="U212" s="158" t="n">
        <f aca="false">-U$7*$G$151</f>
        <v>0</v>
      </c>
      <c r="V212" s="158" t="n">
        <f aca="false">-V$7*$G$151</f>
        <v>0</v>
      </c>
      <c r="W212" s="158" t="n">
        <f aca="false">-W$7*$G$151</f>
        <v>0</v>
      </c>
      <c r="X212" s="158" t="n">
        <f aca="false">-X$7*$G$151</f>
        <v>0</v>
      </c>
      <c r="Y212" s="158" t="n">
        <f aca="false">-Y$7*$G$151</f>
        <v>0</v>
      </c>
      <c r="Z212" s="158" t="n">
        <f aca="false">-Z$7*$G$151</f>
        <v>0</v>
      </c>
      <c r="AA212" s="158" t="n">
        <f aca="false">-AA$7*$G$151</f>
        <v>0</v>
      </c>
      <c r="AB212" s="158" t="n">
        <f aca="false">-AB$7*$G$151</f>
        <v>0</v>
      </c>
      <c r="AC212" s="158" t="n">
        <f aca="false">-AC$7*$G$151</f>
        <v>0</v>
      </c>
      <c r="AD212" s="158" t="n">
        <f aca="false">-AD$7*$G$151</f>
        <v>0</v>
      </c>
      <c r="AE212" s="158" t="n">
        <f aca="false">-AE$7*$G$151</f>
        <v>0</v>
      </c>
      <c r="AF212" s="158" t="n">
        <f aca="false">-AF$7*$G$151</f>
        <v>0</v>
      </c>
      <c r="AG212" s="158" t="n">
        <f aca="false">-AG$7*$G$151</f>
        <v>0</v>
      </c>
      <c r="AH212" s="158" t="n">
        <f aca="false">-AH$7*$G$151</f>
        <v>0</v>
      </c>
      <c r="AI212" s="158" t="n">
        <f aca="false">-AI$7*$G$151</f>
        <v>0</v>
      </c>
      <c r="AJ212" s="158" t="n">
        <f aca="false">-AJ$7*$G$151</f>
        <v>0</v>
      </c>
      <c r="AK212" s="158" t="n">
        <f aca="false">-AK$7*$G$151</f>
        <v>0</v>
      </c>
      <c r="AL212" s="158" t="n">
        <f aca="false">-AL$7*$G$151</f>
        <v>0</v>
      </c>
      <c r="AM212" s="158" t="n">
        <f aca="false">-AM$7*$G$151</f>
        <v>0</v>
      </c>
      <c r="AN212" s="158" t="n">
        <f aca="false">-AN$7*$G$151</f>
        <v>0</v>
      </c>
      <c r="AO212" s="158" t="n">
        <f aca="false">-AO$7*$G$151</f>
        <v>0</v>
      </c>
      <c r="AP212" s="158" t="n">
        <f aca="false">-AP$7*$G$151</f>
        <v>0</v>
      </c>
      <c r="AQ212" s="158" t="n">
        <f aca="false">-AQ$7*$G$151</f>
        <v>0</v>
      </c>
      <c r="AR212" s="158" t="n">
        <f aca="false">-AR$7*$G$151</f>
        <v>0</v>
      </c>
      <c r="AS212" s="158" t="n">
        <f aca="false">-AS$7*$G$151</f>
        <v>0</v>
      </c>
      <c r="AT212" s="158" t="n">
        <f aca="false">-AT$7*$G$151</f>
        <v>1105.23611111111</v>
      </c>
      <c r="AU212" s="158" t="n">
        <f aca="false">-AU$7*$G$151</f>
        <v>0</v>
      </c>
      <c r="AV212" s="158" t="n">
        <f aca="false">-AV$7*$G$151</f>
        <v>0</v>
      </c>
      <c r="AW212" s="158" t="n">
        <f aca="false">-AW$7*$G$151</f>
        <v>0</v>
      </c>
      <c r="AX212" s="158" t="n">
        <f aca="false">-AX$7*$G$151</f>
        <v>0</v>
      </c>
      <c r="AY212" s="158" t="n">
        <f aca="false">-AY$7*$G$151</f>
        <v>0</v>
      </c>
      <c r="AZ212" s="158" t="n">
        <f aca="false">-AZ$7*$G$151</f>
        <v>0</v>
      </c>
      <c r="BA212" s="158" t="n">
        <f aca="false">-BA$7*$G$151</f>
        <v>0</v>
      </c>
      <c r="BB212" s="158" t="n">
        <f aca="false">-BB$7*$G$151</f>
        <v>0</v>
      </c>
      <c r="BC212" s="158" t="n">
        <f aca="false">-BC$7*$G$151</f>
        <v>0</v>
      </c>
      <c r="BD212" s="158" t="n">
        <f aca="false">-BD$7*$G$151</f>
        <v>0</v>
      </c>
      <c r="BE212" s="158" t="n">
        <f aca="false">-BE$7*$G$151</f>
        <v>0</v>
      </c>
      <c r="BF212" s="158" t="n">
        <f aca="false">-BF$7*$G$151</f>
        <v>0</v>
      </c>
      <c r="BG212" s="158" t="n">
        <f aca="false">-BG$7*$G$151</f>
        <v>0</v>
      </c>
      <c r="BH212" s="158" t="n">
        <f aca="false">-BH$7*$G$151</f>
        <v>0</v>
      </c>
      <c r="BI212" s="158" t="n">
        <f aca="false">-BI$7*$G$151</f>
        <v>0</v>
      </c>
      <c r="BJ212" s="158" t="n">
        <f aca="false">-BJ$7*$G$151</f>
        <v>0</v>
      </c>
      <c r="BK212" s="158" t="n">
        <f aca="false">-BK$7*$G$151</f>
        <v>0</v>
      </c>
      <c r="BL212" s="158" t="n">
        <f aca="false">-BL$7*$G$151</f>
        <v>0</v>
      </c>
      <c r="BM212" s="158" t="n">
        <f aca="false">-BM$7*$G$151</f>
        <v>0</v>
      </c>
      <c r="BN212" s="158" t="n">
        <f aca="false">-BN$7*$G$151</f>
        <v>0</v>
      </c>
      <c r="BO212" s="158" t="n">
        <f aca="false">-BO$7*$G$151</f>
        <v>0</v>
      </c>
      <c r="BP212" s="158" t="n">
        <f aca="false">-BP$7*$G$151</f>
        <v>0</v>
      </c>
    </row>
    <row r="213" customFormat="false" ht="15" hidden="false" customHeight="false" outlineLevel="0" collapsed="false">
      <c r="C213" s="0" t="s">
        <v>1119</v>
      </c>
      <c r="D213" s="0" t="s">
        <v>125</v>
      </c>
      <c r="E213" s="158"/>
      <c r="F213" s="158"/>
      <c r="G213" s="158" t="n">
        <f aca="false">SUM(H213:BP213)</f>
        <v>4392.27301677477</v>
      </c>
      <c r="H213" s="158" t="n">
        <f aca="false">H$7*$G$154</f>
        <v>0</v>
      </c>
      <c r="I213" s="158" t="n">
        <f aca="false">I$7*$G$154</f>
        <v>0</v>
      </c>
      <c r="J213" s="158" t="n">
        <f aca="false">J$7*$G$154</f>
        <v>0</v>
      </c>
      <c r="K213" s="158" t="n">
        <f aca="false">K$7*$G$154</f>
        <v>0</v>
      </c>
      <c r="L213" s="158" t="n">
        <f aca="false">L$7*$G$154</f>
        <v>0</v>
      </c>
      <c r="M213" s="158" t="n">
        <f aca="false">M$7*$G$154</f>
        <v>0</v>
      </c>
      <c r="N213" s="158" t="n">
        <f aca="false">N$7*$G$154</f>
        <v>0</v>
      </c>
      <c r="O213" s="158" t="n">
        <f aca="false">O$7*$G$154</f>
        <v>0</v>
      </c>
      <c r="P213" s="158" t="n">
        <f aca="false">P$7*$G$154</f>
        <v>0</v>
      </c>
      <c r="Q213" s="158" t="n">
        <f aca="false">Q$7*$G$154</f>
        <v>0</v>
      </c>
      <c r="R213" s="158" t="n">
        <f aca="false">R$7*$G$154</f>
        <v>0</v>
      </c>
      <c r="S213" s="158" t="n">
        <f aca="false">S$7*$G$154</f>
        <v>0</v>
      </c>
      <c r="T213" s="158" t="n">
        <f aca="false">T$7*$G$154</f>
        <v>0</v>
      </c>
      <c r="U213" s="158" t="n">
        <f aca="false">U$7*$G$154</f>
        <v>0</v>
      </c>
      <c r="V213" s="158" t="n">
        <f aca="false">V$7*$G$154</f>
        <v>0</v>
      </c>
      <c r="W213" s="158" t="n">
        <f aca="false">W$7*$G$154</f>
        <v>0</v>
      </c>
      <c r="X213" s="158" t="n">
        <f aca="false">X$7*$G$154</f>
        <v>0</v>
      </c>
      <c r="Y213" s="158" t="n">
        <f aca="false">Y$7*$G$154</f>
        <v>0</v>
      </c>
      <c r="Z213" s="158" t="n">
        <f aca="false">Z$7*$G$154</f>
        <v>0</v>
      </c>
      <c r="AA213" s="158" t="n">
        <f aca="false">AA$7*$G$154</f>
        <v>0</v>
      </c>
      <c r="AB213" s="158" t="n">
        <f aca="false">AB$7*$G$154</f>
        <v>0</v>
      </c>
      <c r="AC213" s="158" t="n">
        <f aca="false">AC$7*$G$154</f>
        <v>0</v>
      </c>
      <c r="AD213" s="158" t="n">
        <f aca="false">AD$7*$G$154</f>
        <v>0</v>
      </c>
      <c r="AE213" s="158" t="n">
        <f aca="false">AE$7*$G$154</f>
        <v>0</v>
      </c>
      <c r="AF213" s="158" t="n">
        <f aca="false">AF$7*$G$154</f>
        <v>0</v>
      </c>
      <c r="AG213" s="158" t="n">
        <f aca="false">AG$7*$G$154</f>
        <v>0</v>
      </c>
      <c r="AH213" s="158" t="n">
        <f aca="false">AH$7*$G$154</f>
        <v>0</v>
      </c>
      <c r="AI213" s="158" t="n">
        <f aca="false">AI$7*$G$154</f>
        <v>0</v>
      </c>
      <c r="AJ213" s="158" t="n">
        <f aca="false">AJ$7*$G$154</f>
        <v>0</v>
      </c>
      <c r="AK213" s="158" t="n">
        <f aca="false">AK$7*$G$154</f>
        <v>0</v>
      </c>
      <c r="AL213" s="158" t="n">
        <f aca="false">AL$7*$G$154</f>
        <v>0</v>
      </c>
      <c r="AM213" s="158" t="n">
        <f aca="false">AM$7*$G$154</f>
        <v>0</v>
      </c>
      <c r="AN213" s="158" t="n">
        <f aca="false">AN$7*$G$154</f>
        <v>0</v>
      </c>
      <c r="AO213" s="158" t="n">
        <f aca="false">AO$7*$G$154</f>
        <v>0</v>
      </c>
      <c r="AP213" s="158" t="n">
        <f aca="false">AP$7*$G$154</f>
        <v>0</v>
      </c>
      <c r="AQ213" s="158" t="n">
        <f aca="false">AQ$7*$G$154</f>
        <v>0</v>
      </c>
      <c r="AR213" s="158" t="n">
        <f aca="false">AR$7*$G$154</f>
        <v>0</v>
      </c>
      <c r="AS213" s="158" t="n">
        <f aca="false">AS$7*$G$154</f>
        <v>0</v>
      </c>
      <c r="AT213" s="158" t="n">
        <f aca="false">AT$7*$G$154</f>
        <v>4392.27301677477</v>
      </c>
      <c r="AU213" s="158" t="n">
        <f aca="false">AU$7*$G$154</f>
        <v>0</v>
      </c>
      <c r="AV213" s="158" t="n">
        <f aca="false">AV$7*$G$154</f>
        <v>0</v>
      </c>
      <c r="AW213" s="158" t="n">
        <f aca="false">AW$7*$G$154</f>
        <v>0</v>
      </c>
      <c r="AX213" s="158" t="n">
        <f aca="false">AX$7*$G$154</f>
        <v>0</v>
      </c>
      <c r="AY213" s="158" t="n">
        <f aca="false">AY$7*$G$154</f>
        <v>0</v>
      </c>
      <c r="AZ213" s="158" t="n">
        <f aca="false">AZ$7*$G$154</f>
        <v>0</v>
      </c>
      <c r="BA213" s="158" t="n">
        <f aca="false">BA$7*$G$154</f>
        <v>0</v>
      </c>
      <c r="BB213" s="158" t="n">
        <f aca="false">BB$7*$G$154</f>
        <v>0</v>
      </c>
      <c r="BC213" s="158" t="n">
        <f aca="false">BC$7*$G$154</f>
        <v>0</v>
      </c>
      <c r="BD213" s="158" t="n">
        <f aca="false">BD$7*$G$154</f>
        <v>0</v>
      </c>
      <c r="BE213" s="158" t="n">
        <f aca="false">BE$7*$G$154</f>
        <v>0</v>
      </c>
      <c r="BF213" s="158" t="n">
        <f aca="false">BF$7*$G$154</f>
        <v>0</v>
      </c>
      <c r="BG213" s="158" t="n">
        <f aca="false">BG$7*$G$154</f>
        <v>0</v>
      </c>
      <c r="BH213" s="158" t="n">
        <f aca="false">BH$7*$G$154</f>
        <v>0</v>
      </c>
      <c r="BI213" s="158" t="n">
        <f aca="false">BI$7*$G$154</f>
        <v>0</v>
      </c>
      <c r="BJ213" s="158" t="n">
        <f aca="false">BJ$7*$G$154</f>
        <v>0</v>
      </c>
      <c r="BK213" s="158" t="n">
        <f aca="false">BK$7*$G$154</f>
        <v>0</v>
      </c>
      <c r="BL213" s="158" t="n">
        <f aca="false">BL$7*$G$154</f>
        <v>0</v>
      </c>
      <c r="BM213" s="158" t="n">
        <f aca="false">BM$7*$G$154</f>
        <v>0</v>
      </c>
      <c r="BN213" s="158" t="n">
        <f aca="false">BN$7*$G$154</f>
        <v>0</v>
      </c>
      <c r="BO213" s="158" t="n">
        <f aca="false">BO$7*$G$154</f>
        <v>0</v>
      </c>
      <c r="BP213" s="158" t="n">
        <f aca="false">BP$7*$G$154</f>
        <v>0</v>
      </c>
    </row>
    <row r="214" customFormat="false" ht="15" hidden="false" customHeight="false" outlineLevel="0" collapsed="false">
      <c r="C214" s="205" t="s">
        <v>1120</v>
      </c>
      <c r="D214" s="205" t="s">
        <v>125</v>
      </c>
      <c r="E214" s="251"/>
      <c r="F214" s="251"/>
      <c r="G214" s="251" t="n">
        <f aca="false">SUM(H214:BP214)</f>
        <v>5497.50912788589</v>
      </c>
      <c r="H214" s="251" t="n">
        <f aca="false">SUM(H209:H213)</f>
        <v>0</v>
      </c>
      <c r="I214" s="251" t="n">
        <f aca="false">SUM(I209:I213)</f>
        <v>0</v>
      </c>
      <c r="J214" s="251" t="n">
        <f aca="false">SUM(J209:J213)</f>
        <v>0</v>
      </c>
      <c r="K214" s="251" t="n">
        <f aca="false">SUM(K209:K213)</f>
        <v>0</v>
      </c>
      <c r="L214" s="251" t="n">
        <f aca="false">SUM(L209:L213)</f>
        <v>0</v>
      </c>
      <c r="M214" s="251" t="n">
        <f aca="false">SUM(M209:M213)</f>
        <v>0</v>
      </c>
      <c r="N214" s="251" t="n">
        <f aca="false">SUM(N209:N213)</f>
        <v>0</v>
      </c>
      <c r="O214" s="251" t="n">
        <f aca="false">SUM(O209:O213)</f>
        <v>0</v>
      </c>
      <c r="P214" s="251" t="n">
        <f aca="false">SUM(P209:P213)</f>
        <v>0</v>
      </c>
      <c r="Q214" s="251" t="n">
        <f aca="false">SUM(Q209:Q213)</f>
        <v>0</v>
      </c>
      <c r="R214" s="251" t="n">
        <f aca="false">SUM(R209:R213)</f>
        <v>0</v>
      </c>
      <c r="S214" s="251" t="n">
        <f aca="false">SUM(S209:S213)</f>
        <v>0</v>
      </c>
      <c r="T214" s="251" t="n">
        <f aca="false">SUM(T209:T213)</f>
        <v>0</v>
      </c>
      <c r="U214" s="251" t="n">
        <f aca="false">SUM(U209:U213)</f>
        <v>0</v>
      </c>
      <c r="V214" s="251" t="n">
        <f aca="false">SUM(V209:V213)</f>
        <v>0</v>
      </c>
      <c r="W214" s="251" t="n">
        <f aca="false">SUM(W209:W213)</f>
        <v>0</v>
      </c>
      <c r="X214" s="251" t="n">
        <f aca="false">SUM(X209:X213)</f>
        <v>0</v>
      </c>
      <c r="Y214" s="251" t="n">
        <f aca="false">SUM(Y209:Y213)</f>
        <v>0</v>
      </c>
      <c r="Z214" s="251" t="n">
        <f aca="false">SUM(Z209:Z213)</f>
        <v>0</v>
      </c>
      <c r="AA214" s="251" t="n">
        <f aca="false">SUM(AA209:AA213)</f>
        <v>0</v>
      </c>
      <c r="AB214" s="251" t="n">
        <f aca="false">SUM(AB209:AB213)</f>
        <v>0</v>
      </c>
      <c r="AC214" s="251" t="n">
        <f aca="false">SUM(AC209:AC213)</f>
        <v>0</v>
      </c>
      <c r="AD214" s="251" t="n">
        <f aca="false">SUM(AD209:AD213)</f>
        <v>0</v>
      </c>
      <c r="AE214" s="251" t="n">
        <f aca="false">SUM(AE209:AE213)</f>
        <v>0</v>
      </c>
      <c r="AF214" s="251" t="n">
        <f aca="false">SUM(AF209:AF213)</f>
        <v>0</v>
      </c>
      <c r="AG214" s="251" t="n">
        <f aca="false">SUM(AG209:AG213)</f>
        <v>0</v>
      </c>
      <c r="AH214" s="251" t="n">
        <f aca="false">SUM(AH209:AH213)</f>
        <v>0</v>
      </c>
      <c r="AI214" s="251" t="n">
        <f aca="false">SUM(AI209:AI213)</f>
        <v>0</v>
      </c>
      <c r="AJ214" s="251" t="n">
        <f aca="false">SUM(AJ209:AJ213)</f>
        <v>0</v>
      </c>
      <c r="AK214" s="251" t="n">
        <f aca="false">SUM(AK209:AK213)</f>
        <v>0</v>
      </c>
      <c r="AL214" s="251" t="n">
        <f aca="false">SUM(AL209:AL213)</f>
        <v>0</v>
      </c>
      <c r="AM214" s="251" t="n">
        <f aca="false">SUM(AM209:AM213)</f>
        <v>0</v>
      </c>
      <c r="AN214" s="251" t="n">
        <f aca="false">SUM(AN209:AN213)</f>
        <v>0</v>
      </c>
      <c r="AO214" s="251" t="n">
        <f aca="false">SUM(AO209:AO213)</f>
        <v>0</v>
      </c>
      <c r="AP214" s="251" t="n">
        <f aca="false">SUM(AP209:AP213)</f>
        <v>0</v>
      </c>
      <c r="AQ214" s="251" t="n">
        <f aca="false">SUM(AQ209:AQ213)</f>
        <v>0</v>
      </c>
      <c r="AR214" s="251" t="n">
        <f aca="false">SUM(AR209:AR213)</f>
        <v>0</v>
      </c>
      <c r="AS214" s="251" t="n">
        <f aca="false">SUM(AS209:AS213)</f>
        <v>0</v>
      </c>
      <c r="AT214" s="251" t="n">
        <f aca="false">SUM(AT209:AT213)</f>
        <v>5497.50912788589</v>
      </c>
      <c r="AU214" s="251" t="n">
        <f aca="false">SUM(AU209:AU213)</f>
        <v>0</v>
      </c>
      <c r="AV214" s="251" t="n">
        <f aca="false">SUM(AV209:AV213)</f>
        <v>0</v>
      </c>
      <c r="AW214" s="251" t="n">
        <f aca="false">SUM(AW209:AW213)</f>
        <v>0</v>
      </c>
      <c r="AX214" s="251" t="n">
        <f aca="false">SUM(AX209:AX213)</f>
        <v>0</v>
      </c>
      <c r="AY214" s="251" t="n">
        <f aca="false">SUM(AY209:AY213)</f>
        <v>0</v>
      </c>
      <c r="AZ214" s="251" t="n">
        <f aca="false">SUM(AZ209:AZ213)</f>
        <v>0</v>
      </c>
      <c r="BA214" s="251" t="n">
        <f aca="false">SUM(BA209:BA213)</f>
        <v>0</v>
      </c>
      <c r="BB214" s="251" t="n">
        <f aca="false">SUM(BB209:BB213)</f>
        <v>0</v>
      </c>
      <c r="BC214" s="251" t="n">
        <f aca="false">SUM(BC209:BC213)</f>
        <v>0</v>
      </c>
      <c r="BD214" s="251" t="n">
        <f aca="false">SUM(BD209:BD213)</f>
        <v>0</v>
      </c>
      <c r="BE214" s="251" t="n">
        <f aca="false">SUM(BE209:BE213)</f>
        <v>0</v>
      </c>
      <c r="BF214" s="251" t="n">
        <f aca="false">SUM(BF209:BF213)</f>
        <v>0</v>
      </c>
      <c r="BG214" s="251" t="n">
        <f aca="false">SUM(BG209:BG213)</f>
        <v>0</v>
      </c>
      <c r="BH214" s="251" t="n">
        <f aca="false">SUM(BH209:BH213)</f>
        <v>0</v>
      </c>
      <c r="BI214" s="251" t="n">
        <f aca="false">SUM(BI209:BI213)</f>
        <v>0</v>
      </c>
      <c r="BJ214" s="251" t="n">
        <f aca="false">SUM(BJ209:BJ213)</f>
        <v>0</v>
      </c>
      <c r="BK214" s="251" t="n">
        <f aca="false">SUM(BK209:BK213)</f>
        <v>0</v>
      </c>
      <c r="BL214" s="251" t="n">
        <f aca="false">SUM(BL209:BL213)</f>
        <v>0</v>
      </c>
      <c r="BM214" s="251" t="n">
        <f aca="false">SUM(BM209:BM213)</f>
        <v>0</v>
      </c>
      <c r="BN214" s="251" t="n">
        <f aca="false">SUM(BN209:BN213)</f>
        <v>0</v>
      </c>
      <c r="BO214" s="251" t="n">
        <f aca="false">SUM(BO209:BO213)</f>
        <v>0</v>
      </c>
      <c r="BP214" s="251" t="n">
        <f aca="false">SUM(BP209:BP213)</f>
        <v>0</v>
      </c>
    </row>
    <row r="215" customFormat="false" ht="15" hidden="false" customHeight="false" outlineLevel="0" collapsed="false">
      <c r="C215" s="0" t="s">
        <v>1121</v>
      </c>
      <c r="D215" s="0" t="s">
        <v>125</v>
      </c>
      <c r="E215" s="158"/>
      <c r="F215" s="158"/>
      <c r="G215" s="158" t="n">
        <f aca="false">SUM(H215:BP215)</f>
        <v>5497.50912788589</v>
      </c>
      <c r="H215" s="158" t="n">
        <f aca="false">H208+H214</f>
        <v>0</v>
      </c>
      <c r="I215" s="158" t="n">
        <f aca="false">I208+I214</f>
        <v>0</v>
      </c>
      <c r="J215" s="158" t="n">
        <f aca="false">J208+J214</f>
        <v>0</v>
      </c>
      <c r="K215" s="158" t="n">
        <f aca="false">K208+K214</f>
        <v>0</v>
      </c>
      <c r="L215" s="158" t="n">
        <f aca="false">L208+L214</f>
        <v>0</v>
      </c>
      <c r="M215" s="158" t="n">
        <f aca="false">M208+M214</f>
        <v>0</v>
      </c>
      <c r="N215" s="158" t="n">
        <f aca="false">N208+N214</f>
        <v>0</v>
      </c>
      <c r="O215" s="158" t="n">
        <f aca="false">O208+O214</f>
        <v>0</v>
      </c>
      <c r="P215" s="158" t="n">
        <f aca="false">P208+P214</f>
        <v>0</v>
      </c>
      <c r="Q215" s="158" t="n">
        <f aca="false">Q208+Q214</f>
        <v>0</v>
      </c>
      <c r="R215" s="158" t="n">
        <f aca="false">R208+R214</f>
        <v>0</v>
      </c>
      <c r="S215" s="158" t="n">
        <f aca="false">S208+S214</f>
        <v>0</v>
      </c>
      <c r="T215" s="158" t="n">
        <f aca="false">T208+T214</f>
        <v>0</v>
      </c>
      <c r="U215" s="158" t="n">
        <f aca="false">U208+U214</f>
        <v>0</v>
      </c>
      <c r="V215" s="158" t="n">
        <f aca="false">V208+V214</f>
        <v>0</v>
      </c>
      <c r="W215" s="158" t="n">
        <f aca="false">W208+W214</f>
        <v>0</v>
      </c>
      <c r="X215" s="158" t="n">
        <f aca="false">X208+X214</f>
        <v>0</v>
      </c>
      <c r="Y215" s="158" t="n">
        <f aca="false">Y208+Y214</f>
        <v>0</v>
      </c>
      <c r="Z215" s="158" t="n">
        <f aca="false">Z208+Z214</f>
        <v>0</v>
      </c>
      <c r="AA215" s="158" t="n">
        <f aca="false">AA208+AA214</f>
        <v>0</v>
      </c>
      <c r="AB215" s="158" t="n">
        <f aca="false">AB208+AB214</f>
        <v>0</v>
      </c>
      <c r="AC215" s="158" t="n">
        <f aca="false">AC208+AC214</f>
        <v>0</v>
      </c>
      <c r="AD215" s="158" t="n">
        <f aca="false">AD208+AD214</f>
        <v>0</v>
      </c>
      <c r="AE215" s="158" t="n">
        <f aca="false">AE208+AE214</f>
        <v>0</v>
      </c>
      <c r="AF215" s="158" t="n">
        <f aca="false">AF208+AF214</f>
        <v>0</v>
      </c>
      <c r="AG215" s="158" t="n">
        <f aca="false">AG208+AG214</f>
        <v>0</v>
      </c>
      <c r="AH215" s="158" t="n">
        <f aca="false">AH208+AH214</f>
        <v>0</v>
      </c>
      <c r="AI215" s="158" t="n">
        <f aca="false">AI208+AI214</f>
        <v>0</v>
      </c>
      <c r="AJ215" s="158" t="n">
        <f aca="false">AJ208+AJ214</f>
        <v>0</v>
      </c>
      <c r="AK215" s="158" t="n">
        <f aca="false">AK208+AK214</f>
        <v>0</v>
      </c>
      <c r="AL215" s="158" t="n">
        <f aca="false">AL208+AL214</f>
        <v>0</v>
      </c>
      <c r="AM215" s="158" t="n">
        <f aca="false">AM208+AM214</f>
        <v>0</v>
      </c>
      <c r="AN215" s="158" t="n">
        <f aca="false">AN208+AN214</f>
        <v>0</v>
      </c>
      <c r="AO215" s="158" t="n">
        <f aca="false">AO208+AO214</f>
        <v>0</v>
      </c>
      <c r="AP215" s="158" t="n">
        <f aca="false">AP208+AP214</f>
        <v>0</v>
      </c>
      <c r="AQ215" s="158" t="n">
        <f aca="false">AQ208+AQ214</f>
        <v>0</v>
      </c>
      <c r="AR215" s="158" t="n">
        <f aca="false">AR208+AR214</f>
        <v>0</v>
      </c>
      <c r="AS215" s="158" t="n">
        <f aca="false">AS208+AS214</f>
        <v>0</v>
      </c>
      <c r="AT215" s="158" t="n">
        <f aca="false">AT208+AT214</f>
        <v>5497.50912788589</v>
      </c>
      <c r="AU215" s="158" t="n">
        <f aca="false">AU208+AU214</f>
        <v>0</v>
      </c>
      <c r="AV215" s="158" t="n">
        <f aca="false">AV208+AV214</f>
        <v>0</v>
      </c>
      <c r="AW215" s="158" t="n">
        <f aca="false">AW208+AW214</f>
        <v>0</v>
      </c>
      <c r="AX215" s="158" t="n">
        <f aca="false">AX208+AX214</f>
        <v>0</v>
      </c>
      <c r="AY215" s="158" t="n">
        <f aca="false">AY208+AY214</f>
        <v>0</v>
      </c>
      <c r="AZ215" s="158" t="n">
        <f aca="false">AZ208+AZ214</f>
        <v>0</v>
      </c>
      <c r="BA215" s="158" t="n">
        <f aca="false">BA208+BA214</f>
        <v>0</v>
      </c>
      <c r="BB215" s="158" t="n">
        <f aca="false">BB208+BB214</f>
        <v>0</v>
      </c>
      <c r="BC215" s="158" t="n">
        <f aca="false">BC208+BC214</f>
        <v>0</v>
      </c>
      <c r="BD215" s="158" t="n">
        <f aca="false">BD208+BD214</f>
        <v>0</v>
      </c>
      <c r="BE215" s="158" t="n">
        <f aca="false">BE208+BE214</f>
        <v>0</v>
      </c>
      <c r="BF215" s="158" t="n">
        <f aca="false">BF208+BF214</f>
        <v>0</v>
      </c>
      <c r="BG215" s="158" t="n">
        <f aca="false">BG208+BG214</f>
        <v>0</v>
      </c>
      <c r="BH215" s="158" t="n">
        <f aca="false">BH208+BH214</f>
        <v>0</v>
      </c>
      <c r="BI215" s="158" t="n">
        <f aca="false">BI208+BI214</f>
        <v>0</v>
      </c>
      <c r="BJ215" s="158" t="n">
        <f aca="false">BJ208+BJ214</f>
        <v>0</v>
      </c>
      <c r="BK215" s="158" t="n">
        <f aca="false">BK208+BK214</f>
        <v>0</v>
      </c>
      <c r="BL215" s="158" t="n">
        <f aca="false">BL208+BL214</f>
        <v>0</v>
      </c>
      <c r="BM215" s="158" t="n">
        <f aca="false">BM208+BM214</f>
        <v>0</v>
      </c>
      <c r="BN215" s="158" t="n">
        <f aca="false">BN208+BN214</f>
        <v>0</v>
      </c>
      <c r="BO215" s="158" t="n">
        <f aca="false">BO208+BO214</f>
        <v>0</v>
      </c>
      <c r="BP215" s="158" t="n">
        <f aca="false">BP208+BP214</f>
        <v>0</v>
      </c>
    </row>
    <row r="216" customFormat="false" ht="15" hidden="false" customHeight="false" outlineLevel="0" collapsed="false">
      <c r="C216" s="0" t="s">
        <v>1122</v>
      </c>
      <c r="D216" s="0" t="s">
        <v>125</v>
      </c>
      <c r="E216" s="158"/>
      <c r="F216" s="158"/>
      <c r="G216" s="158"/>
      <c r="H216" s="158" t="n">
        <f aca="false">H215</f>
        <v>0</v>
      </c>
      <c r="I216" s="158" t="n">
        <f aca="false">H216+I215</f>
        <v>0</v>
      </c>
      <c r="J216" s="158" t="n">
        <f aca="false">I216+J215</f>
        <v>0</v>
      </c>
      <c r="K216" s="158" t="n">
        <f aca="false">J216+K215</f>
        <v>0</v>
      </c>
      <c r="L216" s="158" t="n">
        <f aca="false">K216+L215</f>
        <v>0</v>
      </c>
      <c r="M216" s="158" t="n">
        <f aca="false">L216+M215</f>
        <v>0</v>
      </c>
      <c r="N216" s="158" t="n">
        <f aca="false">M216+N215</f>
        <v>0</v>
      </c>
      <c r="O216" s="158" t="n">
        <f aca="false">N216+O215</f>
        <v>0</v>
      </c>
      <c r="P216" s="158" t="n">
        <f aca="false">O216+P215</f>
        <v>0</v>
      </c>
      <c r="Q216" s="158" t="n">
        <f aca="false">P216+Q215</f>
        <v>0</v>
      </c>
      <c r="R216" s="158" t="n">
        <f aca="false">Q216+R215</f>
        <v>0</v>
      </c>
      <c r="S216" s="158" t="n">
        <f aca="false">R216+S215</f>
        <v>0</v>
      </c>
      <c r="T216" s="158" t="n">
        <f aca="false">S216+T215</f>
        <v>0</v>
      </c>
      <c r="U216" s="158" t="n">
        <f aca="false">T216+U215</f>
        <v>0</v>
      </c>
      <c r="V216" s="158" t="n">
        <f aca="false">U216+V215</f>
        <v>0</v>
      </c>
      <c r="W216" s="158" t="n">
        <f aca="false">V216+W215</f>
        <v>0</v>
      </c>
      <c r="X216" s="158" t="n">
        <f aca="false">W216+X215</f>
        <v>0</v>
      </c>
      <c r="Y216" s="158" t="n">
        <f aca="false">X216+Y215</f>
        <v>0</v>
      </c>
      <c r="Z216" s="158" t="n">
        <f aca="false">Y216+Z215</f>
        <v>0</v>
      </c>
      <c r="AA216" s="158" t="n">
        <f aca="false">Z216+AA215</f>
        <v>0</v>
      </c>
      <c r="AB216" s="158" t="n">
        <f aca="false">AA216+AB215</f>
        <v>0</v>
      </c>
      <c r="AC216" s="158" t="n">
        <f aca="false">AB216+AC215</f>
        <v>0</v>
      </c>
      <c r="AD216" s="158" t="n">
        <f aca="false">AC216+AD215</f>
        <v>0</v>
      </c>
      <c r="AE216" s="158" t="n">
        <f aca="false">AD216+AE215</f>
        <v>0</v>
      </c>
      <c r="AF216" s="158" t="n">
        <f aca="false">AE216+AF215</f>
        <v>0</v>
      </c>
      <c r="AG216" s="158" t="n">
        <f aca="false">AF216+AG215</f>
        <v>0</v>
      </c>
      <c r="AH216" s="158" t="n">
        <f aca="false">AG216+AH215</f>
        <v>0</v>
      </c>
      <c r="AI216" s="158" t="n">
        <f aca="false">AH216+AI215</f>
        <v>0</v>
      </c>
      <c r="AJ216" s="158" t="n">
        <f aca="false">AI216+AJ215</f>
        <v>0</v>
      </c>
      <c r="AK216" s="158" t="n">
        <f aca="false">AJ216+AK215</f>
        <v>0</v>
      </c>
      <c r="AL216" s="158" t="n">
        <f aca="false">AK216+AL215</f>
        <v>0</v>
      </c>
      <c r="AM216" s="158" t="n">
        <f aca="false">AL216+AM215</f>
        <v>0</v>
      </c>
      <c r="AN216" s="158" t="n">
        <f aca="false">AM216+AN215</f>
        <v>0</v>
      </c>
      <c r="AO216" s="158" t="n">
        <f aca="false">AN216+AO215</f>
        <v>0</v>
      </c>
      <c r="AP216" s="158" t="n">
        <f aca="false">AO216+AP215</f>
        <v>0</v>
      </c>
      <c r="AQ216" s="158" t="n">
        <f aca="false">AP216+AQ215</f>
        <v>0</v>
      </c>
      <c r="AR216" s="158" t="n">
        <f aca="false">AQ216+AR215</f>
        <v>0</v>
      </c>
      <c r="AS216" s="158" t="n">
        <f aca="false">AR216+AS215</f>
        <v>0</v>
      </c>
      <c r="AT216" s="158" t="n">
        <f aca="false">AS216+AT215</f>
        <v>5497.50912788589</v>
      </c>
      <c r="AU216" s="158" t="n">
        <f aca="false">AT216+AU215</f>
        <v>5497.50912788589</v>
      </c>
      <c r="AV216" s="158" t="n">
        <f aca="false">AU216+AV215</f>
        <v>5497.50912788589</v>
      </c>
      <c r="AW216" s="158" t="n">
        <f aca="false">AV216+AW215</f>
        <v>5497.50912788589</v>
      </c>
      <c r="AX216" s="158" t="n">
        <f aca="false">AW216+AX215</f>
        <v>5497.50912788589</v>
      </c>
      <c r="AY216" s="158" t="n">
        <f aca="false">AX216+AY215</f>
        <v>5497.50912788589</v>
      </c>
      <c r="AZ216" s="158" t="n">
        <f aca="false">AY216+AZ215</f>
        <v>5497.50912788589</v>
      </c>
      <c r="BA216" s="158" t="n">
        <f aca="false">AZ216+BA215</f>
        <v>5497.50912788589</v>
      </c>
      <c r="BB216" s="158" t="n">
        <f aca="false">BA216+BB215</f>
        <v>5497.50912788589</v>
      </c>
      <c r="BC216" s="158" t="n">
        <f aca="false">BB216+BC215</f>
        <v>5497.50912788589</v>
      </c>
      <c r="BD216" s="158" t="n">
        <f aca="false">BC216+BD215</f>
        <v>5497.50912788589</v>
      </c>
      <c r="BE216" s="158" t="n">
        <f aca="false">BD216+BE215</f>
        <v>5497.50912788589</v>
      </c>
      <c r="BF216" s="158" t="n">
        <f aca="false">BE216+BF215</f>
        <v>5497.50912788589</v>
      </c>
      <c r="BG216" s="158" t="n">
        <f aca="false">BF216+BG215</f>
        <v>5497.50912788589</v>
      </c>
      <c r="BH216" s="158" t="n">
        <f aca="false">BG216+BH215</f>
        <v>5497.50912788589</v>
      </c>
      <c r="BI216" s="158" t="n">
        <f aca="false">BH216+BI215</f>
        <v>5497.50912788589</v>
      </c>
      <c r="BJ216" s="158" t="n">
        <f aca="false">BI216+BJ215</f>
        <v>5497.50912788589</v>
      </c>
      <c r="BK216" s="158" t="n">
        <f aca="false">BJ216+BK215</f>
        <v>5497.50912788589</v>
      </c>
      <c r="BL216" s="158" t="n">
        <f aca="false">BK216+BL215</f>
        <v>5497.50912788589</v>
      </c>
      <c r="BM216" s="158" t="n">
        <f aca="false">BL216+BM215</f>
        <v>5497.50912788589</v>
      </c>
      <c r="BN216" s="158" t="n">
        <f aca="false">BM216+BN215</f>
        <v>5497.50912788589</v>
      </c>
      <c r="BO216" s="158" t="n">
        <f aca="false">BN216+BO215</f>
        <v>5497.50912788589</v>
      </c>
      <c r="BP216" s="158" t="n">
        <f aca="false">BO216+BP215</f>
        <v>5497.50912788589</v>
      </c>
    </row>
    <row r="217" customFormat="false" ht="15" hidden="false" customHeight="false" outlineLevel="0" collapsed="false">
      <c r="C217" s="0" t="s">
        <v>1123</v>
      </c>
      <c r="D217" s="0" t="s">
        <v>125</v>
      </c>
      <c r="E217" s="141" t="n">
        <f aca="false">Inputs!$E$12</f>
        <v>0.15</v>
      </c>
      <c r="F217" s="158"/>
      <c r="G217" s="158" t="n">
        <f aca="false">SUM(H217:BP217)</f>
        <v>-165.785416666667</v>
      </c>
      <c r="H217" s="158" t="n">
        <f aca="false">-H$7*$E$217*MAX(H216-Inputs!$E$14*$G$213,0)</f>
        <v>-0</v>
      </c>
      <c r="I217" s="158" t="n">
        <f aca="false">-I$7*$E$217*MAX(I216-Inputs!$E$14*$G$213,0)</f>
        <v>-0</v>
      </c>
      <c r="J217" s="158" t="n">
        <f aca="false">-J$7*$E$217*MAX(J216-Inputs!$E$14*$G$213,0)</f>
        <v>-0</v>
      </c>
      <c r="K217" s="158" t="n">
        <f aca="false">-K$7*$E$217*MAX(K216-Inputs!$E$14*$G$213,0)</f>
        <v>-0</v>
      </c>
      <c r="L217" s="158" t="n">
        <f aca="false">-L$7*$E$217*MAX(L216-Inputs!$E$14*$G$213,0)</f>
        <v>-0</v>
      </c>
      <c r="M217" s="158" t="n">
        <f aca="false">-M$7*$E$217*MAX(M216-Inputs!$E$14*$G$213,0)</f>
        <v>-0</v>
      </c>
      <c r="N217" s="158" t="n">
        <f aca="false">-N$7*$E$217*MAX(N216-Inputs!$E$14*$G$213,0)</f>
        <v>-0</v>
      </c>
      <c r="O217" s="158" t="n">
        <f aca="false">-O$7*$E$217*MAX(O216-Inputs!$E$14*$G$213,0)</f>
        <v>-0</v>
      </c>
      <c r="P217" s="158" t="n">
        <f aca="false">-P$7*$E$217*MAX(P216-Inputs!$E$14*$G$213,0)</f>
        <v>-0</v>
      </c>
      <c r="Q217" s="158" t="n">
        <f aca="false">-Q$7*$E$217*MAX(Q216-Inputs!$E$14*$G$213,0)</f>
        <v>-0</v>
      </c>
      <c r="R217" s="158" t="n">
        <f aca="false">-R$7*$E$217*MAX(R216-Inputs!$E$14*$G$213,0)</f>
        <v>-0</v>
      </c>
      <c r="S217" s="158" t="n">
        <f aca="false">-S$7*$E$217*MAX(S216-Inputs!$E$14*$G$213,0)</f>
        <v>-0</v>
      </c>
      <c r="T217" s="158" t="n">
        <f aca="false">-T$7*$E$217*MAX(T216-Inputs!$E$14*$G$213,0)</f>
        <v>-0</v>
      </c>
      <c r="U217" s="158" t="n">
        <f aca="false">-U$7*$E$217*MAX(U216-Inputs!$E$14*$G$213,0)</f>
        <v>-0</v>
      </c>
      <c r="V217" s="158" t="n">
        <f aca="false">-V$7*$E$217*MAX(V216-Inputs!$E$14*$G$213,0)</f>
        <v>-0</v>
      </c>
      <c r="W217" s="158" t="n">
        <f aca="false">-W$7*$E$217*MAX(W216-Inputs!$E$14*$G$213,0)</f>
        <v>-0</v>
      </c>
      <c r="X217" s="158" t="n">
        <f aca="false">-X$7*$E$217*MAX(X216-Inputs!$E$14*$G$213,0)</f>
        <v>-0</v>
      </c>
      <c r="Y217" s="158" t="n">
        <f aca="false">-Y$7*$E$217*MAX(Y216-Inputs!$E$14*$G$213,0)</f>
        <v>-0</v>
      </c>
      <c r="Z217" s="158" t="n">
        <f aca="false">-Z$7*$E$217*MAX(Z216-Inputs!$E$14*$G$213,0)</f>
        <v>-0</v>
      </c>
      <c r="AA217" s="158" t="n">
        <f aca="false">-AA$7*$E$217*MAX(AA216-Inputs!$E$14*$G$213,0)</f>
        <v>-0</v>
      </c>
      <c r="AB217" s="158" t="n">
        <f aca="false">-AB$7*$E$217*MAX(AB216-Inputs!$E$14*$G$213,0)</f>
        <v>-0</v>
      </c>
      <c r="AC217" s="158" t="n">
        <f aca="false">-AC$7*$E$217*MAX(AC216-Inputs!$E$14*$G$213,0)</f>
        <v>-0</v>
      </c>
      <c r="AD217" s="158" t="n">
        <f aca="false">-AD$7*$E$217*MAX(AD216-Inputs!$E$14*$G$213,0)</f>
        <v>-0</v>
      </c>
      <c r="AE217" s="158" t="n">
        <f aca="false">-AE$7*$E$217*MAX(AE216-Inputs!$E$14*$G$213,0)</f>
        <v>-0</v>
      </c>
      <c r="AF217" s="158" t="n">
        <f aca="false">-AF$7*$E$217*MAX(AF216-Inputs!$E$14*$G$213,0)</f>
        <v>-0</v>
      </c>
      <c r="AG217" s="158" t="n">
        <f aca="false">-AG$7*$E$217*MAX(AG216-Inputs!$E$14*$G$213,0)</f>
        <v>-0</v>
      </c>
      <c r="AH217" s="158" t="n">
        <f aca="false">-AH$7*$E$217*MAX(AH216-Inputs!$E$14*$G$213,0)</f>
        <v>-0</v>
      </c>
      <c r="AI217" s="158" t="n">
        <f aca="false">-AI$7*$E$217*MAX(AI216-Inputs!$E$14*$G$213,0)</f>
        <v>-0</v>
      </c>
      <c r="AJ217" s="158" t="n">
        <f aca="false">-AJ$7*$E$217*MAX(AJ216-Inputs!$E$14*$G$213,0)</f>
        <v>-0</v>
      </c>
      <c r="AK217" s="158" t="n">
        <f aca="false">-AK$7*$E$217*MAX(AK216-Inputs!$E$14*$G$213,0)</f>
        <v>-0</v>
      </c>
      <c r="AL217" s="158" t="n">
        <f aca="false">-AL$7*$E$217*MAX(AL216-Inputs!$E$14*$G$213,0)</f>
        <v>-0</v>
      </c>
      <c r="AM217" s="158" t="n">
        <f aca="false">-AM$7*$E$217*MAX(AM216-Inputs!$E$14*$G$213,0)</f>
        <v>-0</v>
      </c>
      <c r="AN217" s="158" t="n">
        <f aca="false">-AN$7*$E$217*MAX(AN216-Inputs!$E$14*$G$213,0)</f>
        <v>-0</v>
      </c>
      <c r="AO217" s="158" t="n">
        <f aca="false">-AO$7*$E$217*MAX(AO216-Inputs!$E$14*$G$213,0)</f>
        <v>-0</v>
      </c>
      <c r="AP217" s="158" t="n">
        <f aca="false">-AP$7*$E$217*MAX(AP216-Inputs!$E$14*$G$213,0)</f>
        <v>-0</v>
      </c>
      <c r="AQ217" s="158" t="n">
        <f aca="false">-AQ$7*$E$217*MAX(AQ216-Inputs!$E$14*$G$213,0)</f>
        <v>-0</v>
      </c>
      <c r="AR217" s="158" t="n">
        <f aca="false">-AR$7*$E$217*MAX(AR216-Inputs!$E$14*$G$213,0)</f>
        <v>-0</v>
      </c>
      <c r="AS217" s="158" t="n">
        <f aca="false">-AS$7*$E$217*MAX(AS216-Inputs!$E$14*$G$213,0)</f>
        <v>-0</v>
      </c>
      <c r="AT217" s="158" t="n">
        <f aca="false">-AT$7*$E$217*MAX(AT216-Inputs!$E$14*$G$213,0)</f>
        <v>-165.785416666667</v>
      </c>
      <c r="AU217" s="158" t="n">
        <f aca="false">-AU$7*$E$217*MAX(AU216-Inputs!$E$14*$G$213,0)</f>
        <v>-0</v>
      </c>
      <c r="AV217" s="158" t="n">
        <f aca="false">-AV$7*$E$217*MAX(AV216-Inputs!$E$14*$G$213,0)</f>
        <v>-0</v>
      </c>
      <c r="AW217" s="158" t="n">
        <f aca="false">-AW$7*$E$217*MAX(AW216-Inputs!$E$14*$G$213,0)</f>
        <v>-0</v>
      </c>
      <c r="AX217" s="158" t="n">
        <f aca="false">-AX$7*$E$217*MAX(AX216-Inputs!$E$14*$G$213,0)</f>
        <v>-0</v>
      </c>
      <c r="AY217" s="158" t="n">
        <f aca="false">-AY$7*$E$217*MAX(AY216-Inputs!$E$14*$G$213,0)</f>
        <v>-0</v>
      </c>
      <c r="AZ217" s="158" t="n">
        <f aca="false">-AZ$7*$E$217*MAX(AZ216-Inputs!$E$14*$G$213,0)</f>
        <v>-0</v>
      </c>
      <c r="BA217" s="158" t="n">
        <f aca="false">-BA$7*$E$217*MAX(BA216-Inputs!$E$14*$G$213,0)</f>
        <v>-0</v>
      </c>
      <c r="BB217" s="158" t="n">
        <f aca="false">-BB$7*$E$217*MAX(BB216-Inputs!$E$14*$G$213,0)</f>
        <v>-0</v>
      </c>
      <c r="BC217" s="158" t="n">
        <f aca="false">-BC$7*$E$217*MAX(BC216-Inputs!$E$14*$G$213,0)</f>
        <v>-0</v>
      </c>
      <c r="BD217" s="158" t="n">
        <f aca="false">-BD$7*$E$217*MAX(BD216-Inputs!$E$14*$G$213,0)</f>
        <v>-0</v>
      </c>
      <c r="BE217" s="158" t="n">
        <f aca="false">-BE$7*$E$217*MAX(BE216-Inputs!$E$14*$G$213,0)</f>
        <v>-0</v>
      </c>
      <c r="BF217" s="158" t="n">
        <f aca="false">-BF$7*$E$217*MAX(BF216-Inputs!$E$14*$G$213,0)</f>
        <v>-0</v>
      </c>
      <c r="BG217" s="158" t="n">
        <f aca="false">-BG$7*$E$217*MAX(BG216-Inputs!$E$14*$G$213,0)</f>
        <v>-0</v>
      </c>
      <c r="BH217" s="158" t="n">
        <f aca="false">-BH$7*$E$217*MAX(BH216-Inputs!$E$14*$G$213,0)</f>
        <v>-0</v>
      </c>
      <c r="BI217" s="158" t="n">
        <f aca="false">-BI$7*$E$217*MAX(BI216-Inputs!$E$14*$G$213,0)</f>
        <v>-0</v>
      </c>
      <c r="BJ217" s="158" t="n">
        <f aca="false">-BJ$7*$E$217*MAX(BJ216-Inputs!$E$14*$G$213,0)</f>
        <v>-0</v>
      </c>
      <c r="BK217" s="158" t="n">
        <f aca="false">-BK$7*$E$217*MAX(BK216-Inputs!$E$14*$G$213,0)</f>
        <v>-0</v>
      </c>
      <c r="BL217" s="158" t="n">
        <f aca="false">-BL$7*$E$217*MAX(BL216-Inputs!$E$14*$G$213,0)</f>
        <v>-0</v>
      </c>
      <c r="BM217" s="158" t="n">
        <f aca="false">-BM$7*$E$217*MAX(BM216-Inputs!$E$14*$G$213,0)</f>
        <v>-0</v>
      </c>
      <c r="BN217" s="158" t="n">
        <f aca="false">-BN$7*$E$217*MAX(BN216-Inputs!$E$14*$G$213,0)</f>
        <v>-0</v>
      </c>
      <c r="BO217" s="158" t="n">
        <f aca="false">-BO$7*$E$217*MAX(BO216-Inputs!$E$14*$G$213,0)</f>
        <v>-0</v>
      </c>
      <c r="BP217" s="158" t="n">
        <f aca="false">-BP$7*$E$217*MAX(BP216-Inputs!$E$14*$G$213,0)</f>
        <v>-0</v>
      </c>
    </row>
    <row r="218" customFormat="false" ht="15" hidden="false" customHeight="false" outlineLevel="0" collapsed="false">
      <c r="C218" s="205" t="s">
        <v>1124</v>
      </c>
      <c r="D218" s="205" t="s">
        <v>125</v>
      </c>
      <c r="E218" s="251"/>
      <c r="F218" s="251"/>
      <c r="G218" s="251" t="n">
        <f aca="false">SUM(H218:BP218)</f>
        <v>5331.72371121922</v>
      </c>
      <c r="H218" s="251" t="n">
        <f aca="false">H215+H217</f>
        <v>0</v>
      </c>
      <c r="I218" s="251" t="n">
        <f aca="false">I215+I217</f>
        <v>0</v>
      </c>
      <c r="J218" s="251" t="n">
        <f aca="false">J215+J217</f>
        <v>0</v>
      </c>
      <c r="K218" s="251" t="n">
        <f aca="false">K215+K217</f>
        <v>0</v>
      </c>
      <c r="L218" s="251" t="n">
        <f aca="false">L215+L217</f>
        <v>0</v>
      </c>
      <c r="M218" s="251" t="n">
        <f aca="false">M215+M217</f>
        <v>0</v>
      </c>
      <c r="N218" s="251" t="n">
        <f aca="false">N215+N217</f>
        <v>0</v>
      </c>
      <c r="O218" s="251" t="n">
        <f aca="false">O215+O217</f>
        <v>0</v>
      </c>
      <c r="P218" s="251" t="n">
        <f aca="false">P215+P217</f>
        <v>0</v>
      </c>
      <c r="Q218" s="251" t="n">
        <f aca="false">Q215+Q217</f>
        <v>0</v>
      </c>
      <c r="R218" s="251" t="n">
        <f aca="false">R215+R217</f>
        <v>0</v>
      </c>
      <c r="S218" s="251" t="n">
        <f aca="false">S215+S217</f>
        <v>0</v>
      </c>
      <c r="T218" s="251" t="n">
        <f aca="false">T215+T217</f>
        <v>0</v>
      </c>
      <c r="U218" s="251" t="n">
        <f aca="false">U215+U217</f>
        <v>0</v>
      </c>
      <c r="V218" s="251" t="n">
        <f aca="false">V215+V217</f>
        <v>0</v>
      </c>
      <c r="W218" s="251" t="n">
        <f aca="false">W215+W217</f>
        <v>0</v>
      </c>
      <c r="X218" s="251" t="n">
        <f aca="false">X215+X217</f>
        <v>0</v>
      </c>
      <c r="Y218" s="251" t="n">
        <f aca="false">Y215+Y217</f>
        <v>0</v>
      </c>
      <c r="Z218" s="251" t="n">
        <f aca="false">Z215+Z217</f>
        <v>0</v>
      </c>
      <c r="AA218" s="251" t="n">
        <f aca="false">AA215+AA217</f>
        <v>0</v>
      </c>
      <c r="AB218" s="251" t="n">
        <f aca="false">AB215+AB217</f>
        <v>0</v>
      </c>
      <c r="AC218" s="251" t="n">
        <f aca="false">AC215+AC217</f>
        <v>0</v>
      </c>
      <c r="AD218" s="251" t="n">
        <f aca="false">AD215+AD217</f>
        <v>0</v>
      </c>
      <c r="AE218" s="251" t="n">
        <f aca="false">AE215+AE217</f>
        <v>0</v>
      </c>
      <c r="AF218" s="251" t="n">
        <f aca="false">AF215+AF217</f>
        <v>0</v>
      </c>
      <c r="AG218" s="251" t="n">
        <f aca="false">AG215+AG217</f>
        <v>0</v>
      </c>
      <c r="AH218" s="251" t="n">
        <f aca="false">AH215+AH217</f>
        <v>0</v>
      </c>
      <c r="AI218" s="251" t="n">
        <f aca="false">AI215+AI217</f>
        <v>0</v>
      </c>
      <c r="AJ218" s="251" t="n">
        <f aca="false">AJ215+AJ217</f>
        <v>0</v>
      </c>
      <c r="AK218" s="251" t="n">
        <f aca="false">AK215+AK217</f>
        <v>0</v>
      </c>
      <c r="AL218" s="251" t="n">
        <f aca="false">AL215+AL217</f>
        <v>0</v>
      </c>
      <c r="AM218" s="251" t="n">
        <f aca="false">AM215+AM217</f>
        <v>0</v>
      </c>
      <c r="AN218" s="251" t="n">
        <f aca="false">AN215+AN217</f>
        <v>0</v>
      </c>
      <c r="AO218" s="251" t="n">
        <f aca="false">AO215+AO217</f>
        <v>0</v>
      </c>
      <c r="AP218" s="251" t="n">
        <f aca="false">AP215+AP217</f>
        <v>0</v>
      </c>
      <c r="AQ218" s="251" t="n">
        <f aca="false">AQ215+AQ217</f>
        <v>0</v>
      </c>
      <c r="AR218" s="251" t="n">
        <f aca="false">AR215+AR217</f>
        <v>0</v>
      </c>
      <c r="AS218" s="251" t="n">
        <f aca="false">AS215+AS217</f>
        <v>0</v>
      </c>
      <c r="AT218" s="251" t="n">
        <f aca="false">AT215+AT217</f>
        <v>5331.72371121922</v>
      </c>
      <c r="AU218" s="251" t="n">
        <f aca="false">AU215+AU217</f>
        <v>0</v>
      </c>
      <c r="AV218" s="251" t="n">
        <f aca="false">AV215+AV217</f>
        <v>0</v>
      </c>
      <c r="AW218" s="251" t="n">
        <f aca="false">AW215+AW217</f>
        <v>0</v>
      </c>
      <c r="AX218" s="251" t="n">
        <f aca="false">AX215+AX217</f>
        <v>0</v>
      </c>
      <c r="AY218" s="251" t="n">
        <f aca="false">AY215+AY217</f>
        <v>0</v>
      </c>
      <c r="AZ218" s="251" t="n">
        <f aca="false">AZ215+AZ217</f>
        <v>0</v>
      </c>
      <c r="BA218" s="251" t="n">
        <f aca="false">BA215+BA217</f>
        <v>0</v>
      </c>
      <c r="BB218" s="251" t="n">
        <f aca="false">BB215+BB217</f>
        <v>0</v>
      </c>
      <c r="BC218" s="251" t="n">
        <f aca="false">BC215+BC217</f>
        <v>0</v>
      </c>
      <c r="BD218" s="251" t="n">
        <f aca="false">BD215+BD217</f>
        <v>0</v>
      </c>
      <c r="BE218" s="251" t="n">
        <f aca="false">BE215+BE217</f>
        <v>0</v>
      </c>
      <c r="BF218" s="251" t="n">
        <f aca="false">BF215+BF217</f>
        <v>0</v>
      </c>
      <c r="BG218" s="251" t="n">
        <f aca="false">BG215+BG217</f>
        <v>0</v>
      </c>
      <c r="BH218" s="251" t="n">
        <f aca="false">BH215+BH217</f>
        <v>0</v>
      </c>
      <c r="BI218" s="251" t="n">
        <f aca="false">BI215+BI217</f>
        <v>0</v>
      </c>
      <c r="BJ218" s="251" t="n">
        <f aca="false">BJ215+BJ217</f>
        <v>0</v>
      </c>
      <c r="BK218" s="251" t="n">
        <f aca="false">BK215+BK217</f>
        <v>0</v>
      </c>
      <c r="BL218" s="251" t="n">
        <f aca="false">BL215+BL217</f>
        <v>0</v>
      </c>
      <c r="BM218" s="251" t="n">
        <f aca="false">BM215+BM217</f>
        <v>0</v>
      </c>
      <c r="BN218" s="251" t="n">
        <f aca="false">BN215+BN217</f>
        <v>0</v>
      </c>
      <c r="BO218" s="251" t="n">
        <f aca="false">BO215+BO217</f>
        <v>0</v>
      </c>
      <c r="BP218" s="251" t="n">
        <f aca="false">BP215+BP217</f>
        <v>0</v>
      </c>
    </row>
    <row r="219" customFormat="false" ht="15" hidden="false" customHeight="false" outlineLevel="0" collapsed="false">
      <c r="C219" s="0" t="s">
        <v>1125</v>
      </c>
      <c r="D219" s="0" t="s">
        <v>125</v>
      </c>
      <c r="E219" s="158"/>
      <c r="F219" s="158"/>
      <c r="G219" s="158"/>
      <c r="H219" s="158" t="n">
        <f aca="false">H218</f>
        <v>0</v>
      </c>
      <c r="I219" s="158" t="n">
        <f aca="false">H219+I218</f>
        <v>0</v>
      </c>
      <c r="J219" s="158" t="n">
        <f aca="false">I219+J218</f>
        <v>0</v>
      </c>
      <c r="K219" s="158" t="n">
        <f aca="false">J219+K218</f>
        <v>0</v>
      </c>
      <c r="L219" s="158" t="n">
        <f aca="false">K219+L218</f>
        <v>0</v>
      </c>
      <c r="M219" s="158" t="n">
        <f aca="false">L219+M218</f>
        <v>0</v>
      </c>
      <c r="N219" s="158" t="n">
        <f aca="false">M219+N218</f>
        <v>0</v>
      </c>
      <c r="O219" s="158" t="n">
        <f aca="false">N219+O218</f>
        <v>0</v>
      </c>
      <c r="P219" s="158" t="n">
        <f aca="false">O219+P218</f>
        <v>0</v>
      </c>
      <c r="Q219" s="158" t="n">
        <f aca="false">P219+Q218</f>
        <v>0</v>
      </c>
      <c r="R219" s="158" t="n">
        <f aca="false">Q219+R218</f>
        <v>0</v>
      </c>
      <c r="S219" s="158" t="n">
        <f aca="false">R219+S218</f>
        <v>0</v>
      </c>
      <c r="T219" s="158" t="n">
        <f aca="false">S219+T218</f>
        <v>0</v>
      </c>
      <c r="U219" s="158" t="n">
        <f aca="false">T219+U218</f>
        <v>0</v>
      </c>
      <c r="V219" s="158" t="n">
        <f aca="false">U219+V218</f>
        <v>0</v>
      </c>
      <c r="W219" s="158" t="n">
        <f aca="false">V219+W218</f>
        <v>0</v>
      </c>
      <c r="X219" s="158" t="n">
        <f aca="false">W219+X218</f>
        <v>0</v>
      </c>
      <c r="Y219" s="158" t="n">
        <f aca="false">X219+Y218</f>
        <v>0</v>
      </c>
      <c r="Z219" s="158" t="n">
        <f aca="false">Y219+Z218</f>
        <v>0</v>
      </c>
      <c r="AA219" s="158" t="n">
        <f aca="false">Z219+AA218</f>
        <v>0</v>
      </c>
      <c r="AB219" s="158" t="n">
        <f aca="false">AA219+AB218</f>
        <v>0</v>
      </c>
      <c r="AC219" s="158" t="n">
        <f aca="false">AB219+AC218</f>
        <v>0</v>
      </c>
      <c r="AD219" s="158" t="n">
        <f aca="false">AC219+AD218</f>
        <v>0</v>
      </c>
      <c r="AE219" s="158" t="n">
        <f aca="false">AD219+AE218</f>
        <v>0</v>
      </c>
      <c r="AF219" s="158" t="n">
        <f aca="false">AE219+AF218</f>
        <v>0</v>
      </c>
      <c r="AG219" s="158" t="n">
        <f aca="false">AF219+AG218</f>
        <v>0</v>
      </c>
      <c r="AH219" s="158" t="n">
        <f aca="false">AG219+AH218</f>
        <v>0</v>
      </c>
      <c r="AI219" s="158" t="n">
        <f aca="false">AH219+AI218</f>
        <v>0</v>
      </c>
      <c r="AJ219" s="158" t="n">
        <f aca="false">AI219+AJ218</f>
        <v>0</v>
      </c>
      <c r="AK219" s="158" t="n">
        <f aca="false">AJ219+AK218</f>
        <v>0</v>
      </c>
      <c r="AL219" s="158" t="n">
        <f aca="false">AK219+AL218</f>
        <v>0</v>
      </c>
      <c r="AM219" s="158" t="n">
        <f aca="false">AL219+AM218</f>
        <v>0</v>
      </c>
      <c r="AN219" s="158" t="n">
        <f aca="false">AM219+AN218</f>
        <v>0</v>
      </c>
      <c r="AO219" s="158" t="n">
        <f aca="false">AN219+AO218</f>
        <v>0</v>
      </c>
      <c r="AP219" s="158" t="n">
        <f aca="false">AO219+AP218</f>
        <v>0</v>
      </c>
      <c r="AQ219" s="158" t="n">
        <f aca="false">AP219+AQ218</f>
        <v>0</v>
      </c>
      <c r="AR219" s="158" t="n">
        <f aca="false">AQ219+AR218</f>
        <v>0</v>
      </c>
      <c r="AS219" s="158" t="n">
        <f aca="false">AR219+AS218</f>
        <v>0</v>
      </c>
      <c r="AT219" s="158" t="n">
        <f aca="false">AS219+AT218</f>
        <v>5331.72371121922</v>
      </c>
      <c r="AU219" s="158" t="n">
        <f aca="false">AT219+AU218</f>
        <v>5331.72371121922</v>
      </c>
      <c r="AV219" s="158" t="n">
        <f aca="false">AU219+AV218</f>
        <v>5331.72371121922</v>
      </c>
      <c r="AW219" s="158" t="n">
        <f aca="false">AV219+AW218</f>
        <v>5331.72371121922</v>
      </c>
      <c r="AX219" s="158" t="n">
        <f aca="false">AW219+AX218</f>
        <v>5331.72371121922</v>
      </c>
      <c r="AY219" s="158" t="n">
        <f aca="false">AX219+AY218</f>
        <v>5331.72371121922</v>
      </c>
      <c r="AZ219" s="158" t="n">
        <f aca="false">AY219+AZ218</f>
        <v>5331.72371121922</v>
      </c>
      <c r="BA219" s="158" t="n">
        <f aca="false">AZ219+BA218</f>
        <v>5331.72371121922</v>
      </c>
      <c r="BB219" s="158" t="n">
        <f aca="false">BA219+BB218</f>
        <v>5331.72371121922</v>
      </c>
      <c r="BC219" s="158" t="n">
        <f aca="false">BB219+BC218</f>
        <v>5331.72371121922</v>
      </c>
      <c r="BD219" s="158" t="n">
        <f aca="false">BC219+BD218</f>
        <v>5331.72371121922</v>
      </c>
      <c r="BE219" s="158" t="n">
        <f aca="false">BD219+BE218</f>
        <v>5331.72371121922</v>
      </c>
      <c r="BF219" s="158" t="n">
        <f aca="false">BE219+BF218</f>
        <v>5331.72371121922</v>
      </c>
      <c r="BG219" s="158" t="n">
        <f aca="false">BF219+BG218</f>
        <v>5331.72371121922</v>
      </c>
      <c r="BH219" s="158" t="n">
        <f aca="false">BG219+BH218</f>
        <v>5331.72371121922</v>
      </c>
      <c r="BI219" s="158" t="n">
        <f aca="false">BH219+BI218</f>
        <v>5331.72371121922</v>
      </c>
      <c r="BJ219" s="158" t="n">
        <f aca="false">BI219+BJ218</f>
        <v>5331.72371121922</v>
      </c>
      <c r="BK219" s="158" t="n">
        <f aca="false">BJ219+BK218</f>
        <v>5331.72371121922</v>
      </c>
      <c r="BL219" s="158" t="n">
        <f aca="false">BK219+BL218</f>
        <v>5331.72371121922</v>
      </c>
      <c r="BM219" s="158" t="n">
        <f aca="false">BL219+BM218</f>
        <v>5331.72371121922</v>
      </c>
      <c r="BN219" s="158" t="n">
        <f aca="false">BM219+BN218</f>
        <v>5331.72371121922</v>
      </c>
      <c r="BO219" s="158" t="n">
        <f aca="false">BN219+BO218</f>
        <v>5331.72371121922</v>
      </c>
      <c r="BP219" s="158" t="n">
        <f aca="false">BO219+BP218</f>
        <v>5331.72371121922</v>
      </c>
    </row>
    <row r="220" customFormat="false" ht="15" hidden="false" customHeight="false" outlineLevel="0" collapsed="false">
      <c r="C220" s="0" t="s">
        <v>1151</v>
      </c>
      <c r="D220" s="0" t="s">
        <v>125</v>
      </c>
      <c r="E220" s="158"/>
      <c r="F220" s="158"/>
      <c r="G220" s="158" t="n">
        <f aca="false">G218</f>
        <v>5331.72371121922</v>
      </c>
      <c r="H220" s="158"/>
      <c r="I220" s="158"/>
      <c r="J220" s="158"/>
      <c r="K220" s="158"/>
      <c r="L220" s="158"/>
      <c r="M220" s="158"/>
      <c r="N220" s="158"/>
      <c r="O220" s="158"/>
      <c r="P220" s="158"/>
      <c r="Q220" s="158"/>
      <c r="R220" s="158"/>
      <c r="S220" s="158"/>
      <c r="T220" s="158"/>
      <c r="U220" s="158"/>
      <c r="V220" s="158"/>
      <c r="W220" s="158"/>
      <c r="X220" s="158"/>
      <c r="Y220" s="158"/>
      <c r="Z220" s="158"/>
      <c r="AA220" s="158"/>
      <c r="AB220" s="158"/>
      <c r="AC220" s="158"/>
      <c r="AD220" s="158"/>
      <c r="AE220" s="158"/>
      <c r="AF220" s="158"/>
      <c r="AG220" s="158"/>
      <c r="AH220" s="158"/>
      <c r="AI220" s="158"/>
      <c r="AJ220" s="158"/>
      <c r="AK220" s="158"/>
      <c r="AL220" s="158"/>
      <c r="AM220" s="158"/>
      <c r="AN220" s="158"/>
      <c r="AO220" s="158"/>
      <c r="AP220" s="158"/>
      <c r="AQ220" s="158"/>
      <c r="AR220" s="158"/>
      <c r="AS220" s="158"/>
      <c r="AT220" s="158"/>
      <c r="AU220" s="158"/>
      <c r="AV220" s="158"/>
      <c r="AW220" s="158"/>
      <c r="AX220" s="158"/>
      <c r="AY220" s="158"/>
      <c r="AZ220" s="158"/>
      <c r="BA220" s="158"/>
      <c r="BB220" s="158"/>
      <c r="BC220" s="158"/>
      <c r="BD220" s="158"/>
      <c r="BE220" s="158"/>
      <c r="BF220" s="158"/>
      <c r="BG220" s="158"/>
      <c r="BH220" s="158"/>
      <c r="BI220" s="158"/>
      <c r="BJ220" s="158"/>
      <c r="BK220" s="158"/>
      <c r="BL220" s="158"/>
      <c r="BM220" s="158"/>
      <c r="BN220" s="158"/>
      <c r="BO220" s="158"/>
      <c r="BP220" s="158"/>
    </row>
    <row r="221" customFormat="false" ht="15" hidden="false" customHeight="false" outlineLevel="0" collapsed="false">
      <c r="C221" s="0" t="s">
        <v>1152</v>
      </c>
      <c r="D221" s="0" t="s">
        <v>7</v>
      </c>
      <c r="E221" s="158"/>
      <c r="F221" s="158"/>
      <c r="G221" s="162" t="str">
        <f aca="false">IF(-G208&lt;=0,"n/a",(G214+G217)/-G208)</f>
        <v>n/a</v>
      </c>
      <c r="H221" s="158"/>
      <c r="I221" s="158"/>
      <c r="J221" s="158"/>
      <c r="K221" s="158"/>
      <c r="L221" s="158"/>
      <c r="M221" s="158"/>
      <c r="N221" s="158"/>
      <c r="O221" s="158"/>
      <c r="P221" s="158"/>
      <c r="Q221" s="158"/>
      <c r="R221" s="158"/>
      <c r="S221" s="158"/>
      <c r="T221" s="158"/>
      <c r="U221" s="158"/>
      <c r="V221" s="158"/>
      <c r="W221" s="158"/>
      <c r="X221" s="158"/>
      <c r="Y221" s="158"/>
      <c r="Z221" s="158"/>
      <c r="AA221" s="158"/>
      <c r="AB221" s="158"/>
      <c r="AC221" s="158"/>
      <c r="AD221" s="158"/>
      <c r="AE221" s="158"/>
      <c r="AF221" s="158"/>
      <c r="AG221" s="158"/>
      <c r="AH221" s="158"/>
      <c r="AI221" s="158"/>
      <c r="AJ221" s="158"/>
      <c r="AK221" s="158"/>
      <c r="AL221" s="158"/>
      <c r="AM221" s="158"/>
      <c r="AN221" s="158"/>
      <c r="AO221" s="158"/>
      <c r="AP221" s="158"/>
      <c r="AQ221" s="158"/>
      <c r="AR221" s="158"/>
      <c r="AS221" s="158"/>
      <c r="AT221" s="158"/>
      <c r="AU221" s="158"/>
      <c r="AV221" s="158"/>
      <c r="AW221" s="158"/>
      <c r="AX221" s="158"/>
      <c r="AY221" s="158"/>
      <c r="AZ221" s="158"/>
      <c r="BA221" s="158"/>
      <c r="BB221" s="158"/>
      <c r="BC221" s="158"/>
      <c r="BD221" s="158"/>
      <c r="BE221" s="158"/>
      <c r="BF221" s="158"/>
      <c r="BG221" s="158"/>
      <c r="BH221" s="158"/>
      <c r="BI221" s="158"/>
      <c r="BJ221" s="158"/>
      <c r="BK221" s="158"/>
      <c r="BL221" s="158"/>
      <c r="BM221" s="158"/>
      <c r="BN221" s="158"/>
      <c r="BO221" s="158"/>
      <c r="BP221" s="158"/>
    </row>
    <row r="222" customFormat="false" ht="15" hidden="false" customHeight="false" outlineLevel="0" collapsed="false">
      <c r="C222" s="0" t="s">
        <v>1153</v>
      </c>
      <c r="D222" s="0" t="s">
        <v>51</v>
      </c>
      <c r="E222" s="158"/>
      <c r="F222" s="158"/>
      <c r="G222" s="141" t="str">
        <f aca="false">IF(-G208&lt;=0,"n/a",IFERROR(XIRR(H218:BP218,H5:BP5),"n/a"))</f>
        <v>n/a</v>
      </c>
      <c r="H222" s="158"/>
      <c r="I222" s="158"/>
      <c r="J222" s="158"/>
      <c r="K222" s="158"/>
      <c r="L222" s="158"/>
      <c r="M222" s="158"/>
      <c r="N222" s="158"/>
      <c r="O222" s="158"/>
      <c r="P222" s="158"/>
      <c r="Q222" s="158"/>
      <c r="R222" s="158"/>
      <c r="S222" s="158"/>
      <c r="T222" s="158"/>
      <c r="U222" s="158"/>
      <c r="V222" s="158"/>
      <c r="W222" s="158"/>
      <c r="X222" s="158"/>
      <c r="Y222" s="158"/>
      <c r="Z222" s="158"/>
      <c r="AA222" s="158"/>
      <c r="AB222" s="158"/>
      <c r="AC222" s="158"/>
      <c r="AD222" s="158"/>
      <c r="AE222" s="158"/>
      <c r="AF222" s="158"/>
      <c r="AG222" s="158"/>
      <c r="AH222" s="158"/>
      <c r="AI222" s="158"/>
      <c r="AJ222" s="158"/>
      <c r="AK222" s="158"/>
      <c r="AL222" s="158"/>
      <c r="AM222" s="158"/>
      <c r="AN222" s="158"/>
      <c r="AO222" s="158"/>
      <c r="AP222" s="158"/>
      <c r="AQ222" s="158"/>
      <c r="AR222" s="158"/>
      <c r="AS222" s="158"/>
      <c r="AT222" s="158"/>
      <c r="AU222" s="158"/>
      <c r="AV222" s="158"/>
      <c r="AW222" s="158"/>
      <c r="AX222" s="158"/>
      <c r="AY222" s="158"/>
      <c r="AZ222" s="158"/>
      <c r="BA222" s="158"/>
      <c r="BB222" s="158"/>
      <c r="BC222" s="158"/>
      <c r="BD222" s="158"/>
      <c r="BE222" s="158"/>
      <c r="BF222" s="158"/>
      <c r="BG222" s="158"/>
      <c r="BH222" s="158"/>
      <c r="BI222" s="158"/>
      <c r="BJ222" s="158"/>
      <c r="BK222" s="158"/>
      <c r="BL222" s="158"/>
      <c r="BM222" s="158"/>
      <c r="BN222" s="158"/>
      <c r="BO222" s="158"/>
      <c r="BP222" s="158"/>
    </row>
    <row r="223" customFormat="false" ht="15" hidden="false" customHeight="false" outlineLevel="0" collapsed="false">
      <c r="E223" s="158"/>
      <c r="F223" s="158"/>
      <c r="G223" s="158"/>
      <c r="H223" s="158"/>
      <c r="I223" s="158"/>
      <c r="J223" s="158"/>
      <c r="K223" s="158"/>
      <c r="L223" s="158"/>
      <c r="M223" s="158"/>
      <c r="N223" s="158"/>
      <c r="O223" s="158"/>
      <c r="P223" s="158"/>
      <c r="Q223" s="158"/>
      <c r="R223" s="158"/>
      <c r="S223" s="158"/>
      <c r="T223" s="158"/>
      <c r="U223" s="158"/>
      <c r="V223" s="158"/>
      <c r="W223" s="158"/>
      <c r="X223" s="158"/>
      <c r="Y223" s="158"/>
      <c r="Z223" s="158"/>
      <c r="AA223" s="158"/>
      <c r="AB223" s="158"/>
      <c r="AC223" s="158"/>
      <c r="AD223" s="158"/>
      <c r="AE223" s="158"/>
      <c r="AF223" s="158"/>
      <c r="AG223" s="158"/>
      <c r="AH223" s="158"/>
      <c r="AI223" s="158"/>
      <c r="AJ223" s="158"/>
      <c r="AK223" s="158"/>
      <c r="AL223" s="158"/>
      <c r="AM223" s="158"/>
      <c r="AN223" s="158"/>
      <c r="AO223" s="158"/>
      <c r="AP223" s="158"/>
      <c r="AQ223" s="158"/>
      <c r="AR223" s="158"/>
      <c r="AS223" s="158"/>
      <c r="AT223" s="158"/>
      <c r="AU223" s="158"/>
      <c r="AV223" s="158"/>
      <c r="AW223" s="158"/>
      <c r="AX223" s="158"/>
      <c r="AY223" s="158"/>
      <c r="AZ223" s="158"/>
      <c r="BA223" s="158"/>
      <c r="BB223" s="158"/>
      <c r="BC223" s="158"/>
      <c r="BD223" s="158"/>
      <c r="BE223" s="158"/>
      <c r="BF223" s="158"/>
      <c r="BG223" s="158"/>
      <c r="BH223" s="158"/>
      <c r="BI223" s="158"/>
      <c r="BJ223" s="158"/>
      <c r="BK223" s="158"/>
      <c r="BL223" s="158"/>
      <c r="BM223" s="158"/>
      <c r="BN223" s="158"/>
      <c r="BO223" s="158"/>
      <c r="BP223" s="158"/>
    </row>
    <row r="224" customFormat="false" ht="15" hidden="false" customHeight="false" outlineLevel="0" collapsed="false">
      <c r="C224" s="136" t="s">
        <v>1154</v>
      </c>
      <c r="D224" s="136"/>
      <c r="E224" s="259"/>
      <c r="F224" s="259"/>
      <c r="G224" s="259"/>
      <c r="H224" s="259"/>
      <c r="I224" s="259"/>
      <c r="J224" s="259"/>
      <c r="K224" s="259"/>
      <c r="L224" s="259"/>
      <c r="M224" s="259"/>
      <c r="N224" s="259"/>
      <c r="O224" s="259"/>
      <c r="P224" s="259"/>
      <c r="Q224" s="259"/>
      <c r="R224" s="259"/>
      <c r="S224" s="259"/>
      <c r="T224" s="259"/>
      <c r="U224" s="259"/>
      <c r="V224" s="259"/>
      <c r="W224" s="259"/>
      <c r="X224" s="259"/>
      <c r="Y224" s="259"/>
      <c r="Z224" s="259"/>
      <c r="AA224" s="259"/>
      <c r="AB224" s="259"/>
      <c r="AC224" s="259"/>
      <c r="AD224" s="259"/>
      <c r="AE224" s="259"/>
      <c r="AF224" s="259"/>
      <c r="AG224" s="259"/>
      <c r="AH224" s="259"/>
      <c r="AI224" s="259"/>
      <c r="AJ224" s="259"/>
      <c r="AK224" s="259"/>
      <c r="AL224" s="259"/>
      <c r="AM224" s="259"/>
      <c r="AN224" s="259"/>
      <c r="AO224" s="259"/>
      <c r="AP224" s="259"/>
      <c r="AQ224" s="259"/>
      <c r="AR224" s="259"/>
      <c r="AS224" s="259"/>
      <c r="AT224" s="259"/>
      <c r="AU224" s="259"/>
      <c r="AV224" s="259"/>
      <c r="AW224" s="259"/>
      <c r="AX224" s="259"/>
      <c r="AY224" s="259"/>
      <c r="AZ224" s="259"/>
      <c r="BA224" s="259"/>
      <c r="BB224" s="259"/>
      <c r="BC224" s="259"/>
      <c r="BD224" s="259"/>
      <c r="BE224" s="259"/>
      <c r="BF224" s="259"/>
      <c r="BG224" s="259"/>
      <c r="BH224" s="259"/>
      <c r="BI224" s="259"/>
      <c r="BJ224" s="259"/>
      <c r="BK224" s="259"/>
      <c r="BL224" s="259"/>
      <c r="BM224" s="259"/>
      <c r="BN224" s="259"/>
      <c r="BO224" s="259"/>
      <c r="BP224" s="259"/>
    </row>
    <row r="225" customFormat="false" ht="15" hidden="false" customHeight="false" outlineLevel="0" collapsed="false">
      <c r="C225" s="0" t="s">
        <v>1155</v>
      </c>
      <c r="D225" s="0" t="s">
        <v>2</v>
      </c>
      <c r="E225" s="158"/>
      <c r="F225" s="158"/>
      <c r="G225" s="158"/>
      <c r="H225" s="269" t="n">
        <f aca="false">Dashboard!$E$155</f>
        <v>50</v>
      </c>
      <c r="I225" s="269" t="n">
        <f aca="false">Dashboard!$F$155</f>
        <v>75</v>
      </c>
      <c r="J225" s="269" t="n">
        <f aca="false">Dashboard!$G$155</f>
        <v>100</v>
      </c>
      <c r="K225" s="269" t="n">
        <f aca="false">Dashboard!$H$155</f>
        <v>125</v>
      </c>
      <c r="L225" s="269" t="n">
        <f aca="false">Dashboard!$I$155</f>
        <v>150</v>
      </c>
      <c r="M225" s="269" t="n">
        <f aca="false">Dashboard!$J$155</f>
        <v>175</v>
      </c>
      <c r="N225" s="269" t="n">
        <f aca="false">Dashboard!$K$155</f>
        <v>200</v>
      </c>
      <c r="O225" s="158"/>
      <c r="P225" s="158"/>
      <c r="Q225" s="158"/>
      <c r="R225" s="158"/>
      <c r="S225" s="158"/>
      <c r="T225" s="158"/>
      <c r="U225" s="158"/>
      <c r="V225" s="158"/>
      <c r="W225" s="158"/>
      <c r="X225" s="158"/>
      <c r="Y225" s="158"/>
      <c r="Z225" s="158"/>
      <c r="AA225" s="158"/>
      <c r="AB225" s="158"/>
      <c r="AC225" s="158"/>
      <c r="AD225" s="158"/>
      <c r="AE225" s="158"/>
      <c r="AF225" s="158"/>
      <c r="AG225" s="158"/>
      <c r="AH225" s="158"/>
      <c r="AI225" s="158"/>
      <c r="AJ225" s="158"/>
      <c r="AK225" s="158"/>
      <c r="AL225" s="158"/>
      <c r="AM225" s="158"/>
      <c r="AN225" s="158"/>
      <c r="AO225" s="158"/>
      <c r="AP225" s="158"/>
      <c r="AQ225" s="158"/>
      <c r="AR225" s="158"/>
      <c r="AS225" s="158"/>
      <c r="AT225" s="158"/>
      <c r="AU225" s="158"/>
      <c r="AV225" s="158"/>
      <c r="AW225" s="158"/>
      <c r="AX225" s="158"/>
      <c r="AY225" s="158"/>
      <c r="AZ225" s="158"/>
      <c r="BA225" s="158"/>
      <c r="BB225" s="158"/>
      <c r="BC225" s="158"/>
      <c r="BD225" s="158"/>
      <c r="BE225" s="158"/>
      <c r="BF225" s="158"/>
      <c r="BG225" s="158"/>
      <c r="BH225" s="158"/>
      <c r="BI225" s="158"/>
      <c r="BJ225" s="158"/>
      <c r="BK225" s="158"/>
      <c r="BL225" s="158"/>
      <c r="BM225" s="158"/>
      <c r="BN225" s="158"/>
      <c r="BO225" s="158"/>
      <c r="BP225" s="158"/>
    </row>
    <row r="226" customFormat="false" ht="15" hidden="false" customHeight="false" outlineLevel="0" collapsed="false">
      <c r="C226" s="0" t="s">
        <v>1093</v>
      </c>
      <c r="D226" s="0" t="s">
        <v>125</v>
      </c>
      <c r="E226" s="158"/>
      <c r="F226" s="158"/>
      <c r="G226" s="158"/>
      <c r="H226" s="158" t="n">
        <f aca="false">H225*Dash_MVA</f>
        <v>5000</v>
      </c>
      <c r="I226" s="158" t="n">
        <f aca="false">I225*Dash_MVA</f>
        <v>7500</v>
      </c>
      <c r="J226" s="158" t="n">
        <f aca="false">J225*Dash_MVA</f>
        <v>10000</v>
      </c>
      <c r="K226" s="158" t="n">
        <f aca="false">K225*Dash_MVA</f>
        <v>12500</v>
      </c>
      <c r="L226" s="158" t="n">
        <f aca="false">L225*Dash_MVA</f>
        <v>15000</v>
      </c>
      <c r="M226" s="158" t="n">
        <f aca="false">M225*Dash_MVA</f>
        <v>17500</v>
      </c>
      <c r="N226" s="158" t="n">
        <f aca="false">N225*Dash_MVA</f>
        <v>20000</v>
      </c>
      <c r="O226" s="158"/>
      <c r="P226" s="158"/>
      <c r="Q226" s="158"/>
      <c r="R226" s="158"/>
      <c r="S226" s="158"/>
      <c r="T226" s="158"/>
      <c r="U226" s="158"/>
      <c r="V226" s="158"/>
      <c r="W226" s="158"/>
      <c r="X226" s="158"/>
      <c r="Y226" s="158"/>
      <c r="Z226" s="158"/>
      <c r="AA226" s="158"/>
      <c r="AB226" s="158"/>
      <c r="AC226" s="158"/>
      <c r="AD226" s="158"/>
      <c r="AE226" s="158"/>
      <c r="AF226" s="158"/>
      <c r="AG226" s="158"/>
      <c r="AH226" s="158"/>
      <c r="AI226" s="158"/>
      <c r="AJ226" s="158"/>
      <c r="AK226" s="158"/>
      <c r="AL226" s="158"/>
      <c r="AM226" s="158"/>
      <c r="AN226" s="158"/>
      <c r="AO226" s="158"/>
      <c r="AP226" s="158"/>
      <c r="AQ226" s="158"/>
      <c r="AR226" s="158"/>
      <c r="AS226" s="158"/>
      <c r="AT226" s="158"/>
      <c r="AU226" s="158"/>
      <c r="AV226" s="158"/>
      <c r="AW226" s="158"/>
      <c r="AX226" s="158"/>
      <c r="AY226" s="158"/>
      <c r="AZ226" s="158"/>
      <c r="BA226" s="158"/>
      <c r="BB226" s="158"/>
      <c r="BC226" s="158"/>
      <c r="BD226" s="158"/>
      <c r="BE226" s="158"/>
      <c r="BF226" s="158"/>
      <c r="BG226" s="158"/>
      <c r="BH226" s="158"/>
      <c r="BI226" s="158"/>
      <c r="BJ226" s="158"/>
      <c r="BK226" s="158"/>
      <c r="BL226" s="158"/>
      <c r="BM226" s="158"/>
      <c r="BN226" s="158"/>
      <c r="BO226" s="158"/>
      <c r="BP226" s="158"/>
    </row>
    <row r="227" customFormat="false" ht="15" hidden="false" customHeight="false" outlineLevel="0" collapsed="false">
      <c r="C227" s="0" t="s">
        <v>1156</v>
      </c>
      <c r="D227" s="0" t="s">
        <v>125</v>
      </c>
      <c r="E227" s="158"/>
      <c r="F227" s="158"/>
      <c r="G227" s="158"/>
      <c r="H227" s="158" t="n">
        <f aca="false">$G$144</f>
        <v>20928.5898703443</v>
      </c>
      <c r="I227" s="158" t="n">
        <f aca="false">$G$144</f>
        <v>20928.5898703443</v>
      </c>
      <c r="J227" s="158" t="n">
        <f aca="false">$G$144</f>
        <v>20928.5898703443</v>
      </c>
      <c r="K227" s="158" t="n">
        <f aca="false">$G$144</f>
        <v>20928.5898703443</v>
      </c>
      <c r="L227" s="158" t="n">
        <f aca="false">$G$144</f>
        <v>20928.5898703443</v>
      </c>
      <c r="M227" s="158" t="n">
        <f aca="false">$G$144</f>
        <v>20928.5898703443</v>
      </c>
      <c r="N227" s="158" t="n">
        <f aca="false">$G$144</f>
        <v>20928.5898703443</v>
      </c>
      <c r="O227" s="158"/>
      <c r="P227" s="158"/>
      <c r="Q227" s="158"/>
      <c r="R227" s="158"/>
      <c r="S227" s="158"/>
      <c r="T227" s="158"/>
      <c r="U227" s="158"/>
      <c r="V227" s="158"/>
      <c r="W227" s="158"/>
      <c r="X227" s="158"/>
      <c r="Y227" s="158"/>
      <c r="Z227" s="158"/>
      <c r="AA227" s="158"/>
      <c r="AB227" s="158"/>
      <c r="AC227" s="158"/>
      <c r="AD227" s="158"/>
      <c r="AE227" s="158"/>
      <c r="AF227" s="158"/>
      <c r="AG227" s="158"/>
      <c r="AH227" s="158"/>
      <c r="AI227" s="158"/>
      <c r="AJ227" s="158"/>
      <c r="AK227" s="158"/>
      <c r="AL227" s="158"/>
      <c r="AM227" s="158"/>
      <c r="AN227" s="158"/>
      <c r="AO227" s="158"/>
      <c r="AP227" s="158"/>
      <c r="AQ227" s="158"/>
      <c r="AR227" s="158"/>
      <c r="AS227" s="158"/>
      <c r="AT227" s="158"/>
      <c r="AU227" s="158"/>
      <c r="AV227" s="158"/>
      <c r="AW227" s="158"/>
      <c r="AX227" s="158"/>
      <c r="AY227" s="158"/>
      <c r="AZ227" s="158"/>
      <c r="BA227" s="158"/>
      <c r="BB227" s="158"/>
      <c r="BC227" s="158"/>
      <c r="BD227" s="158"/>
      <c r="BE227" s="158"/>
      <c r="BF227" s="158"/>
      <c r="BG227" s="158"/>
      <c r="BH227" s="158"/>
      <c r="BI227" s="158"/>
      <c r="BJ227" s="158"/>
      <c r="BK227" s="158"/>
      <c r="BL227" s="158"/>
      <c r="BM227" s="158"/>
      <c r="BN227" s="158"/>
      <c r="BO227" s="158"/>
      <c r="BP227" s="158"/>
    </row>
    <row r="228" customFormat="false" ht="15" hidden="false" customHeight="false" outlineLevel="0" collapsed="false">
      <c r="C228" s="0" t="s">
        <v>1095</v>
      </c>
      <c r="D228" s="0" t="s">
        <v>125</v>
      </c>
      <c r="E228" s="158"/>
      <c r="F228" s="158"/>
      <c r="G228" s="158"/>
      <c r="H228" s="158" t="n">
        <f aca="false">H226+H227</f>
        <v>25928.5898703443</v>
      </c>
      <c r="I228" s="158" t="n">
        <f aca="false">I226+I227</f>
        <v>28428.5898703443</v>
      </c>
      <c r="J228" s="158" t="n">
        <f aca="false">J226+J227</f>
        <v>30928.5898703443</v>
      </c>
      <c r="K228" s="158" t="n">
        <f aca="false">K226+K227</f>
        <v>33428.5898703443</v>
      </c>
      <c r="L228" s="158" t="n">
        <f aca="false">L226+L227</f>
        <v>35928.5898703443</v>
      </c>
      <c r="M228" s="158" t="n">
        <f aca="false">M226+M227</f>
        <v>38428.5898703443</v>
      </c>
      <c r="N228" s="158" t="n">
        <f aca="false">N226+N227</f>
        <v>40928.5898703443</v>
      </c>
      <c r="O228" s="158"/>
      <c r="P228" s="158"/>
      <c r="Q228" s="158"/>
      <c r="R228" s="158"/>
      <c r="S228" s="158"/>
      <c r="T228" s="158"/>
      <c r="U228" s="158"/>
      <c r="V228" s="158"/>
      <c r="W228" s="158"/>
      <c r="X228" s="158"/>
      <c r="Y228" s="158"/>
      <c r="Z228" s="158"/>
      <c r="AA228" s="158"/>
      <c r="AB228" s="158"/>
      <c r="AC228" s="158"/>
      <c r="AD228" s="158"/>
      <c r="AE228" s="158"/>
      <c r="AF228" s="158"/>
      <c r="AG228" s="158"/>
      <c r="AH228" s="158"/>
      <c r="AI228" s="158"/>
      <c r="AJ228" s="158"/>
      <c r="AK228" s="158"/>
      <c r="AL228" s="158"/>
      <c r="AM228" s="158"/>
      <c r="AN228" s="158"/>
      <c r="AO228" s="158"/>
      <c r="AP228" s="158"/>
      <c r="AQ228" s="158"/>
      <c r="AR228" s="158"/>
      <c r="AS228" s="158"/>
      <c r="AT228" s="158"/>
      <c r="AU228" s="158"/>
      <c r="AV228" s="158"/>
      <c r="AW228" s="158"/>
      <c r="AX228" s="158"/>
      <c r="AY228" s="158"/>
      <c r="AZ228" s="158"/>
      <c r="BA228" s="158"/>
      <c r="BB228" s="158"/>
      <c r="BC228" s="158"/>
      <c r="BD228" s="158"/>
      <c r="BE228" s="158"/>
      <c r="BF228" s="158"/>
      <c r="BG228" s="158"/>
      <c r="BH228" s="158"/>
      <c r="BI228" s="158"/>
      <c r="BJ228" s="158"/>
      <c r="BK228" s="158"/>
      <c r="BL228" s="158"/>
      <c r="BM228" s="158"/>
      <c r="BN228" s="158"/>
      <c r="BO228" s="158"/>
      <c r="BP228" s="158"/>
    </row>
    <row r="229" customFormat="false" ht="15" hidden="false" customHeight="false" outlineLevel="0" collapsed="false">
      <c r="C229" s="0" t="s">
        <v>1096</v>
      </c>
      <c r="D229" s="0" t="s">
        <v>125</v>
      </c>
      <c r="E229" s="158"/>
      <c r="F229" s="158"/>
      <c r="G229" s="158"/>
      <c r="H229" s="158" t="n">
        <f aca="false">-MIN(Inputs!$E$26,H228)</f>
        <v>-250</v>
      </c>
      <c r="I229" s="158" t="n">
        <f aca="false">-MIN(Inputs!$E$26,I228)</f>
        <v>-250</v>
      </c>
      <c r="J229" s="158" t="n">
        <f aca="false">-MIN(Inputs!$E$26,J228)</f>
        <v>-250</v>
      </c>
      <c r="K229" s="158" t="n">
        <f aca="false">-MIN(Inputs!$E$26,K228)</f>
        <v>-250</v>
      </c>
      <c r="L229" s="158" t="n">
        <f aca="false">-MIN(Inputs!$E$26,L228)</f>
        <v>-250</v>
      </c>
      <c r="M229" s="158" t="n">
        <f aca="false">-MIN(Inputs!$E$26,M228)</f>
        <v>-250</v>
      </c>
      <c r="N229" s="158" t="n">
        <f aca="false">-MIN(Inputs!$E$26,N228)</f>
        <v>-250</v>
      </c>
      <c r="O229" s="158"/>
      <c r="P229" s="158"/>
      <c r="Q229" s="158"/>
      <c r="R229" s="158"/>
      <c r="S229" s="158"/>
      <c r="T229" s="158"/>
      <c r="U229" s="158"/>
      <c r="V229" s="158"/>
      <c r="W229" s="158"/>
      <c r="X229" s="158"/>
      <c r="Y229" s="158"/>
      <c r="Z229" s="158"/>
      <c r="AA229" s="158"/>
      <c r="AB229" s="158"/>
      <c r="AC229" s="158"/>
      <c r="AD229" s="158"/>
      <c r="AE229" s="158"/>
      <c r="AF229" s="158"/>
      <c r="AG229" s="158"/>
      <c r="AH229" s="158"/>
      <c r="AI229" s="158"/>
      <c r="AJ229" s="158"/>
      <c r="AK229" s="158"/>
      <c r="AL229" s="158"/>
      <c r="AM229" s="158"/>
      <c r="AN229" s="158"/>
      <c r="AO229" s="158"/>
      <c r="AP229" s="158"/>
      <c r="AQ229" s="158"/>
      <c r="AR229" s="158"/>
      <c r="AS229" s="158"/>
      <c r="AT229" s="158"/>
      <c r="AU229" s="158"/>
      <c r="AV229" s="158"/>
      <c r="AW229" s="158"/>
      <c r="AX229" s="158"/>
      <c r="AY229" s="158"/>
      <c r="AZ229" s="158"/>
      <c r="BA229" s="158"/>
      <c r="BB229" s="158"/>
      <c r="BC229" s="158"/>
      <c r="BD229" s="158"/>
      <c r="BE229" s="158"/>
      <c r="BF229" s="158"/>
      <c r="BG229" s="158"/>
      <c r="BH229" s="158"/>
      <c r="BI229" s="158"/>
      <c r="BJ229" s="158"/>
      <c r="BK229" s="158"/>
      <c r="BL229" s="158"/>
      <c r="BM229" s="158"/>
      <c r="BN229" s="158"/>
      <c r="BO229" s="158"/>
      <c r="BP229" s="158"/>
    </row>
    <row r="230" customFormat="false" ht="15" hidden="false" customHeight="false" outlineLevel="0" collapsed="false">
      <c r="C230" s="0" t="s">
        <v>1157</v>
      </c>
      <c r="D230" s="0" t="s">
        <v>125</v>
      </c>
      <c r="E230" s="158"/>
      <c r="F230" s="158"/>
      <c r="G230" s="158"/>
      <c r="H230" s="158" t="n">
        <f aca="false">-MIN(($G$110+$G$117)+Deposits!$Y$23,SUM(H228:H229))</f>
        <v>-22239.6072562943</v>
      </c>
      <c r="I230" s="158" t="n">
        <f aca="false">-MIN(($G$110+$G$117)+Deposits!$Y$23,SUM(I228:I229))</f>
        <v>-22239.6072562943</v>
      </c>
      <c r="J230" s="158" t="n">
        <f aca="false">-MIN(($G$110+$G$117)+Deposits!$Y$23,SUM(J228:J229))</f>
        <v>-22239.6072562943</v>
      </c>
      <c r="K230" s="158" t="n">
        <f aca="false">-MIN(($G$110+$G$117)+Deposits!$Y$23,SUM(K228:K229))</f>
        <v>-22239.6072562943</v>
      </c>
      <c r="L230" s="158" t="n">
        <f aca="false">-MIN(($G$110+$G$117)+Deposits!$Y$23,SUM(L228:L229))</f>
        <v>-22239.6072562943</v>
      </c>
      <c r="M230" s="158" t="n">
        <f aca="false">-MIN(($G$110+$G$117)+Deposits!$Y$23,SUM(M228:M229))</f>
        <v>-22239.6072562943</v>
      </c>
      <c r="N230" s="158" t="n">
        <f aca="false">-MIN(($G$110+$G$117)+Deposits!$Y$23,SUM(N228:N229))</f>
        <v>-22239.6072562943</v>
      </c>
      <c r="O230" s="158"/>
      <c r="P230" s="158"/>
      <c r="Q230" s="158"/>
      <c r="R230" s="158"/>
      <c r="S230" s="158"/>
      <c r="T230" s="158"/>
      <c r="U230" s="158"/>
      <c r="V230" s="158"/>
      <c r="W230" s="158"/>
      <c r="X230" s="158"/>
      <c r="Y230" s="158"/>
      <c r="Z230" s="158"/>
      <c r="AA230" s="158"/>
      <c r="AB230" s="158"/>
      <c r="AC230" s="158"/>
      <c r="AD230" s="158"/>
      <c r="AE230" s="158"/>
      <c r="AF230" s="158"/>
      <c r="AG230" s="158"/>
      <c r="AH230" s="158"/>
      <c r="AI230" s="158"/>
      <c r="AJ230" s="158"/>
      <c r="AK230" s="158"/>
      <c r="AL230" s="158"/>
      <c r="AM230" s="158"/>
      <c r="AN230" s="158"/>
      <c r="AO230" s="158"/>
      <c r="AP230" s="158"/>
      <c r="AQ230" s="158"/>
      <c r="AR230" s="158"/>
      <c r="AS230" s="158"/>
      <c r="AT230" s="158"/>
      <c r="AU230" s="158"/>
      <c r="AV230" s="158"/>
      <c r="AW230" s="158"/>
      <c r="AX230" s="158"/>
      <c r="AY230" s="158"/>
      <c r="AZ230" s="158"/>
      <c r="BA230" s="158"/>
      <c r="BB230" s="158"/>
      <c r="BC230" s="158"/>
      <c r="BD230" s="158"/>
      <c r="BE230" s="158"/>
      <c r="BF230" s="158"/>
      <c r="BG230" s="158"/>
      <c r="BH230" s="158"/>
      <c r="BI230" s="158"/>
      <c r="BJ230" s="158"/>
      <c r="BK230" s="158"/>
      <c r="BL230" s="158"/>
      <c r="BM230" s="158"/>
      <c r="BN230" s="158"/>
      <c r="BO230" s="158"/>
      <c r="BP230" s="158"/>
    </row>
    <row r="231" customFormat="false" ht="15" hidden="false" customHeight="false" outlineLevel="0" collapsed="false">
      <c r="C231" s="0" t="s">
        <v>1158</v>
      </c>
      <c r="D231" s="0" t="s">
        <v>125</v>
      </c>
      <c r="E231" s="158"/>
      <c r="F231" s="158"/>
      <c r="G231" s="158"/>
      <c r="H231" s="158" t="n">
        <f aca="false">-MIN(IF(Inputs!$E$71=1,-($G$127+$G$137),$G$20),SUM(H228:H230))</f>
        <v>-212.689864864865</v>
      </c>
      <c r="I231" s="158" t="n">
        <f aca="false">-MIN(IF(Inputs!$E$71=1,-($G$127+$G$137),$G$20),SUM(I228:I230))</f>
        <v>-212.689864864865</v>
      </c>
      <c r="J231" s="158" t="n">
        <f aca="false">-MIN(IF(Inputs!$E$71=1,-($G$127+$G$137),$G$20),SUM(J228:J230))</f>
        <v>-212.689864864865</v>
      </c>
      <c r="K231" s="158" t="n">
        <f aca="false">-MIN(IF(Inputs!$E$71=1,-($G$127+$G$137),$G$20),SUM(K228:K230))</f>
        <v>-212.689864864865</v>
      </c>
      <c r="L231" s="158" t="n">
        <f aca="false">-MIN(IF(Inputs!$E$71=1,-($G$127+$G$137),$G$20),SUM(L228:L230))</f>
        <v>-212.689864864865</v>
      </c>
      <c r="M231" s="158" t="n">
        <f aca="false">-MIN(IF(Inputs!$E$71=1,-($G$127+$G$137),$G$20),SUM(M228:M230))</f>
        <v>-212.689864864865</v>
      </c>
      <c r="N231" s="158" t="n">
        <f aca="false">-MIN(IF(Inputs!$E$71=1,-($G$127+$G$137),$G$20),SUM(N228:N230))</f>
        <v>-212.689864864865</v>
      </c>
      <c r="O231" s="158"/>
      <c r="P231" s="158"/>
      <c r="Q231" s="158"/>
      <c r="R231" s="158"/>
      <c r="S231" s="158"/>
      <c r="T231" s="158"/>
      <c r="U231" s="158"/>
      <c r="V231" s="158"/>
      <c r="W231" s="158"/>
      <c r="X231" s="158"/>
      <c r="Y231" s="158"/>
      <c r="Z231" s="158"/>
      <c r="AA231" s="158"/>
      <c r="AB231" s="158"/>
      <c r="AC231" s="158"/>
      <c r="AD231" s="158"/>
      <c r="AE231" s="158"/>
      <c r="AF231" s="158"/>
      <c r="AG231" s="158"/>
      <c r="AH231" s="158"/>
      <c r="AI231" s="158"/>
      <c r="AJ231" s="158"/>
      <c r="AK231" s="158"/>
      <c r="AL231" s="158"/>
      <c r="AM231" s="158"/>
      <c r="AN231" s="158"/>
      <c r="AO231" s="158"/>
      <c r="AP231" s="158"/>
      <c r="AQ231" s="158"/>
      <c r="AR231" s="158"/>
      <c r="AS231" s="158"/>
      <c r="AT231" s="158"/>
      <c r="AU231" s="158"/>
      <c r="AV231" s="158"/>
      <c r="AW231" s="158"/>
      <c r="AX231" s="158"/>
      <c r="AY231" s="158"/>
      <c r="AZ231" s="158"/>
      <c r="BA231" s="158"/>
      <c r="BB231" s="158"/>
      <c r="BC231" s="158"/>
      <c r="BD231" s="158"/>
      <c r="BE231" s="158"/>
      <c r="BF231" s="158"/>
      <c r="BG231" s="158"/>
      <c r="BH231" s="158"/>
      <c r="BI231" s="158"/>
      <c r="BJ231" s="158"/>
      <c r="BK231" s="158"/>
      <c r="BL231" s="158"/>
      <c r="BM231" s="158"/>
      <c r="BN231" s="158"/>
      <c r="BO231" s="158"/>
      <c r="BP231" s="158"/>
    </row>
    <row r="232" customFormat="false" ht="15" hidden="false" customHeight="false" outlineLevel="0" collapsed="false">
      <c r="C232" s="0" t="s">
        <v>1159</v>
      </c>
      <c r="D232" s="0" t="s">
        <v>125</v>
      </c>
      <c r="E232" s="158"/>
      <c r="F232" s="158"/>
      <c r="G232" s="158"/>
      <c r="H232" s="158" t="n">
        <f aca="false">-MIN($G$131+Deposits!$Y$24+Deposits!$Y$22,SUM(H228:H231))</f>
        <v>-2480.14658215815</v>
      </c>
      <c r="I232" s="158" t="n">
        <f aca="false">-MIN($G$131+Deposits!$Y$24+Deposits!$Y$22,SUM(I228:I231))</f>
        <v>-2480.14658215815</v>
      </c>
      <c r="J232" s="158" t="n">
        <f aca="false">-MIN($G$131+Deposits!$Y$24+Deposits!$Y$22,SUM(J228:J231))</f>
        <v>-2480.14658215815</v>
      </c>
      <c r="K232" s="158" t="n">
        <f aca="false">-MIN($G$131+Deposits!$Y$24+Deposits!$Y$22,SUM(K228:K231))</f>
        <v>-2480.14658215815</v>
      </c>
      <c r="L232" s="158" t="n">
        <f aca="false">-MIN($G$131+Deposits!$Y$24+Deposits!$Y$22,SUM(L228:L231))</f>
        <v>-2480.14658215815</v>
      </c>
      <c r="M232" s="158" t="n">
        <f aca="false">-MIN($G$131+Deposits!$Y$24+Deposits!$Y$22,SUM(M228:M231))</f>
        <v>-2480.14658215815</v>
      </c>
      <c r="N232" s="158" t="n">
        <f aca="false">-MIN($G$131+Deposits!$Y$24+Deposits!$Y$22,SUM(N228:N231))</f>
        <v>-2480.14658215815</v>
      </c>
      <c r="O232" s="158"/>
      <c r="P232" s="158"/>
      <c r="Q232" s="158"/>
      <c r="R232" s="158"/>
      <c r="S232" s="158"/>
      <c r="T232" s="158"/>
      <c r="U232" s="158"/>
      <c r="V232" s="158"/>
      <c r="W232" s="158"/>
      <c r="X232" s="158"/>
      <c r="Y232" s="158"/>
      <c r="Z232" s="158"/>
      <c r="AA232" s="158"/>
      <c r="AB232" s="158"/>
      <c r="AC232" s="158"/>
      <c r="AD232" s="158"/>
      <c r="AE232" s="158"/>
      <c r="AF232" s="158"/>
      <c r="AG232" s="158"/>
      <c r="AH232" s="158"/>
      <c r="AI232" s="158"/>
      <c r="AJ232" s="158"/>
      <c r="AK232" s="158"/>
      <c r="AL232" s="158"/>
      <c r="AM232" s="158"/>
      <c r="AN232" s="158"/>
      <c r="AO232" s="158"/>
      <c r="AP232" s="158"/>
      <c r="AQ232" s="158"/>
      <c r="AR232" s="158"/>
      <c r="AS232" s="158"/>
      <c r="AT232" s="158"/>
      <c r="AU232" s="158"/>
      <c r="AV232" s="158"/>
      <c r="AW232" s="158"/>
      <c r="AX232" s="158"/>
      <c r="AY232" s="158"/>
      <c r="AZ232" s="158"/>
      <c r="BA232" s="158"/>
      <c r="BB232" s="158"/>
      <c r="BC232" s="158"/>
      <c r="BD232" s="158"/>
      <c r="BE232" s="158"/>
      <c r="BF232" s="158"/>
      <c r="BG232" s="158"/>
      <c r="BH232" s="158"/>
      <c r="BI232" s="158"/>
      <c r="BJ232" s="158"/>
      <c r="BK232" s="158"/>
      <c r="BL232" s="158"/>
      <c r="BM232" s="158"/>
      <c r="BN232" s="158"/>
      <c r="BO232" s="158"/>
      <c r="BP232" s="158"/>
    </row>
    <row r="233" customFormat="false" ht="15" hidden="false" customHeight="false" outlineLevel="0" collapsed="false">
      <c r="C233" s="0" t="s">
        <v>1101</v>
      </c>
      <c r="D233" s="0" t="s">
        <v>125</v>
      </c>
      <c r="E233" s="158"/>
      <c r="F233" s="158"/>
      <c r="G233" s="158"/>
      <c r="H233" s="158" t="n">
        <f aca="false">-MIN($G$25,SUM(H228:H232))</f>
        <v>-746.146167027019</v>
      </c>
      <c r="I233" s="158" t="n">
        <f aca="false">-MIN($G$25,SUM(I228:I232))</f>
        <v>-1105.23611111111</v>
      </c>
      <c r="J233" s="158" t="n">
        <f aca="false">-MIN($G$25,SUM(J228:J232))</f>
        <v>-1105.23611111111</v>
      </c>
      <c r="K233" s="158" t="n">
        <f aca="false">-MIN($G$25,SUM(K228:K232))</f>
        <v>-1105.23611111111</v>
      </c>
      <c r="L233" s="158" t="n">
        <f aca="false">-MIN($G$25,SUM(L228:L232))</f>
        <v>-1105.23611111111</v>
      </c>
      <c r="M233" s="158" t="n">
        <f aca="false">-MIN($G$25,SUM(M228:M232))</f>
        <v>-1105.23611111111</v>
      </c>
      <c r="N233" s="158" t="n">
        <f aca="false">-MIN($G$25,SUM(N228:N232))</f>
        <v>-1105.23611111111</v>
      </c>
      <c r="O233" s="158"/>
      <c r="P233" s="158"/>
      <c r="Q233" s="158"/>
      <c r="R233" s="158"/>
      <c r="S233" s="158"/>
      <c r="T233" s="158"/>
      <c r="U233" s="158"/>
      <c r="V233" s="158"/>
      <c r="W233" s="158"/>
      <c r="X233" s="158"/>
      <c r="Y233" s="158"/>
      <c r="Z233" s="158"/>
      <c r="AA233" s="158"/>
      <c r="AB233" s="158"/>
      <c r="AC233" s="158"/>
      <c r="AD233" s="158"/>
      <c r="AE233" s="158"/>
      <c r="AF233" s="158"/>
      <c r="AG233" s="158"/>
      <c r="AH233" s="158"/>
      <c r="AI233" s="158"/>
      <c r="AJ233" s="158"/>
      <c r="AK233" s="158"/>
      <c r="AL233" s="158"/>
      <c r="AM233" s="158"/>
      <c r="AN233" s="158"/>
      <c r="AO233" s="158"/>
      <c r="AP233" s="158"/>
      <c r="AQ233" s="158"/>
      <c r="AR233" s="158"/>
      <c r="AS233" s="158"/>
      <c r="AT233" s="158"/>
      <c r="AU233" s="158"/>
      <c r="AV233" s="158"/>
      <c r="AW233" s="158"/>
      <c r="AX233" s="158"/>
      <c r="AY233" s="158"/>
      <c r="AZ233" s="158"/>
      <c r="BA233" s="158"/>
      <c r="BB233" s="158"/>
      <c r="BC233" s="158"/>
      <c r="BD233" s="158"/>
      <c r="BE233" s="158"/>
      <c r="BF233" s="158"/>
      <c r="BG233" s="158"/>
      <c r="BH233" s="158"/>
      <c r="BI233" s="158"/>
      <c r="BJ233" s="158"/>
      <c r="BK233" s="158"/>
      <c r="BL233" s="158"/>
      <c r="BM233" s="158"/>
      <c r="BN233" s="158"/>
      <c r="BO233" s="158"/>
      <c r="BP233" s="158"/>
    </row>
    <row r="234" customFormat="false" ht="15" hidden="false" customHeight="false" outlineLevel="0" collapsed="false">
      <c r="C234" s="0" t="s">
        <v>1102</v>
      </c>
      <c r="D234" s="0" t="s">
        <v>125</v>
      </c>
      <c r="E234" s="158"/>
      <c r="F234" s="158"/>
      <c r="G234" s="158"/>
      <c r="H234" s="158" t="n">
        <f aca="false">MAX(SUM(H228:H233),0)</f>
        <v>0</v>
      </c>
      <c r="I234" s="158" t="n">
        <f aca="false">MAX(SUM(I228:I233),0)</f>
        <v>2140.91005591591</v>
      </c>
      <c r="J234" s="158" t="n">
        <f aca="false">MAX(SUM(J228:J233),0)</f>
        <v>4640.91005591591</v>
      </c>
      <c r="K234" s="158" t="n">
        <f aca="false">MAX(SUM(K228:K233),0)</f>
        <v>7140.91005591591</v>
      </c>
      <c r="L234" s="158" t="n">
        <f aca="false">MAX(SUM(L228:L233),0)</f>
        <v>9640.91005591591</v>
      </c>
      <c r="M234" s="158" t="n">
        <f aca="false">MAX(SUM(M228:M233),0)</f>
        <v>12140.9100559159</v>
      </c>
      <c r="N234" s="158" t="n">
        <f aca="false">MAX(SUM(N228:N233),0)</f>
        <v>14640.9100559159</v>
      </c>
      <c r="O234" s="158"/>
      <c r="P234" s="158"/>
      <c r="Q234" s="158"/>
      <c r="R234" s="158"/>
      <c r="S234" s="158"/>
      <c r="T234" s="158"/>
      <c r="U234" s="158"/>
      <c r="V234" s="158"/>
      <c r="W234" s="158"/>
      <c r="X234" s="158"/>
      <c r="Y234" s="158"/>
      <c r="Z234" s="158"/>
      <c r="AA234" s="158"/>
      <c r="AB234" s="158"/>
      <c r="AC234" s="158"/>
      <c r="AD234" s="158"/>
      <c r="AE234" s="158"/>
      <c r="AF234" s="158"/>
      <c r="AG234" s="158"/>
      <c r="AH234" s="158"/>
      <c r="AI234" s="158"/>
      <c r="AJ234" s="158"/>
      <c r="AK234" s="158"/>
      <c r="AL234" s="158"/>
      <c r="AM234" s="158"/>
      <c r="AN234" s="158"/>
      <c r="AO234" s="158"/>
      <c r="AP234" s="158"/>
      <c r="AQ234" s="158"/>
      <c r="AR234" s="158"/>
      <c r="AS234" s="158"/>
      <c r="AT234" s="158"/>
      <c r="AU234" s="158"/>
      <c r="AV234" s="158"/>
      <c r="AW234" s="158"/>
      <c r="AX234" s="158"/>
      <c r="AY234" s="158"/>
      <c r="AZ234" s="158"/>
      <c r="BA234" s="158"/>
      <c r="BB234" s="158"/>
      <c r="BC234" s="158"/>
      <c r="BD234" s="158"/>
      <c r="BE234" s="158"/>
      <c r="BF234" s="158"/>
      <c r="BG234" s="158"/>
      <c r="BH234" s="158"/>
      <c r="BI234" s="158"/>
      <c r="BJ234" s="158"/>
      <c r="BK234" s="158"/>
      <c r="BL234" s="158"/>
      <c r="BM234" s="158"/>
      <c r="BN234" s="158"/>
      <c r="BO234" s="158"/>
      <c r="BP234" s="158"/>
    </row>
    <row r="235" customFormat="false" ht="15" hidden="false" customHeight="false" outlineLevel="0" collapsed="false">
      <c r="C235" s="0" t="s">
        <v>1160</v>
      </c>
      <c r="D235" s="0" t="s">
        <v>125</v>
      </c>
      <c r="E235" s="158"/>
      <c r="F235" s="158"/>
      <c r="G235" s="158"/>
      <c r="H235" s="158" t="n">
        <f aca="false">-SUM(H230:H232)*$E$106+H234*Inputs!$E$33</f>
        <v>24932.4437033173</v>
      </c>
      <c r="I235" s="158" t="n">
        <f aca="false">-SUM(I230:I232)*$E$106+I234*Inputs!$E$33</f>
        <v>26431.0807424584</v>
      </c>
      <c r="J235" s="158" t="n">
        <f aca="false">-SUM(J230:J232)*$E$106+J234*Inputs!$E$33</f>
        <v>28181.0807424584</v>
      </c>
      <c r="K235" s="158" t="n">
        <f aca="false">-SUM(K230:K232)*$E$106+K234*Inputs!$E$33</f>
        <v>29931.0807424584</v>
      </c>
      <c r="L235" s="158" t="n">
        <f aca="false">-SUM(L230:L232)*$E$106+L234*Inputs!$E$33</f>
        <v>31681.0807424584</v>
      </c>
      <c r="M235" s="158" t="n">
        <f aca="false">-SUM(M230:M232)*$E$106+M234*Inputs!$E$33</f>
        <v>33431.0807424584</v>
      </c>
      <c r="N235" s="158" t="n">
        <f aca="false">-SUM(N230:N232)*$E$106+N234*Inputs!$E$33</f>
        <v>35181.0807424584</v>
      </c>
      <c r="O235" s="158"/>
      <c r="P235" s="158"/>
      <c r="Q235" s="158"/>
      <c r="R235" s="158"/>
      <c r="S235" s="158"/>
      <c r="T235" s="158"/>
      <c r="U235" s="158"/>
      <c r="V235" s="158"/>
      <c r="W235" s="158"/>
      <c r="X235" s="158"/>
      <c r="Y235" s="158"/>
      <c r="Z235" s="158"/>
      <c r="AA235" s="158"/>
      <c r="AB235" s="158"/>
      <c r="AC235" s="158"/>
      <c r="AD235" s="158"/>
      <c r="AE235" s="158"/>
      <c r="AF235" s="158"/>
      <c r="AG235" s="158"/>
      <c r="AH235" s="158"/>
      <c r="AI235" s="158"/>
      <c r="AJ235" s="158"/>
      <c r="AK235" s="158"/>
      <c r="AL235" s="158"/>
      <c r="AM235" s="158"/>
      <c r="AN235" s="158"/>
      <c r="AO235" s="158"/>
      <c r="AP235" s="158"/>
      <c r="AQ235" s="158"/>
      <c r="AR235" s="158"/>
      <c r="AS235" s="158"/>
      <c r="AT235" s="158"/>
      <c r="AU235" s="158"/>
      <c r="AV235" s="158"/>
      <c r="AW235" s="158"/>
      <c r="AX235" s="158"/>
      <c r="AY235" s="158"/>
      <c r="AZ235" s="158"/>
      <c r="BA235" s="158"/>
      <c r="BB235" s="158"/>
      <c r="BC235" s="158"/>
      <c r="BD235" s="158"/>
      <c r="BE235" s="158"/>
      <c r="BF235" s="158"/>
      <c r="BG235" s="158"/>
      <c r="BH235" s="158"/>
      <c r="BI235" s="158"/>
      <c r="BJ235" s="158"/>
      <c r="BK235" s="158"/>
      <c r="BL235" s="158"/>
      <c r="BM235" s="158"/>
      <c r="BN235" s="158"/>
      <c r="BO235" s="158"/>
      <c r="BP235" s="158"/>
    </row>
    <row r="236" customFormat="false" ht="15" hidden="false" customHeight="false" outlineLevel="0" collapsed="false">
      <c r="C236" s="0" t="s">
        <v>1161</v>
      </c>
      <c r="D236" s="0" t="s">
        <v>125</v>
      </c>
      <c r="E236" s="158"/>
      <c r="F236" s="158"/>
      <c r="G236" s="158"/>
      <c r="H236" s="158" t="n">
        <f aca="false">$G$164+H235</f>
        <v>1459.42676436015</v>
      </c>
      <c r="I236" s="158" t="n">
        <f aca="false">$G$164+I235</f>
        <v>2958.06380350129</v>
      </c>
      <c r="J236" s="158" t="n">
        <f aca="false">$G$164+J235</f>
        <v>4708.06380350128</v>
      </c>
      <c r="K236" s="158" t="n">
        <f aca="false">$G$164+K235</f>
        <v>6458.06380350129</v>
      </c>
      <c r="L236" s="158" t="n">
        <f aca="false">$G$164+L235</f>
        <v>8208.06380350129</v>
      </c>
      <c r="M236" s="158" t="n">
        <f aca="false">$G$164+M235</f>
        <v>9958.06380350128</v>
      </c>
      <c r="N236" s="158" t="n">
        <f aca="false">$G$164+N235</f>
        <v>11708.0638035013</v>
      </c>
      <c r="O236" s="158"/>
      <c r="P236" s="158"/>
      <c r="Q236" s="158"/>
      <c r="R236" s="158"/>
      <c r="S236" s="158"/>
      <c r="T236" s="158"/>
      <c r="U236" s="158"/>
      <c r="V236" s="158"/>
      <c r="W236" s="158"/>
      <c r="X236" s="158"/>
      <c r="Y236" s="158"/>
      <c r="Z236" s="158"/>
      <c r="AA236" s="158"/>
      <c r="AB236" s="158"/>
      <c r="AC236" s="158"/>
      <c r="AD236" s="158"/>
      <c r="AE236" s="158"/>
      <c r="AF236" s="158"/>
      <c r="AG236" s="158"/>
      <c r="AH236" s="158"/>
      <c r="AI236" s="158"/>
      <c r="AJ236" s="158"/>
      <c r="AK236" s="158"/>
      <c r="AL236" s="158"/>
      <c r="AM236" s="158"/>
      <c r="AN236" s="158"/>
      <c r="AO236" s="158"/>
      <c r="AP236" s="158"/>
      <c r="AQ236" s="158"/>
      <c r="AR236" s="158"/>
      <c r="AS236" s="158"/>
      <c r="AT236" s="158"/>
      <c r="AU236" s="158"/>
      <c r="AV236" s="158"/>
      <c r="AW236" s="158"/>
      <c r="AX236" s="158"/>
      <c r="AY236" s="158"/>
      <c r="AZ236" s="158"/>
      <c r="BA236" s="158"/>
      <c r="BB236" s="158"/>
      <c r="BC236" s="158"/>
      <c r="BD236" s="158"/>
      <c r="BE236" s="158"/>
      <c r="BF236" s="158"/>
      <c r="BG236" s="158"/>
      <c r="BH236" s="158"/>
      <c r="BI236" s="158"/>
      <c r="BJ236" s="158"/>
      <c r="BK236" s="158"/>
      <c r="BL236" s="158"/>
      <c r="BM236" s="158"/>
      <c r="BN236" s="158"/>
      <c r="BO236" s="158"/>
      <c r="BP236" s="158"/>
    </row>
    <row r="237" customFormat="false" ht="15" hidden="false" customHeight="false" outlineLevel="0" collapsed="false">
      <c r="C237" s="0" t="s">
        <v>1162</v>
      </c>
      <c r="D237" s="0" t="s">
        <v>125</v>
      </c>
      <c r="E237" s="158"/>
      <c r="F237" s="158"/>
      <c r="G237" s="158"/>
      <c r="H237" s="158" t="n">
        <f aca="false">-Inputs!$E$12*MAX(H236-Inputs!$E$14*H234*Inputs!$E$33,0)</f>
        <v>-218.914014654022</v>
      </c>
      <c r="I237" s="158" t="n">
        <f aca="false">-Inputs!$E$12*MAX(I236-Inputs!$E$14*I234*Inputs!$E$33,0)</f>
        <v>-218.914014654022</v>
      </c>
      <c r="J237" s="158" t="n">
        <f aca="false">-Inputs!$E$12*MAX(J236-Inputs!$E$14*J234*Inputs!$E$33,0)</f>
        <v>-218.914014654022</v>
      </c>
      <c r="K237" s="158" t="n">
        <f aca="false">-Inputs!$E$12*MAX(K236-Inputs!$E$14*K234*Inputs!$E$33,0)</f>
        <v>-218.914014654022</v>
      </c>
      <c r="L237" s="158" t="n">
        <f aca="false">-Inputs!$E$12*MAX(L236-Inputs!$E$14*L234*Inputs!$E$33,0)</f>
        <v>-218.914014654022</v>
      </c>
      <c r="M237" s="158" t="n">
        <f aca="false">-Inputs!$E$12*MAX(M236-Inputs!$E$14*M234*Inputs!$E$33,0)</f>
        <v>-218.914014654022</v>
      </c>
      <c r="N237" s="158" t="n">
        <f aca="false">-Inputs!$E$12*MAX(N236-Inputs!$E$14*N234*Inputs!$E$33,0)</f>
        <v>-218.914014654022</v>
      </c>
      <c r="O237" s="158"/>
      <c r="P237" s="158"/>
      <c r="Q237" s="158"/>
      <c r="R237" s="158"/>
      <c r="S237" s="158"/>
      <c r="T237" s="158"/>
      <c r="U237" s="158"/>
      <c r="V237" s="158"/>
      <c r="W237" s="158"/>
      <c r="X237" s="158"/>
      <c r="Y237" s="158"/>
      <c r="Z237" s="158"/>
      <c r="AA237" s="158"/>
      <c r="AB237" s="158"/>
      <c r="AC237" s="158"/>
      <c r="AD237" s="158"/>
      <c r="AE237" s="158"/>
      <c r="AF237" s="158"/>
      <c r="AG237" s="158"/>
      <c r="AH237" s="158"/>
      <c r="AI237" s="158"/>
      <c r="AJ237" s="158"/>
      <c r="AK237" s="158"/>
      <c r="AL237" s="158"/>
      <c r="AM237" s="158"/>
      <c r="AN237" s="158"/>
      <c r="AO237" s="158"/>
      <c r="AP237" s="158"/>
      <c r="AQ237" s="158"/>
      <c r="AR237" s="158"/>
      <c r="AS237" s="158"/>
      <c r="AT237" s="158"/>
      <c r="AU237" s="158"/>
      <c r="AV237" s="158"/>
      <c r="AW237" s="158"/>
      <c r="AX237" s="158"/>
      <c r="AY237" s="158"/>
      <c r="AZ237" s="158"/>
      <c r="BA237" s="158"/>
      <c r="BB237" s="158"/>
      <c r="BC237" s="158"/>
      <c r="BD237" s="158"/>
      <c r="BE237" s="158"/>
      <c r="BF237" s="158"/>
      <c r="BG237" s="158"/>
      <c r="BH237" s="158"/>
      <c r="BI237" s="158"/>
      <c r="BJ237" s="158"/>
      <c r="BK237" s="158"/>
      <c r="BL237" s="158"/>
      <c r="BM237" s="158"/>
      <c r="BN237" s="158"/>
      <c r="BO237" s="158"/>
      <c r="BP237" s="158"/>
    </row>
    <row r="238" customFormat="false" ht="15" hidden="false" customHeight="false" outlineLevel="0" collapsed="false">
      <c r="C238" s="0" t="s">
        <v>1130</v>
      </c>
      <c r="D238" s="0" t="s">
        <v>125</v>
      </c>
      <c r="E238" s="158"/>
      <c r="F238" s="158"/>
      <c r="G238" s="158"/>
      <c r="H238" s="158" t="n">
        <f aca="false">H236+H237</f>
        <v>1240.51274970613</v>
      </c>
      <c r="I238" s="158" t="n">
        <f aca="false">I236+I237</f>
        <v>2739.14978884726</v>
      </c>
      <c r="J238" s="158" t="n">
        <f aca="false">J236+J237</f>
        <v>4489.14978884726</v>
      </c>
      <c r="K238" s="158" t="n">
        <f aca="false">K236+K237</f>
        <v>6239.14978884726</v>
      </c>
      <c r="L238" s="158" t="n">
        <f aca="false">L236+L237</f>
        <v>7989.14978884726</v>
      </c>
      <c r="M238" s="158" t="n">
        <f aca="false">M236+M237</f>
        <v>9739.14978884726</v>
      </c>
      <c r="N238" s="158" t="n">
        <f aca="false">N236+N237</f>
        <v>11489.1497888473</v>
      </c>
      <c r="O238" s="158"/>
      <c r="P238" s="158"/>
      <c r="Q238" s="158"/>
      <c r="R238" s="158"/>
      <c r="S238" s="158"/>
      <c r="T238" s="158"/>
      <c r="U238" s="158"/>
      <c r="V238" s="158"/>
      <c r="W238" s="158"/>
      <c r="X238" s="158"/>
      <c r="Y238" s="158"/>
      <c r="Z238" s="158"/>
      <c r="AA238" s="158"/>
      <c r="AB238" s="158"/>
      <c r="AC238" s="158"/>
      <c r="AD238" s="158"/>
      <c r="AE238" s="158"/>
      <c r="AF238" s="158"/>
      <c r="AG238" s="158"/>
      <c r="AH238" s="158"/>
      <c r="AI238" s="158"/>
      <c r="AJ238" s="158"/>
      <c r="AK238" s="158"/>
      <c r="AL238" s="158"/>
      <c r="AM238" s="158"/>
      <c r="AN238" s="158"/>
      <c r="AO238" s="158"/>
      <c r="AP238" s="158"/>
      <c r="AQ238" s="158"/>
      <c r="AR238" s="158"/>
      <c r="AS238" s="158"/>
      <c r="AT238" s="158"/>
      <c r="AU238" s="158"/>
      <c r="AV238" s="158"/>
      <c r="AW238" s="158"/>
      <c r="AX238" s="158"/>
      <c r="AY238" s="158"/>
      <c r="AZ238" s="158"/>
      <c r="BA238" s="158"/>
      <c r="BB238" s="158"/>
      <c r="BC238" s="158"/>
      <c r="BD238" s="158"/>
      <c r="BE238" s="158"/>
      <c r="BF238" s="158"/>
      <c r="BG238" s="158"/>
      <c r="BH238" s="158"/>
      <c r="BI238" s="158"/>
      <c r="BJ238" s="158"/>
      <c r="BK238" s="158"/>
      <c r="BL238" s="158"/>
      <c r="BM238" s="158"/>
      <c r="BN238" s="158"/>
      <c r="BO238" s="158"/>
      <c r="BP238" s="158"/>
    </row>
    <row r="239" customFormat="false" ht="15" hidden="false" customHeight="false" outlineLevel="0" collapsed="false">
      <c r="C239" s="0" t="s">
        <v>1130</v>
      </c>
      <c r="D239" s="0" t="s">
        <v>169</v>
      </c>
      <c r="E239" s="158"/>
      <c r="F239" s="158"/>
      <c r="G239" s="158"/>
      <c r="H239" s="146" t="n">
        <f aca="false">H238*Inputs!$E$11/1000</f>
        <v>452.787153642736</v>
      </c>
      <c r="I239" s="146" t="n">
        <f aca="false">I238*Inputs!$E$11/1000</f>
        <v>999.789672929251</v>
      </c>
      <c r="J239" s="146" t="n">
        <f aca="false">J238*Inputs!$E$11/1000</f>
        <v>1638.53967292925</v>
      </c>
      <c r="K239" s="146" t="n">
        <f aca="false">K238*Inputs!$E$11/1000</f>
        <v>2277.28967292925</v>
      </c>
      <c r="L239" s="146" t="n">
        <f aca="false">L238*Inputs!$E$11/1000</f>
        <v>2916.03967292925</v>
      </c>
      <c r="M239" s="146" t="n">
        <f aca="false">M238*Inputs!$E$11/1000</f>
        <v>3554.78967292925</v>
      </c>
      <c r="N239" s="146" t="n">
        <f aca="false">N238*Inputs!$E$11/1000</f>
        <v>4193.53967292925</v>
      </c>
      <c r="O239" s="158"/>
      <c r="P239" s="158"/>
      <c r="Q239" s="158"/>
      <c r="R239" s="158"/>
      <c r="S239" s="158"/>
      <c r="T239" s="158"/>
      <c r="U239" s="158"/>
      <c r="V239" s="158"/>
      <c r="W239" s="158"/>
      <c r="X239" s="158"/>
      <c r="Y239" s="158"/>
      <c r="Z239" s="158"/>
      <c r="AA239" s="158"/>
      <c r="AB239" s="158"/>
      <c r="AC239" s="158"/>
      <c r="AD239" s="158"/>
      <c r="AE239" s="158"/>
      <c r="AF239" s="158"/>
      <c r="AG239" s="158"/>
      <c r="AH239" s="158"/>
      <c r="AI239" s="158"/>
      <c r="AJ239" s="158"/>
      <c r="AK239" s="158"/>
      <c r="AL239" s="158"/>
      <c r="AM239" s="158"/>
      <c r="AN239" s="158"/>
      <c r="AO239" s="158"/>
      <c r="AP239" s="158"/>
      <c r="AQ239" s="158"/>
      <c r="AR239" s="158"/>
      <c r="AS239" s="158"/>
      <c r="AT239" s="158"/>
      <c r="AU239" s="158"/>
      <c r="AV239" s="158"/>
      <c r="AW239" s="158"/>
      <c r="AX239" s="158"/>
      <c r="AY239" s="158"/>
      <c r="AZ239" s="158"/>
      <c r="BA239" s="158"/>
      <c r="BB239" s="158"/>
      <c r="BC239" s="158"/>
      <c r="BD239" s="158"/>
      <c r="BE239" s="158"/>
      <c r="BF239" s="158"/>
      <c r="BG239" s="158"/>
      <c r="BH239" s="158"/>
      <c r="BI239" s="158"/>
      <c r="BJ239" s="158"/>
      <c r="BK239" s="158"/>
      <c r="BL239" s="158"/>
      <c r="BM239" s="158"/>
      <c r="BN239" s="158"/>
      <c r="BO239" s="158"/>
      <c r="BP239" s="158"/>
    </row>
    <row r="240" customFormat="false" ht="15" hidden="false" customHeight="false" outlineLevel="0" collapsed="false">
      <c r="C240" s="0" t="s">
        <v>1133</v>
      </c>
      <c r="D240" s="0" t="s">
        <v>7</v>
      </c>
      <c r="E240" s="158"/>
      <c r="F240" s="158"/>
      <c r="G240" s="158"/>
      <c r="H240" s="162" t="n">
        <f aca="false">IF($G$164=0,"n/a",(H235+H237)/-$G$164)</f>
        <v>1.05284845799465</v>
      </c>
      <c r="I240" s="162" t="n">
        <f aca="false">IF($G$164=0,"n/a",(I235+I237)/-$G$164)</f>
        <v>1.11669355481533</v>
      </c>
      <c r="J240" s="162" t="n">
        <f aca="false">IF($G$164=0,"n/a",(J235+J237)/-$G$164)</f>
        <v>1.19124724361259</v>
      </c>
      <c r="K240" s="162" t="n">
        <f aca="false">IF($G$164=0,"n/a",(K235+K237)/-$G$164)</f>
        <v>1.26580093240986</v>
      </c>
      <c r="L240" s="162" t="n">
        <f aca="false">IF($G$164=0,"n/a",(L235+L237)/-$G$164)</f>
        <v>1.34035462120713</v>
      </c>
      <c r="M240" s="162" t="n">
        <f aca="false">IF($G$164=0,"n/a",(M235+M237)/-$G$164)</f>
        <v>1.4149083100044</v>
      </c>
      <c r="N240" s="162" t="n">
        <f aca="false">IF($G$164=0,"n/a",(N235+N237)/-$G$164)</f>
        <v>1.48946199880166</v>
      </c>
      <c r="O240" s="158"/>
      <c r="P240" s="158"/>
      <c r="Q240" s="158"/>
      <c r="R240" s="158"/>
      <c r="S240" s="158"/>
      <c r="T240" s="158"/>
      <c r="U240" s="158"/>
      <c r="V240" s="158"/>
      <c r="W240" s="158"/>
      <c r="X240" s="158"/>
      <c r="Y240" s="158"/>
      <c r="Z240" s="158"/>
      <c r="AA240" s="158"/>
      <c r="AB240" s="158"/>
      <c r="AC240" s="158"/>
      <c r="AD240" s="158"/>
      <c r="AE240" s="158"/>
      <c r="AF240" s="158"/>
      <c r="AG240" s="158"/>
      <c r="AH240" s="158"/>
      <c r="AI240" s="158"/>
      <c r="AJ240" s="158"/>
      <c r="AK240" s="158"/>
      <c r="AL240" s="158"/>
      <c r="AM240" s="158"/>
      <c r="AN240" s="158"/>
      <c r="AO240" s="158"/>
      <c r="AP240" s="158"/>
      <c r="AQ240" s="158"/>
      <c r="AR240" s="158"/>
      <c r="AS240" s="158"/>
      <c r="AT240" s="158"/>
      <c r="AU240" s="158"/>
      <c r="AV240" s="158"/>
      <c r="AW240" s="158"/>
      <c r="AX240" s="158"/>
      <c r="AY240" s="158"/>
      <c r="AZ240" s="158"/>
      <c r="BA240" s="158"/>
      <c r="BB240" s="158"/>
      <c r="BC240" s="158"/>
      <c r="BD240" s="158"/>
      <c r="BE240" s="158"/>
      <c r="BF240" s="158"/>
      <c r="BG240" s="158"/>
      <c r="BH240" s="158"/>
      <c r="BI240" s="158"/>
      <c r="BJ240" s="158"/>
      <c r="BK240" s="158"/>
      <c r="BL240" s="158"/>
      <c r="BM240" s="158"/>
      <c r="BN240" s="158"/>
      <c r="BO240" s="158"/>
      <c r="BP240" s="158"/>
    </row>
    <row r="241" customFormat="false" ht="15" hidden="false" customHeight="false" outlineLevel="0" collapsed="false">
      <c r="C241" s="0" t="s">
        <v>1163</v>
      </c>
      <c r="D241" s="0" t="s">
        <v>51</v>
      </c>
      <c r="E241" s="158"/>
      <c r="F241" s="158"/>
      <c r="G241" s="158"/>
      <c r="H241" s="141" t="n">
        <f aca="false">IFERROR(XIRR($H245:$BP245,$H$5:$BP$5),"n/a")</f>
        <v>0.0586133162734566</v>
      </c>
      <c r="I241" s="141" t="n">
        <f aca="false">IFERROR(XIRR($H246:$BP246,$H$5:$BP$5),"n/a")</f>
        <v>0.127847563122363</v>
      </c>
      <c r="J241" s="141" t="n">
        <f aca="false">IFERROR(XIRR($H247:$BP247,$H$5:$BP$5),"n/a")</f>
        <v>0.206449260129699</v>
      </c>
      <c r="K241" s="141" t="n">
        <f aca="false">IFERROR(XIRR($H248:$BP248,$H$5:$BP$5),"n/a")</f>
        <v>0.282612203978351</v>
      </c>
      <c r="L241" s="141" t="n">
        <f aca="false">IFERROR(XIRR($H249:$BP249,$H$5:$BP$5),"n/a")</f>
        <v>0.356361728389748</v>
      </c>
      <c r="M241" s="141" t="n">
        <f aca="false">IFERROR(XIRR($H250:$BP250,$H$5:$BP$5),"n/a")</f>
        <v>0.427756113166203</v>
      </c>
      <c r="N241" s="141" t="n">
        <f aca="false">IFERROR(XIRR($H251:$BP251,$H$5:$BP$5),"n/a")</f>
        <v>0.496874854514724</v>
      </c>
      <c r="O241" s="158"/>
      <c r="P241" s="158"/>
      <c r="Q241" s="158"/>
      <c r="R241" s="158"/>
      <c r="S241" s="158"/>
      <c r="T241" s="158"/>
      <c r="U241" s="158"/>
      <c r="V241" s="158"/>
      <c r="W241" s="158"/>
      <c r="X241" s="158"/>
      <c r="Y241" s="158"/>
      <c r="Z241" s="158"/>
      <c r="AA241" s="158"/>
      <c r="AB241" s="158"/>
      <c r="AC241" s="158"/>
      <c r="AD241" s="158"/>
      <c r="AE241" s="158"/>
      <c r="AF241" s="158"/>
      <c r="AG241" s="158"/>
      <c r="AH241" s="158"/>
      <c r="AI241" s="158"/>
      <c r="AJ241" s="158"/>
      <c r="AK241" s="158"/>
      <c r="AL241" s="158"/>
      <c r="AM241" s="158"/>
      <c r="AN241" s="158"/>
      <c r="AO241" s="158"/>
      <c r="AP241" s="158"/>
      <c r="AQ241" s="158"/>
      <c r="AR241" s="158"/>
      <c r="AS241" s="158"/>
      <c r="AT241" s="158"/>
      <c r="AU241" s="158"/>
      <c r="AV241" s="158"/>
      <c r="AW241" s="158"/>
      <c r="AX241" s="158"/>
      <c r="AY241" s="158"/>
      <c r="AZ241" s="158"/>
      <c r="BA241" s="158"/>
      <c r="BB241" s="158"/>
      <c r="BC241" s="158"/>
      <c r="BD241" s="158"/>
      <c r="BE241" s="158"/>
      <c r="BF241" s="158"/>
      <c r="BG241" s="158"/>
      <c r="BH241" s="158"/>
      <c r="BI241" s="158"/>
      <c r="BJ241" s="158"/>
      <c r="BK241" s="158"/>
      <c r="BL241" s="158"/>
      <c r="BM241" s="158"/>
      <c r="BN241" s="158"/>
      <c r="BO241" s="158"/>
      <c r="BP241" s="158"/>
    </row>
    <row r="242" customFormat="false" ht="15" hidden="false" customHeight="false" outlineLevel="0" collapsed="false">
      <c r="C242" s="0" t="s">
        <v>1164</v>
      </c>
      <c r="D242" s="0" t="s">
        <v>125</v>
      </c>
      <c r="E242" s="158"/>
      <c r="F242" s="158"/>
      <c r="G242" s="158"/>
      <c r="H242" s="158" t="n">
        <f aca="false" t="array" ref="H242:H242">SUMPRODUCT($H245:$BP245/(1+Inputs!$E$255)^(($H$5:$BP$5-$H$5)/365))</f>
        <v>-359.566097822109</v>
      </c>
      <c r="I242" s="158" t="n">
        <f aca="false" t="array" ref="I242:I242">SUMPRODUCT($H246:$BP246/(1+Inputs!$E$255)^(($H$5:$BP$5-$H$5)/365))</f>
        <v>814.649204487706</v>
      </c>
      <c r="J242" s="158" t="n">
        <f aca="false" t="array" ref="J242:J242">SUMPRODUCT($H247:$BP247/(1+Inputs!$E$255)^(($H$5:$BP$5-$H$5)/365))</f>
        <v>2185.81295219529</v>
      </c>
      <c r="K242" s="158" t="n">
        <f aca="false" t="array" ref="K242:K242">SUMPRODUCT($H248:$BP248/(1+Inputs!$E$255)^(($H$5:$BP$5-$H$5)/365))</f>
        <v>3556.97669990289</v>
      </c>
      <c r="L242" s="158" t="n">
        <f aca="false" t="array" ref="L242:L242">SUMPRODUCT($H249:$BP249/(1+Inputs!$E$255)^(($H$5:$BP$5-$H$5)/365))</f>
        <v>4928.14044761048</v>
      </c>
      <c r="M242" s="158" t="n">
        <f aca="false" t="array" ref="M242:M242">SUMPRODUCT($H250:$BP250/(1+Inputs!$E$255)^(($H$5:$BP$5-$H$5)/365))</f>
        <v>6299.30419531808</v>
      </c>
      <c r="N242" s="158" t="n">
        <f aca="false" t="array" ref="N242:N242">SUMPRODUCT($H251:$BP251/(1+Inputs!$E$255)^(($H$5:$BP$5-$H$5)/365))</f>
        <v>7670.46794302567</v>
      </c>
      <c r="O242" s="158"/>
      <c r="P242" s="158"/>
      <c r="Q242" s="158"/>
      <c r="R242" s="158"/>
      <c r="S242" s="158"/>
      <c r="T242" s="158"/>
      <c r="U242" s="158"/>
      <c r="V242" s="158"/>
      <c r="W242" s="158"/>
      <c r="X242" s="158"/>
      <c r="Y242" s="158"/>
      <c r="Z242" s="158"/>
      <c r="AA242" s="158"/>
      <c r="AB242" s="158"/>
      <c r="AC242" s="158"/>
      <c r="AD242" s="158"/>
      <c r="AE242" s="158"/>
      <c r="AF242" s="158"/>
      <c r="AG242" s="158"/>
      <c r="AH242" s="158"/>
      <c r="AI242" s="158"/>
      <c r="AJ242" s="158"/>
      <c r="AK242" s="158"/>
      <c r="AL242" s="158"/>
      <c r="AM242" s="158"/>
      <c r="AN242" s="158"/>
      <c r="AO242" s="158"/>
      <c r="AP242" s="158"/>
      <c r="AQ242" s="158"/>
      <c r="AR242" s="158"/>
      <c r="AS242" s="158"/>
      <c r="AT242" s="158"/>
      <c r="AU242" s="158"/>
      <c r="AV242" s="158"/>
      <c r="AW242" s="158"/>
      <c r="AX242" s="158"/>
      <c r="AY242" s="158"/>
      <c r="AZ242" s="158"/>
      <c r="BA242" s="158"/>
      <c r="BB242" s="158"/>
      <c r="BC242" s="158"/>
      <c r="BD242" s="158"/>
      <c r="BE242" s="158"/>
      <c r="BF242" s="158"/>
      <c r="BG242" s="158"/>
      <c r="BH242" s="158"/>
      <c r="BI242" s="158"/>
      <c r="BJ242" s="158"/>
      <c r="BK242" s="158"/>
      <c r="BL242" s="158"/>
      <c r="BM242" s="158"/>
      <c r="BN242" s="158"/>
      <c r="BO242" s="158"/>
      <c r="BP242" s="158"/>
    </row>
    <row r="243" customFormat="false" ht="15" hidden="false" customHeight="false" outlineLevel="0" collapsed="false">
      <c r="C243" s="0" t="s">
        <v>1141</v>
      </c>
      <c r="D243" s="0" t="s">
        <v>7</v>
      </c>
      <c r="E243" s="158"/>
      <c r="F243" s="158"/>
      <c r="G243" s="158"/>
      <c r="H243" s="162" t="n">
        <f aca="false" t="array" ref="H243:H243">IFERROR(H242/-SUMPRODUCT(($H245:$BP245&lt;0)*$H245:$BP245/(1+Inputs!$E$255)^(($H$5:$BP$5-$H$5)/365)),"n/a")</f>
        <v>-0.0182518326146721</v>
      </c>
      <c r="I243" s="162" t="n">
        <f aca="false" t="array" ref="I243:I243">IFERROR(I242/-SUMPRODUCT(($H246:$BP246&lt;0)*$H246:$BP246/(1+Inputs!$E$255)^(($H$5:$BP$5-$H$5)/365)),"n/a")</f>
        <v>0.0413521769990161</v>
      </c>
      <c r="J243" s="162" t="n">
        <f aca="false" t="array" ref="J243:J243">IFERROR(J242/-SUMPRODUCT(($H247:$BP247&lt;0)*$H247:$BP247/(1+Inputs!$E$255)^(($H$5:$BP$5-$H$5)/365)),"n/a")</f>
        <v>0.110953430738035</v>
      </c>
      <c r="K243" s="162" t="n">
        <f aca="false" t="array" ref="K243:K243">IFERROR(K242/-SUMPRODUCT(($H248:$BP248&lt;0)*$H248:$BP248/(1+Inputs!$E$255)^(($H$5:$BP$5-$H$5)/365)),"n/a")</f>
        <v>0.180554684477054</v>
      </c>
      <c r="L243" s="162" t="n">
        <f aca="false" t="array" ref="L243:L243">IFERROR(L242/-SUMPRODUCT(($H249:$BP249&lt;0)*$H249:$BP249/(1+Inputs!$E$255)^(($H$5:$BP$5-$H$5)/365)),"n/a")</f>
        <v>0.250155938216072</v>
      </c>
      <c r="M243" s="162" t="n">
        <f aca="false" t="array" ref="M243:M243">IFERROR(M242/-SUMPRODUCT(($H250:$BP250&lt;0)*$H250:$BP250/(1+Inputs!$E$255)^(($H$5:$BP$5-$H$5)/365)),"n/a")</f>
        <v>0.319757191955091</v>
      </c>
      <c r="N243" s="162" t="n">
        <f aca="false" t="array" ref="N243:N243">IFERROR(N242/-SUMPRODUCT(($H251:$BP251&lt;0)*$H251:$BP251/(1+Inputs!$E$255)^(($H$5:$BP$5-$H$5)/365)),"n/a")</f>
        <v>0.38935844569411</v>
      </c>
      <c r="O243" s="158"/>
      <c r="P243" s="158"/>
      <c r="Q243" s="158"/>
      <c r="R243" s="158"/>
      <c r="S243" s="158"/>
      <c r="T243" s="158"/>
      <c r="U243" s="158"/>
      <c r="V243" s="158"/>
      <c r="W243" s="158"/>
      <c r="X243" s="158"/>
      <c r="Y243" s="158"/>
      <c r="Z243" s="158"/>
      <c r="AA243" s="158"/>
      <c r="AB243" s="158"/>
      <c r="AC243" s="158"/>
      <c r="AD243" s="158"/>
      <c r="AE243" s="158"/>
      <c r="AF243" s="158"/>
      <c r="AG243" s="158"/>
      <c r="AH243" s="158"/>
      <c r="AI243" s="158"/>
      <c r="AJ243" s="158"/>
      <c r="AK243" s="158"/>
      <c r="AL243" s="158"/>
      <c r="AM243" s="158"/>
      <c r="AN243" s="158"/>
      <c r="AO243" s="158"/>
      <c r="AP243" s="158"/>
      <c r="AQ243" s="158"/>
      <c r="AR243" s="158"/>
      <c r="AS243" s="158"/>
      <c r="AT243" s="158"/>
      <c r="AU243" s="158"/>
      <c r="AV243" s="158"/>
      <c r="AW243" s="158"/>
      <c r="AX243" s="158"/>
      <c r="AY243" s="158"/>
      <c r="AZ243" s="158"/>
      <c r="BA243" s="158"/>
      <c r="BB243" s="158"/>
      <c r="BC243" s="158"/>
      <c r="BD243" s="158"/>
      <c r="BE243" s="158"/>
      <c r="BF243" s="158"/>
      <c r="BG243" s="158"/>
      <c r="BH243" s="158"/>
      <c r="BI243" s="158"/>
      <c r="BJ243" s="158"/>
      <c r="BK243" s="158"/>
      <c r="BL243" s="158"/>
      <c r="BM243" s="158"/>
      <c r="BN243" s="158"/>
      <c r="BO243" s="158"/>
      <c r="BP243" s="158"/>
    </row>
    <row r="244" customFormat="false" ht="15" hidden="false" customHeight="false" outlineLevel="0" collapsed="false">
      <c r="C244" s="0" t="s">
        <v>1165</v>
      </c>
      <c r="E244" s="158"/>
      <c r="F244" s="158"/>
      <c r="G244" s="158"/>
      <c r="H244" s="158"/>
      <c r="I244" s="158"/>
      <c r="J244" s="158"/>
      <c r="K244" s="158"/>
      <c r="L244" s="158"/>
      <c r="M244" s="158"/>
      <c r="N244" s="158"/>
      <c r="O244" s="158"/>
      <c r="P244" s="158"/>
      <c r="Q244" s="158"/>
      <c r="R244" s="158"/>
      <c r="S244" s="158"/>
      <c r="T244" s="158"/>
      <c r="U244" s="158"/>
      <c r="V244" s="158"/>
      <c r="W244" s="158"/>
      <c r="X244" s="158"/>
      <c r="Y244" s="158"/>
      <c r="Z244" s="158"/>
      <c r="AA244" s="158"/>
      <c r="AB244" s="158"/>
      <c r="AC244" s="158"/>
      <c r="AD244" s="158"/>
      <c r="AE244" s="158"/>
      <c r="AF244" s="158"/>
      <c r="AG244" s="158"/>
      <c r="AH244" s="158"/>
      <c r="AI244" s="158"/>
      <c r="AJ244" s="158"/>
      <c r="AK244" s="158"/>
      <c r="AL244" s="158"/>
      <c r="AM244" s="158"/>
      <c r="AN244" s="158"/>
      <c r="AO244" s="158"/>
      <c r="AP244" s="158"/>
      <c r="AQ244" s="158"/>
      <c r="AR244" s="158"/>
      <c r="AS244" s="158"/>
      <c r="AT244" s="158"/>
      <c r="AU244" s="158"/>
      <c r="AV244" s="158"/>
      <c r="AW244" s="158"/>
      <c r="AX244" s="158"/>
      <c r="AY244" s="158"/>
      <c r="AZ244" s="158"/>
      <c r="BA244" s="158"/>
      <c r="BB244" s="158"/>
      <c r="BC244" s="158"/>
      <c r="BD244" s="158"/>
      <c r="BE244" s="158"/>
      <c r="BF244" s="158"/>
      <c r="BG244" s="158"/>
      <c r="BH244" s="158"/>
      <c r="BI244" s="158"/>
      <c r="BJ244" s="158"/>
      <c r="BK244" s="158"/>
      <c r="BL244" s="158"/>
      <c r="BM244" s="158"/>
      <c r="BN244" s="158"/>
      <c r="BO244" s="158"/>
      <c r="BP244" s="158"/>
    </row>
    <row r="245" customFormat="false" ht="15" hidden="false" customHeight="false" outlineLevel="0" collapsed="false">
      <c r="C245" s="0" t="s">
        <v>1166</v>
      </c>
      <c r="D245" s="0" t="s">
        <v>125</v>
      </c>
      <c r="E245" s="158"/>
      <c r="F245" s="158"/>
      <c r="G245" s="158" t="n">
        <f aca="false">SUM(H245:BP245)</f>
        <v>1240.51274970613</v>
      </c>
      <c r="H245" s="158" t="n">
        <f aca="false">H$164+H$7*(INDEX($H$235:$N$235,1)+INDEX($H$237:$N$237,1))</f>
        <v>-200</v>
      </c>
      <c r="I245" s="158" t="n">
        <f aca="false">I$164+I$7*(INDEX($H$235:$N$235,1)+INDEX($H$237:$N$237,1))</f>
        <v>0</v>
      </c>
      <c r="J245" s="158" t="n">
        <f aca="false">J$164+J$7*(INDEX($H$235:$N$235,1)+INDEX($H$237:$N$237,1))</f>
        <v>0</v>
      </c>
      <c r="K245" s="158" t="n">
        <f aca="false">K$164+K$7*(INDEX($H$235:$N$235,1)+INDEX($H$237:$N$237,1))</f>
        <v>-102.683676416142</v>
      </c>
      <c r="L245" s="158" t="n">
        <f aca="false">L$164+L$7*(INDEX($H$235:$N$235,1)+INDEX($H$237:$N$237,1))</f>
        <v>-5.84287671232877</v>
      </c>
      <c r="M245" s="158" t="n">
        <f aca="false">M$164+M$7*(INDEX($H$235:$N$235,1)+INDEX($H$237:$N$237,1))</f>
        <v>-1262.09109589041</v>
      </c>
      <c r="N245" s="158" t="n">
        <f aca="false">N$164+N$7*(INDEX($H$235:$N$235,1)+INDEX($H$237:$N$237,1))</f>
        <v>-34.0792484265087</v>
      </c>
      <c r="O245" s="158" t="n">
        <f aca="false">O$164+O$7*(INDEX($H$235:$N$235,1)+INDEX($H$237:$N$237,1))</f>
        <v>-118.661005183265</v>
      </c>
      <c r="P245" s="158" t="n">
        <f aca="false">P$164+P$7*(INDEX($H$235:$N$235,1)+INDEX($H$237:$N$237,1))</f>
        <v>-228.214383561644</v>
      </c>
      <c r="Q245" s="158" t="n">
        <f aca="false">Q$164+Q$7*(INDEX($H$235:$N$235,1)+INDEX($H$237:$N$237,1))</f>
        <v>-29.2143835616438</v>
      </c>
      <c r="R245" s="158" t="n">
        <f aca="false">R$164+R$7*(INDEX($H$235:$N$235,1)+INDEX($H$237:$N$237,1))</f>
        <v>-29.2143835616438</v>
      </c>
      <c r="S245" s="158" t="n">
        <f aca="false">S$164+S$7*(INDEX($H$235:$N$235,1)+INDEX($H$237:$N$237,1))</f>
        <v>-50.8360051832655</v>
      </c>
      <c r="T245" s="158" t="n">
        <f aca="false">T$164+T$7*(INDEX($H$235:$N$235,1)+INDEX($H$237:$N$237,1))</f>
        <v>-50.8360051832655</v>
      </c>
      <c r="U245" s="158" t="n">
        <f aca="false">U$164+U$7*(INDEX($H$235:$N$235,1)+INDEX($H$237:$N$237,1))</f>
        <v>-29.2143835616438</v>
      </c>
      <c r="V245" s="158" t="n">
        <f aca="false">V$164+V$7*(INDEX($H$235:$N$235,1)+INDEX($H$237:$N$237,1))</f>
        <v>-29.2143835616438</v>
      </c>
      <c r="W245" s="158" t="n">
        <f aca="false">W$164+W$7*(INDEX($H$235:$N$235,1)+INDEX($H$237:$N$237,1))</f>
        <v>-29.2143835616438</v>
      </c>
      <c r="X245" s="158" t="n">
        <f aca="false">X$164+X$7*(INDEX($H$235:$N$235,1)+INDEX($H$237:$N$237,1))</f>
        <v>-49.4846538319141</v>
      </c>
      <c r="Y245" s="158" t="n">
        <f aca="false">Y$164+Y$7*(INDEX($H$235:$N$235,1)+INDEX($H$237:$N$237,1))</f>
        <v>-100.554924102184</v>
      </c>
      <c r="Z245" s="158" t="n">
        <f aca="false">Z$164+Z$7*(INDEX($H$235:$N$235,1)+INDEX($H$237:$N$237,1))</f>
        <v>-506.586349915753</v>
      </c>
      <c r="AA245" s="158" t="n">
        <f aca="false">AA$164+AA$7*(INDEX($H$235:$N$235,1)+INDEX($H$237:$N$237,1))</f>
        <v>-144.079248426509</v>
      </c>
      <c r="AB245" s="158" t="n">
        <f aca="false">AB$164+AB$7*(INDEX($H$235:$N$235,1)+INDEX($H$237:$N$237,1))</f>
        <v>-73.2819511292114</v>
      </c>
      <c r="AC245" s="158" t="n">
        <f aca="false">AC$164+AC$7*(INDEX($H$235:$N$235,1)+INDEX($H$237:$N$237,1))</f>
        <v>-29.2684376156979</v>
      </c>
      <c r="AD245" s="158" t="n">
        <f aca="false">AD$164+AD$7*(INDEX($H$235:$N$235,1)+INDEX($H$237:$N$237,1))</f>
        <v>-29.2143835616438</v>
      </c>
      <c r="AE245" s="158" t="n">
        <f aca="false">AE$164+AE$7*(INDEX($H$235:$N$235,1)+INDEX($H$237:$N$237,1))</f>
        <v>-31.4643835616438</v>
      </c>
      <c r="AF245" s="158" t="n">
        <f aca="false">AF$164+AF$7*(INDEX($H$235:$N$235,1)+INDEX($H$237:$N$237,1))</f>
        <v>-29.2143835616438</v>
      </c>
      <c r="AG245" s="158" t="n">
        <f aca="false">AG$164+AG$7*(INDEX($H$235:$N$235,1)+INDEX($H$237:$N$237,1))</f>
        <v>-110.151412133072</v>
      </c>
      <c r="AH245" s="158" t="n">
        <f aca="false">AH$164+AH$7*(INDEX($H$235:$N$235,1)+INDEX($H$237:$N$237,1))</f>
        <v>-29.2143835616438</v>
      </c>
      <c r="AI245" s="158" t="n">
        <f aca="false">AI$164+AI$7*(INDEX($H$235:$N$235,1)+INDEX($H$237:$N$237,1))</f>
        <v>-29.2143835616438</v>
      </c>
      <c r="AJ245" s="158" t="n">
        <f aca="false">AJ$164+AJ$7*(INDEX($H$235:$N$235,1)+INDEX($H$237:$N$237,1))</f>
        <v>-45.4305997778601</v>
      </c>
      <c r="AK245" s="158" t="n">
        <f aca="false">AK$164+AK$7*(INDEX($H$235:$N$235,1)+INDEX($H$237:$N$237,1))</f>
        <v>-170.31821437593</v>
      </c>
      <c r="AL245" s="158" t="n">
        <f aca="false">AL$164+AL$7*(INDEX($H$235:$N$235,1)+INDEX($H$237:$N$237,1))</f>
        <v>-19539.2647037394</v>
      </c>
      <c r="AM245" s="158" t="n">
        <f aca="false">AM$164+AM$7*(INDEX($H$235:$N$235,1)+INDEX($H$237:$N$237,1))</f>
        <v>-29.2143835616438</v>
      </c>
      <c r="AN245" s="158" t="n">
        <f aca="false">AN$164+AN$7*(INDEX($H$235:$N$235,1)+INDEX($H$237:$N$237,1))</f>
        <v>-152.457626804887</v>
      </c>
      <c r="AO245" s="158" t="n">
        <f aca="false">AO$164+AO$7*(INDEX($H$235:$N$235,1)+INDEX($H$237:$N$237,1))</f>
        <v>-29.2143835616438</v>
      </c>
      <c r="AP245" s="158" t="n">
        <f aca="false">AP$164+AP$7*(INDEX($H$235:$N$235,1)+INDEX($H$237:$N$237,1))</f>
        <v>-29.2143835616438</v>
      </c>
      <c r="AQ245" s="158" t="n">
        <f aca="false">AQ$164+AQ$7*(INDEX($H$235:$N$235,1)+INDEX($H$237:$N$237,1))</f>
        <v>-29.2143835616438</v>
      </c>
      <c r="AR245" s="158" t="n">
        <f aca="false">AR$164+AR$7*(INDEX($H$235:$N$235,1)+INDEX($H$237:$N$237,1))</f>
        <v>-29.2143835616438</v>
      </c>
      <c r="AS245" s="158" t="n">
        <f aca="false">AS$164+AS$7*(INDEX($H$235:$N$235,1)+INDEX($H$237:$N$237,1))</f>
        <v>-29.2143835616438</v>
      </c>
      <c r="AT245" s="158" t="n">
        <f aca="false">AT$164+AT$7*(INDEX($H$235:$N$235,1)+INDEX($H$237:$N$237,1))</f>
        <v>24684.3153051016</v>
      </c>
      <c r="AU245" s="158" t="n">
        <f aca="false">AU$164+AU$7*(INDEX($H$235:$N$235,1)+INDEX($H$237:$N$237,1))</f>
        <v>0</v>
      </c>
      <c r="AV245" s="158" t="n">
        <f aca="false">AV$164+AV$7*(INDEX($H$235:$N$235,1)+INDEX($H$237:$N$237,1))</f>
        <v>0</v>
      </c>
      <c r="AW245" s="158" t="n">
        <f aca="false">AW$164+AW$7*(INDEX($H$235:$N$235,1)+INDEX($H$237:$N$237,1))</f>
        <v>0</v>
      </c>
      <c r="AX245" s="158" t="n">
        <f aca="false">AX$164+AX$7*(INDEX($H$235:$N$235,1)+INDEX($H$237:$N$237,1))</f>
        <v>0</v>
      </c>
      <c r="AY245" s="158" t="n">
        <f aca="false">AY$164+AY$7*(INDEX($H$235:$N$235,1)+INDEX($H$237:$N$237,1))</f>
        <v>0</v>
      </c>
      <c r="AZ245" s="158" t="n">
        <f aca="false">AZ$164+AZ$7*(INDEX($H$235:$N$235,1)+INDEX($H$237:$N$237,1))</f>
        <v>0</v>
      </c>
      <c r="BA245" s="158" t="n">
        <f aca="false">BA$164+BA$7*(INDEX($H$235:$N$235,1)+INDEX($H$237:$N$237,1))</f>
        <v>0</v>
      </c>
      <c r="BB245" s="158" t="n">
        <f aca="false">BB$164+BB$7*(INDEX($H$235:$N$235,1)+INDEX($H$237:$N$237,1))</f>
        <v>0</v>
      </c>
      <c r="BC245" s="158" t="n">
        <f aca="false">BC$164+BC$7*(INDEX($H$235:$N$235,1)+INDEX($H$237:$N$237,1))</f>
        <v>0</v>
      </c>
      <c r="BD245" s="158" t="n">
        <f aca="false">BD$164+BD$7*(INDEX($H$235:$N$235,1)+INDEX($H$237:$N$237,1))</f>
        <v>0</v>
      </c>
      <c r="BE245" s="158" t="n">
        <f aca="false">BE$164+BE$7*(INDEX($H$235:$N$235,1)+INDEX($H$237:$N$237,1))</f>
        <v>0</v>
      </c>
      <c r="BF245" s="158" t="n">
        <f aca="false">BF$164+BF$7*(INDEX($H$235:$N$235,1)+INDEX($H$237:$N$237,1))</f>
        <v>0</v>
      </c>
      <c r="BG245" s="158" t="n">
        <f aca="false">BG$164+BG$7*(INDEX($H$235:$N$235,1)+INDEX($H$237:$N$237,1))</f>
        <v>0</v>
      </c>
      <c r="BH245" s="158" t="n">
        <f aca="false">BH$164+BH$7*(INDEX($H$235:$N$235,1)+INDEX($H$237:$N$237,1))</f>
        <v>0</v>
      </c>
      <c r="BI245" s="158" t="n">
        <f aca="false">BI$164+BI$7*(INDEX($H$235:$N$235,1)+INDEX($H$237:$N$237,1))</f>
        <v>0</v>
      </c>
      <c r="BJ245" s="158" t="n">
        <f aca="false">BJ$164+BJ$7*(INDEX($H$235:$N$235,1)+INDEX($H$237:$N$237,1))</f>
        <v>0</v>
      </c>
      <c r="BK245" s="158" t="n">
        <f aca="false">BK$164+BK$7*(INDEX($H$235:$N$235,1)+INDEX($H$237:$N$237,1))</f>
        <v>0</v>
      </c>
      <c r="BL245" s="158" t="n">
        <f aca="false">BL$164+BL$7*(INDEX($H$235:$N$235,1)+INDEX($H$237:$N$237,1))</f>
        <v>0</v>
      </c>
      <c r="BM245" s="158" t="n">
        <f aca="false">BM$164+BM$7*(INDEX($H$235:$N$235,1)+INDEX($H$237:$N$237,1))</f>
        <v>0</v>
      </c>
      <c r="BN245" s="158" t="n">
        <f aca="false">BN$164+BN$7*(INDEX($H$235:$N$235,1)+INDEX($H$237:$N$237,1))</f>
        <v>0</v>
      </c>
      <c r="BO245" s="158" t="n">
        <f aca="false">BO$164+BO$7*(INDEX($H$235:$N$235,1)+INDEX($H$237:$N$237,1))</f>
        <v>0</v>
      </c>
      <c r="BP245" s="158" t="n">
        <f aca="false">BP$164+BP$7*(INDEX($H$235:$N$235,1)+INDEX($H$237:$N$237,1))</f>
        <v>0</v>
      </c>
    </row>
    <row r="246" customFormat="false" ht="15" hidden="false" customHeight="false" outlineLevel="0" collapsed="false">
      <c r="C246" s="0" t="s">
        <v>1167</v>
      </c>
      <c r="D246" s="0" t="s">
        <v>125</v>
      </c>
      <c r="E246" s="158"/>
      <c r="F246" s="158"/>
      <c r="G246" s="158" t="n">
        <f aca="false">SUM(H246:BP246)</f>
        <v>2739.14978884726</v>
      </c>
      <c r="H246" s="158" t="n">
        <f aca="false">H$164+H$7*(INDEX($H$235:$N$235,2)+INDEX($H$237:$N$237,2))</f>
        <v>-200</v>
      </c>
      <c r="I246" s="158" t="n">
        <f aca="false">I$164+I$7*(INDEX($H$235:$N$235,2)+INDEX($H$237:$N$237,2))</f>
        <v>0</v>
      </c>
      <c r="J246" s="158" t="n">
        <f aca="false">J$164+J$7*(INDEX($H$235:$N$235,2)+INDEX($H$237:$N$237,2))</f>
        <v>0</v>
      </c>
      <c r="K246" s="158" t="n">
        <f aca="false">K$164+K$7*(INDEX($H$235:$N$235,2)+INDEX($H$237:$N$237,2))</f>
        <v>-102.683676416142</v>
      </c>
      <c r="L246" s="158" t="n">
        <f aca="false">L$164+L$7*(INDEX($H$235:$N$235,2)+INDEX($H$237:$N$237,2))</f>
        <v>-5.84287671232877</v>
      </c>
      <c r="M246" s="158" t="n">
        <f aca="false">M$164+M$7*(INDEX($H$235:$N$235,2)+INDEX($H$237:$N$237,2))</f>
        <v>-1262.09109589041</v>
      </c>
      <c r="N246" s="158" t="n">
        <f aca="false">N$164+N$7*(INDEX($H$235:$N$235,2)+INDEX($H$237:$N$237,2))</f>
        <v>-34.0792484265087</v>
      </c>
      <c r="O246" s="158" t="n">
        <f aca="false">O$164+O$7*(INDEX($H$235:$N$235,2)+INDEX($H$237:$N$237,2))</f>
        <v>-118.661005183265</v>
      </c>
      <c r="P246" s="158" t="n">
        <f aca="false">P$164+P$7*(INDEX($H$235:$N$235,2)+INDEX($H$237:$N$237,2))</f>
        <v>-228.214383561644</v>
      </c>
      <c r="Q246" s="158" t="n">
        <f aca="false">Q$164+Q$7*(INDEX($H$235:$N$235,2)+INDEX($H$237:$N$237,2))</f>
        <v>-29.2143835616438</v>
      </c>
      <c r="R246" s="158" t="n">
        <f aca="false">R$164+R$7*(INDEX($H$235:$N$235,2)+INDEX($H$237:$N$237,2))</f>
        <v>-29.2143835616438</v>
      </c>
      <c r="S246" s="158" t="n">
        <f aca="false">S$164+S$7*(INDEX($H$235:$N$235,2)+INDEX($H$237:$N$237,2))</f>
        <v>-50.8360051832655</v>
      </c>
      <c r="T246" s="158" t="n">
        <f aca="false">T$164+T$7*(INDEX($H$235:$N$235,2)+INDEX($H$237:$N$237,2))</f>
        <v>-50.8360051832655</v>
      </c>
      <c r="U246" s="158" t="n">
        <f aca="false">U$164+U$7*(INDEX($H$235:$N$235,2)+INDEX($H$237:$N$237,2))</f>
        <v>-29.2143835616438</v>
      </c>
      <c r="V246" s="158" t="n">
        <f aca="false">V$164+V$7*(INDEX($H$235:$N$235,2)+INDEX($H$237:$N$237,2))</f>
        <v>-29.2143835616438</v>
      </c>
      <c r="W246" s="158" t="n">
        <f aca="false">W$164+W$7*(INDEX($H$235:$N$235,2)+INDEX($H$237:$N$237,2))</f>
        <v>-29.2143835616438</v>
      </c>
      <c r="X246" s="158" t="n">
        <f aca="false">X$164+X$7*(INDEX($H$235:$N$235,2)+INDEX($H$237:$N$237,2))</f>
        <v>-49.4846538319141</v>
      </c>
      <c r="Y246" s="158" t="n">
        <f aca="false">Y$164+Y$7*(INDEX($H$235:$N$235,2)+INDEX($H$237:$N$237,2))</f>
        <v>-100.554924102184</v>
      </c>
      <c r="Z246" s="158" t="n">
        <f aca="false">Z$164+Z$7*(INDEX($H$235:$N$235,2)+INDEX($H$237:$N$237,2))</f>
        <v>-506.586349915753</v>
      </c>
      <c r="AA246" s="158" t="n">
        <f aca="false">AA$164+AA$7*(INDEX($H$235:$N$235,2)+INDEX($H$237:$N$237,2))</f>
        <v>-144.079248426509</v>
      </c>
      <c r="AB246" s="158" t="n">
        <f aca="false">AB$164+AB$7*(INDEX($H$235:$N$235,2)+INDEX($H$237:$N$237,2))</f>
        <v>-73.2819511292114</v>
      </c>
      <c r="AC246" s="158" t="n">
        <f aca="false">AC$164+AC$7*(INDEX($H$235:$N$235,2)+INDEX($H$237:$N$237,2))</f>
        <v>-29.2684376156979</v>
      </c>
      <c r="AD246" s="158" t="n">
        <f aca="false">AD$164+AD$7*(INDEX($H$235:$N$235,2)+INDEX($H$237:$N$237,2))</f>
        <v>-29.2143835616438</v>
      </c>
      <c r="AE246" s="158" t="n">
        <f aca="false">AE$164+AE$7*(INDEX($H$235:$N$235,2)+INDEX($H$237:$N$237,2))</f>
        <v>-31.4643835616438</v>
      </c>
      <c r="AF246" s="158" t="n">
        <f aca="false">AF$164+AF$7*(INDEX($H$235:$N$235,2)+INDEX($H$237:$N$237,2))</f>
        <v>-29.2143835616438</v>
      </c>
      <c r="AG246" s="158" t="n">
        <f aca="false">AG$164+AG$7*(INDEX($H$235:$N$235,2)+INDEX($H$237:$N$237,2))</f>
        <v>-110.151412133072</v>
      </c>
      <c r="AH246" s="158" t="n">
        <f aca="false">AH$164+AH$7*(INDEX($H$235:$N$235,2)+INDEX($H$237:$N$237,2))</f>
        <v>-29.2143835616438</v>
      </c>
      <c r="AI246" s="158" t="n">
        <f aca="false">AI$164+AI$7*(INDEX($H$235:$N$235,2)+INDEX($H$237:$N$237,2))</f>
        <v>-29.2143835616438</v>
      </c>
      <c r="AJ246" s="158" t="n">
        <f aca="false">AJ$164+AJ$7*(INDEX($H$235:$N$235,2)+INDEX($H$237:$N$237,2))</f>
        <v>-45.4305997778601</v>
      </c>
      <c r="AK246" s="158" t="n">
        <f aca="false">AK$164+AK$7*(INDEX($H$235:$N$235,2)+INDEX($H$237:$N$237,2))</f>
        <v>-170.31821437593</v>
      </c>
      <c r="AL246" s="158" t="n">
        <f aca="false">AL$164+AL$7*(INDEX($H$235:$N$235,2)+INDEX($H$237:$N$237,2))</f>
        <v>-19539.2647037394</v>
      </c>
      <c r="AM246" s="158" t="n">
        <f aca="false">AM$164+AM$7*(INDEX($H$235:$N$235,2)+INDEX($H$237:$N$237,2))</f>
        <v>-29.2143835616438</v>
      </c>
      <c r="AN246" s="158" t="n">
        <f aca="false">AN$164+AN$7*(INDEX($H$235:$N$235,2)+INDEX($H$237:$N$237,2))</f>
        <v>-152.457626804887</v>
      </c>
      <c r="AO246" s="158" t="n">
        <f aca="false">AO$164+AO$7*(INDEX($H$235:$N$235,2)+INDEX($H$237:$N$237,2))</f>
        <v>-29.2143835616438</v>
      </c>
      <c r="AP246" s="158" t="n">
        <f aca="false">AP$164+AP$7*(INDEX($H$235:$N$235,2)+INDEX($H$237:$N$237,2))</f>
        <v>-29.2143835616438</v>
      </c>
      <c r="AQ246" s="158" t="n">
        <f aca="false">AQ$164+AQ$7*(INDEX($H$235:$N$235,2)+INDEX($H$237:$N$237,2))</f>
        <v>-29.2143835616438</v>
      </c>
      <c r="AR246" s="158" t="n">
        <f aca="false">AR$164+AR$7*(INDEX($H$235:$N$235,2)+INDEX($H$237:$N$237,2))</f>
        <v>-29.2143835616438</v>
      </c>
      <c r="AS246" s="158" t="n">
        <f aca="false">AS$164+AS$7*(INDEX($H$235:$N$235,2)+INDEX($H$237:$N$237,2))</f>
        <v>-29.2143835616438</v>
      </c>
      <c r="AT246" s="158" t="n">
        <f aca="false">AT$164+AT$7*(INDEX($H$235:$N$235,2)+INDEX($H$237:$N$237,2))</f>
        <v>26182.9523442428</v>
      </c>
      <c r="AU246" s="158" t="n">
        <f aca="false">AU$164+AU$7*(INDEX($H$235:$N$235,2)+INDEX($H$237:$N$237,2))</f>
        <v>0</v>
      </c>
      <c r="AV246" s="158" t="n">
        <f aca="false">AV$164+AV$7*(INDEX($H$235:$N$235,2)+INDEX($H$237:$N$237,2))</f>
        <v>0</v>
      </c>
      <c r="AW246" s="158" t="n">
        <f aca="false">AW$164+AW$7*(INDEX($H$235:$N$235,2)+INDEX($H$237:$N$237,2))</f>
        <v>0</v>
      </c>
      <c r="AX246" s="158" t="n">
        <f aca="false">AX$164+AX$7*(INDEX($H$235:$N$235,2)+INDEX($H$237:$N$237,2))</f>
        <v>0</v>
      </c>
      <c r="AY246" s="158" t="n">
        <f aca="false">AY$164+AY$7*(INDEX($H$235:$N$235,2)+INDEX($H$237:$N$237,2))</f>
        <v>0</v>
      </c>
      <c r="AZ246" s="158" t="n">
        <f aca="false">AZ$164+AZ$7*(INDEX($H$235:$N$235,2)+INDEX($H$237:$N$237,2))</f>
        <v>0</v>
      </c>
      <c r="BA246" s="158" t="n">
        <f aca="false">BA$164+BA$7*(INDEX($H$235:$N$235,2)+INDEX($H$237:$N$237,2))</f>
        <v>0</v>
      </c>
      <c r="BB246" s="158" t="n">
        <f aca="false">BB$164+BB$7*(INDEX($H$235:$N$235,2)+INDEX($H$237:$N$237,2))</f>
        <v>0</v>
      </c>
      <c r="BC246" s="158" t="n">
        <f aca="false">BC$164+BC$7*(INDEX($H$235:$N$235,2)+INDEX($H$237:$N$237,2))</f>
        <v>0</v>
      </c>
      <c r="BD246" s="158" t="n">
        <f aca="false">BD$164+BD$7*(INDEX($H$235:$N$235,2)+INDEX($H$237:$N$237,2))</f>
        <v>0</v>
      </c>
      <c r="BE246" s="158" t="n">
        <f aca="false">BE$164+BE$7*(INDEX($H$235:$N$235,2)+INDEX($H$237:$N$237,2))</f>
        <v>0</v>
      </c>
      <c r="BF246" s="158" t="n">
        <f aca="false">BF$164+BF$7*(INDEX($H$235:$N$235,2)+INDEX($H$237:$N$237,2))</f>
        <v>0</v>
      </c>
      <c r="BG246" s="158" t="n">
        <f aca="false">BG$164+BG$7*(INDEX($H$235:$N$235,2)+INDEX($H$237:$N$237,2))</f>
        <v>0</v>
      </c>
      <c r="BH246" s="158" t="n">
        <f aca="false">BH$164+BH$7*(INDEX($H$235:$N$235,2)+INDEX($H$237:$N$237,2))</f>
        <v>0</v>
      </c>
      <c r="BI246" s="158" t="n">
        <f aca="false">BI$164+BI$7*(INDEX($H$235:$N$235,2)+INDEX($H$237:$N$237,2))</f>
        <v>0</v>
      </c>
      <c r="BJ246" s="158" t="n">
        <f aca="false">BJ$164+BJ$7*(INDEX($H$235:$N$235,2)+INDEX($H$237:$N$237,2))</f>
        <v>0</v>
      </c>
      <c r="BK246" s="158" t="n">
        <f aca="false">BK$164+BK$7*(INDEX($H$235:$N$235,2)+INDEX($H$237:$N$237,2))</f>
        <v>0</v>
      </c>
      <c r="BL246" s="158" t="n">
        <f aca="false">BL$164+BL$7*(INDEX($H$235:$N$235,2)+INDEX($H$237:$N$237,2))</f>
        <v>0</v>
      </c>
      <c r="BM246" s="158" t="n">
        <f aca="false">BM$164+BM$7*(INDEX($H$235:$N$235,2)+INDEX($H$237:$N$237,2))</f>
        <v>0</v>
      </c>
      <c r="BN246" s="158" t="n">
        <f aca="false">BN$164+BN$7*(INDEX($H$235:$N$235,2)+INDEX($H$237:$N$237,2))</f>
        <v>0</v>
      </c>
      <c r="BO246" s="158" t="n">
        <f aca="false">BO$164+BO$7*(INDEX($H$235:$N$235,2)+INDEX($H$237:$N$237,2))</f>
        <v>0</v>
      </c>
      <c r="BP246" s="158" t="n">
        <f aca="false">BP$164+BP$7*(INDEX($H$235:$N$235,2)+INDEX($H$237:$N$237,2))</f>
        <v>0</v>
      </c>
    </row>
    <row r="247" customFormat="false" ht="15" hidden="false" customHeight="false" outlineLevel="0" collapsed="false">
      <c r="C247" s="0" t="s">
        <v>1168</v>
      </c>
      <c r="D247" s="0" t="s">
        <v>125</v>
      </c>
      <c r="E247" s="158"/>
      <c r="F247" s="158"/>
      <c r="G247" s="158" t="n">
        <f aca="false">SUM(H247:BP247)</f>
        <v>4489.14978884726</v>
      </c>
      <c r="H247" s="158" t="n">
        <f aca="false">H$164+H$7*(INDEX($H$235:$N$235,3)+INDEX($H$237:$N$237,3))</f>
        <v>-200</v>
      </c>
      <c r="I247" s="158" t="n">
        <f aca="false">I$164+I$7*(INDEX($H$235:$N$235,3)+INDEX($H$237:$N$237,3))</f>
        <v>0</v>
      </c>
      <c r="J247" s="158" t="n">
        <f aca="false">J$164+J$7*(INDEX($H$235:$N$235,3)+INDEX($H$237:$N$237,3))</f>
        <v>0</v>
      </c>
      <c r="K247" s="158" t="n">
        <f aca="false">K$164+K$7*(INDEX($H$235:$N$235,3)+INDEX($H$237:$N$237,3))</f>
        <v>-102.683676416142</v>
      </c>
      <c r="L247" s="158" t="n">
        <f aca="false">L$164+L$7*(INDEX($H$235:$N$235,3)+INDEX($H$237:$N$237,3))</f>
        <v>-5.84287671232877</v>
      </c>
      <c r="M247" s="158" t="n">
        <f aca="false">M$164+M$7*(INDEX($H$235:$N$235,3)+INDEX($H$237:$N$237,3))</f>
        <v>-1262.09109589041</v>
      </c>
      <c r="N247" s="158" t="n">
        <f aca="false">N$164+N$7*(INDEX($H$235:$N$235,3)+INDEX($H$237:$N$237,3))</f>
        <v>-34.0792484265087</v>
      </c>
      <c r="O247" s="158" t="n">
        <f aca="false">O$164+O$7*(INDEX($H$235:$N$235,3)+INDEX($H$237:$N$237,3))</f>
        <v>-118.661005183265</v>
      </c>
      <c r="P247" s="158" t="n">
        <f aca="false">P$164+P$7*(INDEX($H$235:$N$235,3)+INDEX($H$237:$N$237,3))</f>
        <v>-228.214383561644</v>
      </c>
      <c r="Q247" s="158" t="n">
        <f aca="false">Q$164+Q$7*(INDEX($H$235:$N$235,3)+INDEX($H$237:$N$237,3))</f>
        <v>-29.2143835616438</v>
      </c>
      <c r="R247" s="158" t="n">
        <f aca="false">R$164+R$7*(INDEX($H$235:$N$235,3)+INDEX($H$237:$N$237,3))</f>
        <v>-29.2143835616438</v>
      </c>
      <c r="S247" s="158" t="n">
        <f aca="false">S$164+S$7*(INDEX($H$235:$N$235,3)+INDEX($H$237:$N$237,3))</f>
        <v>-50.8360051832655</v>
      </c>
      <c r="T247" s="158" t="n">
        <f aca="false">T$164+T$7*(INDEX($H$235:$N$235,3)+INDEX($H$237:$N$237,3))</f>
        <v>-50.8360051832655</v>
      </c>
      <c r="U247" s="158" t="n">
        <f aca="false">U$164+U$7*(INDEX($H$235:$N$235,3)+INDEX($H$237:$N$237,3))</f>
        <v>-29.2143835616438</v>
      </c>
      <c r="V247" s="158" t="n">
        <f aca="false">V$164+V$7*(INDEX($H$235:$N$235,3)+INDEX($H$237:$N$237,3))</f>
        <v>-29.2143835616438</v>
      </c>
      <c r="W247" s="158" t="n">
        <f aca="false">W$164+W$7*(INDEX($H$235:$N$235,3)+INDEX($H$237:$N$237,3))</f>
        <v>-29.2143835616438</v>
      </c>
      <c r="X247" s="158" t="n">
        <f aca="false">X$164+X$7*(INDEX($H$235:$N$235,3)+INDEX($H$237:$N$237,3))</f>
        <v>-49.4846538319141</v>
      </c>
      <c r="Y247" s="158" t="n">
        <f aca="false">Y$164+Y$7*(INDEX($H$235:$N$235,3)+INDEX($H$237:$N$237,3))</f>
        <v>-100.554924102184</v>
      </c>
      <c r="Z247" s="158" t="n">
        <f aca="false">Z$164+Z$7*(INDEX($H$235:$N$235,3)+INDEX($H$237:$N$237,3))</f>
        <v>-506.586349915753</v>
      </c>
      <c r="AA247" s="158" t="n">
        <f aca="false">AA$164+AA$7*(INDEX($H$235:$N$235,3)+INDEX($H$237:$N$237,3))</f>
        <v>-144.079248426509</v>
      </c>
      <c r="AB247" s="158" t="n">
        <f aca="false">AB$164+AB$7*(INDEX($H$235:$N$235,3)+INDEX($H$237:$N$237,3))</f>
        <v>-73.2819511292114</v>
      </c>
      <c r="AC247" s="158" t="n">
        <f aca="false">AC$164+AC$7*(INDEX($H$235:$N$235,3)+INDEX($H$237:$N$237,3))</f>
        <v>-29.2684376156979</v>
      </c>
      <c r="AD247" s="158" t="n">
        <f aca="false">AD$164+AD$7*(INDEX($H$235:$N$235,3)+INDEX($H$237:$N$237,3))</f>
        <v>-29.2143835616438</v>
      </c>
      <c r="AE247" s="158" t="n">
        <f aca="false">AE$164+AE$7*(INDEX($H$235:$N$235,3)+INDEX($H$237:$N$237,3))</f>
        <v>-31.4643835616438</v>
      </c>
      <c r="AF247" s="158" t="n">
        <f aca="false">AF$164+AF$7*(INDEX($H$235:$N$235,3)+INDEX($H$237:$N$237,3))</f>
        <v>-29.2143835616438</v>
      </c>
      <c r="AG247" s="158" t="n">
        <f aca="false">AG$164+AG$7*(INDEX($H$235:$N$235,3)+INDEX($H$237:$N$237,3))</f>
        <v>-110.151412133072</v>
      </c>
      <c r="AH247" s="158" t="n">
        <f aca="false">AH$164+AH$7*(INDEX($H$235:$N$235,3)+INDEX($H$237:$N$237,3))</f>
        <v>-29.2143835616438</v>
      </c>
      <c r="AI247" s="158" t="n">
        <f aca="false">AI$164+AI$7*(INDEX($H$235:$N$235,3)+INDEX($H$237:$N$237,3))</f>
        <v>-29.2143835616438</v>
      </c>
      <c r="AJ247" s="158" t="n">
        <f aca="false">AJ$164+AJ$7*(INDEX($H$235:$N$235,3)+INDEX($H$237:$N$237,3))</f>
        <v>-45.4305997778601</v>
      </c>
      <c r="AK247" s="158" t="n">
        <f aca="false">AK$164+AK$7*(INDEX($H$235:$N$235,3)+INDEX($H$237:$N$237,3))</f>
        <v>-170.31821437593</v>
      </c>
      <c r="AL247" s="158" t="n">
        <f aca="false">AL$164+AL$7*(INDEX($H$235:$N$235,3)+INDEX($H$237:$N$237,3))</f>
        <v>-19539.2647037394</v>
      </c>
      <c r="AM247" s="158" t="n">
        <f aca="false">AM$164+AM$7*(INDEX($H$235:$N$235,3)+INDEX($H$237:$N$237,3))</f>
        <v>-29.2143835616438</v>
      </c>
      <c r="AN247" s="158" t="n">
        <f aca="false">AN$164+AN$7*(INDEX($H$235:$N$235,3)+INDEX($H$237:$N$237,3))</f>
        <v>-152.457626804887</v>
      </c>
      <c r="AO247" s="158" t="n">
        <f aca="false">AO$164+AO$7*(INDEX($H$235:$N$235,3)+INDEX($H$237:$N$237,3))</f>
        <v>-29.2143835616438</v>
      </c>
      <c r="AP247" s="158" t="n">
        <f aca="false">AP$164+AP$7*(INDEX($H$235:$N$235,3)+INDEX($H$237:$N$237,3))</f>
        <v>-29.2143835616438</v>
      </c>
      <c r="AQ247" s="158" t="n">
        <f aca="false">AQ$164+AQ$7*(INDEX($H$235:$N$235,3)+INDEX($H$237:$N$237,3))</f>
        <v>-29.2143835616438</v>
      </c>
      <c r="AR247" s="158" t="n">
        <f aca="false">AR$164+AR$7*(INDEX($H$235:$N$235,3)+INDEX($H$237:$N$237,3))</f>
        <v>-29.2143835616438</v>
      </c>
      <c r="AS247" s="158" t="n">
        <f aca="false">AS$164+AS$7*(INDEX($H$235:$N$235,3)+INDEX($H$237:$N$237,3))</f>
        <v>-29.2143835616438</v>
      </c>
      <c r="AT247" s="158" t="n">
        <f aca="false">AT$164+AT$7*(INDEX($H$235:$N$235,3)+INDEX($H$237:$N$237,3))</f>
        <v>27932.9523442428</v>
      </c>
      <c r="AU247" s="158" t="n">
        <f aca="false">AU$164+AU$7*(INDEX($H$235:$N$235,3)+INDEX($H$237:$N$237,3))</f>
        <v>0</v>
      </c>
      <c r="AV247" s="158" t="n">
        <f aca="false">AV$164+AV$7*(INDEX($H$235:$N$235,3)+INDEX($H$237:$N$237,3))</f>
        <v>0</v>
      </c>
      <c r="AW247" s="158" t="n">
        <f aca="false">AW$164+AW$7*(INDEX($H$235:$N$235,3)+INDEX($H$237:$N$237,3))</f>
        <v>0</v>
      </c>
      <c r="AX247" s="158" t="n">
        <f aca="false">AX$164+AX$7*(INDEX($H$235:$N$235,3)+INDEX($H$237:$N$237,3))</f>
        <v>0</v>
      </c>
      <c r="AY247" s="158" t="n">
        <f aca="false">AY$164+AY$7*(INDEX($H$235:$N$235,3)+INDEX($H$237:$N$237,3))</f>
        <v>0</v>
      </c>
      <c r="AZ247" s="158" t="n">
        <f aca="false">AZ$164+AZ$7*(INDEX($H$235:$N$235,3)+INDEX($H$237:$N$237,3))</f>
        <v>0</v>
      </c>
      <c r="BA247" s="158" t="n">
        <f aca="false">BA$164+BA$7*(INDEX($H$235:$N$235,3)+INDEX($H$237:$N$237,3))</f>
        <v>0</v>
      </c>
      <c r="BB247" s="158" t="n">
        <f aca="false">BB$164+BB$7*(INDEX($H$235:$N$235,3)+INDEX($H$237:$N$237,3))</f>
        <v>0</v>
      </c>
      <c r="BC247" s="158" t="n">
        <f aca="false">BC$164+BC$7*(INDEX($H$235:$N$235,3)+INDEX($H$237:$N$237,3))</f>
        <v>0</v>
      </c>
      <c r="BD247" s="158" t="n">
        <f aca="false">BD$164+BD$7*(INDEX($H$235:$N$235,3)+INDEX($H$237:$N$237,3))</f>
        <v>0</v>
      </c>
      <c r="BE247" s="158" t="n">
        <f aca="false">BE$164+BE$7*(INDEX($H$235:$N$235,3)+INDEX($H$237:$N$237,3))</f>
        <v>0</v>
      </c>
      <c r="BF247" s="158" t="n">
        <f aca="false">BF$164+BF$7*(INDEX($H$235:$N$235,3)+INDEX($H$237:$N$237,3))</f>
        <v>0</v>
      </c>
      <c r="BG247" s="158" t="n">
        <f aca="false">BG$164+BG$7*(INDEX($H$235:$N$235,3)+INDEX($H$237:$N$237,3))</f>
        <v>0</v>
      </c>
      <c r="BH247" s="158" t="n">
        <f aca="false">BH$164+BH$7*(INDEX($H$235:$N$235,3)+INDEX($H$237:$N$237,3))</f>
        <v>0</v>
      </c>
      <c r="BI247" s="158" t="n">
        <f aca="false">BI$164+BI$7*(INDEX($H$235:$N$235,3)+INDEX($H$237:$N$237,3))</f>
        <v>0</v>
      </c>
      <c r="BJ247" s="158" t="n">
        <f aca="false">BJ$164+BJ$7*(INDEX($H$235:$N$235,3)+INDEX($H$237:$N$237,3))</f>
        <v>0</v>
      </c>
      <c r="BK247" s="158" t="n">
        <f aca="false">BK$164+BK$7*(INDEX($H$235:$N$235,3)+INDEX($H$237:$N$237,3))</f>
        <v>0</v>
      </c>
      <c r="BL247" s="158" t="n">
        <f aca="false">BL$164+BL$7*(INDEX($H$235:$N$235,3)+INDEX($H$237:$N$237,3))</f>
        <v>0</v>
      </c>
      <c r="BM247" s="158" t="n">
        <f aca="false">BM$164+BM$7*(INDEX($H$235:$N$235,3)+INDEX($H$237:$N$237,3))</f>
        <v>0</v>
      </c>
      <c r="BN247" s="158" t="n">
        <f aca="false">BN$164+BN$7*(INDEX($H$235:$N$235,3)+INDEX($H$237:$N$237,3))</f>
        <v>0</v>
      </c>
      <c r="BO247" s="158" t="n">
        <f aca="false">BO$164+BO$7*(INDEX($H$235:$N$235,3)+INDEX($H$237:$N$237,3))</f>
        <v>0</v>
      </c>
      <c r="BP247" s="158" t="n">
        <f aca="false">BP$164+BP$7*(INDEX($H$235:$N$235,3)+INDEX($H$237:$N$237,3))</f>
        <v>0</v>
      </c>
    </row>
    <row r="248" customFormat="false" ht="15" hidden="false" customHeight="false" outlineLevel="0" collapsed="false">
      <c r="C248" s="0" t="s">
        <v>1169</v>
      </c>
      <c r="D248" s="0" t="s">
        <v>125</v>
      </c>
      <c r="E248" s="158"/>
      <c r="F248" s="158"/>
      <c r="G248" s="158" t="n">
        <f aca="false">SUM(H248:BP248)</f>
        <v>6239.14978884726</v>
      </c>
      <c r="H248" s="158" t="n">
        <f aca="false">H$164+H$7*(INDEX($H$235:$N$235,4)+INDEX($H$237:$N$237,4))</f>
        <v>-200</v>
      </c>
      <c r="I248" s="158" t="n">
        <f aca="false">I$164+I$7*(INDEX($H$235:$N$235,4)+INDEX($H$237:$N$237,4))</f>
        <v>0</v>
      </c>
      <c r="J248" s="158" t="n">
        <f aca="false">J$164+J$7*(INDEX($H$235:$N$235,4)+INDEX($H$237:$N$237,4))</f>
        <v>0</v>
      </c>
      <c r="K248" s="158" t="n">
        <f aca="false">K$164+K$7*(INDEX($H$235:$N$235,4)+INDEX($H$237:$N$237,4))</f>
        <v>-102.683676416142</v>
      </c>
      <c r="L248" s="158" t="n">
        <f aca="false">L$164+L$7*(INDEX($H$235:$N$235,4)+INDEX($H$237:$N$237,4))</f>
        <v>-5.84287671232877</v>
      </c>
      <c r="M248" s="158" t="n">
        <f aca="false">M$164+M$7*(INDEX($H$235:$N$235,4)+INDEX($H$237:$N$237,4))</f>
        <v>-1262.09109589041</v>
      </c>
      <c r="N248" s="158" t="n">
        <f aca="false">N$164+N$7*(INDEX($H$235:$N$235,4)+INDEX($H$237:$N$237,4))</f>
        <v>-34.0792484265087</v>
      </c>
      <c r="O248" s="158" t="n">
        <f aca="false">O$164+O$7*(INDEX($H$235:$N$235,4)+INDEX($H$237:$N$237,4))</f>
        <v>-118.661005183265</v>
      </c>
      <c r="P248" s="158" t="n">
        <f aca="false">P$164+P$7*(INDEX($H$235:$N$235,4)+INDEX($H$237:$N$237,4))</f>
        <v>-228.214383561644</v>
      </c>
      <c r="Q248" s="158" t="n">
        <f aca="false">Q$164+Q$7*(INDEX($H$235:$N$235,4)+INDEX($H$237:$N$237,4))</f>
        <v>-29.2143835616438</v>
      </c>
      <c r="R248" s="158" t="n">
        <f aca="false">R$164+R$7*(INDEX($H$235:$N$235,4)+INDEX($H$237:$N$237,4))</f>
        <v>-29.2143835616438</v>
      </c>
      <c r="S248" s="158" t="n">
        <f aca="false">S$164+S$7*(INDEX($H$235:$N$235,4)+INDEX($H$237:$N$237,4))</f>
        <v>-50.8360051832655</v>
      </c>
      <c r="T248" s="158" t="n">
        <f aca="false">T$164+T$7*(INDEX($H$235:$N$235,4)+INDEX($H$237:$N$237,4))</f>
        <v>-50.8360051832655</v>
      </c>
      <c r="U248" s="158" t="n">
        <f aca="false">U$164+U$7*(INDEX($H$235:$N$235,4)+INDEX($H$237:$N$237,4))</f>
        <v>-29.2143835616438</v>
      </c>
      <c r="V248" s="158" t="n">
        <f aca="false">V$164+V$7*(INDEX($H$235:$N$235,4)+INDEX($H$237:$N$237,4))</f>
        <v>-29.2143835616438</v>
      </c>
      <c r="W248" s="158" t="n">
        <f aca="false">W$164+W$7*(INDEX($H$235:$N$235,4)+INDEX($H$237:$N$237,4))</f>
        <v>-29.2143835616438</v>
      </c>
      <c r="X248" s="158" t="n">
        <f aca="false">X$164+X$7*(INDEX($H$235:$N$235,4)+INDEX($H$237:$N$237,4))</f>
        <v>-49.4846538319141</v>
      </c>
      <c r="Y248" s="158" t="n">
        <f aca="false">Y$164+Y$7*(INDEX($H$235:$N$235,4)+INDEX($H$237:$N$237,4))</f>
        <v>-100.554924102184</v>
      </c>
      <c r="Z248" s="158" t="n">
        <f aca="false">Z$164+Z$7*(INDEX($H$235:$N$235,4)+INDEX($H$237:$N$237,4))</f>
        <v>-506.586349915753</v>
      </c>
      <c r="AA248" s="158" t="n">
        <f aca="false">AA$164+AA$7*(INDEX($H$235:$N$235,4)+INDEX($H$237:$N$237,4))</f>
        <v>-144.079248426509</v>
      </c>
      <c r="AB248" s="158" t="n">
        <f aca="false">AB$164+AB$7*(INDEX($H$235:$N$235,4)+INDEX($H$237:$N$237,4))</f>
        <v>-73.2819511292114</v>
      </c>
      <c r="AC248" s="158" t="n">
        <f aca="false">AC$164+AC$7*(INDEX($H$235:$N$235,4)+INDEX($H$237:$N$237,4))</f>
        <v>-29.2684376156979</v>
      </c>
      <c r="AD248" s="158" t="n">
        <f aca="false">AD$164+AD$7*(INDEX($H$235:$N$235,4)+INDEX($H$237:$N$237,4))</f>
        <v>-29.2143835616438</v>
      </c>
      <c r="AE248" s="158" t="n">
        <f aca="false">AE$164+AE$7*(INDEX($H$235:$N$235,4)+INDEX($H$237:$N$237,4))</f>
        <v>-31.4643835616438</v>
      </c>
      <c r="AF248" s="158" t="n">
        <f aca="false">AF$164+AF$7*(INDEX($H$235:$N$235,4)+INDEX($H$237:$N$237,4))</f>
        <v>-29.2143835616438</v>
      </c>
      <c r="AG248" s="158" t="n">
        <f aca="false">AG$164+AG$7*(INDEX($H$235:$N$235,4)+INDEX($H$237:$N$237,4))</f>
        <v>-110.151412133072</v>
      </c>
      <c r="AH248" s="158" t="n">
        <f aca="false">AH$164+AH$7*(INDEX($H$235:$N$235,4)+INDEX($H$237:$N$237,4))</f>
        <v>-29.2143835616438</v>
      </c>
      <c r="AI248" s="158" t="n">
        <f aca="false">AI$164+AI$7*(INDEX($H$235:$N$235,4)+INDEX($H$237:$N$237,4))</f>
        <v>-29.2143835616438</v>
      </c>
      <c r="AJ248" s="158" t="n">
        <f aca="false">AJ$164+AJ$7*(INDEX($H$235:$N$235,4)+INDEX($H$237:$N$237,4))</f>
        <v>-45.4305997778601</v>
      </c>
      <c r="AK248" s="158" t="n">
        <f aca="false">AK$164+AK$7*(INDEX($H$235:$N$235,4)+INDEX($H$237:$N$237,4))</f>
        <v>-170.31821437593</v>
      </c>
      <c r="AL248" s="158" t="n">
        <f aca="false">AL$164+AL$7*(INDEX($H$235:$N$235,4)+INDEX($H$237:$N$237,4))</f>
        <v>-19539.2647037394</v>
      </c>
      <c r="AM248" s="158" t="n">
        <f aca="false">AM$164+AM$7*(INDEX($H$235:$N$235,4)+INDEX($H$237:$N$237,4))</f>
        <v>-29.2143835616438</v>
      </c>
      <c r="AN248" s="158" t="n">
        <f aca="false">AN$164+AN$7*(INDEX($H$235:$N$235,4)+INDEX($H$237:$N$237,4))</f>
        <v>-152.457626804887</v>
      </c>
      <c r="AO248" s="158" t="n">
        <f aca="false">AO$164+AO$7*(INDEX($H$235:$N$235,4)+INDEX($H$237:$N$237,4))</f>
        <v>-29.2143835616438</v>
      </c>
      <c r="AP248" s="158" t="n">
        <f aca="false">AP$164+AP$7*(INDEX($H$235:$N$235,4)+INDEX($H$237:$N$237,4))</f>
        <v>-29.2143835616438</v>
      </c>
      <c r="AQ248" s="158" t="n">
        <f aca="false">AQ$164+AQ$7*(INDEX($H$235:$N$235,4)+INDEX($H$237:$N$237,4))</f>
        <v>-29.2143835616438</v>
      </c>
      <c r="AR248" s="158" t="n">
        <f aca="false">AR$164+AR$7*(INDEX($H$235:$N$235,4)+INDEX($H$237:$N$237,4))</f>
        <v>-29.2143835616438</v>
      </c>
      <c r="AS248" s="158" t="n">
        <f aca="false">AS$164+AS$7*(INDEX($H$235:$N$235,4)+INDEX($H$237:$N$237,4))</f>
        <v>-29.2143835616438</v>
      </c>
      <c r="AT248" s="158" t="n">
        <f aca="false">AT$164+AT$7*(INDEX($H$235:$N$235,4)+INDEX($H$237:$N$237,4))</f>
        <v>29682.9523442428</v>
      </c>
      <c r="AU248" s="158" t="n">
        <f aca="false">AU$164+AU$7*(INDEX($H$235:$N$235,4)+INDEX($H$237:$N$237,4))</f>
        <v>0</v>
      </c>
      <c r="AV248" s="158" t="n">
        <f aca="false">AV$164+AV$7*(INDEX($H$235:$N$235,4)+INDEX($H$237:$N$237,4))</f>
        <v>0</v>
      </c>
      <c r="AW248" s="158" t="n">
        <f aca="false">AW$164+AW$7*(INDEX($H$235:$N$235,4)+INDEX($H$237:$N$237,4))</f>
        <v>0</v>
      </c>
      <c r="AX248" s="158" t="n">
        <f aca="false">AX$164+AX$7*(INDEX($H$235:$N$235,4)+INDEX($H$237:$N$237,4))</f>
        <v>0</v>
      </c>
      <c r="AY248" s="158" t="n">
        <f aca="false">AY$164+AY$7*(INDEX($H$235:$N$235,4)+INDEX($H$237:$N$237,4))</f>
        <v>0</v>
      </c>
      <c r="AZ248" s="158" t="n">
        <f aca="false">AZ$164+AZ$7*(INDEX($H$235:$N$235,4)+INDEX($H$237:$N$237,4))</f>
        <v>0</v>
      </c>
      <c r="BA248" s="158" t="n">
        <f aca="false">BA$164+BA$7*(INDEX($H$235:$N$235,4)+INDEX($H$237:$N$237,4))</f>
        <v>0</v>
      </c>
      <c r="BB248" s="158" t="n">
        <f aca="false">BB$164+BB$7*(INDEX($H$235:$N$235,4)+INDEX($H$237:$N$237,4))</f>
        <v>0</v>
      </c>
      <c r="BC248" s="158" t="n">
        <f aca="false">BC$164+BC$7*(INDEX($H$235:$N$235,4)+INDEX($H$237:$N$237,4))</f>
        <v>0</v>
      </c>
      <c r="BD248" s="158" t="n">
        <f aca="false">BD$164+BD$7*(INDEX($H$235:$N$235,4)+INDEX($H$237:$N$237,4))</f>
        <v>0</v>
      </c>
      <c r="BE248" s="158" t="n">
        <f aca="false">BE$164+BE$7*(INDEX($H$235:$N$235,4)+INDEX($H$237:$N$237,4))</f>
        <v>0</v>
      </c>
      <c r="BF248" s="158" t="n">
        <f aca="false">BF$164+BF$7*(INDEX($H$235:$N$235,4)+INDEX($H$237:$N$237,4))</f>
        <v>0</v>
      </c>
      <c r="BG248" s="158" t="n">
        <f aca="false">BG$164+BG$7*(INDEX($H$235:$N$235,4)+INDEX($H$237:$N$237,4))</f>
        <v>0</v>
      </c>
      <c r="BH248" s="158" t="n">
        <f aca="false">BH$164+BH$7*(INDEX($H$235:$N$235,4)+INDEX($H$237:$N$237,4))</f>
        <v>0</v>
      </c>
      <c r="BI248" s="158" t="n">
        <f aca="false">BI$164+BI$7*(INDEX($H$235:$N$235,4)+INDEX($H$237:$N$237,4))</f>
        <v>0</v>
      </c>
      <c r="BJ248" s="158" t="n">
        <f aca="false">BJ$164+BJ$7*(INDEX($H$235:$N$235,4)+INDEX($H$237:$N$237,4))</f>
        <v>0</v>
      </c>
      <c r="BK248" s="158" t="n">
        <f aca="false">BK$164+BK$7*(INDEX($H$235:$N$235,4)+INDEX($H$237:$N$237,4))</f>
        <v>0</v>
      </c>
      <c r="BL248" s="158" t="n">
        <f aca="false">BL$164+BL$7*(INDEX($H$235:$N$235,4)+INDEX($H$237:$N$237,4))</f>
        <v>0</v>
      </c>
      <c r="BM248" s="158" t="n">
        <f aca="false">BM$164+BM$7*(INDEX($H$235:$N$235,4)+INDEX($H$237:$N$237,4))</f>
        <v>0</v>
      </c>
      <c r="BN248" s="158" t="n">
        <f aca="false">BN$164+BN$7*(INDEX($H$235:$N$235,4)+INDEX($H$237:$N$237,4))</f>
        <v>0</v>
      </c>
      <c r="BO248" s="158" t="n">
        <f aca="false">BO$164+BO$7*(INDEX($H$235:$N$235,4)+INDEX($H$237:$N$237,4))</f>
        <v>0</v>
      </c>
      <c r="BP248" s="158" t="n">
        <f aca="false">BP$164+BP$7*(INDEX($H$235:$N$235,4)+INDEX($H$237:$N$237,4))</f>
        <v>0</v>
      </c>
    </row>
    <row r="249" customFormat="false" ht="15" hidden="false" customHeight="false" outlineLevel="0" collapsed="false">
      <c r="C249" s="0" t="s">
        <v>1170</v>
      </c>
      <c r="D249" s="0" t="s">
        <v>125</v>
      </c>
      <c r="E249" s="158"/>
      <c r="F249" s="158"/>
      <c r="G249" s="158" t="n">
        <f aca="false">SUM(H249:BP249)</f>
        <v>7989.14978884726</v>
      </c>
      <c r="H249" s="158" t="n">
        <f aca="false">H$164+H$7*(INDEX($H$235:$N$235,5)+INDEX($H$237:$N$237,5))</f>
        <v>-200</v>
      </c>
      <c r="I249" s="158" t="n">
        <f aca="false">I$164+I$7*(INDEX($H$235:$N$235,5)+INDEX($H$237:$N$237,5))</f>
        <v>0</v>
      </c>
      <c r="J249" s="158" t="n">
        <f aca="false">J$164+J$7*(INDEX($H$235:$N$235,5)+INDEX($H$237:$N$237,5))</f>
        <v>0</v>
      </c>
      <c r="K249" s="158" t="n">
        <f aca="false">K$164+K$7*(INDEX($H$235:$N$235,5)+INDEX($H$237:$N$237,5))</f>
        <v>-102.683676416142</v>
      </c>
      <c r="L249" s="158" t="n">
        <f aca="false">L$164+L$7*(INDEX($H$235:$N$235,5)+INDEX($H$237:$N$237,5))</f>
        <v>-5.84287671232877</v>
      </c>
      <c r="M249" s="158" t="n">
        <f aca="false">M$164+M$7*(INDEX($H$235:$N$235,5)+INDEX($H$237:$N$237,5))</f>
        <v>-1262.09109589041</v>
      </c>
      <c r="N249" s="158" t="n">
        <f aca="false">N$164+N$7*(INDEX($H$235:$N$235,5)+INDEX($H$237:$N$237,5))</f>
        <v>-34.0792484265087</v>
      </c>
      <c r="O249" s="158" t="n">
        <f aca="false">O$164+O$7*(INDEX($H$235:$N$235,5)+INDEX($H$237:$N$237,5))</f>
        <v>-118.661005183265</v>
      </c>
      <c r="P249" s="158" t="n">
        <f aca="false">P$164+P$7*(INDEX($H$235:$N$235,5)+INDEX($H$237:$N$237,5))</f>
        <v>-228.214383561644</v>
      </c>
      <c r="Q249" s="158" t="n">
        <f aca="false">Q$164+Q$7*(INDEX($H$235:$N$235,5)+INDEX($H$237:$N$237,5))</f>
        <v>-29.2143835616438</v>
      </c>
      <c r="R249" s="158" t="n">
        <f aca="false">R$164+R$7*(INDEX($H$235:$N$235,5)+INDEX($H$237:$N$237,5))</f>
        <v>-29.2143835616438</v>
      </c>
      <c r="S249" s="158" t="n">
        <f aca="false">S$164+S$7*(INDEX($H$235:$N$235,5)+INDEX($H$237:$N$237,5))</f>
        <v>-50.8360051832655</v>
      </c>
      <c r="T249" s="158" t="n">
        <f aca="false">T$164+T$7*(INDEX($H$235:$N$235,5)+INDEX($H$237:$N$237,5))</f>
        <v>-50.8360051832655</v>
      </c>
      <c r="U249" s="158" t="n">
        <f aca="false">U$164+U$7*(INDEX($H$235:$N$235,5)+INDEX($H$237:$N$237,5))</f>
        <v>-29.2143835616438</v>
      </c>
      <c r="V249" s="158" t="n">
        <f aca="false">V$164+V$7*(INDEX($H$235:$N$235,5)+INDEX($H$237:$N$237,5))</f>
        <v>-29.2143835616438</v>
      </c>
      <c r="W249" s="158" t="n">
        <f aca="false">W$164+W$7*(INDEX($H$235:$N$235,5)+INDEX($H$237:$N$237,5))</f>
        <v>-29.2143835616438</v>
      </c>
      <c r="X249" s="158" t="n">
        <f aca="false">X$164+X$7*(INDEX($H$235:$N$235,5)+INDEX($H$237:$N$237,5))</f>
        <v>-49.4846538319141</v>
      </c>
      <c r="Y249" s="158" t="n">
        <f aca="false">Y$164+Y$7*(INDEX($H$235:$N$235,5)+INDEX($H$237:$N$237,5))</f>
        <v>-100.554924102184</v>
      </c>
      <c r="Z249" s="158" t="n">
        <f aca="false">Z$164+Z$7*(INDEX($H$235:$N$235,5)+INDEX($H$237:$N$237,5))</f>
        <v>-506.586349915753</v>
      </c>
      <c r="AA249" s="158" t="n">
        <f aca="false">AA$164+AA$7*(INDEX($H$235:$N$235,5)+INDEX($H$237:$N$237,5))</f>
        <v>-144.079248426509</v>
      </c>
      <c r="AB249" s="158" t="n">
        <f aca="false">AB$164+AB$7*(INDEX($H$235:$N$235,5)+INDEX($H$237:$N$237,5))</f>
        <v>-73.2819511292114</v>
      </c>
      <c r="AC249" s="158" t="n">
        <f aca="false">AC$164+AC$7*(INDEX($H$235:$N$235,5)+INDEX($H$237:$N$237,5))</f>
        <v>-29.2684376156979</v>
      </c>
      <c r="AD249" s="158" t="n">
        <f aca="false">AD$164+AD$7*(INDEX($H$235:$N$235,5)+INDEX($H$237:$N$237,5))</f>
        <v>-29.2143835616438</v>
      </c>
      <c r="AE249" s="158" t="n">
        <f aca="false">AE$164+AE$7*(INDEX($H$235:$N$235,5)+INDEX($H$237:$N$237,5))</f>
        <v>-31.4643835616438</v>
      </c>
      <c r="AF249" s="158" t="n">
        <f aca="false">AF$164+AF$7*(INDEX($H$235:$N$235,5)+INDEX($H$237:$N$237,5))</f>
        <v>-29.2143835616438</v>
      </c>
      <c r="AG249" s="158" t="n">
        <f aca="false">AG$164+AG$7*(INDEX($H$235:$N$235,5)+INDEX($H$237:$N$237,5))</f>
        <v>-110.151412133072</v>
      </c>
      <c r="AH249" s="158" t="n">
        <f aca="false">AH$164+AH$7*(INDEX($H$235:$N$235,5)+INDEX($H$237:$N$237,5))</f>
        <v>-29.2143835616438</v>
      </c>
      <c r="AI249" s="158" t="n">
        <f aca="false">AI$164+AI$7*(INDEX($H$235:$N$235,5)+INDEX($H$237:$N$237,5))</f>
        <v>-29.2143835616438</v>
      </c>
      <c r="AJ249" s="158" t="n">
        <f aca="false">AJ$164+AJ$7*(INDEX($H$235:$N$235,5)+INDEX($H$237:$N$237,5))</f>
        <v>-45.4305997778601</v>
      </c>
      <c r="AK249" s="158" t="n">
        <f aca="false">AK$164+AK$7*(INDEX($H$235:$N$235,5)+INDEX($H$237:$N$237,5))</f>
        <v>-170.31821437593</v>
      </c>
      <c r="AL249" s="158" t="n">
        <f aca="false">AL$164+AL$7*(INDEX($H$235:$N$235,5)+INDEX($H$237:$N$237,5))</f>
        <v>-19539.2647037394</v>
      </c>
      <c r="AM249" s="158" t="n">
        <f aca="false">AM$164+AM$7*(INDEX($H$235:$N$235,5)+INDEX($H$237:$N$237,5))</f>
        <v>-29.2143835616438</v>
      </c>
      <c r="AN249" s="158" t="n">
        <f aca="false">AN$164+AN$7*(INDEX($H$235:$N$235,5)+INDEX($H$237:$N$237,5))</f>
        <v>-152.457626804887</v>
      </c>
      <c r="AO249" s="158" t="n">
        <f aca="false">AO$164+AO$7*(INDEX($H$235:$N$235,5)+INDEX($H$237:$N$237,5))</f>
        <v>-29.2143835616438</v>
      </c>
      <c r="AP249" s="158" t="n">
        <f aca="false">AP$164+AP$7*(INDEX($H$235:$N$235,5)+INDEX($H$237:$N$237,5))</f>
        <v>-29.2143835616438</v>
      </c>
      <c r="AQ249" s="158" t="n">
        <f aca="false">AQ$164+AQ$7*(INDEX($H$235:$N$235,5)+INDEX($H$237:$N$237,5))</f>
        <v>-29.2143835616438</v>
      </c>
      <c r="AR249" s="158" t="n">
        <f aca="false">AR$164+AR$7*(INDEX($H$235:$N$235,5)+INDEX($H$237:$N$237,5))</f>
        <v>-29.2143835616438</v>
      </c>
      <c r="AS249" s="158" t="n">
        <f aca="false">AS$164+AS$7*(INDEX($H$235:$N$235,5)+INDEX($H$237:$N$237,5))</f>
        <v>-29.2143835616438</v>
      </c>
      <c r="AT249" s="158" t="n">
        <f aca="false">AT$164+AT$7*(INDEX($H$235:$N$235,5)+INDEX($H$237:$N$237,5))</f>
        <v>31432.9523442428</v>
      </c>
      <c r="AU249" s="158" t="n">
        <f aca="false">AU$164+AU$7*(INDEX($H$235:$N$235,5)+INDEX($H$237:$N$237,5))</f>
        <v>0</v>
      </c>
      <c r="AV249" s="158" t="n">
        <f aca="false">AV$164+AV$7*(INDEX($H$235:$N$235,5)+INDEX($H$237:$N$237,5))</f>
        <v>0</v>
      </c>
      <c r="AW249" s="158" t="n">
        <f aca="false">AW$164+AW$7*(INDEX($H$235:$N$235,5)+INDEX($H$237:$N$237,5))</f>
        <v>0</v>
      </c>
      <c r="AX249" s="158" t="n">
        <f aca="false">AX$164+AX$7*(INDEX($H$235:$N$235,5)+INDEX($H$237:$N$237,5))</f>
        <v>0</v>
      </c>
      <c r="AY249" s="158" t="n">
        <f aca="false">AY$164+AY$7*(INDEX($H$235:$N$235,5)+INDEX($H$237:$N$237,5))</f>
        <v>0</v>
      </c>
      <c r="AZ249" s="158" t="n">
        <f aca="false">AZ$164+AZ$7*(INDEX($H$235:$N$235,5)+INDEX($H$237:$N$237,5))</f>
        <v>0</v>
      </c>
      <c r="BA249" s="158" t="n">
        <f aca="false">BA$164+BA$7*(INDEX($H$235:$N$235,5)+INDEX($H$237:$N$237,5))</f>
        <v>0</v>
      </c>
      <c r="BB249" s="158" t="n">
        <f aca="false">BB$164+BB$7*(INDEX($H$235:$N$235,5)+INDEX($H$237:$N$237,5))</f>
        <v>0</v>
      </c>
      <c r="BC249" s="158" t="n">
        <f aca="false">BC$164+BC$7*(INDEX($H$235:$N$235,5)+INDEX($H$237:$N$237,5))</f>
        <v>0</v>
      </c>
      <c r="BD249" s="158" t="n">
        <f aca="false">BD$164+BD$7*(INDEX($H$235:$N$235,5)+INDEX($H$237:$N$237,5))</f>
        <v>0</v>
      </c>
      <c r="BE249" s="158" t="n">
        <f aca="false">BE$164+BE$7*(INDEX($H$235:$N$235,5)+INDEX($H$237:$N$237,5))</f>
        <v>0</v>
      </c>
      <c r="BF249" s="158" t="n">
        <f aca="false">BF$164+BF$7*(INDEX($H$235:$N$235,5)+INDEX($H$237:$N$237,5))</f>
        <v>0</v>
      </c>
      <c r="BG249" s="158" t="n">
        <f aca="false">BG$164+BG$7*(INDEX($H$235:$N$235,5)+INDEX($H$237:$N$237,5))</f>
        <v>0</v>
      </c>
      <c r="BH249" s="158" t="n">
        <f aca="false">BH$164+BH$7*(INDEX($H$235:$N$235,5)+INDEX($H$237:$N$237,5))</f>
        <v>0</v>
      </c>
      <c r="BI249" s="158" t="n">
        <f aca="false">BI$164+BI$7*(INDEX($H$235:$N$235,5)+INDEX($H$237:$N$237,5))</f>
        <v>0</v>
      </c>
      <c r="BJ249" s="158" t="n">
        <f aca="false">BJ$164+BJ$7*(INDEX($H$235:$N$235,5)+INDEX($H$237:$N$237,5))</f>
        <v>0</v>
      </c>
      <c r="BK249" s="158" t="n">
        <f aca="false">BK$164+BK$7*(INDEX($H$235:$N$235,5)+INDEX($H$237:$N$237,5))</f>
        <v>0</v>
      </c>
      <c r="BL249" s="158" t="n">
        <f aca="false">BL$164+BL$7*(INDEX($H$235:$N$235,5)+INDEX($H$237:$N$237,5))</f>
        <v>0</v>
      </c>
      <c r="BM249" s="158" t="n">
        <f aca="false">BM$164+BM$7*(INDEX($H$235:$N$235,5)+INDEX($H$237:$N$237,5))</f>
        <v>0</v>
      </c>
      <c r="BN249" s="158" t="n">
        <f aca="false">BN$164+BN$7*(INDEX($H$235:$N$235,5)+INDEX($H$237:$N$237,5))</f>
        <v>0</v>
      </c>
      <c r="BO249" s="158" t="n">
        <f aca="false">BO$164+BO$7*(INDEX($H$235:$N$235,5)+INDEX($H$237:$N$237,5))</f>
        <v>0</v>
      </c>
      <c r="BP249" s="158" t="n">
        <f aca="false">BP$164+BP$7*(INDEX($H$235:$N$235,5)+INDEX($H$237:$N$237,5))</f>
        <v>0</v>
      </c>
    </row>
    <row r="250" customFormat="false" ht="15" hidden="false" customHeight="false" outlineLevel="0" collapsed="false">
      <c r="C250" s="0" t="s">
        <v>1171</v>
      </c>
      <c r="D250" s="0" t="s">
        <v>125</v>
      </c>
      <c r="E250" s="158"/>
      <c r="F250" s="158"/>
      <c r="G250" s="158" t="n">
        <f aca="false">SUM(H250:BP250)</f>
        <v>9739.14978884726</v>
      </c>
      <c r="H250" s="158" t="n">
        <f aca="false">H$164+H$7*(INDEX($H$235:$N$235,6)+INDEX($H$237:$N$237,6))</f>
        <v>-200</v>
      </c>
      <c r="I250" s="158" t="n">
        <f aca="false">I$164+I$7*(INDEX($H$235:$N$235,6)+INDEX($H$237:$N$237,6))</f>
        <v>0</v>
      </c>
      <c r="J250" s="158" t="n">
        <f aca="false">J$164+J$7*(INDEX($H$235:$N$235,6)+INDEX($H$237:$N$237,6))</f>
        <v>0</v>
      </c>
      <c r="K250" s="158" t="n">
        <f aca="false">K$164+K$7*(INDEX($H$235:$N$235,6)+INDEX($H$237:$N$237,6))</f>
        <v>-102.683676416142</v>
      </c>
      <c r="L250" s="158" t="n">
        <f aca="false">L$164+L$7*(INDEX($H$235:$N$235,6)+INDEX($H$237:$N$237,6))</f>
        <v>-5.84287671232877</v>
      </c>
      <c r="M250" s="158" t="n">
        <f aca="false">M$164+M$7*(INDEX($H$235:$N$235,6)+INDEX($H$237:$N$237,6))</f>
        <v>-1262.09109589041</v>
      </c>
      <c r="N250" s="158" t="n">
        <f aca="false">N$164+N$7*(INDEX($H$235:$N$235,6)+INDEX($H$237:$N$237,6))</f>
        <v>-34.0792484265087</v>
      </c>
      <c r="O250" s="158" t="n">
        <f aca="false">O$164+O$7*(INDEX($H$235:$N$235,6)+INDEX($H$237:$N$237,6))</f>
        <v>-118.661005183265</v>
      </c>
      <c r="P250" s="158" t="n">
        <f aca="false">P$164+P$7*(INDEX($H$235:$N$235,6)+INDEX($H$237:$N$237,6))</f>
        <v>-228.214383561644</v>
      </c>
      <c r="Q250" s="158" t="n">
        <f aca="false">Q$164+Q$7*(INDEX($H$235:$N$235,6)+INDEX($H$237:$N$237,6))</f>
        <v>-29.2143835616438</v>
      </c>
      <c r="R250" s="158" t="n">
        <f aca="false">R$164+R$7*(INDEX($H$235:$N$235,6)+INDEX($H$237:$N$237,6))</f>
        <v>-29.2143835616438</v>
      </c>
      <c r="S250" s="158" t="n">
        <f aca="false">S$164+S$7*(INDEX($H$235:$N$235,6)+INDEX($H$237:$N$237,6))</f>
        <v>-50.8360051832655</v>
      </c>
      <c r="T250" s="158" t="n">
        <f aca="false">T$164+T$7*(INDEX($H$235:$N$235,6)+INDEX($H$237:$N$237,6))</f>
        <v>-50.8360051832655</v>
      </c>
      <c r="U250" s="158" t="n">
        <f aca="false">U$164+U$7*(INDEX($H$235:$N$235,6)+INDEX($H$237:$N$237,6))</f>
        <v>-29.2143835616438</v>
      </c>
      <c r="V250" s="158" t="n">
        <f aca="false">V$164+V$7*(INDEX($H$235:$N$235,6)+INDEX($H$237:$N$237,6))</f>
        <v>-29.2143835616438</v>
      </c>
      <c r="W250" s="158" t="n">
        <f aca="false">W$164+W$7*(INDEX($H$235:$N$235,6)+INDEX($H$237:$N$237,6))</f>
        <v>-29.2143835616438</v>
      </c>
      <c r="X250" s="158" t="n">
        <f aca="false">X$164+X$7*(INDEX($H$235:$N$235,6)+INDEX($H$237:$N$237,6))</f>
        <v>-49.4846538319141</v>
      </c>
      <c r="Y250" s="158" t="n">
        <f aca="false">Y$164+Y$7*(INDEX($H$235:$N$235,6)+INDEX($H$237:$N$237,6))</f>
        <v>-100.554924102184</v>
      </c>
      <c r="Z250" s="158" t="n">
        <f aca="false">Z$164+Z$7*(INDEX($H$235:$N$235,6)+INDEX($H$237:$N$237,6))</f>
        <v>-506.586349915753</v>
      </c>
      <c r="AA250" s="158" t="n">
        <f aca="false">AA$164+AA$7*(INDEX($H$235:$N$235,6)+INDEX($H$237:$N$237,6))</f>
        <v>-144.079248426509</v>
      </c>
      <c r="AB250" s="158" t="n">
        <f aca="false">AB$164+AB$7*(INDEX($H$235:$N$235,6)+INDEX($H$237:$N$237,6))</f>
        <v>-73.2819511292114</v>
      </c>
      <c r="AC250" s="158" t="n">
        <f aca="false">AC$164+AC$7*(INDEX($H$235:$N$235,6)+INDEX($H$237:$N$237,6))</f>
        <v>-29.2684376156979</v>
      </c>
      <c r="AD250" s="158" t="n">
        <f aca="false">AD$164+AD$7*(INDEX($H$235:$N$235,6)+INDEX($H$237:$N$237,6))</f>
        <v>-29.2143835616438</v>
      </c>
      <c r="AE250" s="158" t="n">
        <f aca="false">AE$164+AE$7*(INDEX($H$235:$N$235,6)+INDEX($H$237:$N$237,6))</f>
        <v>-31.4643835616438</v>
      </c>
      <c r="AF250" s="158" t="n">
        <f aca="false">AF$164+AF$7*(INDEX($H$235:$N$235,6)+INDEX($H$237:$N$237,6))</f>
        <v>-29.2143835616438</v>
      </c>
      <c r="AG250" s="158" t="n">
        <f aca="false">AG$164+AG$7*(INDEX($H$235:$N$235,6)+INDEX($H$237:$N$237,6))</f>
        <v>-110.151412133072</v>
      </c>
      <c r="AH250" s="158" t="n">
        <f aca="false">AH$164+AH$7*(INDEX($H$235:$N$235,6)+INDEX($H$237:$N$237,6))</f>
        <v>-29.2143835616438</v>
      </c>
      <c r="AI250" s="158" t="n">
        <f aca="false">AI$164+AI$7*(INDEX($H$235:$N$235,6)+INDEX($H$237:$N$237,6))</f>
        <v>-29.2143835616438</v>
      </c>
      <c r="AJ250" s="158" t="n">
        <f aca="false">AJ$164+AJ$7*(INDEX($H$235:$N$235,6)+INDEX($H$237:$N$237,6))</f>
        <v>-45.4305997778601</v>
      </c>
      <c r="AK250" s="158" t="n">
        <f aca="false">AK$164+AK$7*(INDEX($H$235:$N$235,6)+INDEX($H$237:$N$237,6))</f>
        <v>-170.31821437593</v>
      </c>
      <c r="AL250" s="158" t="n">
        <f aca="false">AL$164+AL$7*(INDEX($H$235:$N$235,6)+INDEX($H$237:$N$237,6))</f>
        <v>-19539.2647037394</v>
      </c>
      <c r="AM250" s="158" t="n">
        <f aca="false">AM$164+AM$7*(INDEX($H$235:$N$235,6)+INDEX($H$237:$N$237,6))</f>
        <v>-29.2143835616438</v>
      </c>
      <c r="AN250" s="158" t="n">
        <f aca="false">AN$164+AN$7*(INDEX($H$235:$N$235,6)+INDEX($H$237:$N$237,6))</f>
        <v>-152.457626804887</v>
      </c>
      <c r="AO250" s="158" t="n">
        <f aca="false">AO$164+AO$7*(INDEX($H$235:$N$235,6)+INDEX($H$237:$N$237,6))</f>
        <v>-29.2143835616438</v>
      </c>
      <c r="AP250" s="158" t="n">
        <f aca="false">AP$164+AP$7*(INDEX($H$235:$N$235,6)+INDEX($H$237:$N$237,6))</f>
        <v>-29.2143835616438</v>
      </c>
      <c r="AQ250" s="158" t="n">
        <f aca="false">AQ$164+AQ$7*(INDEX($H$235:$N$235,6)+INDEX($H$237:$N$237,6))</f>
        <v>-29.2143835616438</v>
      </c>
      <c r="AR250" s="158" t="n">
        <f aca="false">AR$164+AR$7*(INDEX($H$235:$N$235,6)+INDEX($H$237:$N$237,6))</f>
        <v>-29.2143835616438</v>
      </c>
      <c r="AS250" s="158" t="n">
        <f aca="false">AS$164+AS$7*(INDEX($H$235:$N$235,6)+INDEX($H$237:$N$237,6))</f>
        <v>-29.2143835616438</v>
      </c>
      <c r="AT250" s="158" t="n">
        <f aca="false">AT$164+AT$7*(INDEX($H$235:$N$235,6)+INDEX($H$237:$N$237,6))</f>
        <v>33182.9523442428</v>
      </c>
      <c r="AU250" s="158" t="n">
        <f aca="false">AU$164+AU$7*(INDEX($H$235:$N$235,6)+INDEX($H$237:$N$237,6))</f>
        <v>0</v>
      </c>
      <c r="AV250" s="158" t="n">
        <f aca="false">AV$164+AV$7*(INDEX($H$235:$N$235,6)+INDEX($H$237:$N$237,6))</f>
        <v>0</v>
      </c>
      <c r="AW250" s="158" t="n">
        <f aca="false">AW$164+AW$7*(INDEX($H$235:$N$235,6)+INDEX($H$237:$N$237,6))</f>
        <v>0</v>
      </c>
      <c r="AX250" s="158" t="n">
        <f aca="false">AX$164+AX$7*(INDEX($H$235:$N$235,6)+INDEX($H$237:$N$237,6))</f>
        <v>0</v>
      </c>
      <c r="AY250" s="158" t="n">
        <f aca="false">AY$164+AY$7*(INDEX($H$235:$N$235,6)+INDEX($H$237:$N$237,6))</f>
        <v>0</v>
      </c>
      <c r="AZ250" s="158" t="n">
        <f aca="false">AZ$164+AZ$7*(INDEX($H$235:$N$235,6)+INDEX($H$237:$N$237,6))</f>
        <v>0</v>
      </c>
      <c r="BA250" s="158" t="n">
        <f aca="false">BA$164+BA$7*(INDEX($H$235:$N$235,6)+INDEX($H$237:$N$237,6))</f>
        <v>0</v>
      </c>
      <c r="BB250" s="158" t="n">
        <f aca="false">BB$164+BB$7*(INDEX($H$235:$N$235,6)+INDEX($H$237:$N$237,6))</f>
        <v>0</v>
      </c>
      <c r="BC250" s="158" t="n">
        <f aca="false">BC$164+BC$7*(INDEX($H$235:$N$235,6)+INDEX($H$237:$N$237,6))</f>
        <v>0</v>
      </c>
      <c r="BD250" s="158" t="n">
        <f aca="false">BD$164+BD$7*(INDEX($H$235:$N$235,6)+INDEX($H$237:$N$237,6))</f>
        <v>0</v>
      </c>
      <c r="BE250" s="158" t="n">
        <f aca="false">BE$164+BE$7*(INDEX($H$235:$N$235,6)+INDEX($H$237:$N$237,6))</f>
        <v>0</v>
      </c>
      <c r="BF250" s="158" t="n">
        <f aca="false">BF$164+BF$7*(INDEX($H$235:$N$235,6)+INDEX($H$237:$N$237,6))</f>
        <v>0</v>
      </c>
      <c r="BG250" s="158" t="n">
        <f aca="false">BG$164+BG$7*(INDEX($H$235:$N$235,6)+INDEX($H$237:$N$237,6))</f>
        <v>0</v>
      </c>
      <c r="BH250" s="158" t="n">
        <f aca="false">BH$164+BH$7*(INDEX($H$235:$N$235,6)+INDEX($H$237:$N$237,6))</f>
        <v>0</v>
      </c>
      <c r="BI250" s="158" t="n">
        <f aca="false">BI$164+BI$7*(INDEX($H$235:$N$235,6)+INDEX($H$237:$N$237,6))</f>
        <v>0</v>
      </c>
      <c r="BJ250" s="158" t="n">
        <f aca="false">BJ$164+BJ$7*(INDEX($H$235:$N$235,6)+INDEX($H$237:$N$237,6))</f>
        <v>0</v>
      </c>
      <c r="BK250" s="158" t="n">
        <f aca="false">BK$164+BK$7*(INDEX($H$235:$N$235,6)+INDEX($H$237:$N$237,6))</f>
        <v>0</v>
      </c>
      <c r="BL250" s="158" t="n">
        <f aca="false">BL$164+BL$7*(INDEX($H$235:$N$235,6)+INDEX($H$237:$N$237,6))</f>
        <v>0</v>
      </c>
      <c r="BM250" s="158" t="n">
        <f aca="false">BM$164+BM$7*(INDEX($H$235:$N$235,6)+INDEX($H$237:$N$237,6))</f>
        <v>0</v>
      </c>
      <c r="BN250" s="158" t="n">
        <f aca="false">BN$164+BN$7*(INDEX($H$235:$N$235,6)+INDEX($H$237:$N$237,6))</f>
        <v>0</v>
      </c>
      <c r="BO250" s="158" t="n">
        <f aca="false">BO$164+BO$7*(INDEX($H$235:$N$235,6)+INDEX($H$237:$N$237,6))</f>
        <v>0</v>
      </c>
      <c r="BP250" s="158" t="n">
        <f aca="false">BP$164+BP$7*(INDEX($H$235:$N$235,6)+INDEX($H$237:$N$237,6))</f>
        <v>0</v>
      </c>
    </row>
    <row r="251" customFormat="false" ht="15" hidden="false" customHeight="false" outlineLevel="0" collapsed="false">
      <c r="C251" s="0" t="s">
        <v>1172</v>
      </c>
      <c r="D251" s="0" t="s">
        <v>125</v>
      </c>
      <c r="E251" s="158"/>
      <c r="F251" s="158"/>
      <c r="G251" s="158" t="n">
        <f aca="false">SUM(H251:BP251)</f>
        <v>11489.1497888473</v>
      </c>
      <c r="H251" s="158" t="n">
        <f aca="false">H$164+H$7*(INDEX($H$235:$N$235,7)+INDEX($H$237:$N$237,7))</f>
        <v>-200</v>
      </c>
      <c r="I251" s="158" t="n">
        <f aca="false">I$164+I$7*(INDEX($H$235:$N$235,7)+INDEX($H$237:$N$237,7))</f>
        <v>0</v>
      </c>
      <c r="J251" s="158" t="n">
        <f aca="false">J$164+J$7*(INDEX($H$235:$N$235,7)+INDEX($H$237:$N$237,7))</f>
        <v>0</v>
      </c>
      <c r="K251" s="158" t="n">
        <f aca="false">K$164+K$7*(INDEX($H$235:$N$235,7)+INDEX($H$237:$N$237,7))</f>
        <v>-102.683676416142</v>
      </c>
      <c r="L251" s="158" t="n">
        <f aca="false">L$164+L$7*(INDEX($H$235:$N$235,7)+INDEX($H$237:$N$237,7))</f>
        <v>-5.84287671232877</v>
      </c>
      <c r="M251" s="158" t="n">
        <f aca="false">M$164+M$7*(INDEX($H$235:$N$235,7)+INDEX($H$237:$N$237,7))</f>
        <v>-1262.09109589041</v>
      </c>
      <c r="N251" s="158" t="n">
        <f aca="false">N$164+N$7*(INDEX($H$235:$N$235,7)+INDEX($H$237:$N$237,7))</f>
        <v>-34.0792484265087</v>
      </c>
      <c r="O251" s="158" t="n">
        <f aca="false">O$164+O$7*(INDEX($H$235:$N$235,7)+INDEX($H$237:$N$237,7))</f>
        <v>-118.661005183265</v>
      </c>
      <c r="P251" s="158" t="n">
        <f aca="false">P$164+P$7*(INDEX($H$235:$N$235,7)+INDEX($H$237:$N$237,7))</f>
        <v>-228.214383561644</v>
      </c>
      <c r="Q251" s="158" t="n">
        <f aca="false">Q$164+Q$7*(INDEX($H$235:$N$235,7)+INDEX($H$237:$N$237,7))</f>
        <v>-29.2143835616438</v>
      </c>
      <c r="R251" s="158" t="n">
        <f aca="false">R$164+R$7*(INDEX($H$235:$N$235,7)+INDEX($H$237:$N$237,7))</f>
        <v>-29.2143835616438</v>
      </c>
      <c r="S251" s="158" t="n">
        <f aca="false">S$164+S$7*(INDEX($H$235:$N$235,7)+INDEX($H$237:$N$237,7))</f>
        <v>-50.8360051832655</v>
      </c>
      <c r="T251" s="158" t="n">
        <f aca="false">T$164+T$7*(INDEX($H$235:$N$235,7)+INDEX($H$237:$N$237,7))</f>
        <v>-50.8360051832655</v>
      </c>
      <c r="U251" s="158" t="n">
        <f aca="false">U$164+U$7*(INDEX($H$235:$N$235,7)+INDEX($H$237:$N$237,7))</f>
        <v>-29.2143835616438</v>
      </c>
      <c r="V251" s="158" t="n">
        <f aca="false">V$164+V$7*(INDEX($H$235:$N$235,7)+INDEX($H$237:$N$237,7))</f>
        <v>-29.2143835616438</v>
      </c>
      <c r="W251" s="158" t="n">
        <f aca="false">W$164+W$7*(INDEX($H$235:$N$235,7)+INDEX($H$237:$N$237,7))</f>
        <v>-29.2143835616438</v>
      </c>
      <c r="X251" s="158" t="n">
        <f aca="false">X$164+X$7*(INDEX($H$235:$N$235,7)+INDEX($H$237:$N$237,7))</f>
        <v>-49.4846538319141</v>
      </c>
      <c r="Y251" s="158" t="n">
        <f aca="false">Y$164+Y$7*(INDEX($H$235:$N$235,7)+INDEX($H$237:$N$237,7))</f>
        <v>-100.554924102184</v>
      </c>
      <c r="Z251" s="158" t="n">
        <f aca="false">Z$164+Z$7*(INDEX($H$235:$N$235,7)+INDEX($H$237:$N$237,7))</f>
        <v>-506.586349915753</v>
      </c>
      <c r="AA251" s="158" t="n">
        <f aca="false">AA$164+AA$7*(INDEX($H$235:$N$235,7)+INDEX($H$237:$N$237,7))</f>
        <v>-144.079248426509</v>
      </c>
      <c r="AB251" s="158" t="n">
        <f aca="false">AB$164+AB$7*(INDEX($H$235:$N$235,7)+INDEX($H$237:$N$237,7))</f>
        <v>-73.2819511292114</v>
      </c>
      <c r="AC251" s="158" t="n">
        <f aca="false">AC$164+AC$7*(INDEX($H$235:$N$235,7)+INDEX($H$237:$N$237,7))</f>
        <v>-29.2684376156979</v>
      </c>
      <c r="AD251" s="158" t="n">
        <f aca="false">AD$164+AD$7*(INDEX($H$235:$N$235,7)+INDEX($H$237:$N$237,7))</f>
        <v>-29.2143835616438</v>
      </c>
      <c r="AE251" s="158" t="n">
        <f aca="false">AE$164+AE$7*(INDEX($H$235:$N$235,7)+INDEX($H$237:$N$237,7))</f>
        <v>-31.4643835616438</v>
      </c>
      <c r="AF251" s="158" t="n">
        <f aca="false">AF$164+AF$7*(INDEX($H$235:$N$235,7)+INDEX($H$237:$N$237,7))</f>
        <v>-29.2143835616438</v>
      </c>
      <c r="AG251" s="158" t="n">
        <f aca="false">AG$164+AG$7*(INDEX($H$235:$N$235,7)+INDEX($H$237:$N$237,7))</f>
        <v>-110.151412133072</v>
      </c>
      <c r="AH251" s="158" t="n">
        <f aca="false">AH$164+AH$7*(INDEX($H$235:$N$235,7)+INDEX($H$237:$N$237,7))</f>
        <v>-29.2143835616438</v>
      </c>
      <c r="AI251" s="158" t="n">
        <f aca="false">AI$164+AI$7*(INDEX($H$235:$N$235,7)+INDEX($H$237:$N$237,7))</f>
        <v>-29.2143835616438</v>
      </c>
      <c r="AJ251" s="158" t="n">
        <f aca="false">AJ$164+AJ$7*(INDEX($H$235:$N$235,7)+INDEX($H$237:$N$237,7))</f>
        <v>-45.4305997778601</v>
      </c>
      <c r="AK251" s="158" t="n">
        <f aca="false">AK$164+AK$7*(INDEX($H$235:$N$235,7)+INDEX($H$237:$N$237,7))</f>
        <v>-170.31821437593</v>
      </c>
      <c r="AL251" s="158" t="n">
        <f aca="false">AL$164+AL$7*(INDEX($H$235:$N$235,7)+INDEX($H$237:$N$237,7))</f>
        <v>-19539.2647037394</v>
      </c>
      <c r="AM251" s="158" t="n">
        <f aca="false">AM$164+AM$7*(INDEX($H$235:$N$235,7)+INDEX($H$237:$N$237,7))</f>
        <v>-29.2143835616438</v>
      </c>
      <c r="AN251" s="158" t="n">
        <f aca="false">AN$164+AN$7*(INDEX($H$235:$N$235,7)+INDEX($H$237:$N$237,7))</f>
        <v>-152.457626804887</v>
      </c>
      <c r="AO251" s="158" t="n">
        <f aca="false">AO$164+AO$7*(INDEX($H$235:$N$235,7)+INDEX($H$237:$N$237,7))</f>
        <v>-29.2143835616438</v>
      </c>
      <c r="AP251" s="158" t="n">
        <f aca="false">AP$164+AP$7*(INDEX($H$235:$N$235,7)+INDEX($H$237:$N$237,7))</f>
        <v>-29.2143835616438</v>
      </c>
      <c r="AQ251" s="158" t="n">
        <f aca="false">AQ$164+AQ$7*(INDEX($H$235:$N$235,7)+INDEX($H$237:$N$237,7))</f>
        <v>-29.2143835616438</v>
      </c>
      <c r="AR251" s="158" t="n">
        <f aca="false">AR$164+AR$7*(INDEX($H$235:$N$235,7)+INDEX($H$237:$N$237,7))</f>
        <v>-29.2143835616438</v>
      </c>
      <c r="AS251" s="158" t="n">
        <f aca="false">AS$164+AS$7*(INDEX($H$235:$N$235,7)+INDEX($H$237:$N$237,7))</f>
        <v>-29.2143835616438</v>
      </c>
      <c r="AT251" s="158" t="n">
        <f aca="false">AT$164+AT$7*(INDEX($H$235:$N$235,7)+INDEX($H$237:$N$237,7))</f>
        <v>34932.9523442428</v>
      </c>
      <c r="AU251" s="158" t="n">
        <f aca="false">AU$164+AU$7*(INDEX($H$235:$N$235,7)+INDEX($H$237:$N$237,7))</f>
        <v>0</v>
      </c>
      <c r="AV251" s="158" t="n">
        <f aca="false">AV$164+AV$7*(INDEX($H$235:$N$235,7)+INDEX($H$237:$N$237,7))</f>
        <v>0</v>
      </c>
      <c r="AW251" s="158" t="n">
        <f aca="false">AW$164+AW$7*(INDEX($H$235:$N$235,7)+INDEX($H$237:$N$237,7))</f>
        <v>0</v>
      </c>
      <c r="AX251" s="158" t="n">
        <f aca="false">AX$164+AX$7*(INDEX($H$235:$N$235,7)+INDEX($H$237:$N$237,7))</f>
        <v>0</v>
      </c>
      <c r="AY251" s="158" t="n">
        <f aca="false">AY$164+AY$7*(INDEX($H$235:$N$235,7)+INDEX($H$237:$N$237,7))</f>
        <v>0</v>
      </c>
      <c r="AZ251" s="158" t="n">
        <f aca="false">AZ$164+AZ$7*(INDEX($H$235:$N$235,7)+INDEX($H$237:$N$237,7))</f>
        <v>0</v>
      </c>
      <c r="BA251" s="158" t="n">
        <f aca="false">BA$164+BA$7*(INDEX($H$235:$N$235,7)+INDEX($H$237:$N$237,7))</f>
        <v>0</v>
      </c>
      <c r="BB251" s="158" t="n">
        <f aca="false">BB$164+BB$7*(INDEX($H$235:$N$235,7)+INDEX($H$237:$N$237,7))</f>
        <v>0</v>
      </c>
      <c r="BC251" s="158" t="n">
        <f aca="false">BC$164+BC$7*(INDEX($H$235:$N$235,7)+INDEX($H$237:$N$237,7))</f>
        <v>0</v>
      </c>
      <c r="BD251" s="158" t="n">
        <f aca="false">BD$164+BD$7*(INDEX($H$235:$N$235,7)+INDEX($H$237:$N$237,7))</f>
        <v>0</v>
      </c>
      <c r="BE251" s="158" t="n">
        <f aca="false">BE$164+BE$7*(INDEX($H$235:$N$235,7)+INDEX($H$237:$N$237,7))</f>
        <v>0</v>
      </c>
      <c r="BF251" s="158" t="n">
        <f aca="false">BF$164+BF$7*(INDEX($H$235:$N$235,7)+INDEX($H$237:$N$237,7))</f>
        <v>0</v>
      </c>
      <c r="BG251" s="158" t="n">
        <f aca="false">BG$164+BG$7*(INDEX($H$235:$N$235,7)+INDEX($H$237:$N$237,7))</f>
        <v>0</v>
      </c>
      <c r="BH251" s="158" t="n">
        <f aca="false">BH$164+BH$7*(INDEX($H$235:$N$235,7)+INDEX($H$237:$N$237,7))</f>
        <v>0</v>
      </c>
      <c r="BI251" s="158" t="n">
        <f aca="false">BI$164+BI$7*(INDEX($H$235:$N$235,7)+INDEX($H$237:$N$237,7))</f>
        <v>0</v>
      </c>
      <c r="BJ251" s="158" t="n">
        <f aca="false">BJ$164+BJ$7*(INDEX($H$235:$N$235,7)+INDEX($H$237:$N$237,7))</f>
        <v>0</v>
      </c>
      <c r="BK251" s="158" t="n">
        <f aca="false">BK$164+BK$7*(INDEX($H$235:$N$235,7)+INDEX($H$237:$N$237,7))</f>
        <v>0</v>
      </c>
      <c r="BL251" s="158" t="n">
        <f aca="false">BL$164+BL$7*(INDEX($H$235:$N$235,7)+INDEX($H$237:$N$237,7))</f>
        <v>0</v>
      </c>
      <c r="BM251" s="158" t="n">
        <f aca="false">BM$164+BM$7*(INDEX($H$235:$N$235,7)+INDEX($H$237:$N$237,7))</f>
        <v>0</v>
      </c>
      <c r="BN251" s="158" t="n">
        <f aca="false">BN$164+BN$7*(INDEX($H$235:$N$235,7)+INDEX($H$237:$N$237,7))</f>
        <v>0</v>
      </c>
      <c r="BO251" s="158" t="n">
        <f aca="false">BO$164+BO$7*(INDEX($H$235:$N$235,7)+INDEX($H$237:$N$237,7))</f>
        <v>0</v>
      </c>
      <c r="BP251" s="158" t="n">
        <f aca="false">BP$164+BP$7*(INDEX($H$235:$N$235,7)+INDEX($H$237:$N$237,7))</f>
        <v>0</v>
      </c>
    </row>
    <row r="253" customFormat="false" ht="15" hidden="false" customHeight="false" outlineLevel="0" collapsed="false">
      <c r="C253" s="136" t="s">
        <v>1173</v>
      </c>
      <c r="D253" s="136"/>
      <c r="E253" s="136"/>
      <c r="F253" s="136"/>
      <c r="G253" s="136"/>
      <c r="H253" s="136"/>
      <c r="I253" s="136"/>
      <c r="J253" s="136"/>
      <c r="K253" s="136"/>
      <c r="L253" s="136"/>
      <c r="M253" s="136"/>
      <c r="N253" s="136"/>
      <c r="O253" s="136"/>
      <c r="P253" s="136"/>
      <c r="Q253" s="136"/>
      <c r="R253" s="136"/>
      <c r="S253" s="136"/>
      <c r="T253" s="136"/>
      <c r="U253" s="136"/>
      <c r="V253" s="136"/>
      <c r="W253" s="136"/>
      <c r="X253" s="136"/>
      <c r="Y253" s="136"/>
      <c r="Z253" s="136"/>
      <c r="AA253" s="136"/>
      <c r="AB253" s="136"/>
      <c r="AC253" s="136"/>
      <c r="AD253" s="136"/>
      <c r="AE253" s="136"/>
      <c r="AF253" s="136"/>
      <c r="AG253" s="136"/>
      <c r="AH253" s="136"/>
      <c r="AI253" s="136"/>
      <c r="AJ253" s="136"/>
      <c r="AK253" s="136"/>
      <c r="AL253" s="136"/>
      <c r="AM253" s="136"/>
      <c r="AN253" s="136"/>
      <c r="AO253" s="136"/>
      <c r="AP253" s="136"/>
      <c r="AQ253" s="136"/>
      <c r="AR253" s="136"/>
      <c r="AS253" s="136"/>
      <c r="AT253" s="136"/>
      <c r="AU253" s="136"/>
      <c r="AV253" s="136"/>
      <c r="AW253" s="136"/>
      <c r="AX253" s="136"/>
      <c r="AY253" s="136"/>
      <c r="AZ253" s="136"/>
      <c r="BA253" s="136"/>
      <c r="BB253" s="136"/>
      <c r="BC253" s="136"/>
      <c r="BD253" s="136"/>
      <c r="BE253" s="136"/>
      <c r="BF253" s="136"/>
      <c r="BG253" s="136"/>
      <c r="BH253" s="136"/>
      <c r="BI253" s="136"/>
      <c r="BJ253" s="136"/>
      <c r="BK253" s="136"/>
      <c r="BL253" s="136"/>
      <c r="BM253" s="136"/>
      <c r="BN253" s="136"/>
      <c r="BO253" s="136"/>
      <c r="BP253" s="136"/>
    </row>
    <row r="254" customFormat="false" ht="15" hidden="false" customHeight="false" outlineLevel="0" collapsed="false">
      <c r="C254" s="0" t="s">
        <v>1174</v>
      </c>
      <c r="D254" s="0" t="s">
        <v>1175</v>
      </c>
      <c r="G254" s="205" t="str">
        <f aca="false">Deposits!E34</f>
        <v>OK</v>
      </c>
    </row>
    <row r="255" customFormat="false" ht="15" hidden="false" customHeight="false" outlineLevel="0" collapsed="false">
      <c r="C255" s="0" t="s">
        <v>1176</v>
      </c>
      <c r="D255" s="0" t="s">
        <v>1175</v>
      </c>
      <c r="G255" s="205" t="str">
        <f aca="false">IF(ABS(BP113)&lt;0.01,"OK","FAIL")</f>
        <v>OK</v>
      </c>
    </row>
    <row r="256" customFormat="false" ht="15" hidden="false" customHeight="false" outlineLevel="0" collapsed="false">
      <c r="C256" s="0" t="s">
        <v>1177</v>
      </c>
      <c r="D256" s="0" t="s">
        <v>1175</v>
      </c>
      <c r="G256" s="205" t="str">
        <f aca="false">IF(ABS(BP128)&lt;0.01,"OK","FAIL")</f>
        <v>OK</v>
      </c>
    </row>
    <row r="257" customFormat="false" ht="15" hidden="false" customHeight="false" outlineLevel="0" collapsed="false">
      <c r="C257" s="0" t="s">
        <v>1178</v>
      </c>
      <c r="D257" s="0" t="s">
        <v>1175</v>
      </c>
      <c r="G257" s="205" t="str">
        <f aca="false">IF(AND(ABS(BP120)&lt;0.01,ABS(BP138)&lt;0.01),"OK","FAIL")</f>
        <v>OK</v>
      </c>
    </row>
    <row r="258" customFormat="false" ht="15" hidden="false" customHeight="false" outlineLevel="0" collapsed="false">
      <c r="C258" s="0" t="s">
        <v>1179</v>
      </c>
      <c r="D258" s="0" t="s">
        <v>1175</v>
      </c>
      <c r="G258" s="205" t="str">
        <f aca="false">IF(ABS(BP76)&lt;0.01,"OK","FAIL")</f>
        <v>OK</v>
      </c>
    </row>
    <row r="259" customFormat="false" ht="15" hidden="false" customHeight="false" outlineLevel="0" collapsed="false">
      <c r="C259" s="0" t="s">
        <v>1180</v>
      </c>
      <c r="D259" s="0" t="s">
        <v>1175</v>
      </c>
      <c r="G259" s="205" t="str">
        <f aca="false">IF(ABS(SUM(G145:G151)-G152)&lt;0.01,"OK","FAIL")</f>
        <v>OK</v>
      </c>
    </row>
    <row r="260" customFormat="false" ht="15" hidden="false" customHeight="false" outlineLevel="0" collapsed="false">
      <c r="C260" s="0" t="s">
        <v>1181</v>
      </c>
      <c r="D260" s="0" t="s">
        <v>1175</v>
      </c>
      <c r="G260" s="205" t="str">
        <f aca="false">IF(ABS(G153+G154-G152)&lt;0.01,"OK","FAIL")</f>
        <v>OK</v>
      </c>
    </row>
    <row r="261" customFormat="false" ht="15" hidden="false" customHeight="false" outlineLevel="0" collapsed="false">
      <c r="C261" s="0" t="s">
        <v>1182</v>
      </c>
      <c r="D261" s="0" t="s">
        <v>1175</v>
      </c>
      <c r="G261" s="205" t="str">
        <f aca="false">IF(ABS(G18-Devex_FEP!$H$39)&lt;0.01,"OK","FAIL")</f>
        <v>OK</v>
      </c>
    </row>
    <row r="262" customFormat="false" ht="15" hidden="false" customHeight="false" outlineLevel="0" collapsed="false">
      <c r="C262" s="0" t="s">
        <v>1183</v>
      </c>
      <c r="D262" s="0" t="s">
        <v>1175</v>
      </c>
      <c r="G262" s="205" t="str">
        <f aca="false">IF(G25&lt;=Inputs!$E$37*Inputs!$E$18+0.01,"OK","FAIL")</f>
        <v>OK</v>
      </c>
    </row>
    <row r="263" customFormat="false" ht="15" hidden="false" customHeight="false" outlineLevel="0" collapsed="false">
      <c r="C263" s="0" t="s">
        <v>1184</v>
      </c>
      <c r="D263" s="0" t="s">
        <v>1175</v>
      </c>
      <c r="G263" s="205" t="str">
        <f aca="false">IF(Inputs!$E$57&lt;=BP4,"OK","FAIL")</f>
        <v>OK</v>
      </c>
    </row>
    <row r="264" customFormat="false" ht="15" hidden="false" customHeight="false" outlineLevel="0" collapsed="false">
      <c r="C264" s="0" t="s">
        <v>1185</v>
      </c>
      <c r="D264" s="0" t="s">
        <v>1175</v>
      </c>
      <c r="G264" s="205" t="str">
        <f aca="false">IF(MAX(Deposits!L7:L18)&lt;=BP4,"OK","FAIL")</f>
        <v>OK</v>
      </c>
    </row>
    <row r="265" customFormat="false" ht="15" hidden="false" customHeight="false" outlineLevel="0" collapsed="false">
      <c r="C265" s="0" t="s">
        <v>1186</v>
      </c>
      <c r="D265" s="0" t="s">
        <v>1175</v>
      </c>
      <c r="G265" s="205" t="str">
        <f aca="false">IF(AND(ISNUMBER(G186),ISNUMBER(G187),ISNUMBER(G182)),"OK","FAIL")</f>
        <v>OK</v>
      </c>
    </row>
    <row r="266" customFormat="false" ht="15" hidden="false" customHeight="false" outlineLevel="0" collapsed="false">
      <c r="C266" s="0" t="s">
        <v>1187</v>
      </c>
      <c r="D266" s="0" t="s">
        <v>1175</v>
      </c>
      <c r="G266" s="205" t="str">
        <f aca="false">IFERROR(IF(ABS(INDEX(H238:N238,MATCH(Inputs!$E$141,H225:N225,0))-G182)&lt;0.01,"OK","FAIL"),"n/a – live premium not in sensitivity set")</f>
        <v>OK</v>
      </c>
    </row>
    <row r="267" customFormat="false" ht="15" hidden="false" customHeight="false" outlineLevel="0" collapsed="false">
      <c r="C267" s="0" t="s">
        <v>1188</v>
      </c>
      <c r="D267" s="0" t="s">
        <v>1175</v>
      </c>
      <c r="G267" s="205" t="str">
        <f aca="false">IF(AND(Inputs!$E$6&gt;=1,Inputs!$E$6&lt;=10),"OK","FAIL")</f>
        <v>OK</v>
      </c>
    </row>
    <row r="268" customFormat="false" ht="15" hidden="false" customHeight="false" outlineLevel="0" collapsed="false">
      <c r="C268" s="0" t="s">
        <v>1189</v>
      </c>
      <c r="D268" s="0" t="s">
        <v>1175</v>
      </c>
      <c r="G268" s="205" t="str">
        <f aca="false">IF(ABS(G172-(G164+G171))&lt;0.01,"OK","FAIL")</f>
        <v>OK</v>
      </c>
    </row>
    <row r="269" customFormat="false" ht="15" hidden="false" customHeight="false" outlineLevel="0" collapsed="false">
      <c r="C269" s="0" t="s">
        <v>1190</v>
      </c>
      <c r="D269" s="0" t="s">
        <v>1175</v>
      </c>
      <c r="G269" s="205" t="str">
        <f aca="false">IF(ABS(G155)&lt;0.01,"OK","WARNING – proceeds do not cover all claims")</f>
        <v>OK</v>
      </c>
    </row>
    <row r="270" customFormat="false" ht="15" hidden="false" customHeight="false" outlineLevel="0" collapsed="false">
      <c r="C270" s="205" t="s">
        <v>1191</v>
      </c>
      <c r="D270" s="205"/>
      <c r="E270" s="205"/>
      <c r="F270" s="205"/>
      <c r="G270" s="205" t="str">
        <f aca="false">IF(COUNTIF(G254:G269,"FAIL")&gt;0,"CHECK FAILURES: "&amp;COUNTIF(G254:G269,"FAIL"),IF(COUNTIF(G254:G269,"WARNING*")&gt;0,"OK – WARNINGS: "&amp;COUNTIF(G254:G269,"WARNING*"),"ALL OK"))</f>
        <v>ALL OK</v>
      </c>
      <c r="H270" s="205"/>
      <c r="I270" s="205"/>
      <c r="J270" s="205"/>
      <c r="K270" s="205"/>
      <c r="L270" s="205"/>
      <c r="M270" s="205"/>
      <c r="N270" s="205"/>
      <c r="O270" s="205"/>
      <c r="P270" s="205"/>
      <c r="Q270" s="205"/>
      <c r="R270" s="205"/>
      <c r="S270" s="205"/>
      <c r="T270" s="205"/>
      <c r="U270" s="205"/>
      <c r="V270" s="205"/>
      <c r="W270" s="205"/>
      <c r="X270" s="205"/>
      <c r="Y270" s="205"/>
      <c r="Z270" s="205"/>
      <c r="AA270" s="205"/>
      <c r="AB270" s="205"/>
      <c r="AC270" s="205"/>
      <c r="AD270" s="205"/>
      <c r="AE270" s="205"/>
      <c r="AF270" s="205"/>
      <c r="AG270" s="205"/>
      <c r="AH270" s="205"/>
      <c r="AI270" s="205"/>
      <c r="AJ270" s="205"/>
      <c r="AK270" s="205"/>
      <c r="AL270" s="205"/>
      <c r="AM270" s="205"/>
      <c r="AN270" s="205"/>
      <c r="AO270" s="205"/>
      <c r="AP270" s="205"/>
      <c r="AQ270" s="205"/>
      <c r="AR270" s="205"/>
      <c r="AS270" s="205"/>
      <c r="AT270" s="205"/>
      <c r="AU270" s="205"/>
      <c r="AV270" s="205"/>
      <c r="AW270" s="205"/>
      <c r="AX270" s="205"/>
      <c r="AY270" s="205"/>
      <c r="AZ270" s="205"/>
      <c r="BA270" s="205"/>
      <c r="BB270" s="205"/>
      <c r="BC270" s="205"/>
      <c r="BD270" s="205"/>
      <c r="BE270" s="205"/>
      <c r="BF270" s="205"/>
      <c r="BG270" s="205"/>
      <c r="BH270" s="205"/>
      <c r="BI270" s="205"/>
      <c r="BJ270" s="205"/>
      <c r="BK270" s="205"/>
      <c r="BL270" s="205"/>
      <c r="BM270" s="205"/>
      <c r="BN270" s="205"/>
      <c r="BO270" s="205"/>
      <c r="BP270" s="205"/>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Q375"/>
  <sheetViews>
    <sheetView showFormulas="false" showGridLines="false" showRowColHeaders="true" showZeros="true" rightToLeft="false" tabSelected="false" showOutlineSymbols="true" defaultGridColor="true" view="normal" topLeftCell="B1" colorId="64" zoomScale="100" zoomScaleNormal="100" zoomScalePageLayoutView="100" workbookViewId="0">
      <pane xSplit="0" ySplit="5" topLeftCell="A24" activePane="bottomLeft" state="frozen"/>
      <selection pane="topLeft" activeCell="B1" activeCellId="0" sqref="B1"/>
      <selection pane="bottomLeft" activeCell="C43" activeCellId="0" sqref="C43"/>
    </sheetView>
  </sheetViews>
  <sheetFormatPr defaultColWidth="8.5703125" defaultRowHeight="15" zeroHeight="false" outlineLevelRow="0" outlineLevelCol="0"/>
  <cols>
    <col collapsed="false" customWidth="true" hidden="false" outlineLevel="0" max="2" min="1" style="0" width="2.57"/>
    <col collapsed="false" customWidth="true" hidden="false" outlineLevel="0" max="3" min="3" style="0" width="62.86"/>
    <col collapsed="false" customWidth="true" hidden="false" outlineLevel="0" max="4" min="4" style="0" width="11.43"/>
    <col collapsed="false" customWidth="true" hidden="false" outlineLevel="0" max="5" min="5" style="0" width="13.42"/>
    <col collapsed="false" customWidth="true" hidden="false" outlineLevel="0" max="7" min="6" style="0" width="17.15"/>
    <col collapsed="false" customWidth="true" hidden="false" outlineLevel="0" max="43" min="8" style="0" width="11.85"/>
  </cols>
  <sheetData>
    <row r="1" customFormat="false" ht="18.75" hidden="false" customHeight="true" outlineLevel="0" collapsed="false">
      <c r="A1" s="129" t="str">
        <f aca="false">Inputs!A1</f>
        <v>HUN Onshore Wind – MOIC model v5</v>
      </c>
    </row>
    <row r="2" customFormat="false" ht="15" hidden="false" customHeight="false" outlineLevel="0" collapsed="false">
      <c r="A2" s="130" t="s">
        <v>1192</v>
      </c>
    </row>
    <row r="3" customFormat="false" ht="15" hidden="false" customHeight="false" outlineLevel="0" collapsed="false">
      <c r="A3" s="130" t="s">
        <v>1193</v>
      </c>
    </row>
    <row r="4" customFormat="false" ht="15" hidden="false" customHeight="false" outlineLevel="0" collapsed="false">
      <c r="C4" s="136" t="s">
        <v>1194</v>
      </c>
      <c r="D4" s="136"/>
      <c r="E4" s="136"/>
      <c r="F4" s="136"/>
      <c r="G4" s="136"/>
      <c r="H4" s="270" t="n">
        <f aca="false">H5-YEAR(Inputs!$E$27)</f>
        <v>0</v>
      </c>
      <c r="I4" s="270" t="n">
        <f aca="false">I5-YEAR(Inputs!$E$27)</f>
        <v>1</v>
      </c>
      <c r="J4" s="270" t="n">
        <f aca="false">J5-YEAR(Inputs!$E$27)</f>
        <v>2</v>
      </c>
      <c r="K4" s="270" t="n">
        <f aca="false">K5-YEAR(Inputs!$E$27)</f>
        <v>3</v>
      </c>
      <c r="L4" s="270" t="n">
        <f aca="false">L5-YEAR(Inputs!$E$27)</f>
        <v>4</v>
      </c>
      <c r="M4" s="270" t="n">
        <f aca="false">M5-YEAR(Inputs!$E$27)</f>
        <v>5</v>
      </c>
      <c r="N4" s="270" t="n">
        <f aca="false">N5-YEAR(Inputs!$E$27)</f>
        <v>6</v>
      </c>
      <c r="O4" s="270" t="n">
        <f aca="false">O5-YEAR(Inputs!$E$27)</f>
        <v>7</v>
      </c>
      <c r="P4" s="270" t="n">
        <f aca="false">P5-YEAR(Inputs!$E$27)</f>
        <v>8</v>
      </c>
      <c r="Q4" s="270" t="n">
        <f aca="false">Q5-YEAR(Inputs!$E$27)</f>
        <v>9</v>
      </c>
      <c r="R4" s="270" t="n">
        <f aca="false">R5-YEAR(Inputs!$E$27)</f>
        <v>10</v>
      </c>
      <c r="S4" s="270" t="n">
        <f aca="false">S5-YEAR(Inputs!$E$27)</f>
        <v>11</v>
      </c>
      <c r="T4" s="270" t="n">
        <f aca="false">T5-YEAR(Inputs!$E$27)</f>
        <v>12</v>
      </c>
      <c r="U4" s="270" t="n">
        <f aca="false">U5-YEAR(Inputs!$E$27)</f>
        <v>13</v>
      </c>
      <c r="V4" s="270" t="n">
        <f aca="false">V5-YEAR(Inputs!$E$27)</f>
        <v>14</v>
      </c>
      <c r="W4" s="270" t="n">
        <f aca="false">W5-YEAR(Inputs!$E$27)</f>
        <v>15</v>
      </c>
      <c r="X4" s="270" t="n">
        <f aca="false">X5-YEAR(Inputs!$E$27)</f>
        <v>16</v>
      </c>
      <c r="Y4" s="270" t="n">
        <f aca="false">Y5-YEAR(Inputs!$E$27)</f>
        <v>17</v>
      </c>
      <c r="Z4" s="270" t="n">
        <f aca="false">Z5-YEAR(Inputs!$E$27)</f>
        <v>18</v>
      </c>
      <c r="AA4" s="270" t="n">
        <f aca="false">AA5-YEAR(Inputs!$E$27)</f>
        <v>19</v>
      </c>
      <c r="AB4" s="270" t="n">
        <f aca="false">AB5-YEAR(Inputs!$E$27)</f>
        <v>20</v>
      </c>
      <c r="AC4" s="270" t="n">
        <f aca="false">AC5-YEAR(Inputs!$E$27)</f>
        <v>21</v>
      </c>
      <c r="AD4" s="270" t="n">
        <f aca="false">AD5-YEAR(Inputs!$E$27)</f>
        <v>22</v>
      </c>
      <c r="AE4" s="270" t="n">
        <f aca="false">AE5-YEAR(Inputs!$E$27)</f>
        <v>23</v>
      </c>
      <c r="AF4" s="270" t="n">
        <f aca="false">AF5-YEAR(Inputs!$E$27)</f>
        <v>24</v>
      </c>
      <c r="AG4" s="270" t="n">
        <f aca="false">AG5-YEAR(Inputs!$E$27)</f>
        <v>25</v>
      </c>
      <c r="AH4" s="270" t="n">
        <f aca="false">AH5-YEAR(Inputs!$E$27)</f>
        <v>26</v>
      </c>
      <c r="AI4" s="270" t="n">
        <f aca="false">AI5-YEAR(Inputs!$E$27)</f>
        <v>27</v>
      </c>
      <c r="AJ4" s="270" t="n">
        <f aca="false">AJ5-YEAR(Inputs!$E$27)</f>
        <v>28</v>
      </c>
      <c r="AK4" s="270" t="n">
        <f aca="false">AK5-YEAR(Inputs!$E$27)</f>
        <v>29</v>
      </c>
      <c r="AL4" s="270" t="n">
        <f aca="false">AL5-YEAR(Inputs!$E$27)</f>
        <v>30</v>
      </c>
      <c r="AM4" s="270" t="n">
        <f aca="false">AM5-YEAR(Inputs!$E$27)</f>
        <v>31</v>
      </c>
      <c r="AN4" s="270" t="n">
        <f aca="false">AN5-YEAR(Inputs!$E$27)</f>
        <v>32</v>
      </c>
      <c r="AO4" s="270" t="n">
        <f aca="false">AO5-YEAR(Inputs!$E$27)</f>
        <v>33</v>
      </c>
      <c r="AP4" s="270" t="n">
        <f aca="false">AP5-YEAR(Inputs!$E$27)</f>
        <v>34</v>
      </c>
      <c r="AQ4" s="270" t="n">
        <f aca="false">AQ5-YEAR(Inputs!$E$27)</f>
        <v>35</v>
      </c>
    </row>
    <row r="5" customFormat="false" ht="15" hidden="false" customHeight="false" outlineLevel="0" collapsed="false">
      <c r="C5" s="253" t="s">
        <v>5</v>
      </c>
      <c r="D5" s="253" t="s">
        <v>5</v>
      </c>
      <c r="E5" s="253"/>
      <c r="F5" s="253"/>
      <c r="G5" s="253"/>
      <c r="H5" s="254" t="n">
        <f aca="false">YEAR(Inputs!$E$27)</f>
        <v>2026</v>
      </c>
      <c r="I5" s="254" t="n">
        <f aca="false">H5+1</f>
        <v>2027</v>
      </c>
      <c r="J5" s="254" t="n">
        <f aca="false">I5+1</f>
        <v>2028</v>
      </c>
      <c r="K5" s="254" t="n">
        <f aca="false">J5+1</f>
        <v>2029</v>
      </c>
      <c r="L5" s="254" t="n">
        <f aca="false">K5+1</f>
        <v>2030</v>
      </c>
      <c r="M5" s="254" t="n">
        <f aca="false">L5+1</f>
        <v>2031</v>
      </c>
      <c r="N5" s="254" t="n">
        <f aca="false">M5+1</f>
        <v>2032</v>
      </c>
      <c r="O5" s="254" t="n">
        <f aca="false">N5+1</f>
        <v>2033</v>
      </c>
      <c r="P5" s="254" t="n">
        <f aca="false">O5+1</f>
        <v>2034</v>
      </c>
      <c r="Q5" s="254" t="n">
        <f aca="false">P5+1</f>
        <v>2035</v>
      </c>
      <c r="R5" s="254" t="n">
        <f aca="false">Q5+1</f>
        <v>2036</v>
      </c>
      <c r="S5" s="254" t="n">
        <f aca="false">R5+1</f>
        <v>2037</v>
      </c>
      <c r="T5" s="254" t="n">
        <f aca="false">S5+1</f>
        <v>2038</v>
      </c>
      <c r="U5" s="254" t="n">
        <f aca="false">T5+1</f>
        <v>2039</v>
      </c>
      <c r="V5" s="254" t="n">
        <f aca="false">U5+1</f>
        <v>2040</v>
      </c>
      <c r="W5" s="254" t="n">
        <f aca="false">V5+1</f>
        <v>2041</v>
      </c>
      <c r="X5" s="254" t="n">
        <f aca="false">W5+1</f>
        <v>2042</v>
      </c>
      <c r="Y5" s="254" t="n">
        <f aca="false">X5+1</f>
        <v>2043</v>
      </c>
      <c r="Z5" s="254" t="n">
        <f aca="false">Y5+1</f>
        <v>2044</v>
      </c>
      <c r="AA5" s="254" t="n">
        <f aca="false">Z5+1</f>
        <v>2045</v>
      </c>
      <c r="AB5" s="254" t="n">
        <f aca="false">AA5+1</f>
        <v>2046</v>
      </c>
      <c r="AC5" s="254" t="n">
        <f aca="false">AB5+1</f>
        <v>2047</v>
      </c>
      <c r="AD5" s="254" t="n">
        <f aca="false">AC5+1</f>
        <v>2048</v>
      </c>
      <c r="AE5" s="254" t="n">
        <f aca="false">AD5+1</f>
        <v>2049</v>
      </c>
      <c r="AF5" s="254" t="n">
        <f aca="false">AE5+1</f>
        <v>2050</v>
      </c>
      <c r="AG5" s="254" t="n">
        <f aca="false">AF5+1</f>
        <v>2051</v>
      </c>
      <c r="AH5" s="254" t="n">
        <f aca="false">AG5+1</f>
        <v>2052</v>
      </c>
      <c r="AI5" s="254" t="n">
        <f aca="false">AH5+1</f>
        <v>2053</v>
      </c>
      <c r="AJ5" s="254" t="n">
        <f aca="false">AI5+1</f>
        <v>2054</v>
      </c>
      <c r="AK5" s="254" t="n">
        <f aca="false">AJ5+1</f>
        <v>2055</v>
      </c>
      <c r="AL5" s="254" t="n">
        <f aca="false">AK5+1</f>
        <v>2056</v>
      </c>
      <c r="AM5" s="254" t="n">
        <f aca="false">AL5+1</f>
        <v>2057</v>
      </c>
      <c r="AN5" s="254" t="n">
        <f aca="false">AM5+1</f>
        <v>2058</v>
      </c>
      <c r="AO5" s="254" t="n">
        <f aca="false">AN5+1</f>
        <v>2059</v>
      </c>
      <c r="AP5" s="254" t="n">
        <f aca="false">AO5+1</f>
        <v>2060</v>
      </c>
      <c r="AQ5" s="254" t="n">
        <f aca="false">AP5+1</f>
        <v>2061</v>
      </c>
    </row>
    <row r="6" customFormat="false" ht="15" hidden="false" customHeight="false" outlineLevel="0" collapsed="false">
      <c r="C6" s="257" t="s">
        <v>1195</v>
      </c>
      <c r="D6" s="257" t="s">
        <v>990</v>
      </c>
      <c r="E6" s="257"/>
      <c r="F6" s="257"/>
      <c r="G6" s="257"/>
      <c r="H6" s="258" t="n">
        <f aca="false">IF(AND(H5&gt;=YEAR(Inputs!$E$27),H5&lt;=YEAR(Inputs!$E$154)),1,0)</f>
        <v>1</v>
      </c>
      <c r="I6" s="258" t="n">
        <f aca="false">IF(AND(I5&gt;=YEAR(Inputs!$E$27),I5&lt;=YEAR(Inputs!$E$154)),1,0)</f>
        <v>1</v>
      </c>
      <c r="J6" s="258" t="n">
        <f aca="false">IF(AND(J5&gt;=YEAR(Inputs!$E$27),J5&lt;=YEAR(Inputs!$E$154)),1,0)</f>
        <v>1</v>
      </c>
      <c r="K6" s="258" t="n">
        <f aca="false">IF(AND(K5&gt;=YEAR(Inputs!$E$27),K5&lt;=YEAR(Inputs!$E$154)),1,0)</f>
        <v>1</v>
      </c>
      <c r="L6" s="258" t="n">
        <f aca="false">IF(AND(L5&gt;=YEAR(Inputs!$E$27),L5&lt;=YEAR(Inputs!$E$154)),1,0)</f>
        <v>0</v>
      </c>
      <c r="M6" s="258" t="n">
        <f aca="false">IF(AND(M5&gt;=YEAR(Inputs!$E$27),M5&lt;=YEAR(Inputs!$E$154)),1,0)</f>
        <v>0</v>
      </c>
      <c r="N6" s="258" t="n">
        <f aca="false">IF(AND(N5&gt;=YEAR(Inputs!$E$27),N5&lt;=YEAR(Inputs!$E$154)),1,0)</f>
        <v>0</v>
      </c>
      <c r="O6" s="258" t="n">
        <f aca="false">IF(AND(O5&gt;=YEAR(Inputs!$E$27),O5&lt;=YEAR(Inputs!$E$154)),1,0)</f>
        <v>0</v>
      </c>
      <c r="P6" s="258" t="n">
        <f aca="false">IF(AND(P5&gt;=YEAR(Inputs!$E$27),P5&lt;=YEAR(Inputs!$E$154)),1,0)</f>
        <v>0</v>
      </c>
      <c r="Q6" s="258" t="n">
        <f aca="false">IF(AND(Q5&gt;=YEAR(Inputs!$E$27),Q5&lt;=YEAR(Inputs!$E$154)),1,0)</f>
        <v>0</v>
      </c>
      <c r="R6" s="258" t="n">
        <f aca="false">IF(AND(R5&gt;=YEAR(Inputs!$E$27),R5&lt;=YEAR(Inputs!$E$154)),1,0)</f>
        <v>0</v>
      </c>
      <c r="S6" s="258" t="n">
        <f aca="false">IF(AND(S5&gt;=YEAR(Inputs!$E$27),S5&lt;=YEAR(Inputs!$E$154)),1,0)</f>
        <v>0</v>
      </c>
      <c r="T6" s="258" t="n">
        <f aca="false">IF(AND(T5&gt;=YEAR(Inputs!$E$27),T5&lt;=YEAR(Inputs!$E$154)),1,0)</f>
        <v>0</v>
      </c>
      <c r="U6" s="258" t="n">
        <f aca="false">IF(AND(U5&gt;=YEAR(Inputs!$E$27),U5&lt;=YEAR(Inputs!$E$154)),1,0)</f>
        <v>0</v>
      </c>
      <c r="V6" s="258" t="n">
        <f aca="false">IF(AND(V5&gt;=YEAR(Inputs!$E$27),V5&lt;=YEAR(Inputs!$E$154)),1,0)</f>
        <v>0</v>
      </c>
      <c r="W6" s="258" t="n">
        <f aca="false">IF(AND(W5&gt;=YEAR(Inputs!$E$27),W5&lt;=YEAR(Inputs!$E$154)),1,0)</f>
        <v>0</v>
      </c>
      <c r="X6" s="258" t="n">
        <f aca="false">IF(AND(X5&gt;=YEAR(Inputs!$E$27),X5&lt;=YEAR(Inputs!$E$154)),1,0)</f>
        <v>0</v>
      </c>
      <c r="Y6" s="258" t="n">
        <f aca="false">IF(AND(Y5&gt;=YEAR(Inputs!$E$27),Y5&lt;=YEAR(Inputs!$E$154)),1,0)</f>
        <v>0</v>
      </c>
      <c r="Z6" s="258" t="n">
        <f aca="false">IF(AND(Z5&gt;=YEAR(Inputs!$E$27),Z5&lt;=YEAR(Inputs!$E$154)),1,0)</f>
        <v>0</v>
      </c>
      <c r="AA6" s="258" t="n">
        <f aca="false">IF(AND(AA5&gt;=YEAR(Inputs!$E$27),AA5&lt;=YEAR(Inputs!$E$154)),1,0)</f>
        <v>0</v>
      </c>
      <c r="AB6" s="258" t="n">
        <f aca="false">IF(AND(AB5&gt;=YEAR(Inputs!$E$27),AB5&lt;=YEAR(Inputs!$E$154)),1,0)</f>
        <v>0</v>
      </c>
      <c r="AC6" s="258" t="n">
        <f aca="false">IF(AND(AC5&gt;=YEAR(Inputs!$E$27),AC5&lt;=YEAR(Inputs!$E$154)),1,0)</f>
        <v>0</v>
      </c>
      <c r="AD6" s="258" t="n">
        <f aca="false">IF(AND(AD5&gt;=YEAR(Inputs!$E$27),AD5&lt;=YEAR(Inputs!$E$154)),1,0)</f>
        <v>0</v>
      </c>
      <c r="AE6" s="258" t="n">
        <f aca="false">IF(AND(AE5&gt;=YEAR(Inputs!$E$27),AE5&lt;=YEAR(Inputs!$E$154)),1,0)</f>
        <v>0</v>
      </c>
      <c r="AF6" s="258" t="n">
        <f aca="false">IF(AND(AF5&gt;=YEAR(Inputs!$E$27),AF5&lt;=YEAR(Inputs!$E$154)),1,0)</f>
        <v>0</v>
      </c>
      <c r="AG6" s="258" t="n">
        <f aca="false">IF(AND(AG5&gt;=YEAR(Inputs!$E$27),AG5&lt;=YEAR(Inputs!$E$154)),1,0)</f>
        <v>0</v>
      </c>
      <c r="AH6" s="258" t="n">
        <f aca="false">IF(AND(AH5&gt;=YEAR(Inputs!$E$27),AH5&lt;=YEAR(Inputs!$E$154)),1,0)</f>
        <v>0</v>
      </c>
      <c r="AI6" s="258" t="n">
        <f aca="false">IF(AND(AI5&gt;=YEAR(Inputs!$E$27),AI5&lt;=YEAR(Inputs!$E$154)),1,0)</f>
        <v>0</v>
      </c>
      <c r="AJ6" s="258" t="n">
        <f aca="false">IF(AND(AJ5&gt;=YEAR(Inputs!$E$27),AJ5&lt;=YEAR(Inputs!$E$154)),1,0)</f>
        <v>0</v>
      </c>
      <c r="AK6" s="258" t="n">
        <f aca="false">IF(AND(AK5&gt;=YEAR(Inputs!$E$27),AK5&lt;=YEAR(Inputs!$E$154)),1,0)</f>
        <v>0</v>
      </c>
      <c r="AL6" s="258" t="n">
        <f aca="false">IF(AND(AL5&gt;=YEAR(Inputs!$E$27),AL5&lt;=YEAR(Inputs!$E$154)),1,0)</f>
        <v>0</v>
      </c>
      <c r="AM6" s="258" t="n">
        <f aca="false">IF(AND(AM5&gt;=YEAR(Inputs!$E$27),AM5&lt;=YEAR(Inputs!$E$154)),1,0)</f>
        <v>0</v>
      </c>
      <c r="AN6" s="258" t="n">
        <f aca="false">IF(AND(AN5&gt;=YEAR(Inputs!$E$27),AN5&lt;=YEAR(Inputs!$E$154)),1,0)</f>
        <v>0</v>
      </c>
      <c r="AO6" s="258" t="n">
        <f aca="false">IF(AND(AO5&gt;=YEAR(Inputs!$E$27),AO5&lt;=YEAR(Inputs!$E$154)),1,0)</f>
        <v>0</v>
      </c>
      <c r="AP6" s="258" t="n">
        <f aca="false">IF(AND(AP5&gt;=YEAR(Inputs!$E$27),AP5&lt;=YEAR(Inputs!$E$154)),1,0)</f>
        <v>0</v>
      </c>
      <c r="AQ6" s="258" t="n">
        <f aca="false">IF(AND(AQ5&gt;=YEAR(Inputs!$E$27),AQ5&lt;=YEAR(Inputs!$E$154)),1,0)</f>
        <v>0</v>
      </c>
    </row>
    <row r="7" customFormat="false" ht="15" hidden="false" customHeight="false" outlineLevel="0" collapsed="false">
      <c r="C7" s="257" t="s">
        <v>1196</v>
      </c>
      <c r="D7" s="257" t="s">
        <v>51</v>
      </c>
      <c r="E7" s="257"/>
      <c r="F7" s="257"/>
      <c r="G7" s="257" t="n">
        <f aca="false">SUM(H7:AQ7)</f>
        <v>1</v>
      </c>
      <c r="H7" s="272" t="n">
        <f aca="false">MAX(0,MIN(DATE(H5,12,31),Inputs!$E$155)-MAX(DATE(H5,1,1)-1,Inputs!$E$154))/(Inputs!$E$155-Inputs!$E$154)</f>
        <v>0</v>
      </c>
      <c r="I7" s="272" t="n">
        <f aca="false">MAX(0,MIN(DATE(I5,12,31),Inputs!$E$155)-MAX(DATE(I5,1,1)-1,Inputs!$E$154))/(Inputs!$E$155-Inputs!$E$154)</f>
        <v>0</v>
      </c>
      <c r="J7" s="272" t="n">
        <f aca="false">MAX(0,MIN(DATE(J5,12,31),Inputs!$E$155)-MAX(DATE(J5,1,1)-1,Inputs!$E$154))/(Inputs!$E$155-Inputs!$E$154)</f>
        <v>0</v>
      </c>
      <c r="K7" s="272" t="n">
        <f aca="false">MAX(0,MIN(DATE(K5,12,31),Inputs!$E$155)-MAX(DATE(K5,1,1)-1,Inputs!$E$154))/(Inputs!$E$155-Inputs!$E$154)</f>
        <v>0.252054794520548</v>
      </c>
      <c r="L7" s="272" t="n">
        <f aca="false">MAX(0,MIN(DATE(L5,12,31),Inputs!$E$155)-MAX(DATE(L5,1,1)-1,Inputs!$E$154))/(Inputs!$E$155-Inputs!$E$154)</f>
        <v>0.5</v>
      </c>
      <c r="M7" s="272" t="n">
        <f aca="false">MAX(0,MIN(DATE(M5,12,31),Inputs!$E$155)-MAX(DATE(M5,1,1)-1,Inputs!$E$154))/(Inputs!$E$155-Inputs!$E$154)</f>
        <v>0.247945205479452</v>
      </c>
      <c r="N7" s="272" t="n">
        <f aca="false">MAX(0,MIN(DATE(N5,12,31),Inputs!$E$155)-MAX(DATE(N5,1,1)-1,Inputs!$E$154))/(Inputs!$E$155-Inputs!$E$154)</f>
        <v>0</v>
      </c>
      <c r="O7" s="272" t="n">
        <f aca="false">MAX(0,MIN(DATE(O5,12,31),Inputs!$E$155)-MAX(DATE(O5,1,1)-1,Inputs!$E$154))/(Inputs!$E$155-Inputs!$E$154)</f>
        <v>0</v>
      </c>
      <c r="P7" s="272" t="n">
        <f aca="false">MAX(0,MIN(DATE(P5,12,31),Inputs!$E$155)-MAX(DATE(P5,1,1)-1,Inputs!$E$154))/(Inputs!$E$155-Inputs!$E$154)</f>
        <v>0</v>
      </c>
      <c r="Q7" s="272" t="n">
        <f aca="false">MAX(0,MIN(DATE(Q5,12,31),Inputs!$E$155)-MAX(DATE(Q5,1,1)-1,Inputs!$E$154))/(Inputs!$E$155-Inputs!$E$154)</f>
        <v>0</v>
      </c>
      <c r="R7" s="272" t="n">
        <f aca="false">MAX(0,MIN(DATE(R5,12,31),Inputs!$E$155)-MAX(DATE(R5,1,1)-1,Inputs!$E$154))/(Inputs!$E$155-Inputs!$E$154)</f>
        <v>0</v>
      </c>
      <c r="S7" s="272" t="n">
        <f aca="false">MAX(0,MIN(DATE(S5,12,31),Inputs!$E$155)-MAX(DATE(S5,1,1)-1,Inputs!$E$154))/(Inputs!$E$155-Inputs!$E$154)</f>
        <v>0</v>
      </c>
      <c r="T7" s="272" t="n">
        <f aca="false">MAX(0,MIN(DATE(T5,12,31),Inputs!$E$155)-MAX(DATE(T5,1,1)-1,Inputs!$E$154))/(Inputs!$E$155-Inputs!$E$154)</f>
        <v>0</v>
      </c>
      <c r="U7" s="272" t="n">
        <f aca="false">MAX(0,MIN(DATE(U5,12,31),Inputs!$E$155)-MAX(DATE(U5,1,1)-1,Inputs!$E$154))/(Inputs!$E$155-Inputs!$E$154)</f>
        <v>0</v>
      </c>
      <c r="V7" s="272" t="n">
        <f aca="false">MAX(0,MIN(DATE(V5,12,31),Inputs!$E$155)-MAX(DATE(V5,1,1)-1,Inputs!$E$154))/(Inputs!$E$155-Inputs!$E$154)</f>
        <v>0</v>
      </c>
      <c r="W7" s="272" t="n">
        <f aca="false">MAX(0,MIN(DATE(W5,12,31),Inputs!$E$155)-MAX(DATE(W5,1,1)-1,Inputs!$E$154))/(Inputs!$E$155-Inputs!$E$154)</f>
        <v>0</v>
      </c>
      <c r="X7" s="272" t="n">
        <f aca="false">MAX(0,MIN(DATE(X5,12,31),Inputs!$E$155)-MAX(DATE(X5,1,1)-1,Inputs!$E$154))/(Inputs!$E$155-Inputs!$E$154)</f>
        <v>0</v>
      </c>
      <c r="Y7" s="272" t="n">
        <f aca="false">MAX(0,MIN(DATE(Y5,12,31),Inputs!$E$155)-MAX(DATE(Y5,1,1)-1,Inputs!$E$154))/(Inputs!$E$155-Inputs!$E$154)</f>
        <v>0</v>
      </c>
      <c r="Z7" s="272" t="n">
        <f aca="false">MAX(0,MIN(DATE(Z5,12,31),Inputs!$E$155)-MAX(DATE(Z5,1,1)-1,Inputs!$E$154))/(Inputs!$E$155-Inputs!$E$154)</f>
        <v>0</v>
      </c>
      <c r="AA7" s="272" t="n">
        <f aca="false">MAX(0,MIN(DATE(AA5,12,31),Inputs!$E$155)-MAX(DATE(AA5,1,1)-1,Inputs!$E$154))/(Inputs!$E$155-Inputs!$E$154)</f>
        <v>0</v>
      </c>
      <c r="AB7" s="272" t="n">
        <f aca="false">MAX(0,MIN(DATE(AB5,12,31),Inputs!$E$155)-MAX(DATE(AB5,1,1)-1,Inputs!$E$154))/(Inputs!$E$155-Inputs!$E$154)</f>
        <v>0</v>
      </c>
      <c r="AC7" s="272" t="n">
        <f aca="false">MAX(0,MIN(DATE(AC5,12,31),Inputs!$E$155)-MAX(DATE(AC5,1,1)-1,Inputs!$E$154))/(Inputs!$E$155-Inputs!$E$154)</f>
        <v>0</v>
      </c>
      <c r="AD7" s="272" t="n">
        <f aca="false">MAX(0,MIN(DATE(AD5,12,31),Inputs!$E$155)-MAX(DATE(AD5,1,1)-1,Inputs!$E$154))/(Inputs!$E$155-Inputs!$E$154)</f>
        <v>0</v>
      </c>
      <c r="AE7" s="272" t="n">
        <f aca="false">MAX(0,MIN(DATE(AE5,12,31),Inputs!$E$155)-MAX(DATE(AE5,1,1)-1,Inputs!$E$154))/(Inputs!$E$155-Inputs!$E$154)</f>
        <v>0</v>
      </c>
      <c r="AF7" s="272" t="n">
        <f aca="false">MAX(0,MIN(DATE(AF5,12,31),Inputs!$E$155)-MAX(DATE(AF5,1,1)-1,Inputs!$E$154))/(Inputs!$E$155-Inputs!$E$154)</f>
        <v>0</v>
      </c>
      <c r="AG7" s="272" t="n">
        <f aca="false">MAX(0,MIN(DATE(AG5,12,31),Inputs!$E$155)-MAX(DATE(AG5,1,1)-1,Inputs!$E$154))/(Inputs!$E$155-Inputs!$E$154)</f>
        <v>0</v>
      </c>
      <c r="AH7" s="272" t="n">
        <f aca="false">MAX(0,MIN(DATE(AH5,12,31),Inputs!$E$155)-MAX(DATE(AH5,1,1)-1,Inputs!$E$154))/(Inputs!$E$155-Inputs!$E$154)</f>
        <v>0</v>
      </c>
      <c r="AI7" s="272" t="n">
        <f aca="false">MAX(0,MIN(DATE(AI5,12,31),Inputs!$E$155)-MAX(DATE(AI5,1,1)-1,Inputs!$E$154))/(Inputs!$E$155-Inputs!$E$154)</f>
        <v>0</v>
      </c>
      <c r="AJ7" s="272" t="n">
        <f aca="false">MAX(0,MIN(DATE(AJ5,12,31),Inputs!$E$155)-MAX(DATE(AJ5,1,1)-1,Inputs!$E$154))/(Inputs!$E$155-Inputs!$E$154)</f>
        <v>0</v>
      </c>
      <c r="AK7" s="272" t="n">
        <f aca="false">MAX(0,MIN(DATE(AK5,12,31),Inputs!$E$155)-MAX(DATE(AK5,1,1)-1,Inputs!$E$154))/(Inputs!$E$155-Inputs!$E$154)</f>
        <v>0</v>
      </c>
      <c r="AL7" s="272" t="n">
        <f aca="false">MAX(0,MIN(DATE(AL5,12,31),Inputs!$E$155)-MAX(DATE(AL5,1,1)-1,Inputs!$E$154))/(Inputs!$E$155-Inputs!$E$154)</f>
        <v>0</v>
      </c>
      <c r="AM7" s="272" t="n">
        <f aca="false">MAX(0,MIN(DATE(AM5,12,31),Inputs!$E$155)-MAX(DATE(AM5,1,1)-1,Inputs!$E$154))/(Inputs!$E$155-Inputs!$E$154)</f>
        <v>0</v>
      </c>
      <c r="AN7" s="272" t="n">
        <f aca="false">MAX(0,MIN(DATE(AN5,12,31),Inputs!$E$155)-MAX(DATE(AN5,1,1)-1,Inputs!$E$154))/(Inputs!$E$155-Inputs!$E$154)</f>
        <v>0</v>
      </c>
      <c r="AO7" s="272" t="n">
        <f aca="false">MAX(0,MIN(DATE(AO5,12,31),Inputs!$E$155)-MAX(DATE(AO5,1,1)-1,Inputs!$E$154))/(Inputs!$E$155-Inputs!$E$154)</f>
        <v>0</v>
      </c>
      <c r="AP7" s="272" t="n">
        <f aca="false">MAX(0,MIN(DATE(AP5,12,31),Inputs!$E$155)-MAX(DATE(AP5,1,1)-1,Inputs!$E$154))/(Inputs!$E$155-Inputs!$E$154)</f>
        <v>0</v>
      </c>
      <c r="AQ7" s="272" t="n">
        <f aca="false">MAX(0,MIN(DATE(AQ5,12,31),Inputs!$E$155)-MAX(DATE(AQ5,1,1)-1,Inputs!$E$154))/(Inputs!$E$155-Inputs!$E$154)</f>
        <v>0</v>
      </c>
    </row>
    <row r="8" customFormat="false" ht="15" hidden="false" customHeight="false" outlineLevel="0" collapsed="false">
      <c r="C8" s="257" t="s">
        <v>1197</v>
      </c>
      <c r="D8" s="257" t="s">
        <v>990</v>
      </c>
      <c r="E8" s="257"/>
      <c r="F8" s="257"/>
      <c r="G8" s="257" t="n">
        <f aca="false">SUM(H8:AQ8)</f>
        <v>29</v>
      </c>
      <c r="H8" s="258" t="n">
        <f aca="false">IF(H10&gt;=1,1,0)</f>
        <v>0</v>
      </c>
      <c r="I8" s="258" t="n">
        <f aca="false">IF(I10&gt;=1,1,0)</f>
        <v>0</v>
      </c>
      <c r="J8" s="258" t="n">
        <f aca="false">IF(J10&gt;=1,1,0)</f>
        <v>0</v>
      </c>
      <c r="K8" s="258" t="n">
        <f aca="false">IF(K10&gt;=1,1,0)</f>
        <v>0</v>
      </c>
      <c r="L8" s="258" t="n">
        <f aca="false">IF(L10&gt;=1,1,0)</f>
        <v>0</v>
      </c>
      <c r="M8" s="258" t="n">
        <f aca="false">IF(M10&gt;=1,1,0)</f>
        <v>0</v>
      </c>
      <c r="N8" s="258" t="n">
        <f aca="false">IF(N10&gt;=1,1,0)</f>
        <v>1</v>
      </c>
      <c r="O8" s="258" t="n">
        <f aca="false">IF(O10&gt;=1,1,0)</f>
        <v>1</v>
      </c>
      <c r="P8" s="258" t="n">
        <f aca="false">IF(P10&gt;=1,1,0)</f>
        <v>1</v>
      </c>
      <c r="Q8" s="258" t="n">
        <f aca="false">IF(Q10&gt;=1,1,0)</f>
        <v>1</v>
      </c>
      <c r="R8" s="258" t="n">
        <f aca="false">IF(R10&gt;=1,1,0)</f>
        <v>1</v>
      </c>
      <c r="S8" s="258" t="n">
        <f aca="false">IF(S10&gt;=1,1,0)</f>
        <v>1</v>
      </c>
      <c r="T8" s="258" t="n">
        <f aca="false">IF(T10&gt;=1,1,0)</f>
        <v>1</v>
      </c>
      <c r="U8" s="258" t="n">
        <f aca="false">IF(U10&gt;=1,1,0)</f>
        <v>1</v>
      </c>
      <c r="V8" s="258" t="n">
        <f aca="false">IF(V10&gt;=1,1,0)</f>
        <v>1</v>
      </c>
      <c r="W8" s="258" t="n">
        <f aca="false">IF(W10&gt;=1,1,0)</f>
        <v>1</v>
      </c>
      <c r="X8" s="258" t="n">
        <f aca="false">IF(X10&gt;=1,1,0)</f>
        <v>1</v>
      </c>
      <c r="Y8" s="258" t="n">
        <f aca="false">IF(Y10&gt;=1,1,0)</f>
        <v>1</v>
      </c>
      <c r="Z8" s="258" t="n">
        <f aca="false">IF(Z10&gt;=1,1,0)</f>
        <v>1</v>
      </c>
      <c r="AA8" s="258" t="n">
        <f aca="false">IF(AA10&gt;=1,1,0)</f>
        <v>1</v>
      </c>
      <c r="AB8" s="258" t="n">
        <f aca="false">IF(AB10&gt;=1,1,0)</f>
        <v>1</v>
      </c>
      <c r="AC8" s="258" t="n">
        <f aca="false">IF(AC10&gt;=1,1,0)</f>
        <v>1</v>
      </c>
      <c r="AD8" s="258" t="n">
        <f aca="false">IF(AD10&gt;=1,1,0)</f>
        <v>1</v>
      </c>
      <c r="AE8" s="258" t="n">
        <f aca="false">IF(AE10&gt;=1,1,0)</f>
        <v>1</v>
      </c>
      <c r="AF8" s="258" t="n">
        <f aca="false">IF(AF10&gt;=1,1,0)</f>
        <v>1</v>
      </c>
      <c r="AG8" s="258" t="n">
        <f aca="false">IF(AG10&gt;=1,1,0)</f>
        <v>1</v>
      </c>
      <c r="AH8" s="258" t="n">
        <f aca="false">IF(AH10&gt;=1,1,0)</f>
        <v>1</v>
      </c>
      <c r="AI8" s="258" t="n">
        <f aca="false">IF(AI10&gt;=1,1,0)</f>
        <v>1</v>
      </c>
      <c r="AJ8" s="258" t="n">
        <f aca="false">IF(AJ10&gt;=1,1,0)</f>
        <v>1</v>
      </c>
      <c r="AK8" s="258" t="n">
        <f aca="false">IF(AK10&gt;=1,1,0)</f>
        <v>1</v>
      </c>
      <c r="AL8" s="258" t="n">
        <f aca="false">IF(AL10&gt;=1,1,0)</f>
        <v>1</v>
      </c>
      <c r="AM8" s="258" t="n">
        <f aca="false">IF(AM10&gt;=1,1,0)</f>
        <v>1</v>
      </c>
      <c r="AN8" s="258" t="n">
        <f aca="false">IF(AN10&gt;=1,1,0)</f>
        <v>1</v>
      </c>
      <c r="AO8" s="258" t="n">
        <f aca="false">IF(AO10&gt;=1,1,0)</f>
        <v>1</v>
      </c>
      <c r="AP8" s="258" t="n">
        <f aca="false">IF(AP10&gt;=1,1,0)</f>
        <v>1</v>
      </c>
      <c r="AQ8" s="258" t="n">
        <f aca="false">IF(AQ10&gt;=1,1,0)</f>
        <v>0</v>
      </c>
    </row>
    <row r="9" customFormat="false" ht="15" hidden="false" customHeight="false" outlineLevel="0" collapsed="false">
      <c r="C9" s="257" t="s">
        <v>1198</v>
      </c>
      <c r="D9" s="257" t="s">
        <v>29</v>
      </c>
      <c r="E9" s="257"/>
      <c r="F9" s="257"/>
      <c r="G9" s="257"/>
      <c r="H9" s="258" t="n">
        <f aca="false">IF(AND(H10&gt;0,H$5&gt;=Inputs!$E$156),H$5-Inputs!$E$156+1,0)</f>
        <v>0</v>
      </c>
      <c r="I9" s="258" t="n">
        <f aca="false">IF(AND(I10&gt;0,I$5&gt;=Inputs!$E$156),I$5-Inputs!$E$156+1,0)</f>
        <v>0</v>
      </c>
      <c r="J9" s="258" t="n">
        <f aca="false">IF(AND(J10&gt;0,J$5&gt;=Inputs!$E$156),J$5-Inputs!$E$156+1,0)</f>
        <v>0</v>
      </c>
      <c r="K9" s="258" t="n">
        <f aca="false">IF(AND(K10&gt;0,K$5&gt;=Inputs!$E$156),K$5-Inputs!$E$156+1,0)</f>
        <v>0</v>
      </c>
      <c r="L9" s="258" t="n">
        <f aca="false">IF(AND(L10&gt;0,L$5&gt;=Inputs!$E$156),L$5-Inputs!$E$156+1,0)</f>
        <v>0</v>
      </c>
      <c r="M9" s="258" t="n">
        <f aca="false">IF(AND(M10&gt;0,M$5&gt;=Inputs!$E$156),M$5-Inputs!$E$156+1,0)</f>
        <v>0</v>
      </c>
      <c r="N9" s="258" t="n">
        <f aca="false">IF(AND(N10&gt;0,N$5&gt;=Inputs!$E$156),N$5-Inputs!$E$156+1,0)</f>
        <v>1</v>
      </c>
      <c r="O9" s="258" t="n">
        <f aca="false">IF(AND(O10&gt;0,O$5&gt;=Inputs!$E$156),O$5-Inputs!$E$156+1,0)</f>
        <v>2</v>
      </c>
      <c r="P9" s="258" t="n">
        <f aca="false">IF(AND(P10&gt;0,P$5&gt;=Inputs!$E$156),P$5-Inputs!$E$156+1,0)</f>
        <v>3</v>
      </c>
      <c r="Q9" s="258" t="n">
        <f aca="false">IF(AND(Q10&gt;0,Q$5&gt;=Inputs!$E$156),Q$5-Inputs!$E$156+1,0)</f>
        <v>4</v>
      </c>
      <c r="R9" s="258" t="n">
        <f aca="false">IF(AND(R10&gt;0,R$5&gt;=Inputs!$E$156),R$5-Inputs!$E$156+1,0)</f>
        <v>5</v>
      </c>
      <c r="S9" s="258" t="n">
        <f aca="false">IF(AND(S10&gt;0,S$5&gt;=Inputs!$E$156),S$5-Inputs!$E$156+1,0)</f>
        <v>6</v>
      </c>
      <c r="T9" s="258" t="n">
        <f aca="false">IF(AND(T10&gt;0,T$5&gt;=Inputs!$E$156),T$5-Inputs!$E$156+1,0)</f>
        <v>7</v>
      </c>
      <c r="U9" s="258" t="n">
        <f aca="false">IF(AND(U10&gt;0,U$5&gt;=Inputs!$E$156),U$5-Inputs!$E$156+1,0)</f>
        <v>8</v>
      </c>
      <c r="V9" s="258" t="n">
        <f aca="false">IF(AND(V10&gt;0,V$5&gt;=Inputs!$E$156),V$5-Inputs!$E$156+1,0)</f>
        <v>9</v>
      </c>
      <c r="W9" s="258" t="n">
        <f aca="false">IF(AND(W10&gt;0,W$5&gt;=Inputs!$E$156),W$5-Inputs!$E$156+1,0)</f>
        <v>10</v>
      </c>
      <c r="X9" s="258" t="n">
        <f aca="false">IF(AND(X10&gt;0,X$5&gt;=Inputs!$E$156),X$5-Inputs!$E$156+1,0)</f>
        <v>11</v>
      </c>
      <c r="Y9" s="258" t="n">
        <f aca="false">IF(AND(Y10&gt;0,Y$5&gt;=Inputs!$E$156),Y$5-Inputs!$E$156+1,0)</f>
        <v>12</v>
      </c>
      <c r="Z9" s="258" t="n">
        <f aca="false">IF(AND(Z10&gt;0,Z$5&gt;=Inputs!$E$156),Z$5-Inputs!$E$156+1,0)</f>
        <v>13</v>
      </c>
      <c r="AA9" s="258" t="n">
        <f aca="false">IF(AND(AA10&gt;0,AA$5&gt;=Inputs!$E$156),AA$5-Inputs!$E$156+1,0)</f>
        <v>14</v>
      </c>
      <c r="AB9" s="258" t="n">
        <f aca="false">IF(AND(AB10&gt;0,AB$5&gt;=Inputs!$E$156),AB$5-Inputs!$E$156+1,0)</f>
        <v>15</v>
      </c>
      <c r="AC9" s="258" t="n">
        <f aca="false">IF(AND(AC10&gt;0,AC$5&gt;=Inputs!$E$156),AC$5-Inputs!$E$156+1,0)</f>
        <v>16</v>
      </c>
      <c r="AD9" s="258" t="n">
        <f aca="false">IF(AND(AD10&gt;0,AD$5&gt;=Inputs!$E$156),AD$5-Inputs!$E$156+1,0)</f>
        <v>17</v>
      </c>
      <c r="AE9" s="258" t="n">
        <f aca="false">IF(AND(AE10&gt;0,AE$5&gt;=Inputs!$E$156),AE$5-Inputs!$E$156+1,0)</f>
        <v>18</v>
      </c>
      <c r="AF9" s="258" t="n">
        <f aca="false">IF(AND(AF10&gt;0,AF$5&gt;=Inputs!$E$156),AF$5-Inputs!$E$156+1,0)</f>
        <v>19</v>
      </c>
      <c r="AG9" s="258" t="n">
        <f aca="false">IF(AND(AG10&gt;0,AG$5&gt;=Inputs!$E$156),AG$5-Inputs!$E$156+1,0)</f>
        <v>20</v>
      </c>
      <c r="AH9" s="258" t="n">
        <f aca="false">IF(AND(AH10&gt;0,AH$5&gt;=Inputs!$E$156),AH$5-Inputs!$E$156+1,0)</f>
        <v>21</v>
      </c>
      <c r="AI9" s="258" t="n">
        <f aca="false">IF(AND(AI10&gt;0,AI$5&gt;=Inputs!$E$156),AI$5-Inputs!$E$156+1,0)</f>
        <v>22</v>
      </c>
      <c r="AJ9" s="258" t="n">
        <f aca="false">IF(AND(AJ10&gt;0,AJ$5&gt;=Inputs!$E$156),AJ$5-Inputs!$E$156+1,0)</f>
        <v>23</v>
      </c>
      <c r="AK9" s="258" t="n">
        <f aca="false">IF(AND(AK10&gt;0,AK$5&gt;=Inputs!$E$156),AK$5-Inputs!$E$156+1,0)</f>
        <v>24</v>
      </c>
      <c r="AL9" s="258" t="n">
        <f aca="false">IF(AND(AL10&gt;0,AL$5&gt;=Inputs!$E$156),AL$5-Inputs!$E$156+1,0)</f>
        <v>25</v>
      </c>
      <c r="AM9" s="258" t="n">
        <f aca="false">IF(AND(AM10&gt;0,AM$5&gt;=Inputs!$E$156),AM$5-Inputs!$E$156+1,0)</f>
        <v>26</v>
      </c>
      <c r="AN9" s="258" t="n">
        <f aca="false">IF(AND(AN10&gt;0,AN$5&gt;=Inputs!$E$156),AN$5-Inputs!$E$156+1,0)</f>
        <v>27</v>
      </c>
      <c r="AO9" s="258" t="n">
        <f aca="false">IF(AND(AO10&gt;0,AO$5&gt;=Inputs!$E$156),AO$5-Inputs!$E$156+1,0)</f>
        <v>28</v>
      </c>
      <c r="AP9" s="258" t="n">
        <f aca="false">IF(AND(AP10&gt;0,AP$5&gt;=Inputs!$E$156),AP$5-Inputs!$E$156+1,0)</f>
        <v>29</v>
      </c>
      <c r="AQ9" s="258" t="n">
        <f aca="false">IF(AND(AQ10&gt;0,AQ$5&gt;=Inputs!$E$156),AQ$5-Inputs!$E$156+1,0)</f>
        <v>30</v>
      </c>
    </row>
    <row r="10" customFormat="false" ht="15" hidden="false" customHeight="false" outlineLevel="0" collapsed="false">
      <c r="C10" s="257" t="s">
        <v>1199</v>
      </c>
      <c r="D10" s="257" t="s">
        <v>51</v>
      </c>
      <c r="E10" s="257"/>
      <c r="F10" s="257"/>
      <c r="G10" s="257" t="n">
        <f aca="false">SUM(H10:AQ10)</f>
        <v>30</v>
      </c>
      <c r="H10" s="272" t="n">
        <f aca="false">IF(H$5=YEAR(Inputs!$E$155),(12-MONTH(Inputs!$E$155))/12,0)+IF(AND(H$5&gt;=Inputs!$E$156,H$5&lt;Inputs!$E$158),1,0)+IF(H$5=Inputs!$E$158,MONTH(Inputs!$E$155)/12,0)</f>
        <v>0</v>
      </c>
      <c r="I10" s="272" t="n">
        <f aca="false">IF(I$5=YEAR(Inputs!$E$155),(12-MONTH(Inputs!$E$155))/12,0)+IF(AND(I$5&gt;=Inputs!$E$156,I$5&lt;Inputs!$E$158),1,0)+IF(I$5=Inputs!$E$158,MONTH(Inputs!$E$155)/12,0)</f>
        <v>0</v>
      </c>
      <c r="J10" s="272" t="n">
        <f aca="false">IF(J$5=YEAR(Inputs!$E$155),(12-MONTH(Inputs!$E$155))/12,0)+IF(AND(J$5&gt;=Inputs!$E$156,J$5&lt;Inputs!$E$158),1,0)+IF(J$5=Inputs!$E$158,MONTH(Inputs!$E$155)/12,0)</f>
        <v>0</v>
      </c>
      <c r="K10" s="272" t="n">
        <f aca="false">IF(K$5=YEAR(Inputs!$E$155),(12-MONTH(Inputs!$E$155))/12,0)+IF(AND(K$5&gt;=Inputs!$E$156,K$5&lt;Inputs!$E$158),1,0)+IF(K$5=Inputs!$E$158,MONTH(Inputs!$E$155)/12,0)</f>
        <v>0</v>
      </c>
      <c r="L10" s="272" t="n">
        <f aca="false">IF(L$5=YEAR(Inputs!$E$155),(12-MONTH(Inputs!$E$155))/12,0)+IF(AND(L$5&gt;=Inputs!$E$156,L$5&lt;Inputs!$E$158),1,0)+IF(L$5=Inputs!$E$158,MONTH(Inputs!$E$155)/12,0)</f>
        <v>0</v>
      </c>
      <c r="M10" s="272" t="n">
        <f aca="false">IF(M$5=YEAR(Inputs!$E$155),(12-MONTH(Inputs!$E$155))/12,0)+IF(AND(M$5&gt;=Inputs!$E$156,M$5&lt;Inputs!$E$158),1,0)+IF(M$5=Inputs!$E$158,MONTH(Inputs!$E$155)/12,0)</f>
        <v>0.5</v>
      </c>
      <c r="N10" s="272" t="n">
        <f aca="false">IF(N$5=YEAR(Inputs!$E$155),(12-MONTH(Inputs!$E$155))/12,0)+IF(AND(N$5&gt;=Inputs!$E$156,N$5&lt;Inputs!$E$158),1,0)+IF(N$5=Inputs!$E$158,MONTH(Inputs!$E$155)/12,0)</f>
        <v>1</v>
      </c>
      <c r="O10" s="272" t="n">
        <f aca="false">IF(O$5=YEAR(Inputs!$E$155),(12-MONTH(Inputs!$E$155))/12,0)+IF(AND(O$5&gt;=Inputs!$E$156,O$5&lt;Inputs!$E$158),1,0)+IF(O$5=Inputs!$E$158,MONTH(Inputs!$E$155)/12,0)</f>
        <v>1</v>
      </c>
      <c r="P10" s="272" t="n">
        <f aca="false">IF(P$5=YEAR(Inputs!$E$155),(12-MONTH(Inputs!$E$155))/12,0)+IF(AND(P$5&gt;=Inputs!$E$156,P$5&lt;Inputs!$E$158),1,0)+IF(P$5=Inputs!$E$158,MONTH(Inputs!$E$155)/12,0)</f>
        <v>1</v>
      </c>
      <c r="Q10" s="272" t="n">
        <f aca="false">IF(Q$5=YEAR(Inputs!$E$155),(12-MONTH(Inputs!$E$155))/12,0)+IF(AND(Q$5&gt;=Inputs!$E$156,Q$5&lt;Inputs!$E$158),1,0)+IF(Q$5=Inputs!$E$158,MONTH(Inputs!$E$155)/12,0)</f>
        <v>1</v>
      </c>
      <c r="R10" s="272" t="n">
        <f aca="false">IF(R$5=YEAR(Inputs!$E$155),(12-MONTH(Inputs!$E$155))/12,0)+IF(AND(R$5&gt;=Inputs!$E$156,R$5&lt;Inputs!$E$158),1,0)+IF(R$5=Inputs!$E$158,MONTH(Inputs!$E$155)/12,0)</f>
        <v>1</v>
      </c>
      <c r="S10" s="272" t="n">
        <f aca="false">IF(S$5=YEAR(Inputs!$E$155),(12-MONTH(Inputs!$E$155))/12,0)+IF(AND(S$5&gt;=Inputs!$E$156,S$5&lt;Inputs!$E$158),1,0)+IF(S$5=Inputs!$E$158,MONTH(Inputs!$E$155)/12,0)</f>
        <v>1</v>
      </c>
      <c r="T10" s="272" t="n">
        <f aca="false">IF(T$5=YEAR(Inputs!$E$155),(12-MONTH(Inputs!$E$155))/12,0)+IF(AND(T$5&gt;=Inputs!$E$156,T$5&lt;Inputs!$E$158),1,0)+IF(T$5=Inputs!$E$158,MONTH(Inputs!$E$155)/12,0)</f>
        <v>1</v>
      </c>
      <c r="U10" s="272" t="n">
        <f aca="false">IF(U$5=YEAR(Inputs!$E$155),(12-MONTH(Inputs!$E$155))/12,0)+IF(AND(U$5&gt;=Inputs!$E$156,U$5&lt;Inputs!$E$158),1,0)+IF(U$5=Inputs!$E$158,MONTH(Inputs!$E$155)/12,0)</f>
        <v>1</v>
      </c>
      <c r="V10" s="272" t="n">
        <f aca="false">IF(V$5=YEAR(Inputs!$E$155),(12-MONTH(Inputs!$E$155))/12,0)+IF(AND(V$5&gt;=Inputs!$E$156,V$5&lt;Inputs!$E$158),1,0)+IF(V$5=Inputs!$E$158,MONTH(Inputs!$E$155)/12,0)</f>
        <v>1</v>
      </c>
      <c r="W10" s="272" t="n">
        <f aca="false">IF(W$5=YEAR(Inputs!$E$155),(12-MONTH(Inputs!$E$155))/12,0)+IF(AND(W$5&gt;=Inputs!$E$156,W$5&lt;Inputs!$E$158),1,0)+IF(W$5=Inputs!$E$158,MONTH(Inputs!$E$155)/12,0)</f>
        <v>1</v>
      </c>
      <c r="X10" s="272" t="n">
        <f aca="false">IF(X$5=YEAR(Inputs!$E$155),(12-MONTH(Inputs!$E$155))/12,0)+IF(AND(X$5&gt;=Inputs!$E$156,X$5&lt;Inputs!$E$158),1,0)+IF(X$5=Inputs!$E$158,MONTH(Inputs!$E$155)/12,0)</f>
        <v>1</v>
      </c>
      <c r="Y10" s="272" t="n">
        <f aca="false">IF(Y$5=YEAR(Inputs!$E$155),(12-MONTH(Inputs!$E$155))/12,0)+IF(AND(Y$5&gt;=Inputs!$E$156,Y$5&lt;Inputs!$E$158),1,0)+IF(Y$5=Inputs!$E$158,MONTH(Inputs!$E$155)/12,0)</f>
        <v>1</v>
      </c>
      <c r="Z10" s="272" t="n">
        <f aca="false">IF(Z$5=YEAR(Inputs!$E$155),(12-MONTH(Inputs!$E$155))/12,0)+IF(AND(Z$5&gt;=Inputs!$E$156,Z$5&lt;Inputs!$E$158),1,0)+IF(Z$5=Inputs!$E$158,MONTH(Inputs!$E$155)/12,0)</f>
        <v>1</v>
      </c>
      <c r="AA10" s="272" t="n">
        <f aca="false">IF(AA$5=YEAR(Inputs!$E$155),(12-MONTH(Inputs!$E$155))/12,0)+IF(AND(AA$5&gt;=Inputs!$E$156,AA$5&lt;Inputs!$E$158),1,0)+IF(AA$5=Inputs!$E$158,MONTH(Inputs!$E$155)/12,0)</f>
        <v>1</v>
      </c>
      <c r="AB10" s="272" t="n">
        <f aca="false">IF(AB$5=YEAR(Inputs!$E$155),(12-MONTH(Inputs!$E$155))/12,0)+IF(AND(AB$5&gt;=Inputs!$E$156,AB$5&lt;Inputs!$E$158),1,0)+IF(AB$5=Inputs!$E$158,MONTH(Inputs!$E$155)/12,0)</f>
        <v>1</v>
      </c>
      <c r="AC10" s="272" t="n">
        <f aca="false">IF(AC$5=YEAR(Inputs!$E$155),(12-MONTH(Inputs!$E$155))/12,0)+IF(AND(AC$5&gt;=Inputs!$E$156,AC$5&lt;Inputs!$E$158),1,0)+IF(AC$5=Inputs!$E$158,MONTH(Inputs!$E$155)/12,0)</f>
        <v>1</v>
      </c>
      <c r="AD10" s="272" t="n">
        <f aca="false">IF(AD$5=YEAR(Inputs!$E$155),(12-MONTH(Inputs!$E$155))/12,0)+IF(AND(AD$5&gt;=Inputs!$E$156,AD$5&lt;Inputs!$E$158),1,0)+IF(AD$5=Inputs!$E$158,MONTH(Inputs!$E$155)/12,0)</f>
        <v>1</v>
      </c>
      <c r="AE10" s="272" t="n">
        <f aca="false">IF(AE$5=YEAR(Inputs!$E$155),(12-MONTH(Inputs!$E$155))/12,0)+IF(AND(AE$5&gt;=Inputs!$E$156,AE$5&lt;Inputs!$E$158),1,0)+IF(AE$5=Inputs!$E$158,MONTH(Inputs!$E$155)/12,0)</f>
        <v>1</v>
      </c>
      <c r="AF10" s="272" t="n">
        <f aca="false">IF(AF$5=YEAR(Inputs!$E$155),(12-MONTH(Inputs!$E$155))/12,0)+IF(AND(AF$5&gt;=Inputs!$E$156,AF$5&lt;Inputs!$E$158),1,0)+IF(AF$5=Inputs!$E$158,MONTH(Inputs!$E$155)/12,0)</f>
        <v>1</v>
      </c>
      <c r="AG10" s="272" t="n">
        <f aca="false">IF(AG$5=YEAR(Inputs!$E$155),(12-MONTH(Inputs!$E$155))/12,0)+IF(AND(AG$5&gt;=Inputs!$E$156,AG$5&lt;Inputs!$E$158),1,0)+IF(AG$5=Inputs!$E$158,MONTH(Inputs!$E$155)/12,0)</f>
        <v>1</v>
      </c>
      <c r="AH10" s="272" t="n">
        <f aca="false">IF(AH$5=YEAR(Inputs!$E$155),(12-MONTH(Inputs!$E$155))/12,0)+IF(AND(AH$5&gt;=Inputs!$E$156,AH$5&lt;Inputs!$E$158),1,0)+IF(AH$5=Inputs!$E$158,MONTH(Inputs!$E$155)/12,0)</f>
        <v>1</v>
      </c>
      <c r="AI10" s="272" t="n">
        <f aca="false">IF(AI$5=YEAR(Inputs!$E$155),(12-MONTH(Inputs!$E$155))/12,0)+IF(AND(AI$5&gt;=Inputs!$E$156,AI$5&lt;Inputs!$E$158),1,0)+IF(AI$5=Inputs!$E$158,MONTH(Inputs!$E$155)/12,0)</f>
        <v>1</v>
      </c>
      <c r="AJ10" s="272" t="n">
        <f aca="false">IF(AJ$5=YEAR(Inputs!$E$155),(12-MONTH(Inputs!$E$155))/12,0)+IF(AND(AJ$5&gt;=Inputs!$E$156,AJ$5&lt;Inputs!$E$158),1,0)+IF(AJ$5=Inputs!$E$158,MONTH(Inputs!$E$155)/12,0)</f>
        <v>1</v>
      </c>
      <c r="AK10" s="272" t="n">
        <f aca="false">IF(AK$5=YEAR(Inputs!$E$155),(12-MONTH(Inputs!$E$155))/12,0)+IF(AND(AK$5&gt;=Inputs!$E$156,AK$5&lt;Inputs!$E$158),1,0)+IF(AK$5=Inputs!$E$158,MONTH(Inputs!$E$155)/12,0)</f>
        <v>1</v>
      </c>
      <c r="AL10" s="272" t="n">
        <f aca="false">IF(AL$5=YEAR(Inputs!$E$155),(12-MONTH(Inputs!$E$155))/12,0)+IF(AND(AL$5&gt;=Inputs!$E$156,AL$5&lt;Inputs!$E$158),1,0)+IF(AL$5=Inputs!$E$158,MONTH(Inputs!$E$155)/12,0)</f>
        <v>1</v>
      </c>
      <c r="AM10" s="272" t="n">
        <f aca="false">IF(AM$5=YEAR(Inputs!$E$155),(12-MONTH(Inputs!$E$155))/12,0)+IF(AND(AM$5&gt;=Inputs!$E$156,AM$5&lt;Inputs!$E$158),1,0)+IF(AM$5=Inputs!$E$158,MONTH(Inputs!$E$155)/12,0)</f>
        <v>1</v>
      </c>
      <c r="AN10" s="272" t="n">
        <f aca="false">IF(AN$5=YEAR(Inputs!$E$155),(12-MONTH(Inputs!$E$155))/12,0)+IF(AND(AN$5&gt;=Inputs!$E$156,AN$5&lt;Inputs!$E$158),1,0)+IF(AN$5=Inputs!$E$158,MONTH(Inputs!$E$155)/12,0)</f>
        <v>1</v>
      </c>
      <c r="AO10" s="272" t="n">
        <f aca="false">IF(AO$5=YEAR(Inputs!$E$155),(12-MONTH(Inputs!$E$155))/12,0)+IF(AND(AO$5&gt;=Inputs!$E$156,AO$5&lt;Inputs!$E$158),1,0)+IF(AO$5=Inputs!$E$158,MONTH(Inputs!$E$155)/12,0)</f>
        <v>1</v>
      </c>
      <c r="AP10" s="272" t="n">
        <f aca="false">IF(AP$5=YEAR(Inputs!$E$155),(12-MONTH(Inputs!$E$155))/12,0)+IF(AND(AP$5&gt;=Inputs!$E$156,AP$5&lt;Inputs!$E$158),1,0)+IF(AP$5=Inputs!$E$158,MONTH(Inputs!$E$155)/12,0)</f>
        <v>1</v>
      </c>
      <c r="AQ10" s="272" t="n">
        <f aca="false">IF(AQ$5=YEAR(Inputs!$E$155),(12-MONTH(Inputs!$E$155))/12,0)+IF(AND(AQ$5&gt;=Inputs!$E$156,AQ$5&lt;Inputs!$E$158),1,0)+IF(AQ$5=Inputs!$E$158,MONTH(Inputs!$E$155)/12,0)</f>
        <v>0.5</v>
      </c>
    </row>
    <row r="11" customFormat="false" ht="15" hidden="false" customHeight="false" outlineLevel="0" collapsed="false">
      <c r="C11" s="257" t="s">
        <v>1200</v>
      </c>
      <c r="D11" s="257" t="s">
        <v>990</v>
      </c>
      <c r="E11" s="257"/>
      <c r="F11" s="257"/>
      <c r="G11" s="257"/>
      <c r="H11" s="258" t="n">
        <f aca="false">IF(H5=Inputs!$E$158,1,0)</f>
        <v>0</v>
      </c>
      <c r="I11" s="258" t="n">
        <f aca="false">IF(I5=Inputs!$E$158,1,0)</f>
        <v>0</v>
      </c>
      <c r="J11" s="258" t="n">
        <f aca="false">IF(J5=Inputs!$E$158,1,0)</f>
        <v>0</v>
      </c>
      <c r="K11" s="258" t="n">
        <f aca="false">IF(K5=Inputs!$E$158,1,0)</f>
        <v>0</v>
      </c>
      <c r="L11" s="258" t="n">
        <f aca="false">IF(L5=Inputs!$E$158,1,0)</f>
        <v>0</v>
      </c>
      <c r="M11" s="258" t="n">
        <f aca="false">IF(M5=Inputs!$E$158,1,0)</f>
        <v>0</v>
      </c>
      <c r="N11" s="258" t="n">
        <f aca="false">IF(N5=Inputs!$E$158,1,0)</f>
        <v>0</v>
      </c>
      <c r="O11" s="258" t="n">
        <f aca="false">IF(O5=Inputs!$E$158,1,0)</f>
        <v>0</v>
      </c>
      <c r="P11" s="258" t="n">
        <f aca="false">IF(P5=Inputs!$E$158,1,0)</f>
        <v>0</v>
      </c>
      <c r="Q11" s="258" t="n">
        <f aca="false">IF(Q5=Inputs!$E$158,1,0)</f>
        <v>0</v>
      </c>
      <c r="R11" s="258" t="n">
        <f aca="false">IF(R5=Inputs!$E$158,1,0)</f>
        <v>0</v>
      </c>
      <c r="S11" s="258" t="n">
        <f aca="false">IF(S5=Inputs!$E$158,1,0)</f>
        <v>0</v>
      </c>
      <c r="T11" s="258" t="n">
        <f aca="false">IF(T5=Inputs!$E$158,1,0)</f>
        <v>0</v>
      </c>
      <c r="U11" s="258" t="n">
        <f aca="false">IF(U5=Inputs!$E$158,1,0)</f>
        <v>0</v>
      </c>
      <c r="V11" s="258" t="n">
        <f aca="false">IF(V5=Inputs!$E$158,1,0)</f>
        <v>0</v>
      </c>
      <c r="W11" s="258" t="n">
        <f aca="false">IF(W5=Inputs!$E$158,1,0)</f>
        <v>0</v>
      </c>
      <c r="X11" s="258" t="n">
        <f aca="false">IF(X5=Inputs!$E$158,1,0)</f>
        <v>0</v>
      </c>
      <c r="Y11" s="258" t="n">
        <f aca="false">IF(Y5=Inputs!$E$158,1,0)</f>
        <v>0</v>
      </c>
      <c r="Z11" s="258" t="n">
        <f aca="false">IF(Z5=Inputs!$E$158,1,0)</f>
        <v>0</v>
      </c>
      <c r="AA11" s="258" t="n">
        <f aca="false">IF(AA5=Inputs!$E$158,1,0)</f>
        <v>0</v>
      </c>
      <c r="AB11" s="258" t="n">
        <f aca="false">IF(AB5=Inputs!$E$158,1,0)</f>
        <v>0</v>
      </c>
      <c r="AC11" s="258" t="n">
        <f aca="false">IF(AC5=Inputs!$E$158,1,0)</f>
        <v>0</v>
      </c>
      <c r="AD11" s="258" t="n">
        <f aca="false">IF(AD5=Inputs!$E$158,1,0)</f>
        <v>0</v>
      </c>
      <c r="AE11" s="258" t="n">
        <f aca="false">IF(AE5=Inputs!$E$158,1,0)</f>
        <v>0</v>
      </c>
      <c r="AF11" s="258" t="n">
        <f aca="false">IF(AF5=Inputs!$E$158,1,0)</f>
        <v>0</v>
      </c>
      <c r="AG11" s="258" t="n">
        <f aca="false">IF(AG5=Inputs!$E$158,1,0)</f>
        <v>0</v>
      </c>
      <c r="AH11" s="258" t="n">
        <f aca="false">IF(AH5=Inputs!$E$158,1,0)</f>
        <v>0</v>
      </c>
      <c r="AI11" s="258" t="n">
        <f aca="false">IF(AI5=Inputs!$E$158,1,0)</f>
        <v>0</v>
      </c>
      <c r="AJ11" s="258" t="n">
        <f aca="false">IF(AJ5=Inputs!$E$158,1,0)</f>
        <v>0</v>
      </c>
      <c r="AK11" s="258" t="n">
        <f aca="false">IF(AK5=Inputs!$E$158,1,0)</f>
        <v>0</v>
      </c>
      <c r="AL11" s="258" t="n">
        <f aca="false">IF(AL5=Inputs!$E$158,1,0)</f>
        <v>0</v>
      </c>
      <c r="AM11" s="258" t="n">
        <f aca="false">IF(AM5=Inputs!$E$158,1,0)</f>
        <v>0</v>
      </c>
      <c r="AN11" s="258" t="n">
        <f aca="false">IF(AN5=Inputs!$E$158,1,0)</f>
        <v>0</v>
      </c>
      <c r="AO11" s="258" t="n">
        <f aca="false">IF(AO5=Inputs!$E$158,1,0)</f>
        <v>0</v>
      </c>
      <c r="AP11" s="258" t="n">
        <f aca="false">IF(AP5=Inputs!$E$158,1,0)</f>
        <v>0</v>
      </c>
      <c r="AQ11" s="258" t="n">
        <f aca="false">IF(AQ5=Inputs!$E$158,1,0)</f>
        <v>1</v>
      </c>
    </row>
    <row r="12" customFormat="false" ht="15" hidden="false" customHeight="false" outlineLevel="0" collapsed="false">
      <c r="C12" s="257" t="s">
        <v>1201</v>
      </c>
      <c r="D12" s="257" t="s">
        <v>7</v>
      </c>
      <c r="E12" s="273" t="n">
        <f aca="false">Inputs!$E$226</f>
        <v>0.08</v>
      </c>
      <c r="F12" s="257"/>
      <c r="G12" s="257"/>
      <c r="H12" s="274" t="n">
        <f aca="false">1/(1+$E$12)^H4</f>
        <v>1</v>
      </c>
      <c r="I12" s="274" t="n">
        <f aca="false">1/(1+$E$12)^I4</f>
        <v>0.925925925925926</v>
      </c>
      <c r="J12" s="274" t="n">
        <f aca="false">1/(1+$E$12)^J4</f>
        <v>0.857338820301783</v>
      </c>
      <c r="K12" s="274" t="n">
        <f aca="false">1/(1+$E$12)^K4</f>
        <v>0.79383224102017</v>
      </c>
      <c r="L12" s="274" t="n">
        <f aca="false">1/(1+$E$12)^L4</f>
        <v>0.735029852796453</v>
      </c>
      <c r="M12" s="274" t="n">
        <f aca="false">1/(1+$E$12)^M4</f>
        <v>0.680583197033753</v>
      </c>
      <c r="N12" s="274" t="n">
        <f aca="false">1/(1+$E$12)^N4</f>
        <v>0.630169626883105</v>
      </c>
      <c r="O12" s="274" t="n">
        <f aca="false">1/(1+$E$12)^O4</f>
        <v>0.583490395262134</v>
      </c>
      <c r="P12" s="274" t="n">
        <f aca="false">1/(1+$E$12)^P4</f>
        <v>0.540268884501976</v>
      </c>
      <c r="Q12" s="274" t="n">
        <f aca="false">1/(1+$E$12)^Q4</f>
        <v>0.500248967131459</v>
      </c>
      <c r="R12" s="274" t="n">
        <f aca="false">1/(1+$E$12)^R4</f>
        <v>0.463193488084684</v>
      </c>
      <c r="S12" s="274" t="n">
        <f aca="false">1/(1+$E$12)^S4</f>
        <v>0.428882859337671</v>
      </c>
      <c r="T12" s="274" t="n">
        <f aca="false">1/(1+$E$12)^T4</f>
        <v>0.397113758645991</v>
      </c>
      <c r="U12" s="274" t="n">
        <f aca="false">1/(1+$E$12)^U4</f>
        <v>0.367697924672214</v>
      </c>
      <c r="V12" s="274" t="n">
        <f aca="false">1/(1+$E$12)^V4</f>
        <v>0.340461041363161</v>
      </c>
      <c r="W12" s="274" t="n">
        <f aca="false">1/(1+$E$12)^W4</f>
        <v>0.31524170496589</v>
      </c>
      <c r="X12" s="274" t="n">
        <f aca="false">1/(1+$E$12)^X4</f>
        <v>0.291890467561009</v>
      </c>
      <c r="Y12" s="274" t="n">
        <f aca="false">1/(1+$E$12)^Y4</f>
        <v>0.270268951445379</v>
      </c>
      <c r="Z12" s="274" t="n">
        <f aca="false">1/(1+$E$12)^Z4</f>
        <v>0.250249029116092</v>
      </c>
      <c r="AA12" s="274" t="n">
        <f aca="false">1/(1+$E$12)^AA4</f>
        <v>0.231712063996381</v>
      </c>
      <c r="AB12" s="274" t="n">
        <f aca="false">1/(1+$E$12)^AB4</f>
        <v>0.214548207404056</v>
      </c>
      <c r="AC12" s="274" t="n">
        <f aca="false">1/(1+$E$12)^AC4</f>
        <v>0.198655747596349</v>
      </c>
      <c r="AD12" s="274" t="n">
        <f aca="false">1/(1+$E$12)^AD4</f>
        <v>0.183940507033656</v>
      </c>
      <c r="AE12" s="274" t="n">
        <f aca="false">1/(1+$E$12)^AE4</f>
        <v>0.170315284290422</v>
      </c>
      <c r="AF12" s="274" t="n">
        <f aca="false">1/(1+$E$12)^AF4</f>
        <v>0.157699337305947</v>
      </c>
      <c r="AG12" s="274" t="n">
        <f aca="false">1/(1+$E$12)^AG4</f>
        <v>0.146017904912913</v>
      </c>
      <c r="AH12" s="274" t="n">
        <f aca="false">1/(1+$E$12)^AH4</f>
        <v>0.135201763808253</v>
      </c>
      <c r="AI12" s="274" t="n">
        <f aca="false">1/(1+$E$12)^AI4</f>
        <v>0.125186818340975</v>
      </c>
      <c r="AJ12" s="274" t="n">
        <f aca="false">1/(1+$E$12)^AJ4</f>
        <v>0.115913720686088</v>
      </c>
      <c r="AK12" s="274" t="n">
        <f aca="false">1/(1+$E$12)^AK4</f>
        <v>0.107327519153785</v>
      </c>
      <c r="AL12" s="274" t="n">
        <f aca="false">1/(1+$E$12)^AL4</f>
        <v>0.0993773325498012</v>
      </c>
      <c r="AM12" s="274" t="n">
        <f aca="false">1/(1+$E$12)^AM4</f>
        <v>0.0920160486572233</v>
      </c>
      <c r="AN12" s="274" t="n">
        <f aca="false">1/(1+$E$12)^AN4</f>
        <v>0.0852000450529845</v>
      </c>
      <c r="AO12" s="274" t="n">
        <f aca="false">1/(1+$E$12)^AO4</f>
        <v>0.0788889306046153</v>
      </c>
      <c r="AP12" s="274" t="n">
        <f aca="false">1/(1+$E$12)^AP4</f>
        <v>0.0730453061153845</v>
      </c>
      <c r="AQ12" s="274" t="n">
        <f aca="false">1/(1+$E$12)^AQ4</f>
        <v>0.0676345426994301</v>
      </c>
    </row>
    <row r="13" customFormat="false" ht="15" hidden="false" customHeight="false" outlineLevel="0" collapsed="false">
      <c r="C13" s="257" t="s">
        <v>1202</v>
      </c>
      <c r="D13" s="257" t="s">
        <v>7</v>
      </c>
      <c r="E13" s="273" t="n">
        <f aca="false">Inputs!$E$227</f>
        <v>0.08</v>
      </c>
      <c r="F13" s="257"/>
      <c r="G13" s="257"/>
      <c r="H13" s="274" t="n">
        <f aca="false">1/(1+$E$13)^H4</f>
        <v>1</v>
      </c>
      <c r="I13" s="274" t="n">
        <f aca="false">1/(1+$E$13)^I4</f>
        <v>0.925925925925926</v>
      </c>
      <c r="J13" s="274" t="n">
        <f aca="false">1/(1+$E$13)^J4</f>
        <v>0.857338820301783</v>
      </c>
      <c r="K13" s="274" t="n">
        <f aca="false">1/(1+$E$13)^K4</f>
        <v>0.79383224102017</v>
      </c>
      <c r="L13" s="274" t="n">
        <f aca="false">1/(1+$E$13)^L4</f>
        <v>0.735029852796453</v>
      </c>
      <c r="M13" s="274" t="n">
        <f aca="false">1/(1+$E$13)^M4</f>
        <v>0.680583197033753</v>
      </c>
      <c r="N13" s="274" t="n">
        <f aca="false">1/(1+$E$13)^N4</f>
        <v>0.630169626883105</v>
      </c>
      <c r="O13" s="274" t="n">
        <f aca="false">1/(1+$E$13)^O4</f>
        <v>0.583490395262134</v>
      </c>
      <c r="P13" s="274" t="n">
        <f aca="false">1/(1+$E$13)^P4</f>
        <v>0.540268884501976</v>
      </c>
      <c r="Q13" s="274" t="n">
        <f aca="false">1/(1+$E$13)^Q4</f>
        <v>0.500248967131459</v>
      </c>
      <c r="R13" s="274" t="n">
        <f aca="false">1/(1+$E$13)^R4</f>
        <v>0.463193488084684</v>
      </c>
      <c r="S13" s="274" t="n">
        <f aca="false">1/(1+$E$13)^S4</f>
        <v>0.428882859337671</v>
      </c>
      <c r="T13" s="274" t="n">
        <f aca="false">1/(1+$E$13)^T4</f>
        <v>0.397113758645991</v>
      </c>
      <c r="U13" s="274" t="n">
        <f aca="false">1/(1+$E$13)^U4</f>
        <v>0.367697924672214</v>
      </c>
      <c r="V13" s="274" t="n">
        <f aca="false">1/(1+$E$13)^V4</f>
        <v>0.340461041363161</v>
      </c>
      <c r="W13" s="274" t="n">
        <f aca="false">1/(1+$E$13)^W4</f>
        <v>0.31524170496589</v>
      </c>
      <c r="X13" s="274" t="n">
        <f aca="false">1/(1+$E$13)^X4</f>
        <v>0.291890467561009</v>
      </c>
      <c r="Y13" s="274" t="n">
        <f aca="false">1/(1+$E$13)^Y4</f>
        <v>0.270268951445379</v>
      </c>
      <c r="Z13" s="274" t="n">
        <f aca="false">1/(1+$E$13)^Z4</f>
        <v>0.250249029116092</v>
      </c>
      <c r="AA13" s="274" t="n">
        <f aca="false">1/(1+$E$13)^AA4</f>
        <v>0.231712063996381</v>
      </c>
      <c r="AB13" s="274" t="n">
        <f aca="false">1/(1+$E$13)^AB4</f>
        <v>0.214548207404056</v>
      </c>
      <c r="AC13" s="274" t="n">
        <f aca="false">1/(1+$E$13)^AC4</f>
        <v>0.198655747596349</v>
      </c>
      <c r="AD13" s="274" t="n">
        <f aca="false">1/(1+$E$13)^AD4</f>
        <v>0.183940507033656</v>
      </c>
      <c r="AE13" s="274" t="n">
        <f aca="false">1/(1+$E$13)^AE4</f>
        <v>0.170315284290422</v>
      </c>
      <c r="AF13" s="274" t="n">
        <f aca="false">1/(1+$E$13)^AF4</f>
        <v>0.157699337305947</v>
      </c>
      <c r="AG13" s="274" t="n">
        <f aca="false">1/(1+$E$13)^AG4</f>
        <v>0.146017904912913</v>
      </c>
      <c r="AH13" s="274" t="n">
        <f aca="false">1/(1+$E$13)^AH4</f>
        <v>0.135201763808253</v>
      </c>
      <c r="AI13" s="274" t="n">
        <f aca="false">1/(1+$E$13)^AI4</f>
        <v>0.125186818340975</v>
      </c>
      <c r="AJ13" s="274" t="n">
        <f aca="false">1/(1+$E$13)^AJ4</f>
        <v>0.115913720686088</v>
      </c>
      <c r="AK13" s="274" t="n">
        <f aca="false">1/(1+$E$13)^AK4</f>
        <v>0.107327519153785</v>
      </c>
      <c r="AL13" s="274" t="n">
        <f aca="false">1/(1+$E$13)^AL4</f>
        <v>0.0993773325498012</v>
      </c>
      <c r="AM13" s="274" t="n">
        <f aca="false">1/(1+$E$13)^AM4</f>
        <v>0.0920160486572233</v>
      </c>
      <c r="AN13" s="274" t="n">
        <f aca="false">1/(1+$E$13)^AN4</f>
        <v>0.0852000450529845</v>
      </c>
      <c r="AO13" s="274" t="n">
        <f aca="false">1/(1+$E$13)^AO4</f>
        <v>0.0788889306046153</v>
      </c>
      <c r="AP13" s="274" t="n">
        <f aca="false">1/(1+$E$13)^AP4</f>
        <v>0.0730453061153845</v>
      </c>
      <c r="AQ13" s="274" t="n">
        <f aca="false">1/(1+$E$13)^AQ4</f>
        <v>0.0676345426994301</v>
      </c>
    </row>
    <row r="14" customFormat="false" ht="15" hidden="false" customHeight="false" outlineLevel="0" collapsed="false">
      <c r="C14" s="257" t="s">
        <v>1203</v>
      </c>
      <c r="D14" s="257" t="s">
        <v>51</v>
      </c>
      <c r="E14" s="257"/>
      <c r="F14" s="257"/>
      <c r="G14" s="257" t="n">
        <f aca="false">SUM(H14:AQ14)</f>
        <v>2</v>
      </c>
      <c r="H14" s="272" t="n">
        <f aca="false">MAX(0,MIN(DATE(H$5,12,31),Inputs!$E$155)-MAX(DATE(H$5,1,1)-1,Inputs!$E$154))/(DATE(H$5,12,31)-DATE(H$5,1,1)+1)</f>
        <v>0</v>
      </c>
      <c r="I14" s="272" t="n">
        <f aca="false">MAX(0,MIN(DATE(I$5,12,31),Inputs!$E$155)-MAX(DATE(I$5,1,1)-1,Inputs!$E$154))/(DATE(I$5,12,31)-DATE(I$5,1,1)+1)</f>
        <v>0</v>
      </c>
      <c r="J14" s="272" t="n">
        <f aca="false">MAX(0,MIN(DATE(J$5,12,31),Inputs!$E$155)-MAX(DATE(J$5,1,1)-1,Inputs!$E$154))/(DATE(J$5,12,31)-DATE(J$5,1,1)+1)</f>
        <v>0</v>
      </c>
      <c r="K14" s="272" t="n">
        <f aca="false">MAX(0,MIN(DATE(K$5,12,31),Inputs!$E$155)-MAX(DATE(K$5,1,1)-1,Inputs!$E$154))/(DATE(K$5,12,31)-DATE(K$5,1,1)+1)</f>
        <v>0.504109589041096</v>
      </c>
      <c r="L14" s="272" t="n">
        <f aca="false">MAX(0,MIN(DATE(L$5,12,31),Inputs!$E$155)-MAX(DATE(L$5,1,1)-1,Inputs!$E$154))/(DATE(L$5,12,31)-DATE(L$5,1,1)+1)</f>
        <v>1</v>
      </c>
      <c r="M14" s="272" t="n">
        <f aca="false">MAX(0,MIN(DATE(M$5,12,31),Inputs!$E$155)-MAX(DATE(M$5,1,1)-1,Inputs!$E$154))/(DATE(M$5,12,31)-DATE(M$5,1,1)+1)</f>
        <v>0.495890410958904</v>
      </c>
      <c r="N14" s="272" t="n">
        <f aca="false">MAX(0,MIN(DATE(N$5,12,31),Inputs!$E$155)-MAX(DATE(N$5,1,1)-1,Inputs!$E$154))/(DATE(N$5,12,31)-DATE(N$5,1,1)+1)</f>
        <v>0</v>
      </c>
      <c r="O14" s="272" t="n">
        <f aca="false">MAX(0,MIN(DATE(O$5,12,31),Inputs!$E$155)-MAX(DATE(O$5,1,1)-1,Inputs!$E$154))/(DATE(O$5,12,31)-DATE(O$5,1,1)+1)</f>
        <v>0</v>
      </c>
      <c r="P14" s="272" t="n">
        <f aca="false">MAX(0,MIN(DATE(P$5,12,31),Inputs!$E$155)-MAX(DATE(P$5,1,1)-1,Inputs!$E$154))/(DATE(P$5,12,31)-DATE(P$5,1,1)+1)</f>
        <v>0</v>
      </c>
      <c r="Q14" s="272" t="n">
        <f aca="false">MAX(0,MIN(DATE(Q$5,12,31),Inputs!$E$155)-MAX(DATE(Q$5,1,1)-1,Inputs!$E$154))/(DATE(Q$5,12,31)-DATE(Q$5,1,1)+1)</f>
        <v>0</v>
      </c>
      <c r="R14" s="272" t="n">
        <f aca="false">MAX(0,MIN(DATE(R$5,12,31),Inputs!$E$155)-MAX(DATE(R$5,1,1)-1,Inputs!$E$154))/(DATE(R$5,12,31)-DATE(R$5,1,1)+1)</f>
        <v>0</v>
      </c>
      <c r="S14" s="272" t="n">
        <f aca="false">MAX(0,MIN(DATE(S$5,12,31),Inputs!$E$155)-MAX(DATE(S$5,1,1)-1,Inputs!$E$154))/(DATE(S$5,12,31)-DATE(S$5,1,1)+1)</f>
        <v>0</v>
      </c>
      <c r="T14" s="272" t="n">
        <f aca="false">MAX(0,MIN(DATE(T$5,12,31),Inputs!$E$155)-MAX(DATE(T$5,1,1)-1,Inputs!$E$154))/(DATE(T$5,12,31)-DATE(T$5,1,1)+1)</f>
        <v>0</v>
      </c>
      <c r="U14" s="272" t="n">
        <f aca="false">MAX(0,MIN(DATE(U$5,12,31),Inputs!$E$155)-MAX(DATE(U$5,1,1)-1,Inputs!$E$154))/(DATE(U$5,12,31)-DATE(U$5,1,1)+1)</f>
        <v>0</v>
      </c>
      <c r="V14" s="272" t="n">
        <f aca="false">MAX(0,MIN(DATE(V$5,12,31),Inputs!$E$155)-MAX(DATE(V$5,1,1)-1,Inputs!$E$154))/(DATE(V$5,12,31)-DATE(V$5,1,1)+1)</f>
        <v>0</v>
      </c>
      <c r="W14" s="272" t="n">
        <f aca="false">MAX(0,MIN(DATE(W$5,12,31),Inputs!$E$155)-MAX(DATE(W$5,1,1)-1,Inputs!$E$154))/(DATE(W$5,12,31)-DATE(W$5,1,1)+1)</f>
        <v>0</v>
      </c>
      <c r="X14" s="272" t="n">
        <f aca="false">MAX(0,MIN(DATE(X$5,12,31),Inputs!$E$155)-MAX(DATE(X$5,1,1)-1,Inputs!$E$154))/(DATE(X$5,12,31)-DATE(X$5,1,1)+1)</f>
        <v>0</v>
      </c>
      <c r="Y14" s="272" t="n">
        <f aca="false">MAX(0,MIN(DATE(Y$5,12,31),Inputs!$E$155)-MAX(DATE(Y$5,1,1)-1,Inputs!$E$154))/(DATE(Y$5,12,31)-DATE(Y$5,1,1)+1)</f>
        <v>0</v>
      </c>
      <c r="Z14" s="272" t="n">
        <f aca="false">MAX(0,MIN(DATE(Z$5,12,31),Inputs!$E$155)-MAX(DATE(Z$5,1,1)-1,Inputs!$E$154))/(DATE(Z$5,12,31)-DATE(Z$5,1,1)+1)</f>
        <v>0</v>
      </c>
      <c r="AA14" s="272" t="n">
        <f aca="false">MAX(0,MIN(DATE(AA$5,12,31),Inputs!$E$155)-MAX(DATE(AA$5,1,1)-1,Inputs!$E$154))/(DATE(AA$5,12,31)-DATE(AA$5,1,1)+1)</f>
        <v>0</v>
      </c>
      <c r="AB14" s="272" t="n">
        <f aca="false">MAX(0,MIN(DATE(AB$5,12,31),Inputs!$E$155)-MAX(DATE(AB$5,1,1)-1,Inputs!$E$154))/(DATE(AB$5,12,31)-DATE(AB$5,1,1)+1)</f>
        <v>0</v>
      </c>
      <c r="AC14" s="272" t="n">
        <f aca="false">MAX(0,MIN(DATE(AC$5,12,31),Inputs!$E$155)-MAX(DATE(AC$5,1,1)-1,Inputs!$E$154))/(DATE(AC$5,12,31)-DATE(AC$5,1,1)+1)</f>
        <v>0</v>
      </c>
      <c r="AD14" s="272" t="n">
        <f aca="false">MAX(0,MIN(DATE(AD$5,12,31),Inputs!$E$155)-MAX(DATE(AD$5,1,1)-1,Inputs!$E$154))/(DATE(AD$5,12,31)-DATE(AD$5,1,1)+1)</f>
        <v>0</v>
      </c>
      <c r="AE14" s="272" t="n">
        <f aca="false">MAX(0,MIN(DATE(AE$5,12,31),Inputs!$E$155)-MAX(DATE(AE$5,1,1)-1,Inputs!$E$154))/(DATE(AE$5,12,31)-DATE(AE$5,1,1)+1)</f>
        <v>0</v>
      </c>
      <c r="AF14" s="272" t="n">
        <f aca="false">MAX(0,MIN(DATE(AF$5,12,31),Inputs!$E$155)-MAX(DATE(AF$5,1,1)-1,Inputs!$E$154))/(DATE(AF$5,12,31)-DATE(AF$5,1,1)+1)</f>
        <v>0</v>
      </c>
      <c r="AG14" s="272" t="n">
        <f aca="false">MAX(0,MIN(DATE(AG$5,12,31),Inputs!$E$155)-MAX(DATE(AG$5,1,1)-1,Inputs!$E$154))/(DATE(AG$5,12,31)-DATE(AG$5,1,1)+1)</f>
        <v>0</v>
      </c>
      <c r="AH14" s="272" t="n">
        <f aca="false">MAX(0,MIN(DATE(AH$5,12,31),Inputs!$E$155)-MAX(DATE(AH$5,1,1)-1,Inputs!$E$154))/(DATE(AH$5,12,31)-DATE(AH$5,1,1)+1)</f>
        <v>0</v>
      </c>
      <c r="AI14" s="272" t="n">
        <f aca="false">MAX(0,MIN(DATE(AI$5,12,31),Inputs!$E$155)-MAX(DATE(AI$5,1,1)-1,Inputs!$E$154))/(DATE(AI$5,12,31)-DATE(AI$5,1,1)+1)</f>
        <v>0</v>
      </c>
      <c r="AJ14" s="272" t="n">
        <f aca="false">MAX(0,MIN(DATE(AJ$5,12,31),Inputs!$E$155)-MAX(DATE(AJ$5,1,1)-1,Inputs!$E$154))/(DATE(AJ$5,12,31)-DATE(AJ$5,1,1)+1)</f>
        <v>0</v>
      </c>
      <c r="AK14" s="272" t="n">
        <f aca="false">MAX(0,MIN(DATE(AK$5,12,31),Inputs!$E$155)-MAX(DATE(AK$5,1,1)-1,Inputs!$E$154))/(DATE(AK$5,12,31)-DATE(AK$5,1,1)+1)</f>
        <v>0</v>
      </c>
      <c r="AL14" s="272" t="n">
        <f aca="false">MAX(0,MIN(DATE(AL$5,12,31),Inputs!$E$155)-MAX(DATE(AL$5,1,1)-1,Inputs!$E$154))/(DATE(AL$5,12,31)-DATE(AL$5,1,1)+1)</f>
        <v>0</v>
      </c>
      <c r="AM14" s="272" t="n">
        <f aca="false">MAX(0,MIN(DATE(AM$5,12,31),Inputs!$E$155)-MAX(DATE(AM$5,1,1)-1,Inputs!$E$154))/(DATE(AM$5,12,31)-DATE(AM$5,1,1)+1)</f>
        <v>0</v>
      </c>
      <c r="AN14" s="272" t="n">
        <f aca="false">MAX(0,MIN(DATE(AN$5,12,31),Inputs!$E$155)-MAX(DATE(AN$5,1,1)-1,Inputs!$E$154))/(DATE(AN$5,12,31)-DATE(AN$5,1,1)+1)</f>
        <v>0</v>
      </c>
      <c r="AO14" s="272" t="n">
        <f aca="false">MAX(0,MIN(DATE(AO$5,12,31),Inputs!$E$155)-MAX(DATE(AO$5,1,1)-1,Inputs!$E$154))/(DATE(AO$5,12,31)-DATE(AO$5,1,1)+1)</f>
        <v>0</v>
      </c>
      <c r="AP14" s="272" t="n">
        <f aca="false">MAX(0,MIN(DATE(AP$5,12,31),Inputs!$E$155)-MAX(DATE(AP$5,1,1)-1,Inputs!$E$154))/(DATE(AP$5,12,31)-DATE(AP$5,1,1)+1)</f>
        <v>0</v>
      </c>
      <c r="AQ14" s="272" t="n">
        <f aca="false">MAX(0,MIN(DATE(AQ$5,12,31),Inputs!$E$155)-MAX(DATE(AQ$5,1,1)-1,Inputs!$E$154))/(DATE(AQ$5,12,31)-DATE(AQ$5,1,1)+1)</f>
        <v>0</v>
      </c>
    </row>
    <row r="15" customFormat="false" ht="15" hidden="false" customHeight="false" outlineLevel="0" collapsed="false">
      <c r="C15" s="136" t="s">
        <v>1204</v>
      </c>
      <c r="D15" s="136"/>
      <c r="E15" s="270" t="n">
        <f aca="false">Inputs!$E$228</f>
        <v>1</v>
      </c>
      <c r="F15" s="275" t="s">
        <v>1205</v>
      </c>
      <c r="G15" s="136"/>
      <c r="H15" s="136"/>
      <c r="I15" s="136"/>
      <c r="J15" s="136"/>
      <c r="K15" s="136"/>
      <c r="L15" s="136"/>
      <c r="M15" s="136"/>
      <c r="N15" s="136"/>
      <c r="O15" s="136"/>
      <c r="P15" s="136"/>
      <c r="Q15" s="136"/>
      <c r="R15" s="136"/>
      <c r="S15" s="136"/>
      <c r="T15" s="136"/>
      <c r="U15" s="136"/>
      <c r="V15" s="136"/>
      <c r="W15" s="136"/>
      <c r="X15" s="136"/>
      <c r="Y15" s="136"/>
      <c r="Z15" s="136"/>
      <c r="AA15" s="136"/>
      <c r="AB15" s="136"/>
      <c r="AC15" s="136"/>
      <c r="AD15" s="136"/>
      <c r="AE15" s="136"/>
      <c r="AF15" s="136"/>
      <c r="AG15" s="136"/>
      <c r="AH15" s="136"/>
      <c r="AI15" s="136"/>
      <c r="AJ15" s="136"/>
      <c r="AK15" s="136"/>
      <c r="AL15" s="136"/>
      <c r="AM15" s="136"/>
      <c r="AN15" s="136"/>
      <c r="AO15" s="136"/>
      <c r="AP15" s="136"/>
      <c r="AQ15" s="136"/>
    </row>
    <row r="16" customFormat="false" ht="15" hidden="false" customHeight="false" outlineLevel="0" collapsed="false">
      <c r="C16" s="0" t="s">
        <v>1206</v>
      </c>
      <c r="D16" s="0" t="s">
        <v>125</v>
      </c>
      <c r="E16" s="146"/>
      <c r="F16" s="146"/>
      <c r="G16" s="146" t="n">
        <f aca="false">SUM(H16:AQ16)</f>
        <v>-1543.92296087496</v>
      </c>
      <c r="H16" s="276" t="n">
        <f aca="false" t="array" ref="H16:H16">-SUMPRODUCT((YEAR(MOIC!$H$5:$BP$5)=H$5)*(MOIC!$H$18:$BP$18+MOIC!$H$20:$BP$20))*$E$15</f>
        <v>-88.6216216216216</v>
      </c>
      <c r="I16" s="276" t="n">
        <f aca="false" t="array" ref="I16:I16">-SUMPRODUCT((YEAR(MOIC!$H$5:$BP$5)=I$5)*(MOIC!$H$18:$BP$18+MOIC!$H$20:$BP$20))*$E$15</f>
        <v>-428.165540540541</v>
      </c>
      <c r="J16" s="276" t="n">
        <f aca="false" t="array" ref="J16:J16">-SUMPRODUCT((YEAR(MOIC!$H$5:$BP$5)=J$5)*(MOIC!$H$18:$BP$18+MOIC!$H$20:$BP$20))*$E$15</f>
        <v>-876.865528442527</v>
      </c>
      <c r="K16" s="276" t="n">
        <f aca="false" t="array" ref="K16:K16">-SUMPRODUCT((YEAR(MOIC!$H$5:$BP$5)=K$5)*(MOIC!$H$18:$BP$18+MOIC!$H$20:$BP$20))*$E$15</f>
        <v>-150.27027027027</v>
      </c>
      <c r="L16" s="276" t="n">
        <f aca="false" t="array" ref="L16:L16">-SUMPRODUCT((YEAR(MOIC!$H$5:$BP$5)=L$5)*(MOIC!$H$18:$BP$18+MOIC!$H$20:$BP$20))*$E$15</f>
        <v>-0</v>
      </c>
      <c r="M16" s="276" t="n">
        <f aca="false" t="array" ref="M16:M16">-SUMPRODUCT((YEAR(MOIC!$H$5:$BP$5)=M$5)*(MOIC!$H$18:$BP$18+MOIC!$H$20:$BP$20))*$E$15</f>
        <v>-0</v>
      </c>
      <c r="N16" s="276" t="n">
        <f aca="false" t="array" ref="N16:N16">-SUMPRODUCT((YEAR(MOIC!$H$5:$BP$5)=N$5)*(MOIC!$H$18:$BP$18+MOIC!$H$20:$BP$20))*$E$15</f>
        <v>-0</v>
      </c>
      <c r="O16" s="276" t="n">
        <f aca="false" t="array" ref="O16:O16">-SUMPRODUCT((YEAR(MOIC!$H$5:$BP$5)=O$5)*(MOIC!$H$18:$BP$18+MOIC!$H$20:$BP$20))*$E$15</f>
        <v>-0</v>
      </c>
      <c r="P16" s="276" t="n">
        <f aca="false" t="array" ref="P16:P16">-SUMPRODUCT((YEAR(MOIC!$H$5:$BP$5)=P$5)*(MOIC!$H$18:$BP$18+MOIC!$H$20:$BP$20))*$E$15</f>
        <v>-0</v>
      </c>
      <c r="Q16" s="276" t="n">
        <f aca="false" t="array" ref="Q16:Q16">-SUMPRODUCT((YEAR(MOIC!$H$5:$BP$5)=Q$5)*(MOIC!$H$18:$BP$18+MOIC!$H$20:$BP$20))*$E$15</f>
        <v>-0</v>
      </c>
      <c r="R16" s="276" t="n">
        <f aca="false" t="array" ref="R16:R16">-SUMPRODUCT((YEAR(MOIC!$H$5:$BP$5)=R$5)*(MOIC!$H$18:$BP$18+MOIC!$H$20:$BP$20))*$E$15</f>
        <v>-0</v>
      </c>
      <c r="S16" s="276" t="n">
        <f aca="false" t="array" ref="S16:S16">-SUMPRODUCT((YEAR(MOIC!$H$5:$BP$5)=S$5)*(MOIC!$H$18:$BP$18+MOIC!$H$20:$BP$20))*$E$15</f>
        <v>-0</v>
      </c>
      <c r="T16" s="276" t="n">
        <f aca="false" t="array" ref="T16:T16">-SUMPRODUCT((YEAR(MOIC!$H$5:$BP$5)=T$5)*(MOIC!$H$18:$BP$18+MOIC!$H$20:$BP$20))*$E$15</f>
        <v>-0</v>
      </c>
      <c r="U16" s="276" t="n">
        <f aca="false" t="array" ref="U16:U16">-SUMPRODUCT((YEAR(MOIC!$H$5:$BP$5)=U$5)*(MOIC!$H$18:$BP$18+MOIC!$H$20:$BP$20))*$E$15</f>
        <v>-0</v>
      </c>
      <c r="V16" s="276" t="n">
        <f aca="false" t="array" ref="V16:V16">-SUMPRODUCT((YEAR(MOIC!$H$5:$BP$5)=V$5)*(MOIC!$H$18:$BP$18+MOIC!$H$20:$BP$20))*$E$15</f>
        <v>-0</v>
      </c>
      <c r="W16" s="276" t="n">
        <f aca="false" t="array" ref="W16:W16">-SUMPRODUCT((YEAR(MOIC!$H$5:$BP$5)=W$5)*(MOIC!$H$18:$BP$18+MOIC!$H$20:$BP$20))*$E$15</f>
        <v>-0</v>
      </c>
      <c r="X16" s="276" t="n">
        <f aca="false" t="array" ref="X16:X16">-SUMPRODUCT((YEAR(MOIC!$H$5:$BP$5)=X$5)*(MOIC!$H$18:$BP$18+MOIC!$H$20:$BP$20))*$E$15</f>
        <v>-0</v>
      </c>
      <c r="Y16" s="276" t="n">
        <f aca="false" t="array" ref="Y16:Y16">-SUMPRODUCT((YEAR(MOIC!$H$5:$BP$5)=Y$5)*(MOIC!$H$18:$BP$18+MOIC!$H$20:$BP$20))*$E$15</f>
        <v>-0</v>
      </c>
      <c r="Z16" s="276" t="n">
        <f aca="false" t="array" ref="Z16:Z16">-SUMPRODUCT((YEAR(MOIC!$H$5:$BP$5)=Z$5)*(MOIC!$H$18:$BP$18+MOIC!$H$20:$BP$20))*$E$15</f>
        <v>-0</v>
      </c>
      <c r="AA16" s="276" t="n">
        <f aca="false" t="array" ref="AA16:AA16">-SUMPRODUCT((YEAR(MOIC!$H$5:$BP$5)=AA$5)*(MOIC!$H$18:$BP$18+MOIC!$H$20:$BP$20))*$E$15</f>
        <v>-0</v>
      </c>
      <c r="AB16" s="276" t="n">
        <f aca="false" t="array" ref="AB16:AB16">-SUMPRODUCT((YEAR(MOIC!$H$5:$BP$5)=AB$5)*(MOIC!$H$18:$BP$18+MOIC!$H$20:$BP$20))*$E$15</f>
        <v>-0</v>
      </c>
      <c r="AC16" s="276" t="n">
        <f aca="false" t="array" ref="AC16:AC16">-SUMPRODUCT((YEAR(MOIC!$H$5:$BP$5)=AC$5)*(MOIC!$H$18:$BP$18+MOIC!$H$20:$BP$20))*$E$15</f>
        <v>-0</v>
      </c>
      <c r="AD16" s="276" t="n">
        <f aca="false" t="array" ref="AD16:AD16">-SUMPRODUCT((YEAR(MOIC!$H$5:$BP$5)=AD$5)*(MOIC!$H$18:$BP$18+MOIC!$H$20:$BP$20))*$E$15</f>
        <v>-0</v>
      </c>
      <c r="AE16" s="276" t="n">
        <f aca="false" t="array" ref="AE16:AE16">-SUMPRODUCT((YEAR(MOIC!$H$5:$BP$5)=AE$5)*(MOIC!$H$18:$BP$18+MOIC!$H$20:$BP$20))*$E$15</f>
        <v>-0</v>
      </c>
      <c r="AF16" s="276" t="n">
        <f aca="false" t="array" ref="AF16:AF16">-SUMPRODUCT((YEAR(MOIC!$H$5:$BP$5)=AF$5)*(MOIC!$H$18:$BP$18+MOIC!$H$20:$BP$20))*$E$15</f>
        <v>-0</v>
      </c>
      <c r="AG16" s="276" t="n">
        <f aca="false" t="array" ref="AG16:AG16">-SUMPRODUCT((YEAR(MOIC!$H$5:$BP$5)=AG$5)*(MOIC!$H$18:$BP$18+MOIC!$H$20:$BP$20))*$E$15</f>
        <v>-0</v>
      </c>
      <c r="AH16" s="276" t="n">
        <f aca="false" t="array" ref="AH16:AH16">-SUMPRODUCT((YEAR(MOIC!$H$5:$BP$5)=AH$5)*(MOIC!$H$18:$BP$18+MOIC!$H$20:$BP$20))*$E$15</f>
        <v>-0</v>
      </c>
      <c r="AI16" s="276" t="n">
        <f aca="false" t="array" ref="AI16:AI16">-SUMPRODUCT((YEAR(MOIC!$H$5:$BP$5)=AI$5)*(MOIC!$H$18:$BP$18+MOIC!$H$20:$BP$20))*$E$15</f>
        <v>-0</v>
      </c>
      <c r="AJ16" s="276" t="n">
        <f aca="false" t="array" ref="AJ16:AJ16">-SUMPRODUCT((YEAR(MOIC!$H$5:$BP$5)=AJ$5)*(MOIC!$H$18:$BP$18+MOIC!$H$20:$BP$20))*$E$15</f>
        <v>-0</v>
      </c>
      <c r="AK16" s="276" t="n">
        <f aca="false" t="array" ref="AK16:AK16">-SUMPRODUCT((YEAR(MOIC!$H$5:$BP$5)=AK$5)*(MOIC!$H$18:$BP$18+MOIC!$H$20:$BP$20))*$E$15</f>
        <v>-0</v>
      </c>
      <c r="AL16" s="276" t="n">
        <f aca="false" t="array" ref="AL16:AL16">-SUMPRODUCT((YEAR(MOIC!$H$5:$BP$5)=AL$5)*(MOIC!$H$18:$BP$18+MOIC!$H$20:$BP$20))*$E$15</f>
        <v>-0</v>
      </c>
      <c r="AM16" s="276" t="n">
        <f aca="false" t="array" ref="AM16:AM16">-SUMPRODUCT((YEAR(MOIC!$H$5:$BP$5)=AM$5)*(MOIC!$H$18:$BP$18+MOIC!$H$20:$BP$20))*$E$15</f>
        <v>-0</v>
      </c>
      <c r="AN16" s="276" t="n">
        <f aca="false" t="array" ref="AN16:AN16">-SUMPRODUCT((YEAR(MOIC!$H$5:$BP$5)=AN$5)*(MOIC!$H$18:$BP$18+MOIC!$H$20:$BP$20))*$E$15</f>
        <v>-0</v>
      </c>
      <c r="AO16" s="276" t="n">
        <f aca="false" t="array" ref="AO16:AO16">-SUMPRODUCT((YEAR(MOIC!$H$5:$BP$5)=AO$5)*(MOIC!$H$18:$BP$18+MOIC!$H$20:$BP$20))*$E$15</f>
        <v>-0</v>
      </c>
      <c r="AP16" s="276" t="n">
        <f aca="false" t="array" ref="AP16:AP16">-SUMPRODUCT((YEAR(MOIC!$H$5:$BP$5)=AP$5)*(MOIC!$H$18:$BP$18+MOIC!$H$20:$BP$20))*$E$15</f>
        <v>-0</v>
      </c>
      <c r="AQ16" s="276" t="n">
        <f aca="false" t="array" ref="AQ16:AQ16">-SUMPRODUCT((YEAR(MOIC!$H$5:$BP$5)=AQ$5)*(MOIC!$H$18:$BP$18+MOIC!$H$20:$BP$20))*$E$15</f>
        <v>-0</v>
      </c>
    </row>
    <row r="17" customFormat="false" ht="15" hidden="false" customHeight="false" outlineLevel="0" collapsed="false">
      <c r="C17" s="0" t="s">
        <v>1207</v>
      </c>
      <c r="D17" s="0" t="s">
        <v>125</v>
      </c>
      <c r="E17" s="146"/>
      <c r="F17" s="146"/>
      <c r="G17" s="146" t="n">
        <f aca="false">SUM(H17:AQ17)</f>
        <v>-200</v>
      </c>
      <c r="H17" s="276" t="n">
        <f aca="false">-IF(H5=YEAR(Inputs!$E$27),Inputs!$E$24+Inputs!$E$25,0)*$E$15</f>
        <v>-200</v>
      </c>
      <c r="I17" s="276" t="n">
        <f aca="false">-IF(I5=YEAR(Inputs!$E$27),Inputs!$E$24+Inputs!$E$25,0)*$E$15</f>
        <v>-0</v>
      </c>
      <c r="J17" s="276" t="n">
        <f aca="false">-IF(J5=YEAR(Inputs!$E$27),Inputs!$E$24+Inputs!$E$25,0)*$E$15</f>
        <v>-0</v>
      </c>
      <c r="K17" s="276" t="n">
        <f aca="false">-IF(K5=YEAR(Inputs!$E$27),Inputs!$E$24+Inputs!$E$25,0)*$E$15</f>
        <v>-0</v>
      </c>
      <c r="L17" s="276" t="n">
        <f aca="false">-IF(L5=YEAR(Inputs!$E$27),Inputs!$E$24+Inputs!$E$25,0)*$E$15</f>
        <v>-0</v>
      </c>
      <c r="M17" s="276" t="n">
        <f aca="false">-IF(M5=YEAR(Inputs!$E$27),Inputs!$E$24+Inputs!$E$25,0)*$E$15</f>
        <v>-0</v>
      </c>
      <c r="N17" s="276" t="n">
        <f aca="false">-IF(N5=YEAR(Inputs!$E$27),Inputs!$E$24+Inputs!$E$25,0)*$E$15</f>
        <v>-0</v>
      </c>
      <c r="O17" s="276" t="n">
        <f aca="false">-IF(O5=YEAR(Inputs!$E$27),Inputs!$E$24+Inputs!$E$25,0)*$E$15</f>
        <v>-0</v>
      </c>
      <c r="P17" s="276" t="n">
        <f aca="false">-IF(P5=YEAR(Inputs!$E$27),Inputs!$E$24+Inputs!$E$25,0)*$E$15</f>
        <v>-0</v>
      </c>
      <c r="Q17" s="276" t="n">
        <f aca="false">-IF(Q5=YEAR(Inputs!$E$27),Inputs!$E$24+Inputs!$E$25,0)*$E$15</f>
        <v>-0</v>
      </c>
      <c r="R17" s="276" t="n">
        <f aca="false">-IF(R5=YEAR(Inputs!$E$27),Inputs!$E$24+Inputs!$E$25,0)*$E$15</f>
        <v>-0</v>
      </c>
      <c r="S17" s="276" t="n">
        <f aca="false">-IF(S5=YEAR(Inputs!$E$27),Inputs!$E$24+Inputs!$E$25,0)*$E$15</f>
        <v>-0</v>
      </c>
      <c r="T17" s="276" t="n">
        <f aca="false">-IF(T5=YEAR(Inputs!$E$27),Inputs!$E$24+Inputs!$E$25,0)*$E$15</f>
        <v>-0</v>
      </c>
      <c r="U17" s="276" t="n">
        <f aca="false">-IF(U5=YEAR(Inputs!$E$27),Inputs!$E$24+Inputs!$E$25,0)*$E$15</f>
        <v>-0</v>
      </c>
      <c r="V17" s="276" t="n">
        <f aca="false">-IF(V5=YEAR(Inputs!$E$27),Inputs!$E$24+Inputs!$E$25,0)*$E$15</f>
        <v>-0</v>
      </c>
      <c r="W17" s="276" t="n">
        <f aca="false">-IF(W5=YEAR(Inputs!$E$27),Inputs!$E$24+Inputs!$E$25,0)*$E$15</f>
        <v>-0</v>
      </c>
      <c r="X17" s="276" t="n">
        <f aca="false">-IF(X5=YEAR(Inputs!$E$27),Inputs!$E$24+Inputs!$E$25,0)*$E$15</f>
        <v>-0</v>
      </c>
      <c r="Y17" s="276" t="n">
        <f aca="false">-IF(Y5=YEAR(Inputs!$E$27),Inputs!$E$24+Inputs!$E$25,0)*$E$15</f>
        <v>-0</v>
      </c>
      <c r="Z17" s="276" t="n">
        <f aca="false">-IF(Z5=YEAR(Inputs!$E$27),Inputs!$E$24+Inputs!$E$25,0)*$E$15</f>
        <v>-0</v>
      </c>
      <c r="AA17" s="276" t="n">
        <f aca="false">-IF(AA5=YEAR(Inputs!$E$27),Inputs!$E$24+Inputs!$E$25,0)*$E$15</f>
        <v>-0</v>
      </c>
      <c r="AB17" s="276" t="n">
        <f aca="false">-IF(AB5=YEAR(Inputs!$E$27),Inputs!$E$24+Inputs!$E$25,0)*$E$15</f>
        <v>-0</v>
      </c>
      <c r="AC17" s="276" t="n">
        <f aca="false">-IF(AC5=YEAR(Inputs!$E$27),Inputs!$E$24+Inputs!$E$25,0)*$E$15</f>
        <v>-0</v>
      </c>
      <c r="AD17" s="276" t="n">
        <f aca="false">-IF(AD5=YEAR(Inputs!$E$27),Inputs!$E$24+Inputs!$E$25,0)*$E$15</f>
        <v>-0</v>
      </c>
      <c r="AE17" s="276" t="n">
        <f aca="false">-IF(AE5=YEAR(Inputs!$E$27),Inputs!$E$24+Inputs!$E$25,0)*$E$15</f>
        <v>-0</v>
      </c>
      <c r="AF17" s="276" t="n">
        <f aca="false">-IF(AF5=YEAR(Inputs!$E$27),Inputs!$E$24+Inputs!$E$25,0)*$E$15</f>
        <v>-0</v>
      </c>
      <c r="AG17" s="276" t="n">
        <f aca="false">-IF(AG5=YEAR(Inputs!$E$27),Inputs!$E$24+Inputs!$E$25,0)*$E$15</f>
        <v>-0</v>
      </c>
      <c r="AH17" s="276" t="n">
        <f aca="false">-IF(AH5=YEAR(Inputs!$E$27),Inputs!$E$24+Inputs!$E$25,0)*$E$15</f>
        <v>-0</v>
      </c>
      <c r="AI17" s="276" t="n">
        <f aca="false">-IF(AI5=YEAR(Inputs!$E$27),Inputs!$E$24+Inputs!$E$25,0)*$E$15</f>
        <v>-0</v>
      </c>
      <c r="AJ17" s="276" t="n">
        <f aca="false">-IF(AJ5=YEAR(Inputs!$E$27),Inputs!$E$24+Inputs!$E$25,0)*$E$15</f>
        <v>-0</v>
      </c>
      <c r="AK17" s="276" t="n">
        <f aca="false">-IF(AK5=YEAR(Inputs!$E$27),Inputs!$E$24+Inputs!$E$25,0)*$E$15</f>
        <v>-0</v>
      </c>
      <c r="AL17" s="276" t="n">
        <f aca="false">-IF(AL5=YEAR(Inputs!$E$27),Inputs!$E$24+Inputs!$E$25,0)*$E$15</f>
        <v>-0</v>
      </c>
      <c r="AM17" s="276" t="n">
        <f aca="false">-IF(AM5=YEAR(Inputs!$E$27),Inputs!$E$24+Inputs!$E$25,0)*$E$15</f>
        <v>-0</v>
      </c>
      <c r="AN17" s="276" t="n">
        <f aca="false">-IF(AN5=YEAR(Inputs!$E$27),Inputs!$E$24+Inputs!$E$25,0)*$E$15</f>
        <v>-0</v>
      </c>
      <c r="AO17" s="276" t="n">
        <f aca="false">-IF(AO5=YEAR(Inputs!$E$27),Inputs!$E$24+Inputs!$E$25,0)*$E$15</f>
        <v>-0</v>
      </c>
      <c r="AP17" s="276" t="n">
        <f aca="false">-IF(AP5=YEAR(Inputs!$E$27),Inputs!$E$24+Inputs!$E$25,0)*$E$15</f>
        <v>-0</v>
      </c>
      <c r="AQ17" s="276" t="n">
        <f aca="false">-IF(AQ5=YEAR(Inputs!$E$27),Inputs!$E$24+Inputs!$E$25,0)*$E$15</f>
        <v>-0</v>
      </c>
    </row>
    <row r="18" customFormat="false" ht="15" hidden="false" customHeight="false" outlineLevel="0" collapsed="false">
      <c r="C18" s="0" t="s">
        <v>1208</v>
      </c>
      <c r="D18" s="0" t="s">
        <v>125</v>
      </c>
      <c r="E18" s="146"/>
      <c r="F18" s="146"/>
      <c r="G18" s="146" t="n">
        <f aca="false">SUM(H18:AQ18)</f>
        <v>-1241.09589041096</v>
      </c>
      <c r="H18" s="276" t="n">
        <f aca="false" t="array" ref="H18:H18">-SUMPRODUCT((YEAR(Deposits!$K$7:$K$18)=H$5)*(Deposits!$R$7:$R$18&lt;&gt;"Connection fee")*Deposits!$P$7:$P$18*Deposits!$M$7:$M$18)*$E$15</f>
        <v>-1241.09589041096</v>
      </c>
      <c r="I18" s="276" t="n">
        <f aca="false" t="array" ref="I18:I18">-SUMPRODUCT((YEAR(Deposits!$K$7:$K$18)=I$5)*(Deposits!$R$7:$R$18&lt;&gt;"Connection fee")*Deposits!$P$7:$P$18*Deposits!$M$7:$M$18)*$E$15</f>
        <v>-0</v>
      </c>
      <c r="J18" s="276" t="n">
        <f aca="false" t="array" ref="J18:J18">-SUMPRODUCT((YEAR(Deposits!$K$7:$K$18)=J$5)*(Deposits!$R$7:$R$18&lt;&gt;"Connection fee")*Deposits!$P$7:$P$18*Deposits!$M$7:$M$18)*$E$15</f>
        <v>-0</v>
      </c>
      <c r="K18" s="276" t="n">
        <f aca="false" t="array" ref="K18:K18">-SUMPRODUCT((YEAR(Deposits!$K$7:$K$18)=K$5)*(Deposits!$R$7:$R$18&lt;&gt;"Connection fee")*Deposits!$P$7:$P$18*Deposits!$M$7:$M$18)*$E$15</f>
        <v>-0</v>
      </c>
      <c r="L18" s="276" t="n">
        <f aca="false" t="array" ref="L18:L18">-SUMPRODUCT((YEAR(Deposits!$K$7:$K$18)=L$5)*(Deposits!$R$7:$R$18&lt;&gt;"Connection fee")*Deposits!$P$7:$P$18*Deposits!$M$7:$M$18)*$E$15</f>
        <v>-0</v>
      </c>
      <c r="M18" s="276" t="n">
        <f aca="false" t="array" ref="M18:M18">-SUMPRODUCT((YEAR(Deposits!$K$7:$K$18)=M$5)*(Deposits!$R$7:$R$18&lt;&gt;"Connection fee")*Deposits!$P$7:$P$18*Deposits!$M$7:$M$18)*$E$15</f>
        <v>-0</v>
      </c>
      <c r="N18" s="276" t="n">
        <f aca="false" t="array" ref="N18:N18">-SUMPRODUCT((YEAR(Deposits!$K$7:$K$18)=N$5)*(Deposits!$R$7:$R$18&lt;&gt;"Connection fee")*Deposits!$P$7:$P$18*Deposits!$M$7:$M$18)*$E$15</f>
        <v>-0</v>
      </c>
      <c r="O18" s="276" t="n">
        <f aca="false" t="array" ref="O18:O18">-SUMPRODUCT((YEAR(Deposits!$K$7:$K$18)=O$5)*(Deposits!$R$7:$R$18&lt;&gt;"Connection fee")*Deposits!$P$7:$P$18*Deposits!$M$7:$M$18)*$E$15</f>
        <v>-0</v>
      </c>
      <c r="P18" s="276" t="n">
        <f aca="false" t="array" ref="P18:P18">-SUMPRODUCT((YEAR(Deposits!$K$7:$K$18)=P$5)*(Deposits!$R$7:$R$18&lt;&gt;"Connection fee")*Deposits!$P$7:$P$18*Deposits!$M$7:$M$18)*$E$15</f>
        <v>-0</v>
      </c>
      <c r="Q18" s="276" t="n">
        <f aca="false" t="array" ref="Q18:Q18">-SUMPRODUCT((YEAR(Deposits!$K$7:$K$18)=Q$5)*(Deposits!$R$7:$R$18&lt;&gt;"Connection fee")*Deposits!$P$7:$P$18*Deposits!$M$7:$M$18)*$E$15</f>
        <v>-0</v>
      </c>
      <c r="R18" s="276" t="n">
        <f aca="false" t="array" ref="R18:R18">-SUMPRODUCT((YEAR(Deposits!$K$7:$K$18)=R$5)*(Deposits!$R$7:$R$18&lt;&gt;"Connection fee")*Deposits!$P$7:$P$18*Deposits!$M$7:$M$18)*$E$15</f>
        <v>-0</v>
      </c>
      <c r="S18" s="276" t="n">
        <f aca="false" t="array" ref="S18:S18">-SUMPRODUCT((YEAR(Deposits!$K$7:$K$18)=S$5)*(Deposits!$R$7:$R$18&lt;&gt;"Connection fee")*Deposits!$P$7:$P$18*Deposits!$M$7:$M$18)*$E$15</f>
        <v>-0</v>
      </c>
      <c r="T18" s="276" t="n">
        <f aca="false" t="array" ref="T18:T18">-SUMPRODUCT((YEAR(Deposits!$K$7:$K$18)=T$5)*(Deposits!$R$7:$R$18&lt;&gt;"Connection fee")*Deposits!$P$7:$P$18*Deposits!$M$7:$M$18)*$E$15</f>
        <v>-0</v>
      </c>
      <c r="U18" s="276" t="n">
        <f aca="false" t="array" ref="U18:U18">-SUMPRODUCT((YEAR(Deposits!$K$7:$K$18)=U$5)*(Deposits!$R$7:$R$18&lt;&gt;"Connection fee")*Deposits!$P$7:$P$18*Deposits!$M$7:$M$18)*$E$15</f>
        <v>-0</v>
      </c>
      <c r="V18" s="276" t="n">
        <f aca="false" t="array" ref="V18:V18">-SUMPRODUCT((YEAR(Deposits!$K$7:$K$18)=V$5)*(Deposits!$R$7:$R$18&lt;&gt;"Connection fee")*Deposits!$P$7:$P$18*Deposits!$M$7:$M$18)*$E$15</f>
        <v>-0</v>
      </c>
      <c r="W18" s="276" t="n">
        <f aca="false" t="array" ref="W18:W18">-SUMPRODUCT((YEAR(Deposits!$K$7:$K$18)=W$5)*(Deposits!$R$7:$R$18&lt;&gt;"Connection fee")*Deposits!$P$7:$P$18*Deposits!$M$7:$M$18)*$E$15</f>
        <v>-0</v>
      </c>
      <c r="X18" s="276" t="n">
        <f aca="false" t="array" ref="X18:X18">-SUMPRODUCT((YEAR(Deposits!$K$7:$K$18)=X$5)*(Deposits!$R$7:$R$18&lt;&gt;"Connection fee")*Deposits!$P$7:$P$18*Deposits!$M$7:$M$18)*$E$15</f>
        <v>-0</v>
      </c>
      <c r="Y18" s="276" t="n">
        <f aca="false" t="array" ref="Y18:Y18">-SUMPRODUCT((YEAR(Deposits!$K$7:$K$18)=Y$5)*(Deposits!$R$7:$R$18&lt;&gt;"Connection fee")*Deposits!$P$7:$P$18*Deposits!$M$7:$M$18)*$E$15</f>
        <v>-0</v>
      </c>
      <c r="Z18" s="276" t="n">
        <f aca="false" t="array" ref="Z18:Z18">-SUMPRODUCT((YEAR(Deposits!$K$7:$K$18)=Z$5)*(Deposits!$R$7:$R$18&lt;&gt;"Connection fee")*Deposits!$P$7:$P$18*Deposits!$M$7:$M$18)*$E$15</f>
        <v>-0</v>
      </c>
      <c r="AA18" s="276" t="n">
        <f aca="false" t="array" ref="AA18:AA18">-SUMPRODUCT((YEAR(Deposits!$K$7:$K$18)=AA$5)*(Deposits!$R$7:$R$18&lt;&gt;"Connection fee")*Deposits!$P$7:$P$18*Deposits!$M$7:$M$18)*$E$15</f>
        <v>-0</v>
      </c>
      <c r="AB18" s="276" t="n">
        <f aca="false" t="array" ref="AB18:AB18">-SUMPRODUCT((YEAR(Deposits!$K$7:$K$18)=AB$5)*(Deposits!$R$7:$R$18&lt;&gt;"Connection fee")*Deposits!$P$7:$P$18*Deposits!$M$7:$M$18)*$E$15</f>
        <v>-0</v>
      </c>
      <c r="AC18" s="276" t="n">
        <f aca="false" t="array" ref="AC18:AC18">-SUMPRODUCT((YEAR(Deposits!$K$7:$K$18)=AC$5)*(Deposits!$R$7:$R$18&lt;&gt;"Connection fee")*Deposits!$P$7:$P$18*Deposits!$M$7:$M$18)*$E$15</f>
        <v>-0</v>
      </c>
      <c r="AD18" s="276" t="n">
        <f aca="false" t="array" ref="AD18:AD18">-SUMPRODUCT((YEAR(Deposits!$K$7:$K$18)=AD$5)*(Deposits!$R$7:$R$18&lt;&gt;"Connection fee")*Deposits!$P$7:$P$18*Deposits!$M$7:$M$18)*$E$15</f>
        <v>-0</v>
      </c>
      <c r="AE18" s="276" t="n">
        <f aca="false" t="array" ref="AE18:AE18">-SUMPRODUCT((YEAR(Deposits!$K$7:$K$18)=AE$5)*(Deposits!$R$7:$R$18&lt;&gt;"Connection fee")*Deposits!$P$7:$P$18*Deposits!$M$7:$M$18)*$E$15</f>
        <v>-0</v>
      </c>
      <c r="AF18" s="276" t="n">
        <f aca="false" t="array" ref="AF18:AF18">-SUMPRODUCT((YEAR(Deposits!$K$7:$K$18)=AF$5)*(Deposits!$R$7:$R$18&lt;&gt;"Connection fee")*Deposits!$P$7:$P$18*Deposits!$M$7:$M$18)*$E$15</f>
        <v>-0</v>
      </c>
      <c r="AG18" s="276" t="n">
        <f aca="false" t="array" ref="AG18:AG18">-SUMPRODUCT((YEAR(Deposits!$K$7:$K$18)=AG$5)*(Deposits!$R$7:$R$18&lt;&gt;"Connection fee")*Deposits!$P$7:$P$18*Deposits!$M$7:$M$18)*$E$15</f>
        <v>-0</v>
      </c>
      <c r="AH18" s="276" t="n">
        <f aca="false" t="array" ref="AH18:AH18">-SUMPRODUCT((YEAR(Deposits!$K$7:$K$18)=AH$5)*(Deposits!$R$7:$R$18&lt;&gt;"Connection fee")*Deposits!$P$7:$P$18*Deposits!$M$7:$M$18)*$E$15</f>
        <v>-0</v>
      </c>
      <c r="AI18" s="276" t="n">
        <f aca="false" t="array" ref="AI18:AI18">-SUMPRODUCT((YEAR(Deposits!$K$7:$K$18)=AI$5)*(Deposits!$R$7:$R$18&lt;&gt;"Connection fee")*Deposits!$P$7:$P$18*Deposits!$M$7:$M$18)*$E$15</f>
        <v>-0</v>
      </c>
      <c r="AJ18" s="276" t="n">
        <f aca="false" t="array" ref="AJ18:AJ18">-SUMPRODUCT((YEAR(Deposits!$K$7:$K$18)=AJ$5)*(Deposits!$R$7:$R$18&lt;&gt;"Connection fee")*Deposits!$P$7:$P$18*Deposits!$M$7:$M$18)*$E$15</f>
        <v>-0</v>
      </c>
      <c r="AK18" s="276" t="n">
        <f aca="false" t="array" ref="AK18:AK18">-SUMPRODUCT((YEAR(Deposits!$K$7:$K$18)=AK$5)*(Deposits!$R$7:$R$18&lt;&gt;"Connection fee")*Deposits!$P$7:$P$18*Deposits!$M$7:$M$18)*$E$15</f>
        <v>-0</v>
      </c>
      <c r="AL18" s="276" t="n">
        <f aca="false" t="array" ref="AL18:AL18">-SUMPRODUCT((YEAR(Deposits!$K$7:$K$18)=AL$5)*(Deposits!$R$7:$R$18&lt;&gt;"Connection fee")*Deposits!$P$7:$P$18*Deposits!$M$7:$M$18)*$E$15</f>
        <v>-0</v>
      </c>
      <c r="AM18" s="276" t="n">
        <f aca="false" t="array" ref="AM18:AM18">-SUMPRODUCT((YEAR(Deposits!$K$7:$K$18)=AM$5)*(Deposits!$R$7:$R$18&lt;&gt;"Connection fee")*Deposits!$P$7:$P$18*Deposits!$M$7:$M$18)*$E$15</f>
        <v>-0</v>
      </c>
      <c r="AN18" s="276" t="n">
        <f aca="false" t="array" ref="AN18:AN18">-SUMPRODUCT((YEAR(Deposits!$K$7:$K$18)=AN$5)*(Deposits!$R$7:$R$18&lt;&gt;"Connection fee")*Deposits!$P$7:$P$18*Deposits!$M$7:$M$18)*$E$15</f>
        <v>-0</v>
      </c>
      <c r="AO18" s="276" t="n">
        <f aca="false" t="array" ref="AO18:AO18">-SUMPRODUCT((YEAR(Deposits!$K$7:$K$18)=AO$5)*(Deposits!$R$7:$R$18&lt;&gt;"Connection fee")*Deposits!$P$7:$P$18*Deposits!$M$7:$M$18)*$E$15</f>
        <v>-0</v>
      </c>
      <c r="AP18" s="276" t="n">
        <f aca="false" t="array" ref="AP18:AP18">-SUMPRODUCT((YEAR(Deposits!$K$7:$K$18)=AP$5)*(Deposits!$R$7:$R$18&lt;&gt;"Connection fee")*Deposits!$P$7:$P$18*Deposits!$M$7:$M$18)*$E$15</f>
        <v>-0</v>
      </c>
      <c r="AQ18" s="276" t="n">
        <f aca="false" t="array" ref="AQ18:AQ18">-SUMPRODUCT((YEAR(Deposits!$K$7:$K$18)=AQ$5)*(Deposits!$R$7:$R$18&lt;&gt;"Connection fee")*Deposits!$P$7:$P$18*Deposits!$M$7:$M$18)*$E$15</f>
        <v>-0</v>
      </c>
    </row>
    <row r="19" customFormat="false" ht="15" hidden="false" customHeight="false" outlineLevel="0" collapsed="false">
      <c r="C19" s="0" t="s">
        <v>1209</v>
      </c>
      <c r="D19" s="0" t="s">
        <v>125</v>
      </c>
      <c r="E19" s="146"/>
      <c r="F19" s="146"/>
      <c r="G19" s="146" t="n">
        <f aca="false">SUM(H19:AQ19)</f>
        <v>0</v>
      </c>
      <c r="H19" s="276" t="n">
        <f aca="false" t="array" ref="H19:H19">IF(H5=YEAR(Inputs!$E$155),SUMPRODUCT(((Deposits!$R$7:$R$18="Security")+(Deposits!$R$7:$R$18="Refund"))*Deposits!$P$7:$P$18*Deposits!$M$7:$M$18)-Deposits!$P$11*Deposits!$M$11,0)*$E$15</f>
        <v>0</v>
      </c>
      <c r="I19" s="276" t="n">
        <f aca="false" t="array" ref="I19:I19">IF(I5=YEAR(Inputs!$E$155),SUMPRODUCT(((Deposits!$R$7:$R$18="Security")+(Deposits!$R$7:$R$18="Refund"))*Deposits!$P$7:$P$18*Deposits!$M$7:$M$18)-Deposits!$P$11*Deposits!$M$11,0)*$E$15</f>
        <v>0</v>
      </c>
      <c r="J19" s="276" t="n">
        <f aca="false" t="array" ref="J19:J19">IF(J5=YEAR(Inputs!$E$155),SUMPRODUCT(((Deposits!$R$7:$R$18="Security")+(Deposits!$R$7:$R$18="Refund"))*Deposits!$P$7:$P$18*Deposits!$M$7:$M$18)-Deposits!$P$11*Deposits!$M$11,0)*$E$15</f>
        <v>0</v>
      </c>
      <c r="K19" s="276" t="n">
        <f aca="false" t="array" ref="K19:K19">IF(K5=YEAR(Inputs!$E$155),SUMPRODUCT(((Deposits!$R$7:$R$18="Security")+(Deposits!$R$7:$R$18="Refund"))*Deposits!$P$7:$P$18*Deposits!$M$7:$M$18)-Deposits!$P$11*Deposits!$M$11,0)*$E$15</f>
        <v>0</v>
      </c>
      <c r="L19" s="276" t="n">
        <f aca="false" t="array" ref="L19:L19">IF(L5=YEAR(Inputs!$E$155),SUMPRODUCT(((Deposits!$R$7:$R$18="Security")+(Deposits!$R$7:$R$18="Refund"))*Deposits!$P$7:$P$18*Deposits!$M$7:$M$18)-Deposits!$P$11*Deposits!$M$11,0)*$E$15</f>
        <v>0</v>
      </c>
      <c r="M19" s="276" t="n">
        <f aca="false" t="array" ref="M19:M19">IF(M5=YEAR(Inputs!$E$155),SUMPRODUCT(((Deposits!$R$7:$R$18="Security")+(Deposits!$R$7:$R$18="Refund"))*Deposits!$P$7:$P$18*Deposits!$M$7:$M$18)-Deposits!$P$11*Deposits!$M$11,0)*$E$15</f>
        <v>0</v>
      </c>
      <c r="N19" s="276" t="n">
        <f aca="false" t="array" ref="N19:N19">IF(N5=YEAR(Inputs!$E$155),SUMPRODUCT(((Deposits!$R$7:$R$18="Security")+(Deposits!$R$7:$R$18="Refund"))*Deposits!$P$7:$P$18*Deposits!$M$7:$M$18)-Deposits!$P$11*Deposits!$M$11,0)*$E$15</f>
        <v>0</v>
      </c>
      <c r="O19" s="276" t="n">
        <f aca="false" t="array" ref="O19:O19">IF(O5=YEAR(Inputs!$E$155),SUMPRODUCT(((Deposits!$R$7:$R$18="Security")+(Deposits!$R$7:$R$18="Refund"))*Deposits!$P$7:$P$18*Deposits!$M$7:$M$18)-Deposits!$P$11*Deposits!$M$11,0)*$E$15</f>
        <v>0</v>
      </c>
      <c r="P19" s="276" t="n">
        <f aca="false" t="array" ref="P19:P19">IF(P5=YEAR(Inputs!$E$155),SUMPRODUCT(((Deposits!$R$7:$R$18="Security")+(Deposits!$R$7:$R$18="Refund"))*Deposits!$P$7:$P$18*Deposits!$M$7:$M$18)-Deposits!$P$11*Deposits!$M$11,0)*$E$15</f>
        <v>0</v>
      </c>
      <c r="Q19" s="276" t="n">
        <f aca="false" t="array" ref="Q19:Q19">IF(Q5=YEAR(Inputs!$E$155),SUMPRODUCT(((Deposits!$R$7:$R$18="Security")+(Deposits!$R$7:$R$18="Refund"))*Deposits!$P$7:$P$18*Deposits!$M$7:$M$18)-Deposits!$P$11*Deposits!$M$11,0)*$E$15</f>
        <v>0</v>
      </c>
      <c r="R19" s="276" t="n">
        <f aca="false" t="array" ref="R19:R19">IF(R5=YEAR(Inputs!$E$155),SUMPRODUCT(((Deposits!$R$7:$R$18="Security")+(Deposits!$R$7:$R$18="Refund"))*Deposits!$P$7:$P$18*Deposits!$M$7:$M$18)-Deposits!$P$11*Deposits!$M$11,0)*$E$15</f>
        <v>0</v>
      </c>
      <c r="S19" s="276" t="n">
        <f aca="false" t="array" ref="S19:S19">IF(S5=YEAR(Inputs!$E$155),SUMPRODUCT(((Deposits!$R$7:$R$18="Security")+(Deposits!$R$7:$R$18="Refund"))*Deposits!$P$7:$P$18*Deposits!$M$7:$M$18)-Deposits!$P$11*Deposits!$M$11,0)*$E$15</f>
        <v>0</v>
      </c>
      <c r="T19" s="276" t="n">
        <f aca="false" t="array" ref="T19:T19">IF(T5=YEAR(Inputs!$E$155),SUMPRODUCT(((Deposits!$R$7:$R$18="Security")+(Deposits!$R$7:$R$18="Refund"))*Deposits!$P$7:$P$18*Deposits!$M$7:$M$18)-Deposits!$P$11*Deposits!$M$11,0)*$E$15</f>
        <v>0</v>
      </c>
      <c r="U19" s="276" t="n">
        <f aca="false" t="array" ref="U19:U19">IF(U5=YEAR(Inputs!$E$155),SUMPRODUCT(((Deposits!$R$7:$R$18="Security")+(Deposits!$R$7:$R$18="Refund"))*Deposits!$P$7:$P$18*Deposits!$M$7:$M$18)-Deposits!$P$11*Deposits!$M$11,0)*$E$15</f>
        <v>0</v>
      </c>
      <c r="V19" s="276" t="n">
        <f aca="false" t="array" ref="V19:V19">IF(V5=YEAR(Inputs!$E$155),SUMPRODUCT(((Deposits!$R$7:$R$18="Security")+(Deposits!$R$7:$R$18="Refund"))*Deposits!$P$7:$P$18*Deposits!$M$7:$M$18)-Deposits!$P$11*Deposits!$M$11,0)*$E$15</f>
        <v>0</v>
      </c>
      <c r="W19" s="276" t="n">
        <f aca="false" t="array" ref="W19:W19">IF(W5=YEAR(Inputs!$E$155),SUMPRODUCT(((Deposits!$R$7:$R$18="Security")+(Deposits!$R$7:$R$18="Refund"))*Deposits!$P$7:$P$18*Deposits!$M$7:$M$18)-Deposits!$P$11*Deposits!$M$11,0)*$E$15</f>
        <v>0</v>
      </c>
      <c r="X19" s="276" t="n">
        <f aca="false" t="array" ref="X19:X19">IF(X5=YEAR(Inputs!$E$155),SUMPRODUCT(((Deposits!$R$7:$R$18="Security")+(Deposits!$R$7:$R$18="Refund"))*Deposits!$P$7:$P$18*Deposits!$M$7:$M$18)-Deposits!$P$11*Deposits!$M$11,0)*$E$15</f>
        <v>0</v>
      </c>
      <c r="Y19" s="276" t="n">
        <f aca="false" t="array" ref="Y19:Y19">IF(Y5=YEAR(Inputs!$E$155),SUMPRODUCT(((Deposits!$R$7:$R$18="Security")+(Deposits!$R$7:$R$18="Refund"))*Deposits!$P$7:$P$18*Deposits!$M$7:$M$18)-Deposits!$P$11*Deposits!$M$11,0)*$E$15</f>
        <v>0</v>
      </c>
      <c r="Z19" s="276" t="n">
        <f aca="false" t="array" ref="Z19:Z19">IF(Z5=YEAR(Inputs!$E$155),SUMPRODUCT(((Deposits!$R$7:$R$18="Security")+(Deposits!$R$7:$R$18="Refund"))*Deposits!$P$7:$P$18*Deposits!$M$7:$M$18)-Deposits!$P$11*Deposits!$M$11,0)*$E$15</f>
        <v>0</v>
      </c>
      <c r="AA19" s="276" t="n">
        <f aca="false" t="array" ref="AA19:AA19">IF(AA5=YEAR(Inputs!$E$155),SUMPRODUCT(((Deposits!$R$7:$R$18="Security")+(Deposits!$R$7:$R$18="Refund"))*Deposits!$P$7:$P$18*Deposits!$M$7:$M$18)-Deposits!$P$11*Deposits!$M$11,0)*$E$15</f>
        <v>0</v>
      </c>
      <c r="AB19" s="276" t="n">
        <f aca="false" t="array" ref="AB19:AB19">IF(AB5=YEAR(Inputs!$E$155),SUMPRODUCT(((Deposits!$R$7:$R$18="Security")+(Deposits!$R$7:$R$18="Refund"))*Deposits!$P$7:$P$18*Deposits!$M$7:$M$18)-Deposits!$P$11*Deposits!$M$11,0)*$E$15</f>
        <v>0</v>
      </c>
      <c r="AC19" s="276" t="n">
        <f aca="false" t="array" ref="AC19:AC19">IF(AC5=YEAR(Inputs!$E$155),SUMPRODUCT(((Deposits!$R$7:$R$18="Security")+(Deposits!$R$7:$R$18="Refund"))*Deposits!$P$7:$P$18*Deposits!$M$7:$M$18)-Deposits!$P$11*Deposits!$M$11,0)*$E$15</f>
        <v>0</v>
      </c>
      <c r="AD19" s="276" t="n">
        <f aca="false" t="array" ref="AD19:AD19">IF(AD5=YEAR(Inputs!$E$155),SUMPRODUCT(((Deposits!$R$7:$R$18="Security")+(Deposits!$R$7:$R$18="Refund"))*Deposits!$P$7:$P$18*Deposits!$M$7:$M$18)-Deposits!$P$11*Deposits!$M$11,0)*$E$15</f>
        <v>0</v>
      </c>
      <c r="AE19" s="276" t="n">
        <f aca="false" t="array" ref="AE19:AE19">IF(AE5=YEAR(Inputs!$E$155),SUMPRODUCT(((Deposits!$R$7:$R$18="Security")+(Deposits!$R$7:$R$18="Refund"))*Deposits!$P$7:$P$18*Deposits!$M$7:$M$18)-Deposits!$P$11*Deposits!$M$11,0)*$E$15</f>
        <v>0</v>
      </c>
      <c r="AF19" s="276" t="n">
        <f aca="false" t="array" ref="AF19:AF19">IF(AF5=YEAR(Inputs!$E$155),SUMPRODUCT(((Deposits!$R$7:$R$18="Security")+(Deposits!$R$7:$R$18="Refund"))*Deposits!$P$7:$P$18*Deposits!$M$7:$M$18)-Deposits!$P$11*Deposits!$M$11,0)*$E$15</f>
        <v>0</v>
      </c>
      <c r="AG19" s="276" t="n">
        <f aca="false" t="array" ref="AG19:AG19">IF(AG5=YEAR(Inputs!$E$155),SUMPRODUCT(((Deposits!$R$7:$R$18="Security")+(Deposits!$R$7:$R$18="Refund"))*Deposits!$P$7:$P$18*Deposits!$M$7:$M$18)-Deposits!$P$11*Deposits!$M$11,0)*$E$15</f>
        <v>0</v>
      </c>
      <c r="AH19" s="276" t="n">
        <f aca="false" t="array" ref="AH19:AH19">IF(AH5=YEAR(Inputs!$E$155),SUMPRODUCT(((Deposits!$R$7:$R$18="Security")+(Deposits!$R$7:$R$18="Refund"))*Deposits!$P$7:$P$18*Deposits!$M$7:$M$18)-Deposits!$P$11*Deposits!$M$11,0)*$E$15</f>
        <v>0</v>
      </c>
      <c r="AI19" s="276" t="n">
        <f aca="false" t="array" ref="AI19:AI19">IF(AI5=YEAR(Inputs!$E$155),SUMPRODUCT(((Deposits!$R$7:$R$18="Security")+(Deposits!$R$7:$R$18="Refund"))*Deposits!$P$7:$P$18*Deposits!$M$7:$M$18)-Deposits!$P$11*Deposits!$M$11,0)*$E$15</f>
        <v>0</v>
      </c>
      <c r="AJ19" s="276" t="n">
        <f aca="false" t="array" ref="AJ19:AJ19">IF(AJ5=YEAR(Inputs!$E$155),SUMPRODUCT(((Deposits!$R$7:$R$18="Security")+(Deposits!$R$7:$R$18="Refund"))*Deposits!$P$7:$P$18*Deposits!$M$7:$M$18)-Deposits!$P$11*Deposits!$M$11,0)*$E$15</f>
        <v>0</v>
      </c>
      <c r="AK19" s="276" t="n">
        <f aca="false" t="array" ref="AK19:AK19">IF(AK5=YEAR(Inputs!$E$155),SUMPRODUCT(((Deposits!$R$7:$R$18="Security")+(Deposits!$R$7:$R$18="Refund"))*Deposits!$P$7:$P$18*Deposits!$M$7:$M$18)-Deposits!$P$11*Deposits!$M$11,0)*$E$15</f>
        <v>0</v>
      </c>
      <c r="AL19" s="276" t="n">
        <f aca="false" t="array" ref="AL19:AL19">IF(AL5=YEAR(Inputs!$E$155),SUMPRODUCT(((Deposits!$R$7:$R$18="Security")+(Deposits!$R$7:$R$18="Refund"))*Deposits!$P$7:$P$18*Deposits!$M$7:$M$18)-Deposits!$P$11*Deposits!$M$11,0)*$E$15</f>
        <v>0</v>
      </c>
      <c r="AM19" s="276" t="n">
        <f aca="false" t="array" ref="AM19:AM19">IF(AM5=YEAR(Inputs!$E$155),SUMPRODUCT(((Deposits!$R$7:$R$18="Security")+(Deposits!$R$7:$R$18="Refund"))*Deposits!$P$7:$P$18*Deposits!$M$7:$M$18)-Deposits!$P$11*Deposits!$M$11,0)*$E$15</f>
        <v>0</v>
      </c>
      <c r="AN19" s="276" t="n">
        <f aca="false" t="array" ref="AN19:AN19">IF(AN5=YEAR(Inputs!$E$155),SUMPRODUCT(((Deposits!$R$7:$R$18="Security")+(Deposits!$R$7:$R$18="Refund"))*Deposits!$P$7:$P$18*Deposits!$M$7:$M$18)-Deposits!$P$11*Deposits!$M$11,0)*$E$15</f>
        <v>0</v>
      </c>
      <c r="AO19" s="276" t="n">
        <f aca="false" t="array" ref="AO19:AO19">IF(AO5=YEAR(Inputs!$E$155),SUMPRODUCT(((Deposits!$R$7:$R$18="Security")+(Deposits!$R$7:$R$18="Refund"))*Deposits!$P$7:$P$18*Deposits!$M$7:$M$18)-Deposits!$P$11*Deposits!$M$11,0)*$E$15</f>
        <v>0</v>
      </c>
      <c r="AP19" s="276" t="n">
        <f aca="false" t="array" ref="AP19:AP19">IF(AP5=YEAR(Inputs!$E$155),SUMPRODUCT(((Deposits!$R$7:$R$18="Security")+(Deposits!$R$7:$R$18="Refund"))*Deposits!$P$7:$P$18*Deposits!$M$7:$M$18)-Deposits!$P$11*Deposits!$M$11,0)*$E$15</f>
        <v>0</v>
      </c>
      <c r="AQ19" s="276" t="n">
        <f aca="false" t="array" ref="AQ19:AQ19">IF(AQ5=YEAR(Inputs!$E$155),SUMPRODUCT(((Deposits!$R$7:$R$18="Security")+(Deposits!$R$7:$R$18="Refund"))*Deposits!$P$7:$P$18*Deposits!$M$7:$M$18)-Deposits!$P$11*Deposits!$M$11,0)*$E$15</f>
        <v>0</v>
      </c>
    </row>
    <row r="20" customFormat="false" ht="15" hidden="false" customHeight="false" outlineLevel="0" collapsed="false">
      <c r="C20" s="0" t="s">
        <v>1210</v>
      </c>
      <c r="D20" s="0" t="s">
        <v>125</v>
      </c>
      <c r="E20" s="153" t="n">
        <f aca="false">Inputs!$E$229</f>
        <v>0</v>
      </c>
      <c r="F20" s="146"/>
      <c r="G20" s="146" t="n">
        <f aca="false">SUM(H20:AQ20)</f>
        <v>0</v>
      </c>
      <c r="H20" s="276" t="n">
        <f aca="false">-IF(H5=YEAR(Inputs!$E$155),MOIC!$G$25*$E$20,0)</f>
        <v>-0</v>
      </c>
      <c r="I20" s="276" t="n">
        <f aca="false">-IF(I5=YEAR(Inputs!$E$155),MOIC!$G$25*$E$20,0)</f>
        <v>-0</v>
      </c>
      <c r="J20" s="276" t="n">
        <f aca="false">-IF(J5=YEAR(Inputs!$E$155),MOIC!$G$25*$E$20,0)</f>
        <v>-0</v>
      </c>
      <c r="K20" s="276" t="n">
        <f aca="false">-IF(K5=YEAR(Inputs!$E$155),MOIC!$G$25*$E$20,0)</f>
        <v>-0</v>
      </c>
      <c r="L20" s="276" t="n">
        <f aca="false">-IF(L5=YEAR(Inputs!$E$155),MOIC!$G$25*$E$20,0)</f>
        <v>-0</v>
      </c>
      <c r="M20" s="276" t="n">
        <f aca="false">-IF(M5=YEAR(Inputs!$E$155),MOIC!$G$25*$E$20,0)</f>
        <v>-0</v>
      </c>
      <c r="N20" s="276" t="n">
        <f aca="false">-IF(N5=YEAR(Inputs!$E$155),MOIC!$G$25*$E$20,0)</f>
        <v>-0</v>
      </c>
      <c r="O20" s="276" t="n">
        <f aca="false">-IF(O5=YEAR(Inputs!$E$155),MOIC!$G$25*$E$20,0)</f>
        <v>-0</v>
      </c>
      <c r="P20" s="276" t="n">
        <f aca="false">-IF(P5=YEAR(Inputs!$E$155),MOIC!$G$25*$E$20,0)</f>
        <v>-0</v>
      </c>
      <c r="Q20" s="276" t="n">
        <f aca="false">-IF(Q5=YEAR(Inputs!$E$155),MOIC!$G$25*$E$20,0)</f>
        <v>-0</v>
      </c>
      <c r="R20" s="276" t="n">
        <f aca="false">-IF(R5=YEAR(Inputs!$E$155),MOIC!$G$25*$E$20,0)</f>
        <v>-0</v>
      </c>
      <c r="S20" s="276" t="n">
        <f aca="false">-IF(S5=YEAR(Inputs!$E$155),MOIC!$G$25*$E$20,0)</f>
        <v>-0</v>
      </c>
      <c r="T20" s="276" t="n">
        <f aca="false">-IF(T5=YEAR(Inputs!$E$155),MOIC!$G$25*$E$20,0)</f>
        <v>-0</v>
      </c>
      <c r="U20" s="276" t="n">
        <f aca="false">-IF(U5=YEAR(Inputs!$E$155),MOIC!$G$25*$E$20,0)</f>
        <v>-0</v>
      </c>
      <c r="V20" s="276" t="n">
        <f aca="false">-IF(V5=YEAR(Inputs!$E$155),MOIC!$G$25*$E$20,0)</f>
        <v>-0</v>
      </c>
      <c r="W20" s="276" t="n">
        <f aca="false">-IF(W5=YEAR(Inputs!$E$155),MOIC!$G$25*$E$20,0)</f>
        <v>-0</v>
      </c>
      <c r="X20" s="276" t="n">
        <f aca="false">-IF(X5=YEAR(Inputs!$E$155),MOIC!$G$25*$E$20,0)</f>
        <v>-0</v>
      </c>
      <c r="Y20" s="276" t="n">
        <f aca="false">-IF(Y5=YEAR(Inputs!$E$155),MOIC!$G$25*$E$20,0)</f>
        <v>-0</v>
      </c>
      <c r="Z20" s="276" t="n">
        <f aca="false">-IF(Z5=YEAR(Inputs!$E$155),MOIC!$G$25*$E$20,0)</f>
        <v>-0</v>
      </c>
      <c r="AA20" s="276" t="n">
        <f aca="false">-IF(AA5=YEAR(Inputs!$E$155),MOIC!$G$25*$E$20,0)</f>
        <v>-0</v>
      </c>
      <c r="AB20" s="276" t="n">
        <f aca="false">-IF(AB5=YEAR(Inputs!$E$155),MOIC!$G$25*$E$20,0)</f>
        <v>-0</v>
      </c>
      <c r="AC20" s="276" t="n">
        <f aca="false">-IF(AC5=YEAR(Inputs!$E$155),MOIC!$G$25*$E$20,0)</f>
        <v>-0</v>
      </c>
      <c r="AD20" s="276" t="n">
        <f aca="false">-IF(AD5=YEAR(Inputs!$E$155),MOIC!$G$25*$E$20,0)</f>
        <v>-0</v>
      </c>
      <c r="AE20" s="276" t="n">
        <f aca="false">-IF(AE5=YEAR(Inputs!$E$155),MOIC!$G$25*$E$20,0)</f>
        <v>-0</v>
      </c>
      <c r="AF20" s="276" t="n">
        <f aca="false">-IF(AF5=YEAR(Inputs!$E$155),MOIC!$G$25*$E$20,0)</f>
        <v>-0</v>
      </c>
      <c r="AG20" s="276" t="n">
        <f aca="false">-IF(AG5=YEAR(Inputs!$E$155),MOIC!$G$25*$E$20,0)</f>
        <v>-0</v>
      </c>
      <c r="AH20" s="276" t="n">
        <f aca="false">-IF(AH5=YEAR(Inputs!$E$155),MOIC!$G$25*$E$20,0)</f>
        <v>-0</v>
      </c>
      <c r="AI20" s="276" t="n">
        <f aca="false">-IF(AI5=YEAR(Inputs!$E$155),MOIC!$G$25*$E$20,0)</f>
        <v>-0</v>
      </c>
      <c r="AJ20" s="276" t="n">
        <f aca="false">-IF(AJ5=YEAR(Inputs!$E$155),MOIC!$G$25*$E$20,0)</f>
        <v>-0</v>
      </c>
      <c r="AK20" s="276" t="n">
        <f aca="false">-IF(AK5=YEAR(Inputs!$E$155),MOIC!$G$25*$E$20,0)</f>
        <v>-0</v>
      </c>
      <c r="AL20" s="276" t="n">
        <f aca="false">-IF(AL5=YEAR(Inputs!$E$155),MOIC!$G$25*$E$20,0)</f>
        <v>-0</v>
      </c>
      <c r="AM20" s="276" t="n">
        <f aca="false">-IF(AM5=YEAR(Inputs!$E$155),MOIC!$G$25*$E$20,0)</f>
        <v>-0</v>
      </c>
      <c r="AN20" s="276" t="n">
        <f aca="false">-IF(AN5=YEAR(Inputs!$E$155),MOIC!$G$25*$E$20,0)</f>
        <v>-0</v>
      </c>
      <c r="AO20" s="276" t="n">
        <f aca="false">-IF(AO5=YEAR(Inputs!$E$155),MOIC!$G$25*$E$20,0)</f>
        <v>-0</v>
      </c>
      <c r="AP20" s="276" t="n">
        <f aca="false">-IF(AP5=YEAR(Inputs!$E$155),MOIC!$G$25*$E$20,0)</f>
        <v>-0</v>
      </c>
      <c r="AQ20" s="276" t="n">
        <f aca="false">-IF(AQ5=YEAR(Inputs!$E$155),MOIC!$G$25*$E$20,0)</f>
        <v>-0</v>
      </c>
    </row>
    <row r="21" customFormat="false" ht="15" hidden="false" customHeight="false" outlineLevel="0" collapsed="false">
      <c r="C21" s="0" t="s">
        <v>1211</v>
      </c>
      <c r="D21" s="0" t="s">
        <v>125</v>
      </c>
      <c r="E21" s="153" t="n">
        <f aca="false">In_Exit_Profit_Charge*Inputs!$E$230</f>
        <v>0</v>
      </c>
      <c r="F21" s="146" t="s">
        <v>1212</v>
      </c>
      <c r="G21" s="146" t="n">
        <f aca="false">SUM(H21:AQ21)</f>
        <v>0</v>
      </c>
      <c r="H21" s="276" t="n">
        <f aca="false">-IF(H$5=YEAR(Inputs!$E$58),$E$21*MOIC!$G$182,0)</f>
        <v>-0</v>
      </c>
      <c r="I21" s="276" t="n">
        <f aca="false">-IF(I$5=YEAR(Inputs!$E$58),$E$21*MOIC!$G$182,0)</f>
        <v>-0</v>
      </c>
      <c r="J21" s="276" t="n">
        <f aca="false">-IF(J$5=YEAR(Inputs!$E$58),$E$21*MOIC!$G$182,0)</f>
        <v>-0</v>
      </c>
      <c r="K21" s="276" t="n">
        <f aca="false">-IF(K$5=YEAR(Inputs!$E$58),$E$21*MOIC!$G$182,0)</f>
        <v>-0</v>
      </c>
      <c r="L21" s="276" t="n">
        <f aca="false">-IF(L$5=YEAR(Inputs!$E$58),$E$21*MOIC!$G$182,0)</f>
        <v>-0</v>
      </c>
      <c r="M21" s="276" t="n">
        <f aca="false">-IF(M$5=YEAR(Inputs!$E$58),$E$21*MOIC!$G$182,0)</f>
        <v>-0</v>
      </c>
      <c r="N21" s="276" t="n">
        <f aca="false">-IF(N$5=YEAR(Inputs!$E$58),$E$21*MOIC!$G$182,0)</f>
        <v>-0</v>
      </c>
      <c r="O21" s="276" t="n">
        <f aca="false">-IF(O$5=YEAR(Inputs!$E$58),$E$21*MOIC!$G$182,0)</f>
        <v>-0</v>
      </c>
      <c r="P21" s="276" t="n">
        <f aca="false">-IF(P$5=YEAR(Inputs!$E$58),$E$21*MOIC!$G$182,0)</f>
        <v>-0</v>
      </c>
      <c r="Q21" s="276" t="n">
        <f aca="false">-IF(Q$5=YEAR(Inputs!$E$58),$E$21*MOIC!$G$182,0)</f>
        <v>-0</v>
      </c>
      <c r="R21" s="276" t="n">
        <f aca="false">-IF(R$5=YEAR(Inputs!$E$58),$E$21*MOIC!$G$182,0)</f>
        <v>-0</v>
      </c>
      <c r="S21" s="276" t="n">
        <f aca="false">-IF(S$5=YEAR(Inputs!$E$58),$E$21*MOIC!$G$182,0)</f>
        <v>-0</v>
      </c>
      <c r="T21" s="276" t="n">
        <f aca="false">-IF(T$5=YEAR(Inputs!$E$58),$E$21*MOIC!$G$182,0)</f>
        <v>-0</v>
      </c>
      <c r="U21" s="276" t="n">
        <f aca="false">-IF(U$5=YEAR(Inputs!$E$58),$E$21*MOIC!$G$182,0)</f>
        <v>-0</v>
      </c>
      <c r="V21" s="276" t="n">
        <f aca="false">-IF(V$5=YEAR(Inputs!$E$58),$E$21*MOIC!$G$182,0)</f>
        <v>-0</v>
      </c>
      <c r="W21" s="276" t="n">
        <f aca="false">-IF(W$5=YEAR(Inputs!$E$58),$E$21*MOIC!$G$182,0)</f>
        <v>-0</v>
      </c>
      <c r="X21" s="276" t="n">
        <f aca="false">-IF(X$5=YEAR(Inputs!$E$58),$E$21*MOIC!$G$182,0)</f>
        <v>-0</v>
      </c>
      <c r="Y21" s="276" t="n">
        <f aca="false">-IF(Y$5=YEAR(Inputs!$E$58),$E$21*MOIC!$G$182,0)</f>
        <v>-0</v>
      </c>
      <c r="Z21" s="276" t="n">
        <f aca="false">-IF(Z$5=YEAR(Inputs!$E$58),$E$21*MOIC!$G$182,0)</f>
        <v>-0</v>
      </c>
      <c r="AA21" s="276" t="n">
        <f aca="false">-IF(AA$5=YEAR(Inputs!$E$58),$E$21*MOIC!$G$182,0)</f>
        <v>-0</v>
      </c>
      <c r="AB21" s="276" t="n">
        <f aca="false">-IF(AB$5=YEAR(Inputs!$E$58),$E$21*MOIC!$G$182,0)</f>
        <v>-0</v>
      </c>
      <c r="AC21" s="276" t="n">
        <f aca="false">-IF(AC$5=YEAR(Inputs!$E$58),$E$21*MOIC!$G$182,0)</f>
        <v>-0</v>
      </c>
      <c r="AD21" s="276" t="n">
        <f aca="false">-IF(AD$5=YEAR(Inputs!$E$58),$E$21*MOIC!$G$182,0)</f>
        <v>-0</v>
      </c>
      <c r="AE21" s="276" t="n">
        <f aca="false">-IF(AE$5=YEAR(Inputs!$E$58),$E$21*MOIC!$G$182,0)</f>
        <v>-0</v>
      </c>
      <c r="AF21" s="276" t="n">
        <f aca="false">-IF(AF$5=YEAR(Inputs!$E$58),$E$21*MOIC!$G$182,0)</f>
        <v>-0</v>
      </c>
      <c r="AG21" s="276" t="n">
        <f aca="false">-IF(AG$5=YEAR(Inputs!$E$58),$E$21*MOIC!$G$182,0)</f>
        <v>-0</v>
      </c>
      <c r="AH21" s="276" t="n">
        <f aca="false">-IF(AH$5=YEAR(Inputs!$E$58),$E$21*MOIC!$G$182,0)</f>
        <v>-0</v>
      </c>
      <c r="AI21" s="276" t="n">
        <f aca="false">-IF(AI$5=YEAR(Inputs!$E$58),$E$21*MOIC!$G$182,0)</f>
        <v>-0</v>
      </c>
      <c r="AJ21" s="276" t="n">
        <f aca="false">-IF(AJ$5=YEAR(Inputs!$E$58),$E$21*MOIC!$G$182,0)</f>
        <v>-0</v>
      </c>
      <c r="AK21" s="276" t="n">
        <f aca="false">-IF(AK$5=YEAR(Inputs!$E$58),$E$21*MOIC!$G$182,0)</f>
        <v>-0</v>
      </c>
      <c r="AL21" s="276" t="n">
        <f aca="false">-IF(AL$5=YEAR(Inputs!$E$58),$E$21*MOIC!$G$182,0)</f>
        <v>-0</v>
      </c>
      <c r="AM21" s="276" t="n">
        <f aca="false">-IF(AM$5=YEAR(Inputs!$E$58),$E$21*MOIC!$G$182,0)</f>
        <v>-0</v>
      </c>
      <c r="AN21" s="276" t="n">
        <f aca="false">-IF(AN$5=YEAR(Inputs!$E$58),$E$21*MOIC!$G$182,0)</f>
        <v>-0</v>
      </c>
      <c r="AO21" s="276" t="n">
        <f aca="false">-IF(AO$5=YEAR(Inputs!$E$58),$E$21*MOIC!$G$182,0)</f>
        <v>-0</v>
      </c>
      <c r="AP21" s="276" t="n">
        <f aca="false">-IF(AP$5=YEAR(Inputs!$E$58),$E$21*MOIC!$G$182,0)</f>
        <v>-0</v>
      </c>
      <c r="AQ21" s="276" t="n">
        <f aca="false">-IF(AQ$5=YEAR(Inputs!$E$58),$E$21*MOIC!$G$182,0)</f>
        <v>-0</v>
      </c>
    </row>
    <row r="22" customFormat="false" ht="15" hidden="false" customHeight="false" outlineLevel="0" collapsed="false">
      <c r="C22" s="0" t="s">
        <v>1213</v>
      </c>
      <c r="D22" s="0" t="s">
        <v>125</v>
      </c>
      <c r="E22" s="153" t="n">
        <f aca="false">Inputs!$E$230</f>
        <v>1</v>
      </c>
      <c r="F22" s="146" t="s">
        <v>1212</v>
      </c>
      <c r="G22" s="146" t="n">
        <f aca="false">SUM(H22:AQ22)</f>
        <v>-5497.50912788589</v>
      </c>
      <c r="H22" s="276" t="n">
        <f aca="false">-IF(H$5=YEAR(Inputs!$E$58),$E$22*(MOIC!$G$154-MOIC!$G$151),0)</f>
        <v>-0</v>
      </c>
      <c r="I22" s="276" t="n">
        <f aca="false">-IF(I$5=YEAR(Inputs!$E$58),$E$22*(MOIC!$G$154-MOIC!$G$151),0)</f>
        <v>-0</v>
      </c>
      <c r="J22" s="276" t="n">
        <f aca="false">-IF(J$5=YEAR(Inputs!$E$58),$E$22*(MOIC!$G$154-MOIC!$G$151),0)</f>
        <v>-0</v>
      </c>
      <c r="K22" s="276" t="n">
        <f aca="false">-IF(K$5=YEAR(Inputs!$E$58),$E$22*(MOIC!$G$154-MOIC!$G$151),0)</f>
        <v>-5497.50912788589</v>
      </c>
      <c r="L22" s="276" t="n">
        <f aca="false">-IF(L$5=YEAR(Inputs!$E$58),$E$22*(MOIC!$G$154-MOIC!$G$151),0)</f>
        <v>-0</v>
      </c>
      <c r="M22" s="276" t="n">
        <f aca="false">-IF(M$5=YEAR(Inputs!$E$58),$E$22*(MOIC!$G$154-MOIC!$G$151),0)</f>
        <v>-0</v>
      </c>
      <c r="N22" s="276" t="n">
        <f aca="false">-IF(N$5=YEAR(Inputs!$E$58),$E$22*(MOIC!$G$154-MOIC!$G$151),0)</f>
        <v>-0</v>
      </c>
      <c r="O22" s="276" t="n">
        <f aca="false">-IF(O$5=YEAR(Inputs!$E$58),$E$22*(MOIC!$G$154-MOIC!$G$151),0)</f>
        <v>-0</v>
      </c>
      <c r="P22" s="276" t="n">
        <f aca="false">-IF(P$5=YEAR(Inputs!$E$58),$E$22*(MOIC!$G$154-MOIC!$G$151),0)</f>
        <v>-0</v>
      </c>
      <c r="Q22" s="276" t="n">
        <f aca="false">-IF(Q$5=YEAR(Inputs!$E$58),$E$22*(MOIC!$G$154-MOIC!$G$151),0)</f>
        <v>-0</v>
      </c>
      <c r="R22" s="276" t="n">
        <f aca="false">-IF(R$5=YEAR(Inputs!$E$58),$E$22*(MOIC!$G$154-MOIC!$G$151),0)</f>
        <v>-0</v>
      </c>
      <c r="S22" s="276" t="n">
        <f aca="false">-IF(S$5=YEAR(Inputs!$E$58),$E$22*(MOIC!$G$154-MOIC!$G$151),0)</f>
        <v>-0</v>
      </c>
      <c r="T22" s="276" t="n">
        <f aca="false">-IF(T$5=YEAR(Inputs!$E$58),$E$22*(MOIC!$G$154-MOIC!$G$151),0)</f>
        <v>-0</v>
      </c>
      <c r="U22" s="276" t="n">
        <f aca="false">-IF(U$5=YEAR(Inputs!$E$58),$E$22*(MOIC!$G$154-MOIC!$G$151),0)</f>
        <v>-0</v>
      </c>
      <c r="V22" s="276" t="n">
        <f aca="false">-IF(V$5=YEAR(Inputs!$E$58),$E$22*(MOIC!$G$154-MOIC!$G$151),0)</f>
        <v>-0</v>
      </c>
      <c r="W22" s="276" t="n">
        <f aca="false">-IF(W$5=YEAR(Inputs!$E$58),$E$22*(MOIC!$G$154-MOIC!$G$151),0)</f>
        <v>-0</v>
      </c>
      <c r="X22" s="276" t="n">
        <f aca="false">-IF(X$5=YEAR(Inputs!$E$58),$E$22*(MOIC!$G$154-MOIC!$G$151),0)</f>
        <v>-0</v>
      </c>
      <c r="Y22" s="276" t="n">
        <f aca="false">-IF(Y$5=YEAR(Inputs!$E$58),$E$22*(MOIC!$G$154-MOIC!$G$151),0)</f>
        <v>-0</v>
      </c>
      <c r="Z22" s="276" t="n">
        <f aca="false">-IF(Z$5=YEAR(Inputs!$E$58),$E$22*(MOIC!$G$154-MOIC!$G$151),0)</f>
        <v>-0</v>
      </c>
      <c r="AA22" s="276" t="n">
        <f aca="false">-IF(AA$5=YEAR(Inputs!$E$58),$E$22*(MOIC!$G$154-MOIC!$G$151),0)</f>
        <v>-0</v>
      </c>
      <c r="AB22" s="276" t="n">
        <f aca="false">-IF(AB$5=YEAR(Inputs!$E$58),$E$22*(MOIC!$G$154-MOIC!$G$151),0)</f>
        <v>-0</v>
      </c>
      <c r="AC22" s="276" t="n">
        <f aca="false">-IF(AC$5=YEAR(Inputs!$E$58),$E$22*(MOIC!$G$154-MOIC!$G$151),0)</f>
        <v>-0</v>
      </c>
      <c r="AD22" s="276" t="n">
        <f aca="false">-IF(AD$5=YEAR(Inputs!$E$58),$E$22*(MOIC!$G$154-MOIC!$G$151),0)</f>
        <v>-0</v>
      </c>
      <c r="AE22" s="276" t="n">
        <f aca="false">-IF(AE$5=YEAR(Inputs!$E$58),$E$22*(MOIC!$G$154-MOIC!$G$151),0)</f>
        <v>-0</v>
      </c>
      <c r="AF22" s="276" t="n">
        <f aca="false">-IF(AF$5=YEAR(Inputs!$E$58),$E$22*(MOIC!$G$154-MOIC!$G$151),0)</f>
        <v>-0</v>
      </c>
      <c r="AG22" s="276" t="n">
        <f aca="false">-IF(AG$5=YEAR(Inputs!$E$58),$E$22*(MOIC!$G$154-MOIC!$G$151),0)</f>
        <v>-0</v>
      </c>
      <c r="AH22" s="276" t="n">
        <f aca="false">-IF(AH$5=YEAR(Inputs!$E$58),$E$22*(MOIC!$G$154-MOIC!$G$151),0)</f>
        <v>-0</v>
      </c>
      <c r="AI22" s="276" t="n">
        <f aca="false">-IF(AI$5=YEAR(Inputs!$E$58),$E$22*(MOIC!$G$154-MOIC!$G$151),0)</f>
        <v>-0</v>
      </c>
      <c r="AJ22" s="276" t="n">
        <f aca="false">-IF(AJ$5=YEAR(Inputs!$E$58),$E$22*(MOIC!$G$154-MOIC!$G$151),0)</f>
        <v>-0</v>
      </c>
      <c r="AK22" s="276" t="n">
        <f aca="false">-IF(AK$5=YEAR(Inputs!$E$58),$E$22*(MOIC!$G$154-MOIC!$G$151),0)</f>
        <v>-0</v>
      </c>
      <c r="AL22" s="276" t="n">
        <f aca="false">-IF(AL$5=YEAR(Inputs!$E$58),$E$22*(MOIC!$G$154-MOIC!$G$151),0)</f>
        <v>-0</v>
      </c>
      <c r="AM22" s="276" t="n">
        <f aca="false">-IF(AM$5=YEAR(Inputs!$E$58),$E$22*(MOIC!$G$154-MOIC!$G$151),0)</f>
        <v>-0</v>
      </c>
      <c r="AN22" s="276" t="n">
        <f aca="false">-IF(AN$5=YEAR(Inputs!$E$58),$E$22*(MOIC!$G$154-MOIC!$G$151),0)</f>
        <v>-0</v>
      </c>
      <c r="AO22" s="276" t="n">
        <f aca="false">-IF(AO$5=YEAR(Inputs!$E$58),$E$22*(MOIC!$G$154-MOIC!$G$151),0)</f>
        <v>-0</v>
      </c>
      <c r="AP22" s="276" t="n">
        <f aca="false">-IF(AP$5=YEAR(Inputs!$E$58),$E$22*(MOIC!$G$154-MOIC!$G$151),0)</f>
        <v>-0</v>
      </c>
      <c r="AQ22" s="276" t="n">
        <f aca="false">-IF(AQ$5=YEAR(Inputs!$E$58),$E$22*(MOIC!$G$154-MOIC!$G$151),0)</f>
        <v>-0</v>
      </c>
    </row>
    <row r="23" customFormat="false" ht="15" hidden="false" customHeight="false" outlineLevel="0" collapsed="false">
      <c r="C23" s="0" t="s">
        <v>1214</v>
      </c>
      <c r="D23" s="0" t="s">
        <v>125</v>
      </c>
      <c r="E23" s="146" t="n">
        <f aca="false">SUMPRODUCT(MOIC!$H$7:$BP$7,MOIC!$H$78:$BP$78)</f>
        <v>0.06</v>
      </c>
      <c r="F23" s="146"/>
      <c r="G23" s="146" t="n">
        <f aca="false">SUM(H23:AQ23)</f>
        <v>-1617.7564946519</v>
      </c>
      <c r="H23" s="276" t="n">
        <f aca="false" t="array" ref="H23:H23">-(SUMPRODUCT((YEAR(MOIC!$H$5:$BP$5)=H$5)*MOIC!$H$79:$BP$79)+$E$23*(-MOIC!$G$75*MAX(0,MIN(DATE(H$5,12,31),Inputs!$E$155)-MAX(DATE(H$5,1,1)-1,Inputs!$E$58))/365+Deposits!$M$17*(1-Deposits!$P$17)*MAX(0,MIN(DATE(H$5,12,31),Inputs!$E$155)-MAX(DATE(H$5,1,1)-1,Deposits!$K$17))/365))*$E$15</f>
        <v>-40.9001369863014</v>
      </c>
      <c r="I23" s="276" t="n">
        <f aca="false" t="array" ref="I23:I23">-(SUMPRODUCT((YEAR(MOIC!$H$5:$BP$5)=I$5)*MOIC!$H$79:$BP$79)+$E$23*(-MOIC!$G$75*MAX(0,MIN(DATE(I$5,12,31),Inputs!$E$155)-MAX(DATE(I$5,1,1)-1,Inputs!$E$58))/365+Deposits!$M$17*(1-Deposits!$P$17)*MAX(0,MIN(DATE(I$5,12,31),Inputs!$E$155)-MAX(DATE(I$5,1,1)-1,Deposits!$K$17))/365))*$E$15</f>
        <v>-350.572602739726</v>
      </c>
      <c r="J23" s="276" t="n">
        <f aca="false" t="array" ref="J23:J23">-(SUMPRODUCT((YEAR(MOIC!$H$5:$BP$5)=J$5)*MOIC!$H$79:$BP$79)+$E$23*(-MOIC!$G$75*MAX(0,MIN(DATE(J$5,12,31),Inputs!$E$155)-MAX(DATE(J$5,1,1)-1,Inputs!$E$58))/365+Deposits!$M$17*(1-Deposits!$P$17)*MAX(0,MIN(DATE(J$5,12,31),Inputs!$E$155)-MAX(DATE(J$5,1,1)-1,Deposits!$K$17))/365))*$E$15</f>
        <v>-350.572602739726</v>
      </c>
      <c r="K23" s="276" t="n">
        <f aca="false" t="array" ref="K23:K23">-(SUMPRODUCT((YEAR(MOIC!$H$5:$BP$5)=K$5)*MOIC!$H$79:$BP$79)+$E$23*(-MOIC!$G$75*MAX(0,MIN(DATE(K$5,12,31),Inputs!$E$155)-MAX(DATE(K$5,1,1)-1,Inputs!$E$58))/365+Deposits!$M$17*(1-Deposits!$P$17)*MAX(0,MIN(DATE(K$5,12,31),Inputs!$E$155)-MAX(DATE(K$5,1,1)-1,Deposits!$K$17))/365))*$E$15</f>
        <v>-351.29295740289</v>
      </c>
      <c r="L23" s="276" t="n">
        <f aca="false" t="array" ref="L23:L23">-(SUMPRODUCT((YEAR(MOIC!$H$5:$BP$5)=L$5)*MOIC!$H$79:$BP$79)+$E$23*(-MOIC!$G$75*MAX(0,MIN(DATE(L$5,12,31),Inputs!$E$155)-MAX(DATE(L$5,1,1)-1,Inputs!$E$58))/365+Deposits!$M$17*(1-Deposits!$P$17)*MAX(0,MIN(DATE(L$5,12,31),Inputs!$E$155)-MAX(DATE(L$5,1,1)-1,Deposits!$K$17))/365))*$E$15</f>
        <v>-350.572602739726</v>
      </c>
      <c r="M23" s="276" t="n">
        <f aca="false" t="array" ref="M23:M23">-(SUMPRODUCT((YEAR(MOIC!$H$5:$BP$5)=M$5)*MOIC!$H$79:$BP$79)+$E$23*(-MOIC!$G$75*MAX(0,MIN(DATE(M$5,12,31),Inputs!$E$155)-MAX(DATE(M$5,1,1)-1,Inputs!$E$58))/365+Deposits!$M$17*(1-Deposits!$P$17)*MAX(0,MIN(DATE(M$5,12,31),Inputs!$E$155)-MAX(DATE(M$5,1,1)-1,Deposits!$K$17))/365))*$E$15</f>
        <v>-173.845592043535</v>
      </c>
      <c r="N23" s="276" t="n">
        <f aca="false" t="array" ref="N23:N23">-(SUMPRODUCT((YEAR(MOIC!$H$5:$BP$5)=N$5)*MOIC!$H$79:$BP$79)+$E$23*(-MOIC!$G$75*MAX(0,MIN(DATE(N$5,12,31),Inputs!$E$155)-MAX(DATE(N$5,1,1)-1,Inputs!$E$58))/365+Deposits!$M$17*(1-Deposits!$P$17)*MAX(0,MIN(DATE(N$5,12,31),Inputs!$E$155)-MAX(DATE(N$5,1,1)-1,Deposits!$K$17))/365))*$E$15</f>
        <v>-0</v>
      </c>
      <c r="O23" s="276" t="n">
        <f aca="false" t="array" ref="O23:O23">-(SUMPRODUCT((YEAR(MOIC!$H$5:$BP$5)=O$5)*MOIC!$H$79:$BP$79)+$E$23*(-MOIC!$G$75*MAX(0,MIN(DATE(O$5,12,31),Inputs!$E$155)-MAX(DATE(O$5,1,1)-1,Inputs!$E$58))/365+Deposits!$M$17*(1-Deposits!$P$17)*MAX(0,MIN(DATE(O$5,12,31),Inputs!$E$155)-MAX(DATE(O$5,1,1)-1,Deposits!$K$17))/365))*$E$15</f>
        <v>-0</v>
      </c>
      <c r="P23" s="276" t="n">
        <f aca="false" t="array" ref="P23:P23">-(SUMPRODUCT((YEAR(MOIC!$H$5:$BP$5)=P$5)*MOIC!$H$79:$BP$79)+$E$23*(-MOIC!$G$75*MAX(0,MIN(DATE(P$5,12,31),Inputs!$E$155)-MAX(DATE(P$5,1,1)-1,Inputs!$E$58))/365+Deposits!$M$17*(1-Deposits!$P$17)*MAX(0,MIN(DATE(P$5,12,31),Inputs!$E$155)-MAX(DATE(P$5,1,1)-1,Deposits!$K$17))/365))*$E$15</f>
        <v>-0</v>
      </c>
      <c r="Q23" s="276" t="n">
        <f aca="false" t="array" ref="Q23:Q23">-(SUMPRODUCT((YEAR(MOIC!$H$5:$BP$5)=Q$5)*MOIC!$H$79:$BP$79)+$E$23*(-MOIC!$G$75*MAX(0,MIN(DATE(Q$5,12,31),Inputs!$E$155)-MAX(DATE(Q$5,1,1)-1,Inputs!$E$58))/365+Deposits!$M$17*(1-Deposits!$P$17)*MAX(0,MIN(DATE(Q$5,12,31),Inputs!$E$155)-MAX(DATE(Q$5,1,1)-1,Deposits!$K$17))/365))*$E$15</f>
        <v>-0</v>
      </c>
      <c r="R23" s="276" t="n">
        <f aca="false" t="array" ref="R23:R23">-(SUMPRODUCT((YEAR(MOIC!$H$5:$BP$5)=R$5)*MOIC!$H$79:$BP$79)+$E$23*(-MOIC!$G$75*MAX(0,MIN(DATE(R$5,12,31),Inputs!$E$155)-MAX(DATE(R$5,1,1)-1,Inputs!$E$58))/365+Deposits!$M$17*(1-Deposits!$P$17)*MAX(0,MIN(DATE(R$5,12,31),Inputs!$E$155)-MAX(DATE(R$5,1,1)-1,Deposits!$K$17))/365))*$E$15</f>
        <v>-0</v>
      </c>
      <c r="S23" s="276" t="n">
        <f aca="false" t="array" ref="S23:S23">-(SUMPRODUCT((YEAR(MOIC!$H$5:$BP$5)=S$5)*MOIC!$H$79:$BP$79)+$E$23*(-MOIC!$G$75*MAX(0,MIN(DATE(S$5,12,31),Inputs!$E$155)-MAX(DATE(S$5,1,1)-1,Inputs!$E$58))/365+Deposits!$M$17*(1-Deposits!$P$17)*MAX(0,MIN(DATE(S$5,12,31),Inputs!$E$155)-MAX(DATE(S$5,1,1)-1,Deposits!$K$17))/365))*$E$15</f>
        <v>-0</v>
      </c>
      <c r="T23" s="276" t="n">
        <f aca="false" t="array" ref="T23:T23">-(SUMPRODUCT((YEAR(MOIC!$H$5:$BP$5)=T$5)*MOIC!$H$79:$BP$79)+$E$23*(-MOIC!$G$75*MAX(0,MIN(DATE(T$5,12,31),Inputs!$E$155)-MAX(DATE(T$5,1,1)-1,Inputs!$E$58))/365+Deposits!$M$17*(1-Deposits!$P$17)*MAX(0,MIN(DATE(T$5,12,31),Inputs!$E$155)-MAX(DATE(T$5,1,1)-1,Deposits!$K$17))/365))*$E$15</f>
        <v>-0</v>
      </c>
      <c r="U23" s="276" t="n">
        <f aca="false" t="array" ref="U23:U23">-(SUMPRODUCT((YEAR(MOIC!$H$5:$BP$5)=U$5)*MOIC!$H$79:$BP$79)+$E$23*(-MOIC!$G$75*MAX(0,MIN(DATE(U$5,12,31),Inputs!$E$155)-MAX(DATE(U$5,1,1)-1,Inputs!$E$58))/365+Deposits!$M$17*(1-Deposits!$P$17)*MAX(0,MIN(DATE(U$5,12,31),Inputs!$E$155)-MAX(DATE(U$5,1,1)-1,Deposits!$K$17))/365))*$E$15</f>
        <v>-0</v>
      </c>
      <c r="V23" s="276" t="n">
        <f aca="false" t="array" ref="V23:V23">-(SUMPRODUCT((YEAR(MOIC!$H$5:$BP$5)=V$5)*MOIC!$H$79:$BP$79)+$E$23*(-MOIC!$G$75*MAX(0,MIN(DATE(V$5,12,31),Inputs!$E$155)-MAX(DATE(V$5,1,1)-1,Inputs!$E$58))/365+Deposits!$M$17*(1-Deposits!$P$17)*MAX(0,MIN(DATE(V$5,12,31),Inputs!$E$155)-MAX(DATE(V$5,1,1)-1,Deposits!$K$17))/365))*$E$15</f>
        <v>-0</v>
      </c>
      <c r="W23" s="276" t="n">
        <f aca="false" t="array" ref="W23:W23">-(SUMPRODUCT((YEAR(MOIC!$H$5:$BP$5)=W$5)*MOIC!$H$79:$BP$79)+$E$23*(-MOIC!$G$75*MAX(0,MIN(DATE(W$5,12,31),Inputs!$E$155)-MAX(DATE(W$5,1,1)-1,Inputs!$E$58))/365+Deposits!$M$17*(1-Deposits!$P$17)*MAX(0,MIN(DATE(W$5,12,31),Inputs!$E$155)-MAX(DATE(W$5,1,1)-1,Deposits!$K$17))/365))*$E$15</f>
        <v>-0</v>
      </c>
      <c r="X23" s="276" t="n">
        <f aca="false" t="array" ref="X23:X23">-(SUMPRODUCT((YEAR(MOIC!$H$5:$BP$5)=X$5)*MOIC!$H$79:$BP$79)+$E$23*(-MOIC!$G$75*MAX(0,MIN(DATE(X$5,12,31),Inputs!$E$155)-MAX(DATE(X$5,1,1)-1,Inputs!$E$58))/365+Deposits!$M$17*(1-Deposits!$P$17)*MAX(0,MIN(DATE(X$5,12,31),Inputs!$E$155)-MAX(DATE(X$5,1,1)-1,Deposits!$K$17))/365))*$E$15</f>
        <v>-0</v>
      </c>
      <c r="Y23" s="276" t="n">
        <f aca="false" t="array" ref="Y23:Y23">-(SUMPRODUCT((YEAR(MOIC!$H$5:$BP$5)=Y$5)*MOIC!$H$79:$BP$79)+$E$23*(-MOIC!$G$75*MAX(0,MIN(DATE(Y$5,12,31),Inputs!$E$155)-MAX(DATE(Y$5,1,1)-1,Inputs!$E$58))/365+Deposits!$M$17*(1-Deposits!$P$17)*MAX(0,MIN(DATE(Y$5,12,31),Inputs!$E$155)-MAX(DATE(Y$5,1,1)-1,Deposits!$K$17))/365))*$E$15</f>
        <v>-0</v>
      </c>
      <c r="Z23" s="276" t="n">
        <f aca="false" t="array" ref="Z23:Z23">-(SUMPRODUCT((YEAR(MOIC!$H$5:$BP$5)=Z$5)*MOIC!$H$79:$BP$79)+$E$23*(-MOIC!$G$75*MAX(0,MIN(DATE(Z$5,12,31),Inputs!$E$155)-MAX(DATE(Z$5,1,1)-1,Inputs!$E$58))/365+Deposits!$M$17*(1-Deposits!$P$17)*MAX(0,MIN(DATE(Z$5,12,31),Inputs!$E$155)-MAX(DATE(Z$5,1,1)-1,Deposits!$K$17))/365))*$E$15</f>
        <v>-0</v>
      </c>
      <c r="AA23" s="276" t="n">
        <f aca="false" t="array" ref="AA23:AA23">-(SUMPRODUCT((YEAR(MOIC!$H$5:$BP$5)=AA$5)*MOIC!$H$79:$BP$79)+$E$23*(-MOIC!$G$75*MAX(0,MIN(DATE(AA$5,12,31),Inputs!$E$155)-MAX(DATE(AA$5,1,1)-1,Inputs!$E$58))/365+Deposits!$M$17*(1-Deposits!$P$17)*MAX(0,MIN(DATE(AA$5,12,31),Inputs!$E$155)-MAX(DATE(AA$5,1,1)-1,Deposits!$K$17))/365))*$E$15</f>
        <v>-0</v>
      </c>
      <c r="AB23" s="276" t="n">
        <f aca="false" t="array" ref="AB23:AB23">-(SUMPRODUCT((YEAR(MOIC!$H$5:$BP$5)=AB$5)*MOIC!$H$79:$BP$79)+$E$23*(-MOIC!$G$75*MAX(0,MIN(DATE(AB$5,12,31),Inputs!$E$155)-MAX(DATE(AB$5,1,1)-1,Inputs!$E$58))/365+Deposits!$M$17*(1-Deposits!$P$17)*MAX(0,MIN(DATE(AB$5,12,31),Inputs!$E$155)-MAX(DATE(AB$5,1,1)-1,Deposits!$K$17))/365))*$E$15</f>
        <v>-0</v>
      </c>
      <c r="AC23" s="276" t="n">
        <f aca="false" t="array" ref="AC23:AC23">-(SUMPRODUCT((YEAR(MOIC!$H$5:$BP$5)=AC$5)*MOIC!$H$79:$BP$79)+$E$23*(-MOIC!$G$75*MAX(0,MIN(DATE(AC$5,12,31),Inputs!$E$155)-MAX(DATE(AC$5,1,1)-1,Inputs!$E$58))/365+Deposits!$M$17*(1-Deposits!$P$17)*MAX(0,MIN(DATE(AC$5,12,31),Inputs!$E$155)-MAX(DATE(AC$5,1,1)-1,Deposits!$K$17))/365))*$E$15</f>
        <v>-0</v>
      </c>
      <c r="AD23" s="276" t="n">
        <f aca="false" t="array" ref="AD23:AD23">-(SUMPRODUCT((YEAR(MOIC!$H$5:$BP$5)=AD$5)*MOIC!$H$79:$BP$79)+$E$23*(-MOIC!$G$75*MAX(0,MIN(DATE(AD$5,12,31),Inputs!$E$155)-MAX(DATE(AD$5,1,1)-1,Inputs!$E$58))/365+Deposits!$M$17*(1-Deposits!$P$17)*MAX(0,MIN(DATE(AD$5,12,31),Inputs!$E$155)-MAX(DATE(AD$5,1,1)-1,Deposits!$K$17))/365))*$E$15</f>
        <v>-0</v>
      </c>
      <c r="AE23" s="276" t="n">
        <f aca="false" t="array" ref="AE23:AE23">-(SUMPRODUCT((YEAR(MOIC!$H$5:$BP$5)=AE$5)*MOIC!$H$79:$BP$79)+$E$23*(-MOIC!$G$75*MAX(0,MIN(DATE(AE$5,12,31),Inputs!$E$155)-MAX(DATE(AE$5,1,1)-1,Inputs!$E$58))/365+Deposits!$M$17*(1-Deposits!$P$17)*MAX(0,MIN(DATE(AE$5,12,31),Inputs!$E$155)-MAX(DATE(AE$5,1,1)-1,Deposits!$K$17))/365))*$E$15</f>
        <v>-0</v>
      </c>
      <c r="AF23" s="276" t="n">
        <f aca="false" t="array" ref="AF23:AF23">-(SUMPRODUCT((YEAR(MOIC!$H$5:$BP$5)=AF$5)*MOIC!$H$79:$BP$79)+$E$23*(-MOIC!$G$75*MAX(0,MIN(DATE(AF$5,12,31),Inputs!$E$155)-MAX(DATE(AF$5,1,1)-1,Inputs!$E$58))/365+Deposits!$M$17*(1-Deposits!$P$17)*MAX(0,MIN(DATE(AF$5,12,31),Inputs!$E$155)-MAX(DATE(AF$5,1,1)-1,Deposits!$K$17))/365))*$E$15</f>
        <v>-0</v>
      </c>
      <c r="AG23" s="276" t="n">
        <f aca="false" t="array" ref="AG23:AG23">-(SUMPRODUCT((YEAR(MOIC!$H$5:$BP$5)=AG$5)*MOIC!$H$79:$BP$79)+$E$23*(-MOIC!$G$75*MAX(0,MIN(DATE(AG$5,12,31),Inputs!$E$155)-MAX(DATE(AG$5,1,1)-1,Inputs!$E$58))/365+Deposits!$M$17*(1-Deposits!$P$17)*MAX(0,MIN(DATE(AG$5,12,31),Inputs!$E$155)-MAX(DATE(AG$5,1,1)-1,Deposits!$K$17))/365))*$E$15</f>
        <v>-0</v>
      </c>
      <c r="AH23" s="276" t="n">
        <f aca="false" t="array" ref="AH23:AH23">-(SUMPRODUCT((YEAR(MOIC!$H$5:$BP$5)=AH$5)*MOIC!$H$79:$BP$79)+$E$23*(-MOIC!$G$75*MAX(0,MIN(DATE(AH$5,12,31),Inputs!$E$155)-MAX(DATE(AH$5,1,1)-1,Inputs!$E$58))/365+Deposits!$M$17*(1-Deposits!$P$17)*MAX(0,MIN(DATE(AH$5,12,31),Inputs!$E$155)-MAX(DATE(AH$5,1,1)-1,Deposits!$K$17))/365))*$E$15</f>
        <v>-0</v>
      </c>
      <c r="AI23" s="276" t="n">
        <f aca="false" t="array" ref="AI23:AI23">-(SUMPRODUCT((YEAR(MOIC!$H$5:$BP$5)=AI$5)*MOIC!$H$79:$BP$79)+$E$23*(-MOIC!$G$75*MAX(0,MIN(DATE(AI$5,12,31),Inputs!$E$155)-MAX(DATE(AI$5,1,1)-1,Inputs!$E$58))/365+Deposits!$M$17*(1-Deposits!$P$17)*MAX(0,MIN(DATE(AI$5,12,31),Inputs!$E$155)-MAX(DATE(AI$5,1,1)-1,Deposits!$K$17))/365))*$E$15</f>
        <v>-0</v>
      </c>
      <c r="AJ23" s="276" t="n">
        <f aca="false" t="array" ref="AJ23:AJ23">-(SUMPRODUCT((YEAR(MOIC!$H$5:$BP$5)=AJ$5)*MOIC!$H$79:$BP$79)+$E$23*(-MOIC!$G$75*MAX(0,MIN(DATE(AJ$5,12,31),Inputs!$E$155)-MAX(DATE(AJ$5,1,1)-1,Inputs!$E$58))/365+Deposits!$M$17*(1-Deposits!$P$17)*MAX(0,MIN(DATE(AJ$5,12,31),Inputs!$E$155)-MAX(DATE(AJ$5,1,1)-1,Deposits!$K$17))/365))*$E$15</f>
        <v>-0</v>
      </c>
      <c r="AK23" s="276" t="n">
        <f aca="false" t="array" ref="AK23:AK23">-(SUMPRODUCT((YEAR(MOIC!$H$5:$BP$5)=AK$5)*MOIC!$H$79:$BP$79)+$E$23*(-MOIC!$G$75*MAX(0,MIN(DATE(AK$5,12,31),Inputs!$E$155)-MAX(DATE(AK$5,1,1)-1,Inputs!$E$58))/365+Deposits!$M$17*(1-Deposits!$P$17)*MAX(0,MIN(DATE(AK$5,12,31),Inputs!$E$155)-MAX(DATE(AK$5,1,1)-1,Deposits!$K$17))/365))*$E$15</f>
        <v>-0</v>
      </c>
      <c r="AL23" s="276" t="n">
        <f aca="false" t="array" ref="AL23:AL23">-(SUMPRODUCT((YEAR(MOIC!$H$5:$BP$5)=AL$5)*MOIC!$H$79:$BP$79)+$E$23*(-MOIC!$G$75*MAX(0,MIN(DATE(AL$5,12,31),Inputs!$E$155)-MAX(DATE(AL$5,1,1)-1,Inputs!$E$58))/365+Deposits!$M$17*(1-Deposits!$P$17)*MAX(0,MIN(DATE(AL$5,12,31),Inputs!$E$155)-MAX(DATE(AL$5,1,1)-1,Deposits!$K$17))/365))*$E$15</f>
        <v>-0</v>
      </c>
      <c r="AM23" s="276" t="n">
        <f aca="false" t="array" ref="AM23:AM23">-(SUMPRODUCT((YEAR(MOIC!$H$5:$BP$5)=AM$5)*MOIC!$H$79:$BP$79)+$E$23*(-MOIC!$G$75*MAX(0,MIN(DATE(AM$5,12,31),Inputs!$E$155)-MAX(DATE(AM$5,1,1)-1,Inputs!$E$58))/365+Deposits!$M$17*(1-Deposits!$P$17)*MAX(0,MIN(DATE(AM$5,12,31),Inputs!$E$155)-MAX(DATE(AM$5,1,1)-1,Deposits!$K$17))/365))*$E$15</f>
        <v>-0</v>
      </c>
      <c r="AN23" s="276" t="n">
        <f aca="false" t="array" ref="AN23:AN23">-(SUMPRODUCT((YEAR(MOIC!$H$5:$BP$5)=AN$5)*MOIC!$H$79:$BP$79)+$E$23*(-MOIC!$G$75*MAX(0,MIN(DATE(AN$5,12,31),Inputs!$E$155)-MAX(DATE(AN$5,1,1)-1,Inputs!$E$58))/365+Deposits!$M$17*(1-Deposits!$P$17)*MAX(0,MIN(DATE(AN$5,12,31),Inputs!$E$155)-MAX(DATE(AN$5,1,1)-1,Deposits!$K$17))/365))*$E$15</f>
        <v>-0</v>
      </c>
      <c r="AO23" s="276" t="n">
        <f aca="false" t="array" ref="AO23:AO23">-(SUMPRODUCT((YEAR(MOIC!$H$5:$BP$5)=AO$5)*MOIC!$H$79:$BP$79)+$E$23*(-MOIC!$G$75*MAX(0,MIN(DATE(AO$5,12,31),Inputs!$E$155)-MAX(DATE(AO$5,1,1)-1,Inputs!$E$58))/365+Deposits!$M$17*(1-Deposits!$P$17)*MAX(0,MIN(DATE(AO$5,12,31),Inputs!$E$155)-MAX(DATE(AO$5,1,1)-1,Deposits!$K$17))/365))*$E$15</f>
        <v>-0</v>
      </c>
      <c r="AP23" s="276" t="n">
        <f aca="false" t="array" ref="AP23:AP23">-(SUMPRODUCT((YEAR(MOIC!$H$5:$BP$5)=AP$5)*MOIC!$H$79:$BP$79)+$E$23*(-MOIC!$G$75*MAX(0,MIN(DATE(AP$5,12,31),Inputs!$E$155)-MAX(DATE(AP$5,1,1)-1,Inputs!$E$58))/365+Deposits!$M$17*(1-Deposits!$P$17)*MAX(0,MIN(DATE(AP$5,12,31),Inputs!$E$155)-MAX(DATE(AP$5,1,1)-1,Deposits!$K$17))/365))*$E$15</f>
        <v>-0</v>
      </c>
      <c r="AQ23" s="276" t="n">
        <f aca="false" t="array" ref="AQ23:AQ23">-(SUMPRODUCT((YEAR(MOIC!$H$5:$BP$5)=AQ$5)*MOIC!$H$79:$BP$79)+$E$23*(-MOIC!$G$75*MAX(0,MIN(DATE(AQ$5,12,31),Inputs!$E$155)-MAX(DATE(AQ$5,1,1)-1,Inputs!$E$58))/365+Deposits!$M$17*(1-Deposits!$P$17)*MAX(0,MIN(DATE(AQ$5,12,31),Inputs!$E$155)-MAX(DATE(AQ$5,1,1)-1,Deposits!$K$17))/365))*$E$15</f>
        <v>-0</v>
      </c>
    </row>
    <row r="24" customFormat="false" ht="15" hidden="false" customHeight="false" outlineLevel="0" collapsed="false">
      <c r="C24" s="205" t="s">
        <v>1215</v>
      </c>
      <c r="D24" s="205" t="s">
        <v>125</v>
      </c>
      <c r="E24" s="277"/>
      <c r="F24" s="277"/>
      <c r="G24" s="277" t="n">
        <f aca="false">SUM(H24:AQ24)</f>
        <v>-10100.2844738237</v>
      </c>
      <c r="H24" s="277" t="n">
        <f aca="false">SUM(H16:H23)</f>
        <v>-1570.61764901888</v>
      </c>
      <c r="I24" s="277" t="n">
        <f aca="false">SUM(I16:I23)</f>
        <v>-778.738143280267</v>
      </c>
      <c r="J24" s="277" t="n">
        <f aca="false">SUM(J16:J23)</f>
        <v>-1227.43813118225</v>
      </c>
      <c r="K24" s="277" t="n">
        <f aca="false">SUM(K16:K23)</f>
        <v>-5999.07235555905</v>
      </c>
      <c r="L24" s="277" t="n">
        <f aca="false">SUM(L16:L23)</f>
        <v>-350.572602739726</v>
      </c>
      <c r="M24" s="277" t="n">
        <f aca="false">SUM(M16:M23)</f>
        <v>-173.845592043535</v>
      </c>
      <c r="N24" s="277" t="n">
        <f aca="false">SUM(N16:N23)</f>
        <v>0</v>
      </c>
      <c r="O24" s="277" t="n">
        <f aca="false">SUM(O16:O23)</f>
        <v>0</v>
      </c>
      <c r="P24" s="277" t="n">
        <f aca="false">SUM(P16:P23)</f>
        <v>0</v>
      </c>
      <c r="Q24" s="277" t="n">
        <f aca="false">SUM(Q16:Q23)</f>
        <v>0</v>
      </c>
      <c r="R24" s="277" t="n">
        <f aca="false">SUM(R16:R23)</f>
        <v>0</v>
      </c>
      <c r="S24" s="277" t="n">
        <f aca="false">SUM(S16:S23)</f>
        <v>0</v>
      </c>
      <c r="T24" s="277" t="n">
        <f aca="false">SUM(T16:T23)</f>
        <v>0</v>
      </c>
      <c r="U24" s="277" t="n">
        <f aca="false">SUM(U16:U23)</f>
        <v>0</v>
      </c>
      <c r="V24" s="277" t="n">
        <f aca="false">SUM(V16:V23)</f>
        <v>0</v>
      </c>
      <c r="W24" s="277" t="n">
        <f aca="false">SUM(W16:W23)</f>
        <v>0</v>
      </c>
      <c r="X24" s="277" t="n">
        <f aca="false">SUM(X16:X23)</f>
        <v>0</v>
      </c>
      <c r="Y24" s="277" t="n">
        <f aca="false">SUM(Y16:Y23)</f>
        <v>0</v>
      </c>
      <c r="Z24" s="277" t="n">
        <f aca="false">SUM(Z16:Z23)</f>
        <v>0</v>
      </c>
      <c r="AA24" s="277" t="n">
        <f aca="false">SUM(AA16:AA23)</f>
        <v>0</v>
      </c>
      <c r="AB24" s="277" t="n">
        <f aca="false">SUM(AB16:AB23)</f>
        <v>0</v>
      </c>
      <c r="AC24" s="277" t="n">
        <f aca="false">SUM(AC16:AC23)</f>
        <v>0</v>
      </c>
      <c r="AD24" s="277" t="n">
        <f aca="false">SUM(AD16:AD23)</f>
        <v>0</v>
      </c>
      <c r="AE24" s="277" t="n">
        <f aca="false">SUM(AE16:AE23)</f>
        <v>0</v>
      </c>
      <c r="AF24" s="277" t="n">
        <f aca="false">SUM(AF16:AF23)</f>
        <v>0</v>
      </c>
      <c r="AG24" s="277" t="n">
        <f aca="false">SUM(AG16:AG23)</f>
        <v>0</v>
      </c>
      <c r="AH24" s="277" t="n">
        <f aca="false">SUM(AH16:AH23)</f>
        <v>0</v>
      </c>
      <c r="AI24" s="277" t="n">
        <f aca="false">SUM(AI16:AI23)</f>
        <v>0</v>
      </c>
      <c r="AJ24" s="277" t="n">
        <f aca="false">SUM(AJ16:AJ23)</f>
        <v>0</v>
      </c>
      <c r="AK24" s="277" t="n">
        <f aca="false">SUM(AK16:AK23)</f>
        <v>0</v>
      </c>
      <c r="AL24" s="277" t="n">
        <f aca="false">SUM(AL16:AL23)</f>
        <v>0</v>
      </c>
      <c r="AM24" s="277" t="n">
        <f aca="false">SUM(AM16:AM23)</f>
        <v>0</v>
      </c>
      <c r="AN24" s="277" t="n">
        <f aca="false">SUM(AN16:AN23)</f>
        <v>0</v>
      </c>
      <c r="AO24" s="277" t="n">
        <f aca="false">SUM(AO16:AO23)</f>
        <v>0</v>
      </c>
      <c r="AP24" s="277" t="n">
        <f aca="false">SUM(AP16:AP23)</f>
        <v>0</v>
      </c>
      <c r="AQ24" s="277" t="n">
        <f aca="false">SUM(AQ16:AQ23)</f>
        <v>0</v>
      </c>
    </row>
    <row r="25" customFormat="false" ht="15" hidden="false" customHeight="false" outlineLevel="0" collapsed="false">
      <c r="E25" s="146"/>
      <c r="F25" s="146"/>
      <c r="G25" s="146"/>
      <c r="H25" s="146"/>
      <c r="I25" s="146"/>
      <c r="J25" s="146"/>
      <c r="K25" s="146"/>
      <c r="L25" s="146"/>
      <c r="M25" s="146"/>
      <c r="N25" s="146"/>
      <c r="O25" s="146"/>
      <c r="P25" s="146"/>
      <c r="Q25" s="146"/>
      <c r="R25" s="146"/>
      <c r="S25" s="146"/>
      <c r="T25" s="146"/>
      <c r="U25" s="146"/>
      <c r="V25" s="146"/>
      <c r="W25" s="146"/>
      <c r="X25" s="146"/>
      <c r="Y25" s="146"/>
      <c r="Z25" s="146"/>
      <c r="AA25" s="146"/>
      <c r="AB25" s="146"/>
      <c r="AC25" s="146"/>
      <c r="AD25" s="146"/>
      <c r="AE25" s="146"/>
      <c r="AF25" s="146"/>
      <c r="AG25" s="146"/>
      <c r="AH25" s="146"/>
      <c r="AI25" s="146"/>
      <c r="AJ25" s="146"/>
      <c r="AK25" s="146"/>
      <c r="AL25" s="146"/>
      <c r="AM25" s="146"/>
      <c r="AN25" s="146"/>
      <c r="AO25" s="146"/>
      <c r="AP25" s="146"/>
      <c r="AQ25" s="146"/>
    </row>
    <row r="26" customFormat="false" ht="15" hidden="false" customHeight="false" outlineLevel="0" collapsed="false">
      <c r="C26" s="136" t="s">
        <v>1216</v>
      </c>
      <c r="D26" s="136"/>
      <c r="E26" s="278"/>
      <c r="F26" s="278"/>
      <c r="G26" s="278"/>
      <c r="H26" s="278"/>
      <c r="I26" s="278"/>
      <c r="J26" s="278"/>
      <c r="K26" s="278"/>
      <c r="L26" s="278"/>
      <c r="M26" s="278"/>
      <c r="N26" s="278"/>
      <c r="O26" s="278"/>
      <c r="P26" s="278"/>
      <c r="Q26" s="278"/>
      <c r="R26" s="278"/>
      <c r="S26" s="278"/>
      <c r="T26" s="278"/>
      <c r="U26" s="278"/>
      <c r="V26" s="278"/>
      <c r="W26" s="278"/>
      <c r="X26" s="278"/>
      <c r="Y26" s="278"/>
      <c r="Z26" s="278"/>
      <c r="AA26" s="278"/>
      <c r="AB26" s="278"/>
      <c r="AC26" s="278"/>
      <c r="AD26" s="278"/>
      <c r="AE26" s="278"/>
      <c r="AF26" s="278"/>
      <c r="AG26" s="278"/>
      <c r="AH26" s="278"/>
      <c r="AI26" s="278"/>
      <c r="AJ26" s="278"/>
      <c r="AK26" s="278"/>
      <c r="AL26" s="278"/>
      <c r="AM26" s="278"/>
      <c r="AN26" s="278"/>
      <c r="AO26" s="278"/>
      <c r="AP26" s="278"/>
      <c r="AQ26" s="278"/>
    </row>
    <row r="27" customFormat="false" ht="15" hidden="false" customHeight="false" outlineLevel="0" collapsed="false">
      <c r="C27" s="0" t="s">
        <v>1217</v>
      </c>
      <c r="D27" s="0" t="s">
        <v>125</v>
      </c>
      <c r="E27" s="146" t="n">
        <f aca="false">Inputs!$E$175*In_Wind_Built</f>
        <v>140304.225</v>
      </c>
      <c r="F27" s="146"/>
      <c r="G27" s="146" t="n">
        <f aca="false">SUM(H27:AQ27)</f>
        <v>-140304.225</v>
      </c>
      <c r="H27" s="146" t="n">
        <f aca="false">-$E$27*H7</f>
        <v>-0</v>
      </c>
      <c r="I27" s="146" t="n">
        <f aca="false">-$E$27*I7</f>
        <v>-0</v>
      </c>
      <c r="J27" s="146" t="n">
        <f aca="false">-$E$27*J7</f>
        <v>-0</v>
      </c>
      <c r="K27" s="146" t="n">
        <f aca="false">-$E$27*K7</f>
        <v>-35364.3526027397</v>
      </c>
      <c r="L27" s="146" t="n">
        <f aca="false">-$E$27*L7</f>
        <v>-70152.1125</v>
      </c>
      <c r="M27" s="146" t="n">
        <f aca="false">-$E$27*M7</f>
        <v>-34787.7598972603</v>
      </c>
      <c r="N27" s="146" t="n">
        <f aca="false">-$E$27*N7</f>
        <v>-0</v>
      </c>
      <c r="O27" s="146" t="n">
        <f aca="false">-$E$27*O7</f>
        <v>-0</v>
      </c>
      <c r="P27" s="146" t="n">
        <f aca="false">-$E$27*P7</f>
        <v>-0</v>
      </c>
      <c r="Q27" s="146" t="n">
        <f aca="false">-$E$27*Q7</f>
        <v>-0</v>
      </c>
      <c r="R27" s="146" t="n">
        <f aca="false">-$E$27*R7</f>
        <v>-0</v>
      </c>
      <c r="S27" s="146" t="n">
        <f aca="false">-$E$27*S7</f>
        <v>-0</v>
      </c>
      <c r="T27" s="146" t="n">
        <f aca="false">-$E$27*T7</f>
        <v>-0</v>
      </c>
      <c r="U27" s="146" t="n">
        <f aca="false">-$E$27*U7</f>
        <v>-0</v>
      </c>
      <c r="V27" s="146" t="n">
        <f aca="false">-$E$27*V7</f>
        <v>-0</v>
      </c>
      <c r="W27" s="146" t="n">
        <f aca="false">-$E$27*W7</f>
        <v>-0</v>
      </c>
      <c r="X27" s="146" t="n">
        <f aca="false">-$E$27*X7</f>
        <v>-0</v>
      </c>
      <c r="Y27" s="146" t="n">
        <f aca="false">-$E$27*Y7</f>
        <v>-0</v>
      </c>
      <c r="Z27" s="146" t="n">
        <f aca="false">-$E$27*Z7</f>
        <v>-0</v>
      </c>
      <c r="AA27" s="146" t="n">
        <f aca="false">-$E$27*AA7</f>
        <v>-0</v>
      </c>
      <c r="AB27" s="146" t="n">
        <f aca="false">-$E$27*AB7</f>
        <v>-0</v>
      </c>
      <c r="AC27" s="146" t="n">
        <f aca="false">-$E$27*AC7</f>
        <v>-0</v>
      </c>
      <c r="AD27" s="146" t="n">
        <f aca="false">-$E$27*AD7</f>
        <v>-0</v>
      </c>
      <c r="AE27" s="146" t="n">
        <f aca="false">-$E$27*AE7</f>
        <v>-0</v>
      </c>
      <c r="AF27" s="146" t="n">
        <f aca="false">-$E$27*AF7</f>
        <v>-0</v>
      </c>
      <c r="AG27" s="146" t="n">
        <f aca="false">-$E$27*AG7</f>
        <v>-0</v>
      </c>
      <c r="AH27" s="146" t="n">
        <f aca="false">-$E$27*AH7</f>
        <v>-0</v>
      </c>
      <c r="AI27" s="146" t="n">
        <f aca="false">-$E$27*AI7</f>
        <v>-0</v>
      </c>
      <c r="AJ27" s="146" t="n">
        <f aca="false">-$E$27*AJ7</f>
        <v>-0</v>
      </c>
      <c r="AK27" s="146" t="n">
        <f aca="false">-$E$27*AK7</f>
        <v>-0</v>
      </c>
      <c r="AL27" s="146" t="n">
        <f aca="false">-$E$27*AL7</f>
        <v>-0</v>
      </c>
      <c r="AM27" s="146" t="n">
        <f aca="false">-$E$27*AM7</f>
        <v>-0</v>
      </c>
      <c r="AN27" s="146" t="n">
        <f aca="false">-$E$27*AN7</f>
        <v>-0</v>
      </c>
      <c r="AO27" s="146" t="n">
        <f aca="false">-$E$27*AO7</f>
        <v>-0</v>
      </c>
      <c r="AP27" s="146" t="n">
        <f aca="false">-$E$27*AP7</f>
        <v>-0</v>
      </c>
      <c r="AQ27" s="146" t="n">
        <f aca="false">-$E$27*AQ7</f>
        <v>-0</v>
      </c>
    </row>
    <row r="28" customFormat="false" ht="15" hidden="false" customHeight="false" outlineLevel="0" collapsed="false">
      <c r="C28" s="0" t="s">
        <v>1218</v>
      </c>
      <c r="D28" s="0" t="s">
        <v>125</v>
      </c>
      <c r="E28" s="146"/>
      <c r="F28" s="146"/>
      <c r="G28" s="146" t="n">
        <f aca="false">SUM(H28:AQ28)</f>
        <v>-19483.0232931507</v>
      </c>
      <c r="H28" s="276" t="n">
        <f aca="false" t="array" ref="H28:H28">-SUMPRODUCT((YEAR(Deposits!$K$7:$K$18)=H$5)*(Deposits!$R$7:$R$18="Connection fee")*Deposits!$M$7:$M$18)</f>
        <v>-0</v>
      </c>
      <c r="I28" s="276" t="n">
        <f aca="false" t="array" ref="I28:I28">-SUMPRODUCT((YEAR(Deposits!$K$7:$K$18)=I$5)*(Deposits!$R$7:$R$18="Connection fee")*Deposits!$M$7:$M$18)</f>
        <v>-0</v>
      </c>
      <c r="J28" s="276" t="n">
        <f aca="false" t="array" ref="J28:J28">-SUMPRODUCT((YEAR(Deposits!$K$7:$K$18)=J$5)*(Deposits!$R$7:$R$18="Connection fee")*Deposits!$M$7:$M$18)</f>
        <v>-0</v>
      </c>
      <c r="K28" s="276" t="n">
        <f aca="false" t="array" ref="K28:K28">-SUMPRODUCT((YEAR(Deposits!$K$7:$K$18)=K$5)*(Deposits!$R$7:$R$18="Connection fee")*Deposits!$M$7:$M$18)</f>
        <v>-19483.0232931507</v>
      </c>
      <c r="L28" s="276" t="n">
        <f aca="false" t="array" ref="L28:L28">-SUMPRODUCT((YEAR(Deposits!$K$7:$K$18)=L$5)*(Deposits!$R$7:$R$18="Connection fee")*Deposits!$M$7:$M$18)</f>
        <v>-0</v>
      </c>
      <c r="M28" s="276" t="n">
        <f aca="false" t="array" ref="M28:M28">-SUMPRODUCT((YEAR(Deposits!$K$7:$K$18)=M$5)*(Deposits!$R$7:$R$18="Connection fee")*Deposits!$M$7:$M$18)</f>
        <v>-0</v>
      </c>
      <c r="N28" s="276" t="n">
        <f aca="false" t="array" ref="N28:N28">-SUMPRODUCT((YEAR(Deposits!$K$7:$K$18)=N$5)*(Deposits!$R$7:$R$18="Connection fee")*Deposits!$M$7:$M$18)</f>
        <v>-0</v>
      </c>
      <c r="O28" s="276" t="n">
        <f aca="false" t="array" ref="O28:O28">-SUMPRODUCT((YEAR(Deposits!$K$7:$K$18)=O$5)*(Deposits!$R$7:$R$18="Connection fee")*Deposits!$M$7:$M$18)</f>
        <v>-0</v>
      </c>
      <c r="P28" s="276" t="n">
        <f aca="false" t="array" ref="P28:P28">-SUMPRODUCT((YEAR(Deposits!$K$7:$K$18)=P$5)*(Deposits!$R$7:$R$18="Connection fee")*Deposits!$M$7:$M$18)</f>
        <v>-0</v>
      </c>
      <c r="Q28" s="276" t="n">
        <f aca="false" t="array" ref="Q28:Q28">-SUMPRODUCT((YEAR(Deposits!$K$7:$K$18)=Q$5)*(Deposits!$R$7:$R$18="Connection fee")*Deposits!$M$7:$M$18)</f>
        <v>-0</v>
      </c>
      <c r="R28" s="276" t="n">
        <f aca="false" t="array" ref="R28:R28">-SUMPRODUCT((YEAR(Deposits!$K$7:$K$18)=R$5)*(Deposits!$R$7:$R$18="Connection fee")*Deposits!$M$7:$M$18)</f>
        <v>-0</v>
      </c>
      <c r="S28" s="276" t="n">
        <f aca="false" t="array" ref="S28:S28">-SUMPRODUCT((YEAR(Deposits!$K$7:$K$18)=S$5)*(Deposits!$R$7:$R$18="Connection fee")*Deposits!$M$7:$M$18)</f>
        <v>-0</v>
      </c>
      <c r="T28" s="276" t="n">
        <f aca="false" t="array" ref="T28:T28">-SUMPRODUCT((YEAR(Deposits!$K$7:$K$18)=T$5)*(Deposits!$R$7:$R$18="Connection fee")*Deposits!$M$7:$M$18)</f>
        <v>-0</v>
      </c>
      <c r="U28" s="276" t="n">
        <f aca="false" t="array" ref="U28:U28">-SUMPRODUCT((YEAR(Deposits!$K$7:$K$18)=U$5)*(Deposits!$R$7:$R$18="Connection fee")*Deposits!$M$7:$M$18)</f>
        <v>-0</v>
      </c>
      <c r="V28" s="276" t="n">
        <f aca="false" t="array" ref="V28:V28">-SUMPRODUCT((YEAR(Deposits!$K$7:$K$18)=V$5)*(Deposits!$R$7:$R$18="Connection fee")*Deposits!$M$7:$M$18)</f>
        <v>-0</v>
      </c>
      <c r="W28" s="276" t="n">
        <f aca="false" t="array" ref="W28:W28">-SUMPRODUCT((YEAR(Deposits!$K$7:$K$18)=W$5)*(Deposits!$R$7:$R$18="Connection fee")*Deposits!$M$7:$M$18)</f>
        <v>-0</v>
      </c>
      <c r="X28" s="276" t="n">
        <f aca="false" t="array" ref="X28:X28">-SUMPRODUCT((YEAR(Deposits!$K$7:$K$18)=X$5)*(Deposits!$R$7:$R$18="Connection fee")*Deposits!$M$7:$M$18)</f>
        <v>-0</v>
      </c>
      <c r="Y28" s="276" t="n">
        <f aca="false" t="array" ref="Y28:Y28">-SUMPRODUCT((YEAR(Deposits!$K$7:$K$18)=Y$5)*(Deposits!$R$7:$R$18="Connection fee")*Deposits!$M$7:$M$18)</f>
        <v>-0</v>
      </c>
      <c r="Z28" s="276" t="n">
        <f aca="false" t="array" ref="Z28:Z28">-SUMPRODUCT((YEAR(Deposits!$K$7:$K$18)=Z$5)*(Deposits!$R$7:$R$18="Connection fee")*Deposits!$M$7:$M$18)</f>
        <v>-0</v>
      </c>
      <c r="AA28" s="276" t="n">
        <f aca="false" t="array" ref="AA28:AA28">-SUMPRODUCT((YEAR(Deposits!$K$7:$K$18)=AA$5)*(Deposits!$R$7:$R$18="Connection fee")*Deposits!$M$7:$M$18)</f>
        <v>-0</v>
      </c>
      <c r="AB28" s="276" t="n">
        <f aca="false" t="array" ref="AB28:AB28">-SUMPRODUCT((YEAR(Deposits!$K$7:$K$18)=AB$5)*(Deposits!$R$7:$R$18="Connection fee")*Deposits!$M$7:$M$18)</f>
        <v>-0</v>
      </c>
      <c r="AC28" s="276" t="n">
        <f aca="false" t="array" ref="AC28:AC28">-SUMPRODUCT((YEAR(Deposits!$K$7:$K$18)=AC$5)*(Deposits!$R$7:$R$18="Connection fee")*Deposits!$M$7:$M$18)</f>
        <v>-0</v>
      </c>
      <c r="AD28" s="276" t="n">
        <f aca="false" t="array" ref="AD28:AD28">-SUMPRODUCT((YEAR(Deposits!$K$7:$K$18)=AD$5)*(Deposits!$R$7:$R$18="Connection fee")*Deposits!$M$7:$M$18)</f>
        <v>-0</v>
      </c>
      <c r="AE28" s="276" t="n">
        <f aca="false" t="array" ref="AE28:AE28">-SUMPRODUCT((YEAR(Deposits!$K$7:$K$18)=AE$5)*(Deposits!$R$7:$R$18="Connection fee")*Deposits!$M$7:$M$18)</f>
        <v>-0</v>
      </c>
      <c r="AF28" s="276" t="n">
        <f aca="false" t="array" ref="AF28:AF28">-SUMPRODUCT((YEAR(Deposits!$K$7:$K$18)=AF$5)*(Deposits!$R$7:$R$18="Connection fee")*Deposits!$M$7:$M$18)</f>
        <v>-0</v>
      </c>
      <c r="AG28" s="276" t="n">
        <f aca="false" t="array" ref="AG28:AG28">-SUMPRODUCT((YEAR(Deposits!$K$7:$K$18)=AG$5)*(Deposits!$R$7:$R$18="Connection fee")*Deposits!$M$7:$M$18)</f>
        <v>-0</v>
      </c>
      <c r="AH28" s="276" t="n">
        <f aca="false" t="array" ref="AH28:AH28">-SUMPRODUCT((YEAR(Deposits!$K$7:$K$18)=AH$5)*(Deposits!$R$7:$R$18="Connection fee")*Deposits!$M$7:$M$18)</f>
        <v>-0</v>
      </c>
      <c r="AI28" s="276" t="n">
        <f aca="false" t="array" ref="AI28:AI28">-SUMPRODUCT((YEAR(Deposits!$K$7:$K$18)=AI$5)*(Deposits!$R$7:$R$18="Connection fee")*Deposits!$M$7:$M$18)</f>
        <v>-0</v>
      </c>
      <c r="AJ28" s="276" t="n">
        <f aca="false" t="array" ref="AJ28:AJ28">-SUMPRODUCT((YEAR(Deposits!$K$7:$K$18)=AJ$5)*(Deposits!$R$7:$R$18="Connection fee")*Deposits!$M$7:$M$18)</f>
        <v>-0</v>
      </c>
      <c r="AK28" s="276" t="n">
        <f aca="false" t="array" ref="AK28:AK28">-SUMPRODUCT((YEAR(Deposits!$K$7:$K$18)=AK$5)*(Deposits!$R$7:$R$18="Connection fee")*Deposits!$M$7:$M$18)</f>
        <v>-0</v>
      </c>
      <c r="AL28" s="276" t="n">
        <f aca="false" t="array" ref="AL28:AL28">-SUMPRODUCT((YEAR(Deposits!$K$7:$K$18)=AL$5)*(Deposits!$R$7:$R$18="Connection fee")*Deposits!$M$7:$M$18)</f>
        <v>-0</v>
      </c>
      <c r="AM28" s="276" t="n">
        <f aca="false" t="array" ref="AM28:AM28">-SUMPRODUCT((YEAR(Deposits!$K$7:$K$18)=AM$5)*(Deposits!$R$7:$R$18="Connection fee")*Deposits!$M$7:$M$18)</f>
        <v>-0</v>
      </c>
      <c r="AN28" s="276" t="n">
        <f aca="false" t="array" ref="AN28:AN28">-SUMPRODUCT((YEAR(Deposits!$K$7:$K$18)=AN$5)*(Deposits!$R$7:$R$18="Connection fee")*Deposits!$M$7:$M$18)</f>
        <v>-0</v>
      </c>
      <c r="AO28" s="276" t="n">
        <f aca="false" t="array" ref="AO28:AO28">-SUMPRODUCT((YEAR(Deposits!$K$7:$K$18)=AO$5)*(Deposits!$R$7:$R$18="Connection fee")*Deposits!$M$7:$M$18)</f>
        <v>-0</v>
      </c>
      <c r="AP28" s="276" t="n">
        <f aca="false" t="array" ref="AP28:AP28">-SUMPRODUCT((YEAR(Deposits!$K$7:$K$18)=AP$5)*(Deposits!$R$7:$R$18="Connection fee")*Deposits!$M$7:$M$18)</f>
        <v>-0</v>
      </c>
      <c r="AQ28" s="276" t="n">
        <f aca="false" t="array" ref="AQ28:AQ28">-SUMPRODUCT((YEAR(Deposits!$K$7:$K$18)=AQ$5)*(Deposits!$R$7:$R$18="Connection fee")*Deposits!$M$7:$M$18)</f>
        <v>-0</v>
      </c>
    </row>
    <row r="29" customFormat="false" ht="15" hidden="false" customHeight="false" outlineLevel="0" collapsed="false">
      <c r="C29" s="0" t="s">
        <v>1219</v>
      </c>
      <c r="D29" s="0" t="s">
        <v>125</v>
      </c>
      <c r="E29" s="146"/>
      <c r="F29" s="146"/>
      <c r="G29" s="146" t="n">
        <f aca="false">SUM(H29:AQ29)</f>
        <v>-5000</v>
      </c>
      <c r="H29" s="276" t="n">
        <f aca="false">-IF(H5=YEAR(Inputs!$E$155),Inputs!$E$235*Dash_MVA,0)</f>
        <v>-0</v>
      </c>
      <c r="I29" s="276" t="n">
        <f aca="false">-IF(I5=YEAR(Inputs!$E$155),Inputs!$E$235*Dash_MVA,0)</f>
        <v>-0</v>
      </c>
      <c r="J29" s="276" t="n">
        <f aca="false">-IF(J5=YEAR(Inputs!$E$155),Inputs!$E$235*Dash_MVA,0)</f>
        <v>-0</v>
      </c>
      <c r="K29" s="276" t="n">
        <f aca="false">-IF(K5=YEAR(Inputs!$E$155),Inputs!$E$235*Dash_MVA,0)</f>
        <v>-0</v>
      </c>
      <c r="L29" s="276" t="n">
        <f aca="false">-IF(L5=YEAR(Inputs!$E$155),Inputs!$E$235*Dash_MVA,0)</f>
        <v>-0</v>
      </c>
      <c r="M29" s="276" t="n">
        <f aca="false">-IF(M5=YEAR(Inputs!$E$155),Inputs!$E$235*Dash_MVA,0)</f>
        <v>-5000</v>
      </c>
      <c r="N29" s="276" t="n">
        <f aca="false">-IF(N5=YEAR(Inputs!$E$155),Inputs!$E$235*Dash_MVA,0)</f>
        <v>-0</v>
      </c>
      <c r="O29" s="276" t="n">
        <f aca="false">-IF(O5=YEAR(Inputs!$E$155),Inputs!$E$235*Dash_MVA,0)</f>
        <v>-0</v>
      </c>
      <c r="P29" s="276" t="n">
        <f aca="false">-IF(P5=YEAR(Inputs!$E$155),Inputs!$E$235*Dash_MVA,0)</f>
        <v>-0</v>
      </c>
      <c r="Q29" s="276" t="n">
        <f aca="false">-IF(Q5=YEAR(Inputs!$E$155),Inputs!$E$235*Dash_MVA,0)</f>
        <v>-0</v>
      </c>
      <c r="R29" s="276" t="n">
        <f aca="false">-IF(R5=YEAR(Inputs!$E$155),Inputs!$E$235*Dash_MVA,0)</f>
        <v>-0</v>
      </c>
      <c r="S29" s="276" t="n">
        <f aca="false">-IF(S5=YEAR(Inputs!$E$155),Inputs!$E$235*Dash_MVA,0)</f>
        <v>-0</v>
      </c>
      <c r="T29" s="276" t="n">
        <f aca="false">-IF(T5=YEAR(Inputs!$E$155),Inputs!$E$235*Dash_MVA,0)</f>
        <v>-0</v>
      </c>
      <c r="U29" s="276" t="n">
        <f aca="false">-IF(U5=YEAR(Inputs!$E$155),Inputs!$E$235*Dash_MVA,0)</f>
        <v>-0</v>
      </c>
      <c r="V29" s="276" t="n">
        <f aca="false">-IF(V5=YEAR(Inputs!$E$155),Inputs!$E$235*Dash_MVA,0)</f>
        <v>-0</v>
      </c>
      <c r="W29" s="276" t="n">
        <f aca="false">-IF(W5=YEAR(Inputs!$E$155),Inputs!$E$235*Dash_MVA,0)</f>
        <v>-0</v>
      </c>
      <c r="X29" s="276" t="n">
        <f aca="false">-IF(X5=YEAR(Inputs!$E$155),Inputs!$E$235*Dash_MVA,0)</f>
        <v>-0</v>
      </c>
      <c r="Y29" s="276" t="n">
        <f aca="false">-IF(Y5=YEAR(Inputs!$E$155),Inputs!$E$235*Dash_MVA,0)</f>
        <v>-0</v>
      </c>
      <c r="Z29" s="276" t="n">
        <f aca="false">-IF(Z5=YEAR(Inputs!$E$155),Inputs!$E$235*Dash_MVA,0)</f>
        <v>-0</v>
      </c>
      <c r="AA29" s="276" t="n">
        <f aca="false">-IF(AA5=YEAR(Inputs!$E$155),Inputs!$E$235*Dash_MVA,0)</f>
        <v>-0</v>
      </c>
      <c r="AB29" s="276" t="n">
        <f aca="false">-IF(AB5=YEAR(Inputs!$E$155),Inputs!$E$235*Dash_MVA,0)</f>
        <v>-0</v>
      </c>
      <c r="AC29" s="276" t="n">
        <f aca="false">-IF(AC5=YEAR(Inputs!$E$155),Inputs!$E$235*Dash_MVA,0)</f>
        <v>-0</v>
      </c>
      <c r="AD29" s="276" t="n">
        <f aca="false">-IF(AD5=YEAR(Inputs!$E$155),Inputs!$E$235*Dash_MVA,0)</f>
        <v>-0</v>
      </c>
      <c r="AE29" s="276" t="n">
        <f aca="false">-IF(AE5=YEAR(Inputs!$E$155),Inputs!$E$235*Dash_MVA,0)</f>
        <v>-0</v>
      </c>
      <c r="AF29" s="276" t="n">
        <f aca="false">-IF(AF5=YEAR(Inputs!$E$155),Inputs!$E$235*Dash_MVA,0)</f>
        <v>-0</v>
      </c>
      <c r="AG29" s="276" t="n">
        <f aca="false">-IF(AG5=YEAR(Inputs!$E$155),Inputs!$E$235*Dash_MVA,0)</f>
        <v>-0</v>
      </c>
      <c r="AH29" s="276" t="n">
        <f aca="false">-IF(AH5=YEAR(Inputs!$E$155),Inputs!$E$235*Dash_MVA,0)</f>
        <v>-0</v>
      </c>
      <c r="AI29" s="276" t="n">
        <f aca="false">-IF(AI5=YEAR(Inputs!$E$155),Inputs!$E$235*Dash_MVA,0)</f>
        <v>-0</v>
      </c>
      <c r="AJ29" s="276" t="n">
        <f aca="false">-IF(AJ5=YEAR(Inputs!$E$155),Inputs!$E$235*Dash_MVA,0)</f>
        <v>-0</v>
      </c>
      <c r="AK29" s="276" t="n">
        <f aca="false">-IF(AK5=YEAR(Inputs!$E$155),Inputs!$E$235*Dash_MVA,0)</f>
        <v>-0</v>
      </c>
      <c r="AL29" s="276" t="n">
        <f aca="false">-IF(AL5=YEAR(Inputs!$E$155),Inputs!$E$235*Dash_MVA,0)</f>
        <v>-0</v>
      </c>
      <c r="AM29" s="276" t="n">
        <f aca="false">-IF(AM5=YEAR(Inputs!$E$155),Inputs!$E$235*Dash_MVA,0)</f>
        <v>-0</v>
      </c>
      <c r="AN29" s="276" t="n">
        <f aca="false">-IF(AN5=YEAR(Inputs!$E$155),Inputs!$E$235*Dash_MVA,0)</f>
        <v>-0</v>
      </c>
      <c r="AO29" s="276" t="n">
        <f aca="false">-IF(AO5=YEAR(Inputs!$E$155),Inputs!$E$235*Dash_MVA,0)</f>
        <v>-0</v>
      </c>
      <c r="AP29" s="276" t="n">
        <f aca="false">-IF(AP5=YEAR(Inputs!$E$155),Inputs!$E$235*Dash_MVA,0)</f>
        <v>-0</v>
      </c>
      <c r="AQ29" s="276" t="n">
        <f aca="false">-IF(AQ5=YEAR(Inputs!$E$155),Inputs!$E$235*Dash_MVA,0)</f>
        <v>-0</v>
      </c>
    </row>
    <row r="30" customFormat="false" ht="15" hidden="false" customHeight="false" outlineLevel="0" collapsed="false">
      <c r="C30" s="205" t="s">
        <v>1220</v>
      </c>
      <c r="D30" s="205" t="s">
        <v>125</v>
      </c>
      <c r="E30" s="277"/>
      <c r="F30" s="277"/>
      <c r="G30" s="277" t="n">
        <f aca="false">SUM(H30:AQ30)</f>
        <v>-164787.248293151</v>
      </c>
      <c r="H30" s="277" t="n">
        <f aca="false">H27+H28+H29</f>
        <v>-0</v>
      </c>
      <c r="I30" s="277" t="n">
        <f aca="false">I27+I28+I29</f>
        <v>-0</v>
      </c>
      <c r="J30" s="277" t="n">
        <f aca="false">J27+J28+J29</f>
        <v>-0</v>
      </c>
      <c r="K30" s="277" t="n">
        <f aca="false">K27+K28+K29</f>
        <v>-54847.3758958904</v>
      </c>
      <c r="L30" s="277" t="n">
        <f aca="false">L27+L28+L29</f>
        <v>-70152.1125</v>
      </c>
      <c r="M30" s="277" t="n">
        <f aca="false">M27+M28+M29</f>
        <v>-39787.7598972603</v>
      </c>
      <c r="N30" s="277" t="n">
        <f aca="false">N27+N28+N29</f>
        <v>-0</v>
      </c>
      <c r="O30" s="277" t="n">
        <f aca="false">O27+O28+O29</f>
        <v>-0</v>
      </c>
      <c r="P30" s="277" t="n">
        <f aca="false">P27+P28+P29</f>
        <v>-0</v>
      </c>
      <c r="Q30" s="277" t="n">
        <f aca="false">Q27+Q28+Q29</f>
        <v>-0</v>
      </c>
      <c r="R30" s="277" t="n">
        <f aca="false">R27+R28+R29</f>
        <v>-0</v>
      </c>
      <c r="S30" s="277" t="n">
        <f aca="false">S27+S28+S29</f>
        <v>-0</v>
      </c>
      <c r="T30" s="277" t="n">
        <f aca="false">T27+T28+T29</f>
        <v>-0</v>
      </c>
      <c r="U30" s="277" t="n">
        <f aca="false">U27+U28+U29</f>
        <v>-0</v>
      </c>
      <c r="V30" s="277" t="n">
        <f aca="false">V27+V28+V29</f>
        <v>-0</v>
      </c>
      <c r="W30" s="277" t="n">
        <f aca="false">W27+W28+W29</f>
        <v>-0</v>
      </c>
      <c r="X30" s="277" t="n">
        <f aca="false">X27+X28+X29</f>
        <v>-0</v>
      </c>
      <c r="Y30" s="277" t="n">
        <f aca="false">Y27+Y28+Y29</f>
        <v>-0</v>
      </c>
      <c r="Z30" s="277" t="n">
        <f aca="false">Z27+Z28+Z29</f>
        <v>-0</v>
      </c>
      <c r="AA30" s="277" t="n">
        <f aca="false">AA27+AA28+AA29</f>
        <v>-0</v>
      </c>
      <c r="AB30" s="277" t="n">
        <f aca="false">AB27+AB28+AB29</f>
        <v>-0</v>
      </c>
      <c r="AC30" s="277" t="n">
        <f aca="false">AC27+AC28+AC29</f>
        <v>-0</v>
      </c>
      <c r="AD30" s="277" t="n">
        <f aca="false">AD27+AD28+AD29</f>
        <v>-0</v>
      </c>
      <c r="AE30" s="277" t="n">
        <f aca="false">AE27+AE28+AE29</f>
        <v>-0</v>
      </c>
      <c r="AF30" s="277" t="n">
        <f aca="false">AF27+AF28+AF29</f>
        <v>-0</v>
      </c>
      <c r="AG30" s="277" t="n">
        <f aca="false">AG27+AG28+AG29</f>
        <v>-0</v>
      </c>
      <c r="AH30" s="277" t="n">
        <f aca="false">AH27+AH28+AH29</f>
        <v>-0</v>
      </c>
      <c r="AI30" s="277" t="n">
        <f aca="false">AI27+AI28+AI29</f>
        <v>-0</v>
      </c>
      <c r="AJ30" s="277" t="n">
        <f aca="false">AJ27+AJ28+AJ29</f>
        <v>-0</v>
      </c>
      <c r="AK30" s="277" t="n">
        <f aca="false">AK27+AK28+AK29</f>
        <v>-0</v>
      </c>
      <c r="AL30" s="277" t="n">
        <f aca="false">AL27+AL28+AL29</f>
        <v>-0</v>
      </c>
      <c r="AM30" s="277" t="n">
        <f aca="false">AM27+AM28+AM29</f>
        <v>-0</v>
      </c>
      <c r="AN30" s="277" t="n">
        <f aca="false">AN27+AN28+AN29</f>
        <v>-0</v>
      </c>
      <c r="AO30" s="277" t="n">
        <f aca="false">AO27+AO28+AO29</f>
        <v>-0</v>
      </c>
      <c r="AP30" s="277" t="n">
        <f aca="false">AP27+AP28+AP29</f>
        <v>-0</v>
      </c>
      <c r="AQ30" s="277" t="n">
        <f aca="false">AQ27+AQ28+AQ29</f>
        <v>-0</v>
      </c>
    </row>
    <row r="31" customFormat="false" ht="15" hidden="false" customHeight="false" outlineLevel="0" collapsed="false">
      <c r="C31" s="0" t="s">
        <v>1221</v>
      </c>
      <c r="D31" s="0" t="s">
        <v>125</v>
      </c>
      <c r="E31" s="146"/>
      <c r="F31" s="146"/>
      <c r="G31" s="146" t="n">
        <v>0</v>
      </c>
      <c r="H31" s="146" t="n">
        <f aca="false">G31+H30</f>
        <v>0</v>
      </c>
      <c r="I31" s="146" t="n">
        <f aca="false">H31+I30</f>
        <v>0</v>
      </c>
      <c r="J31" s="146" t="n">
        <f aca="false">I31+J30</f>
        <v>0</v>
      </c>
      <c r="K31" s="146" t="n">
        <f aca="false">J31+K30</f>
        <v>-54847.3758958904</v>
      </c>
      <c r="L31" s="146" t="n">
        <f aca="false">K31+L30</f>
        <v>-124999.48839589</v>
      </c>
      <c r="M31" s="146" t="n">
        <f aca="false">L31+M30</f>
        <v>-164787.248293151</v>
      </c>
      <c r="N31" s="146" t="n">
        <f aca="false">M31+N30</f>
        <v>-164787.248293151</v>
      </c>
      <c r="O31" s="146" t="n">
        <f aca="false">N31+O30</f>
        <v>-164787.248293151</v>
      </c>
      <c r="P31" s="146" t="n">
        <f aca="false">O31+P30</f>
        <v>-164787.248293151</v>
      </c>
      <c r="Q31" s="146" t="n">
        <f aca="false">P31+Q30</f>
        <v>-164787.248293151</v>
      </c>
      <c r="R31" s="146" t="n">
        <f aca="false">Q31+R30</f>
        <v>-164787.248293151</v>
      </c>
      <c r="S31" s="146" t="n">
        <f aca="false">R31+S30</f>
        <v>-164787.248293151</v>
      </c>
      <c r="T31" s="146" t="n">
        <f aca="false">S31+T30</f>
        <v>-164787.248293151</v>
      </c>
      <c r="U31" s="146" t="n">
        <f aca="false">T31+U30</f>
        <v>-164787.248293151</v>
      </c>
      <c r="V31" s="146" t="n">
        <f aca="false">U31+V30</f>
        <v>-164787.248293151</v>
      </c>
      <c r="W31" s="146" t="n">
        <f aca="false">V31+W30</f>
        <v>-164787.248293151</v>
      </c>
      <c r="X31" s="146" t="n">
        <f aca="false">W31+X30</f>
        <v>-164787.248293151</v>
      </c>
      <c r="Y31" s="146" t="n">
        <f aca="false">X31+Y30</f>
        <v>-164787.248293151</v>
      </c>
      <c r="Z31" s="146" t="n">
        <f aca="false">Y31+Z30</f>
        <v>-164787.248293151</v>
      </c>
      <c r="AA31" s="146" t="n">
        <f aca="false">Z31+AA30</f>
        <v>-164787.248293151</v>
      </c>
      <c r="AB31" s="146" t="n">
        <f aca="false">AA31+AB30</f>
        <v>-164787.248293151</v>
      </c>
      <c r="AC31" s="146" t="n">
        <f aca="false">AB31+AC30</f>
        <v>-164787.248293151</v>
      </c>
      <c r="AD31" s="146" t="n">
        <f aca="false">AC31+AD30</f>
        <v>-164787.248293151</v>
      </c>
      <c r="AE31" s="146" t="n">
        <f aca="false">AD31+AE30</f>
        <v>-164787.248293151</v>
      </c>
      <c r="AF31" s="146" t="n">
        <f aca="false">AE31+AF30</f>
        <v>-164787.248293151</v>
      </c>
      <c r="AG31" s="146" t="n">
        <f aca="false">AF31+AG30</f>
        <v>-164787.248293151</v>
      </c>
      <c r="AH31" s="146" t="n">
        <f aca="false">AG31+AH30</f>
        <v>-164787.248293151</v>
      </c>
      <c r="AI31" s="146" t="n">
        <f aca="false">AH31+AI30</f>
        <v>-164787.248293151</v>
      </c>
      <c r="AJ31" s="146" t="n">
        <f aca="false">AI31+AJ30</f>
        <v>-164787.248293151</v>
      </c>
      <c r="AK31" s="146" t="n">
        <f aca="false">AJ31+AK30</f>
        <v>-164787.248293151</v>
      </c>
      <c r="AL31" s="146" t="n">
        <f aca="false">AK31+AL30</f>
        <v>-164787.248293151</v>
      </c>
      <c r="AM31" s="146" t="n">
        <f aca="false">AL31+AM30</f>
        <v>-164787.248293151</v>
      </c>
      <c r="AN31" s="146" t="n">
        <f aca="false">AM31+AN30</f>
        <v>-164787.248293151</v>
      </c>
      <c r="AO31" s="146" t="n">
        <f aca="false">AN31+AO30</f>
        <v>-164787.248293151</v>
      </c>
      <c r="AP31" s="146" t="n">
        <f aca="false">AO31+AP30</f>
        <v>-164787.248293151</v>
      </c>
      <c r="AQ31" s="146" t="n">
        <f aca="false">AP31+AQ30</f>
        <v>-164787.248293151</v>
      </c>
    </row>
    <row r="32" customFormat="false" ht="15" hidden="false" customHeight="false" outlineLevel="0" collapsed="false">
      <c r="C32" s="0" t="s">
        <v>1222</v>
      </c>
      <c r="D32" s="0" t="s">
        <v>11</v>
      </c>
      <c r="E32" s="146"/>
      <c r="F32" s="146"/>
      <c r="G32" s="146" t="n">
        <f aca="false">-G30/In_Wind_Built</f>
        <v>1212.5625334301</v>
      </c>
      <c r="H32" s="146"/>
      <c r="I32" s="146"/>
      <c r="J32" s="146"/>
      <c r="K32" s="146"/>
      <c r="L32" s="146"/>
      <c r="M32" s="146"/>
      <c r="N32" s="146"/>
      <c r="O32" s="146"/>
      <c r="P32" s="146"/>
      <c r="Q32" s="146"/>
      <c r="R32" s="146"/>
      <c r="S32" s="146"/>
      <c r="T32" s="146"/>
      <c r="U32" s="146"/>
      <c r="V32" s="146"/>
      <c r="W32" s="146"/>
      <c r="X32" s="146"/>
      <c r="Y32" s="146"/>
      <c r="Z32" s="146"/>
      <c r="AA32" s="146"/>
      <c r="AB32" s="146"/>
      <c r="AC32" s="146"/>
      <c r="AD32" s="146"/>
      <c r="AE32" s="146"/>
      <c r="AF32" s="146"/>
      <c r="AG32" s="146"/>
      <c r="AH32" s="146"/>
      <c r="AI32" s="146"/>
      <c r="AJ32" s="146"/>
      <c r="AK32" s="146"/>
      <c r="AL32" s="146"/>
      <c r="AM32" s="146"/>
      <c r="AN32" s="146"/>
      <c r="AO32" s="146"/>
      <c r="AP32" s="146"/>
      <c r="AQ32" s="146"/>
    </row>
    <row r="33" customFormat="false" ht="15" hidden="false" customHeight="false" outlineLevel="0" collapsed="false">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146"/>
      <c r="AD33" s="146"/>
      <c r="AE33" s="146"/>
      <c r="AF33" s="146"/>
      <c r="AG33" s="146"/>
      <c r="AH33" s="146"/>
      <c r="AI33" s="146"/>
      <c r="AJ33" s="146"/>
      <c r="AK33" s="146"/>
      <c r="AL33" s="146"/>
      <c r="AM33" s="146"/>
      <c r="AN33" s="146"/>
      <c r="AO33" s="146"/>
      <c r="AP33" s="146"/>
      <c r="AQ33" s="146"/>
    </row>
    <row r="34" customFormat="false" ht="15" hidden="false" customHeight="false" outlineLevel="0" collapsed="false">
      <c r="C34" s="136" t="s">
        <v>1223</v>
      </c>
      <c r="D34" s="136"/>
      <c r="E34" s="278"/>
      <c r="F34" s="278"/>
      <c r="G34" s="278"/>
      <c r="H34" s="278"/>
      <c r="I34" s="278"/>
      <c r="J34" s="278"/>
      <c r="K34" s="278"/>
      <c r="L34" s="278"/>
      <c r="M34" s="278"/>
      <c r="N34" s="278"/>
      <c r="O34" s="278"/>
      <c r="P34" s="278"/>
      <c r="Q34" s="278"/>
      <c r="R34" s="278"/>
      <c r="S34" s="278"/>
      <c r="T34" s="278"/>
      <c r="U34" s="278"/>
      <c r="V34" s="278"/>
      <c r="W34" s="278"/>
      <c r="X34" s="278"/>
      <c r="Y34" s="278"/>
      <c r="Z34" s="278"/>
      <c r="AA34" s="278"/>
      <c r="AB34" s="278"/>
      <c r="AC34" s="278"/>
      <c r="AD34" s="278"/>
      <c r="AE34" s="278"/>
      <c r="AF34" s="278"/>
      <c r="AG34" s="278"/>
      <c r="AH34" s="278"/>
      <c r="AI34" s="278"/>
      <c r="AJ34" s="278"/>
      <c r="AK34" s="278"/>
      <c r="AL34" s="278"/>
      <c r="AM34" s="278"/>
      <c r="AN34" s="278"/>
      <c r="AO34" s="278"/>
      <c r="AP34" s="278"/>
      <c r="AQ34" s="278"/>
    </row>
    <row r="35" customFormat="false" ht="15" hidden="false" customHeight="false" outlineLevel="0" collapsed="false">
      <c r="C35" s="0" t="s">
        <v>1224</v>
      </c>
      <c r="D35" s="0" t="s">
        <v>84</v>
      </c>
      <c r="E35" s="153" t="n">
        <f aca="false">In_Wind_Built</f>
        <v>135.9</v>
      </c>
      <c r="F35" s="146"/>
      <c r="G35" s="146"/>
      <c r="H35" s="146" t="n">
        <f aca="false">$E$35*IF(H10&gt;0,1,0)</f>
        <v>0</v>
      </c>
      <c r="I35" s="146" t="n">
        <f aca="false">$E$35*IF(I10&gt;0,1,0)</f>
        <v>0</v>
      </c>
      <c r="J35" s="146" t="n">
        <f aca="false">$E$35*IF(J10&gt;0,1,0)</f>
        <v>0</v>
      </c>
      <c r="K35" s="146" t="n">
        <f aca="false">$E$35*IF(K10&gt;0,1,0)</f>
        <v>0</v>
      </c>
      <c r="L35" s="146" t="n">
        <f aca="false">$E$35*IF(L10&gt;0,1,0)</f>
        <v>0</v>
      </c>
      <c r="M35" s="146" t="n">
        <f aca="false">$E$35*IF(M10&gt;0,1,0)</f>
        <v>135.9</v>
      </c>
      <c r="N35" s="146" t="n">
        <f aca="false">$E$35*IF(N10&gt;0,1,0)</f>
        <v>135.9</v>
      </c>
      <c r="O35" s="146" t="n">
        <f aca="false">$E$35*IF(O10&gt;0,1,0)</f>
        <v>135.9</v>
      </c>
      <c r="P35" s="146" t="n">
        <f aca="false">$E$35*IF(P10&gt;0,1,0)</f>
        <v>135.9</v>
      </c>
      <c r="Q35" s="146" t="n">
        <f aca="false">$E$35*IF(Q10&gt;0,1,0)</f>
        <v>135.9</v>
      </c>
      <c r="R35" s="146" t="n">
        <f aca="false">$E$35*IF(R10&gt;0,1,0)</f>
        <v>135.9</v>
      </c>
      <c r="S35" s="146" t="n">
        <f aca="false">$E$35*IF(S10&gt;0,1,0)</f>
        <v>135.9</v>
      </c>
      <c r="T35" s="146" t="n">
        <f aca="false">$E$35*IF(T10&gt;0,1,0)</f>
        <v>135.9</v>
      </c>
      <c r="U35" s="146" t="n">
        <f aca="false">$E$35*IF(U10&gt;0,1,0)</f>
        <v>135.9</v>
      </c>
      <c r="V35" s="146" t="n">
        <f aca="false">$E$35*IF(V10&gt;0,1,0)</f>
        <v>135.9</v>
      </c>
      <c r="W35" s="146" t="n">
        <f aca="false">$E$35*IF(W10&gt;0,1,0)</f>
        <v>135.9</v>
      </c>
      <c r="X35" s="146" t="n">
        <f aca="false">$E$35*IF(X10&gt;0,1,0)</f>
        <v>135.9</v>
      </c>
      <c r="Y35" s="146" t="n">
        <f aca="false">$E$35*IF(Y10&gt;0,1,0)</f>
        <v>135.9</v>
      </c>
      <c r="Z35" s="146" t="n">
        <f aca="false">$E$35*IF(Z10&gt;0,1,0)</f>
        <v>135.9</v>
      </c>
      <c r="AA35" s="146" t="n">
        <f aca="false">$E$35*IF(AA10&gt;0,1,0)</f>
        <v>135.9</v>
      </c>
      <c r="AB35" s="146" t="n">
        <f aca="false">$E$35*IF(AB10&gt;0,1,0)</f>
        <v>135.9</v>
      </c>
      <c r="AC35" s="146" t="n">
        <f aca="false">$E$35*IF(AC10&gt;0,1,0)</f>
        <v>135.9</v>
      </c>
      <c r="AD35" s="146" t="n">
        <f aca="false">$E$35*IF(AD10&gt;0,1,0)</f>
        <v>135.9</v>
      </c>
      <c r="AE35" s="146" t="n">
        <f aca="false">$E$35*IF(AE10&gt;0,1,0)</f>
        <v>135.9</v>
      </c>
      <c r="AF35" s="146" t="n">
        <f aca="false">$E$35*IF(AF10&gt;0,1,0)</f>
        <v>135.9</v>
      </c>
      <c r="AG35" s="146" t="n">
        <f aca="false">$E$35*IF(AG10&gt;0,1,0)</f>
        <v>135.9</v>
      </c>
      <c r="AH35" s="146" t="n">
        <f aca="false">$E$35*IF(AH10&gt;0,1,0)</f>
        <v>135.9</v>
      </c>
      <c r="AI35" s="146" t="n">
        <f aca="false">$E$35*IF(AI10&gt;0,1,0)</f>
        <v>135.9</v>
      </c>
      <c r="AJ35" s="146" t="n">
        <f aca="false">$E$35*IF(AJ10&gt;0,1,0)</f>
        <v>135.9</v>
      </c>
      <c r="AK35" s="146" t="n">
        <f aca="false">$E$35*IF(AK10&gt;0,1,0)</f>
        <v>135.9</v>
      </c>
      <c r="AL35" s="146" t="n">
        <f aca="false">$E$35*IF(AL10&gt;0,1,0)</f>
        <v>135.9</v>
      </c>
      <c r="AM35" s="146" t="n">
        <f aca="false">$E$35*IF(AM10&gt;0,1,0)</f>
        <v>135.9</v>
      </c>
      <c r="AN35" s="146" t="n">
        <f aca="false">$E$35*IF(AN10&gt;0,1,0)</f>
        <v>135.9</v>
      </c>
      <c r="AO35" s="146" t="n">
        <f aca="false">$E$35*IF(AO10&gt;0,1,0)</f>
        <v>135.9</v>
      </c>
      <c r="AP35" s="146" t="n">
        <f aca="false">$E$35*IF(AP10&gt;0,1,0)</f>
        <v>135.9</v>
      </c>
      <c r="AQ35" s="146" t="n">
        <f aca="false">$E$35*IF(AQ10&gt;0,1,0)</f>
        <v>135.9</v>
      </c>
    </row>
    <row r="36" customFormat="false" ht="15" hidden="false" customHeight="false" outlineLevel="0" collapsed="false">
      <c r="C36" s="0" t="s">
        <v>1225</v>
      </c>
      <c r="D36" s="0" t="s">
        <v>653</v>
      </c>
      <c r="E36" s="138" t="n">
        <f aca="false">Inputs!$E$181*(1-Inputs!$E$182)*(1-Inputs!$E$183)*Inputs!$E$185*In_Bottleneck_Factor</f>
        <v>2206.505</v>
      </c>
      <c r="F36" s="65"/>
      <c r="G36" s="158"/>
      <c r="H36" s="158" t="n">
        <f aca="false">$E$36</f>
        <v>2206.505</v>
      </c>
      <c r="I36" s="158" t="n">
        <f aca="false">$E$36</f>
        <v>2206.505</v>
      </c>
      <c r="J36" s="158" t="n">
        <f aca="false">$E$36</f>
        <v>2206.505</v>
      </c>
      <c r="K36" s="158" t="n">
        <f aca="false">$E$36</f>
        <v>2206.505</v>
      </c>
      <c r="L36" s="158" t="n">
        <f aca="false">$E$36</f>
        <v>2206.505</v>
      </c>
      <c r="M36" s="158" t="n">
        <f aca="false">$E$36</f>
        <v>2206.505</v>
      </c>
      <c r="N36" s="158" t="n">
        <f aca="false">$E$36</f>
        <v>2206.505</v>
      </c>
      <c r="O36" s="158" t="n">
        <f aca="false">$E$36</f>
        <v>2206.505</v>
      </c>
      <c r="P36" s="158" t="n">
        <f aca="false">$E$36</f>
        <v>2206.505</v>
      </c>
      <c r="Q36" s="158" t="n">
        <f aca="false">$E$36</f>
        <v>2206.505</v>
      </c>
      <c r="R36" s="158" t="n">
        <f aca="false">$E$36</f>
        <v>2206.505</v>
      </c>
      <c r="S36" s="158" t="n">
        <f aca="false">$E$36</f>
        <v>2206.505</v>
      </c>
      <c r="T36" s="158" t="n">
        <f aca="false">$E$36</f>
        <v>2206.505</v>
      </c>
      <c r="U36" s="158" t="n">
        <f aca="false">$E$36</f>
        <v>2206.505</v>
      </c>
      <c r="V36" s="158" t="n">
        <f aca="false">$E$36</f>
        <v>2206.505</v>
      </c>
      <c r="W36" s="158" t="n">
        <f aca="false">$E$36</f>
        <v>2206.505</v>
      </c>
      <c r="X36" s="158" t="n">
        <f aca="false">$E$36</f>
        <v>2206.505</v>
      </c>
      <c r="Y36" s="158" t="n">
        <f aca="false">$E$36</f>
        <v>2206.505</v>
      </c>
      <c r="Z36" s="158" t="n">
        <f aca="false">$E$36</f>
        <v>2206.505</v>
      </c>
      <c r="AA36" s="158" t="n">
        <f aca="false">$E$36</f>
        <v>2206.505</v>
      </c>
      <c r="AB36" s="158" t="n">
        <f aca="false">$E$36</f>
        <v>2206.505</v>
      </c>
      <c r="AC36" s="158" t="n">
        <f aca="false">$E$36</f>
        <v>2206.505</v>
      </c>
      <c r="AD36" s="158" t="n">
        <f aca="false">$E$36</f>
        <v>2206.505</v>
      </c>
      <c r="AE36" s="158" t="n">
        <f aca="false">$E$36</f>
        <v>2206.505</v>
      </c>
      <c r="AF36" s="158" t="n">
        <f aca="false">$E$36</f>
        <v>2206.505</v>
      </c>
      <c r="AG36" s="158" t="n">
        <f aca="false">$E$36</f>
        <v>2206.505</v>
      </c>
      <c r="AH36" s="158" t="n">
        <f aca="false">$E$36</f>
        <v>2206.505</v>
      </c>
      <c r="AI36" s="158" t="n">
        <f aca="false">$E$36</f>
        <v>2206.505</v>
      </c>
      <c r="AJ36" s="158" t="n">
        <f aca="false">$E$36</f>
        <v>2206.505</v>
      </c>
      <c r="AK36" s="158" t="n">
        <f aca="false">$E$36</f>
        <v>2206.505</v>
      </c>
      <c r="AL36" s="158" t="n">
        <f aca="false">$E$36</f>
        <v>2206.505</v>
      </c>
      <c r="AM36" s="158" t="n">
        <f aca="false">$E$36</f>
        <v>2206.505</v>
      </c>
      <c r="AN36" s="158" t="n">
        <f aca="false">$E$36</f>
        <v>2206.505</v>
      </c>
      <c r="AO36" s="158" t="n">
        <f aca="false">$E$36</f>
        <v>2206.505</v>
      </c>
      <c r="AP36" s="158" t="n">
        <f aca="false">$E$36</f>
        <v>2206.505</v>
      </c>
      <c r="AQ36" s="158" t="n">
        <f aca="false">$E$36</f>
        <v>2206.505</v>
      </c>
    </row>
    <row r="37" customFormat="false" ht="15" hidden="false" customHeight="false" outlineLevel="0" collapsed="false">
      <c r="C37" s="0" t="s">
        <v>1226</v>
      </c>
      <c r="D37" s="0" t="s">
        <v>7</v>
      </c>
      <c r="E37" s="44" t="n">
        <f aca="false">Inputs!$E$184</f>
        <v>0.003</v>
      </c>
      <c r="F37" s="146"/>
      <c r="G37" s="158"/>
      <c r="H37" s="158" t="n">
        <f aca="false">IF(H10&gt;0,(1-$E$37)^MAX(H9-1,0),0)</f>
        <v>0</v>
      </c>
      <c r="I37" s="158" t="n">
        <f aca="false">IF(I10&gt;0,(1-$E$37)^MAX(I9-1,0),0)</f>
        <v>0</v>
      </c>
      <c r="J37" s="158" t="n">
        <f aca="false">IF(J10&gt;0,(1-$E$37)^MAX(J9-1,0),0)</f>
        <v>0</v>
      </c>
      <c r="K37" s="158" t="n">
        <f aca="false">IF(K10&gt;0,(1-$E$37)^MAX(K9-1,0),0)</f>
        <v>0</v>
      </c>
      <c r="L37" s="158" t="n">
        <f aca="false">IF(L10&gt;0,(1-$E$37)^MAX(L9-1,0),0)</f>
        <v>0</v>
      </c>
      <c r="M37" s="158" t="n">
        <f aca="false">IF(M10&gt;0,(1-$E$37)^MAX(M9-1,0),0)</f>
        <v>1</v>
      </c>
      <c r="N37" s="158" t="n">
        <f aca="false">IF(N10&gt;0,(1-$E$37)^MAX(N9-1,0),0)</f>
        <v>1</v>
      </c>
      <c r="O37" s="158" t="n">
        <f aca="false">IF(O10&gt;0,(1-$E$37)^MAX(O9-1,0),0)</f>
        <v>0.997</v>
      </c>
      <c r="P37" s="158" t="n">
        <f aca="false">IF(P10&gt;0,(1-$E$37)^MAX(P9-1,0),0)</f>
        <v>0.994009</v>
      </c>
      <c r="Q37" s="158" t="n">
        <f aca="false">IF(Q10&gt;0,(1-$E$37)^MAX(Q9-1,0),0)</f>
        <v>0.991026973</v>
      </c>
      <c r="R37" s="158" t="n">
        <f aca="false">IF(R10&gt;0,(1-$E$37)^MAX(R9-1,0),0)</f>
        <v>0.988053892081</v>
      </c>
      <c r="S37" s="158" t="n">
        <f aca="false">IF(S10&gt;0,(1-$E$37)^MAX(S9-1,0),0)</f>
        <v>0.985089730404757</v>
      </c>
      <c r="T37" s="158" t="n">
        <f aca="false">IF(T10&gt;0,(1-$E$37)^MAX(T9-1,0),0)</f>
        <v>0.982134461213543</v>
      </c>
      <c r="U37" s="158" t="n">
        <f aca="false">IF(U10&gt;0,(1-$E$37)^MAX(U9-1,0),0)</f>
        <v>0.979188057829902</v>
      </c>
      <c r="V37" s="158" t="n">
        <f aca="false">IF(V10&gt;0,(1-$E$37)^MAX(V9-1,0),0)</f>
        <v>0.976250493656412</v>
      </c>
      <c r="W37" s="158" t="n">
        <f aca="false">IF(W10&gt;0,(1-$E$37)^MAX(W9-1,0),0)</f>
        <v>0.973321742175443</v>
      </c>
      <c r="X37" s="158" t="n">
        <f aca="false">IF(X10&gt;0,(1-$E$37)^MAX(X9-1,0),0)</f>
        <v>0.970401776948917</v>
      </c>
      <c r="Y37" s="158" t="n">
        <f aca="false">IF(Y10&gt;0,(1-$E$37)^MAX(Y9-1,0),0)</f>
        <v>0.96749057161807</v>
      </c>
      <c r="Z37" s="158" t="n">
        <f aca="false">IF(Z10&gt;0,(1-$E$37)^MAX(Z9-1,0),0)</f>
        <v>0.964588099903216</v>
      </c>
      <c r="AA37" s="158" t="n">
        <f aca="false">IF(AA10&gt;0,(1-$E$37)^MAX(AA9-1,0),0)</f>
        <v>0.961694335603506</v>
      </c>
      <c r="AB37" s="158" t="n">
        <f aca="false">IF(AB10&gt;0,(1-$E$37)^MAX(AB9-1,0),0)</f>
        <v>0.958809252596696</v>
      </c>
      <c r="AC37" s="158" t="n">
        <f aca="false">IF(AC10&gt;0,(1-$E$37)^MAX(AC9-1,0),0)</f>
        <v>0.955932824838906</v>
      </c>
      <c r="AD37" s="158" t="n">
        <f aca="false">IF(AD10&gt;0,(1-$E$37)^MAX(AD9-1,0),0)</f>
        <v>0.953065026364389</v>
      </c>
      <c r="AE37" s="158" t="n">
        <f aca="false">IF(AE10&gt;0,(1-$E$37)^MAX(AE9-1,0),0)</f>
        <v>0.950205831285296</v>
      </c>
      <c r="AF37" s="158" t="n">
        <f aca="false">IF(AF10&gt;0,(1-$E$37)^MAX(AF9-1,0),0)</f>
        <v>0.94735521379144</v>
      </c>
      <c r="AG37" s="158" t="n">
        <f aca="false">IF(AG10&gt;0,(1-$E$37)^MAX(AG9-1,0),0)</f>
        <v>0.944513148150066</v>
      </c>
      <c r="AH37" s="158" t="n">
        <f aca="false">IF(AH10&gt;0,(1-$E$37)^MAX(AH9-1,0),0)</f>
        <v>0.941679608705615</v>
      </c>
      <c r="AI37" s="158" t="n">
        <f aca="false">IF(AI10&gt;0,(1-$E$37)^MAX(AI9-1,0),0)</f>
        <v>0.938854569879498</v>
      </c>
      <c r="AJ37" s="158" t="n">
        <f aca="false">IF(AJ10&gt;0,(1-$E$37)^MAX(AJ9-1,0),0)</f>
        <v>0.93603800616986</v>
      </c>
      <c r="AK37" s="158" t="n">
        <f aca="false">IF(AK10&gt;0,(1-$E$37)^MAX(AK9-1,0),0)</f>
        <v>0.93322989215135</v>
      </c>
      <c r="AL37" s="158" t="n">
        <f aca="false">IF(AL10&gt;0,(1-$E$37)^MAX(AL9-1,0),0)</f>
        <v>0.930430202474896</v>
      </c>
      <c r="AM37" s="158" t="n">
        <f aca="false">IF(AM10&gt;0,(1-$E$37)^MAX(AM9-1,0),0)</f>
        <v>0.927638911867472</v>
      </c>
      <c r="AN37" s="158" t="n">
        <f aca="false">IF(AN10&gt;0,(1-$E$37)^MAX(AN9-1,0),0)</f>
        <v>0.924855995131869</v>
      </c>
      <c r="AO37" s="158" t="n">
        <f aca="false">IF(AO10&gt;0,(1-$E$37)^MAX(AO9-1,0),0)</f>
        <v>0.922081427146474</v>
      </c>
      <c r="AP37" s="158" t="n">
        <f aca="false">IF(AP10&gt;0,(1-$E$37)^MAX(AP9-1,0),0)</f>
        <v>0.919315182865034</v>
      </c>
      <c r="AQ37" s="158" t="n">
        <f aca="false">IF(AQ10&gt;0,(1-$E$37)^MAX(AQ9-1,0),0)</f>
        <v>0.916557237316439</v>
      </c>
    </row>
    <row r="38" customFormat="false" ht="15" hidden="false" customHeight="false" outlineLevel="0" collapsed="false">
      <c r="C38" s="205" t="s">
        <v>1227</v>
      </c>
      <c r="D38" s="205" t="s">
        <v>116</v>
      </c>
      <c r="E38" s="277"/>
      <c r="F38" s="277"/>
      <c r="G38" s="269" t="n">
        <f aca="false">SUM(H38:AQ38)</f>
        <v>8627.84763827615</v>
      </c>
      <c r="H38" s="251" t="n">
        <f aca="false">H35*H36*H37*H10/1000</f>
        <v>0</v>
      </c>
      <c r="I38" s="251" t="n">
        <f aca="false">I35*I36*I37*I10/1000</f>
        <v>0</v>
      </c>
      <c r="J38" s="251" t="n">
        <f aca="false">J35*J36*J37*J10/1000</f>
        <v>0</v>
      </c>
      <c r="K38" s="251" t="n">
        <f aca="false">K35*K36*K37*K10/1000</f>
        <v>0</v>
      </c>
      <c r="L38" s="251" t="n">
        <f aca="false">L35*L36*L37*L10/1000</f>
        <v>0</v>
      </c>
      <c r="M38" s="251" t="n">
        <f aca="false">M35*M36*M37*M10/1000</f>
        <v>149.93201475</v>
      </c>
      <c r="N38" s="251" t="n">
        <f aca="false">N35*N36*N37*N10/1000</f>
        <v>299.8640295</v>
      </c>
      <c r="O38" s="251" t="n">
        <f aca="false">O35*O36*O37*O10/1000</f>
        <v>298.9644374115</v>
      </c>
      <c r="P38" s="251" t="n">
        <f aca="false">P35*P36*P37*P10/1000</f>
        <v>298.067544099266</v>
      </c>
      <c r="Q38" s="251" t="n">
        <f aca="false">Q35*Q36*Q37*Q10/1000</f>
        <v>297.173341466968</v>
      </c>
      <c r="R38" s="251" t="n">
        <f aca="false">R35*R36*R37*R10/1000</f>
        <v>296.281821442567</v>
      </c>
      <c r="S38" s="251" t="n">
        <f aca="false">S35*S36*S37*S10/1000</f>
        <v>295.392975978239</v>
      </c>
      <c r="T38" s="251" t="n">
        <f aca="false">T35*T36*T37*T10/1000</f>
        <v>294.506797050304</v>
      </c>
      <c r="U38" s="251" t="n">
        <f aca="false">U35*U36*U37*U10/1000</f>
        <v>293.623276659154</v>
      </c>
      <c r="V38" s="251" t="n">
        <f aca="false">V35*V36*V37*V10/1000</f>
        <v>292.742406829176</v>
      </c>
      <c r="W38" s="251" t="n">
        <f aca="false">W35*W36*W37*W10/1000</f>
        <v>291.864179608688</v>
      </c>
      <c r="X38" s="251" t="n">
        <f aca="false">X35*X36*X37*X10/1000</f>
        <v>290.988587069862</v>
      </c>
      <c r="Y38" s="251" t="n">
        <f aca="false">Y35*Y36*Y37*Y10/1000</f>
        <v>290.115621308653</v>
      </c>
      <c r="Z38" s="251" t="n">
        <f aca="false">Z35*Z36*Z37*Z10/1000</f>
        <v>289.245274444727</v>
      </c>
      <c r="AA38" s="251" t="n">
        <f aca="false">AA35*AA36*AA37*AA10/1000</f>
        <v>288.377538621393</v>
      </c>
      <c r="AB38" s="251" t="n">
        <f aca="false">AB35*AB36*AB37*AB10/1000</f>
        <v>287.512406005529</v>
      </c>
      <c r="AC38" s="251" t="n">
        <f aca="false">AC35*AC36*AC37*AC10/1000</f>
        <v>286.649868787512</v>
      </c>
      <c r="AD38" s="251" t="n">
        <f aca="false">AD35*AD36*AD37*AD10/1000</f>
        <v>285.789919181149</v>
      </c>
      <c r="AE38" s="251" t="n">
        <f aca="false">AE35*AE36*AE37*AE10/1000</f>
        <v>284.932549423606</v>
      </c>
      <c r="AF38" s="251" t="n">
        <f aca="false">AF35*AF36*AF37*AF10/1000</f>
        <v>284.077751775335</v>
      </c>
      <c r="AG38" s="251" t="n">
        <f aca="false">AG35*AG36*AG37*AG10/1000</f>
        <v>283.225518520009</v>
      </c>
      <c r="AH38" s="251" t="n">
        <f aca="false">AH35*AH36*AH37*AH10/1000</f>
        <v>282.375841964449</v>
      </c>
      <c r="AI38" s="251" t="n">
        <f aca="false">AI35*AI36*AI37*AI10/1000</f>
        <v>281.528714438556</v>
      </c>
      <c r="AJ38" s="251" t="n">
        <f aca="false">AJ35*AJ36*AJ37*AJ10/1000</f>
        <v>280.68412829524</v>
      </c>
      <c r="AK38" s="251" t="n">
        <f aca="false">AK35*AK36*AK37*AK10/1000</f>
        <v>279.842075910354</v>
      </c>
      <c r="AL38" s="251" t="n">
        <f aca="false">AL35*AL36*AL37*AL10/1000</f>
        <v>279.002549682623</v>
      </c>
      <c r="AM38" s="251" t="n">
        <f aca="false">AM35*AM36*AM37*AM10/1000</f>
        <v>278.165542033575</v>
      </c>
      <c r="AN38" s="251" t="n">
        <f aca="false">AN35*AN36*AN37*AN10/1000</f>
        <v>277.331045407475</v>
      </c>
      <c r="AO38" s="251" t="n">
        <f aca="false">AO35*AO36*AO37*AO10/1000</f>
        <v>276.499052271252</v>
      </c>
      <c r="AP38" s="251" t="n">
        <f aca="false">AP35*AP36*AP37*AP10/1000</f>
        <v>275.669555114439</v>
      </c>
      <c r="AQ38" s="251" t="n">
        <f aca="false">AQ35*AQ36*AQ37*AQ10/1000</f>
        <v>137.421273224548</v>
      </c>
    </row>
    <row r="39" customFormat="false" ht="15" hidden="false" customHeight="false" outlineLevel="0" collapsed="false">
      <c r="C39" s="0" t="s">
        <v>1228</v>
      </c>
      <c r="D39" s="0" t="s">
        <v>51</v>
      </c>
      <c r="E39" s="146"/>
      <c r="F39" s="146"/>
      <c r="G39" s="141"/>
      <c r="H39" s="141" t="str">
        <f aca="false">IF(H8=1,H38*1000/(H35*8760),"")</f>
        <v/>
      </c>
      <c r="I39" s="141" t="str">
        <f aca="false">IF(I8=1,I38*1000/(I35*8760),"")</f>
        <v/>
      </c>
      <c r="J39" s="141" t="str">
        <f aca="false">IF(J8=1,J38*1000/(J35*8760),"")</f>
        <v/>
      </c>
      <c r="K39" s="141" t="str">
        <f aca="false">IF(K8=1,K38*1000/(K35*8760),"")</f>
        <v/>
      </c>
      <c r="L39" s="141" t="str">
        <f aca="false">IF(L8=1,L38*1000/(L35*8760),"")</f>
        <v/>
      </c>
      <c r="M39" s="141" t="str">
        <f aca="false">IF(M8=1,M38*1000/(M35*8760),"")</f>
        <v/>
      </c>
      <c r="N39" s="141" t="n">
        <f aca="false">IF(N8=1,N38*1000/(N35*8760),"")</f>
        <v>0.251884132420091</v>
      </c>
      <c r="O39" s="141" t="n">
        <f aca="false">IF(O8=1,O38*1000/(O35*8760),"")</f>
        <v>0.251128480022831</v>
      </c>
      <c r="P39" s="141" t="n">
        <f aca="false">IF(P8=1,P38*1000/(P35*8760),"")</f>
        <v>0.250375094582763</v>
      </c>
      <c r="Q39" s="141" t="n">
        <f aca="false">IF(Q8=1,Q38*1000/(Q35*8760),"")</f>
        <v>0.249623969299014</v>
      </c>
      <c r="R39" s="141" t="n">
        <f aca="false">IF(R8=1,R38*1000/(R35*8760),"")</f>
        <v>0.248875097391117</v>
      </c>
      <c r="S39" s="141" t="n">
        <f aca="false">IF(S8=1,S38*1000/(S35*8760),"")</f>
        <v>0.248128472098944</v>
      </c>
      <c r="T39" s="141" t="n">
        <f aca="false">IF(T8=1,T38*1000/(T35*8760),"")</f>
        <v>0.247384086682647</v>
      </c>
      <c r="U39" s="141" t="n">
        <f aca="false">IF(U8=1,U38*1000/(U35*8760),"")</f>
        <v>0.246641934422599</v>
      </c>
      <c r="V39" s="141" t="n">
        <f aca="false">IF(V8=1,V38*1000/(V35*8760),"")</f>
        <v>0.245902008619331</v>
      </c>
      <c r="W39" s="141" t="n">
        <f aca="false">IF(W8=1,W38*1000/(W35*8760),"")</f>
        <v>0.245164302593473</v>
      </c>
      <c r="X39" s="141" t="n">
        <f aca="false">IF(X8=1,X38*1000/(X35*8760),"")</f>
        <v>0.244428809685693</v>
      </c>
      <c r="Y39" s="141" t="n">
        <f aca="false">IF(Y8=1,Y38*1000/(Y35*8760),"")</f>
        <v>0.243695523256636</v>
      </c>
      <c r="Z39" s="141" t="n">
        <f aca="false">IF(Z8=1,Z38*1000/(Z35*8760),"")</f>
        <v>0.242964436686866</v>
      </c>
      <c r="AA39" s="141" t="n">
        <f aca="false">IF(AA8=1,AA38*1000/(AA35*8760),"")</f>
        <v>0.242235543376805</v>
      </c>
      <c r="AB39" s="141" t="n">
        <f aca="false">IF(AB8=1,AB38*1000/(AB35*8760),"")</f>
        <v>0.241508836746675</v>
      </c>
      <c r="AC39" s="141" t="n">
        <f aca="false">IF(AC8=1,AC38*1000/(AC35*8760),"")</f>
        <v>0.240784310236435</v>
      </c>
      <c r="AD39" s="141" t="n">
        <f aca="false">IF(AD8=1,AD38*1000/(AD35*8760),"")</f>
        <v>0.240061957305726</v>
      </c>
      <c r="AE39" s="141" t="n">
        <f aca="false">IF(AE8=1,AE38*1000/(AE35*8760),"")</f>
        <v>0.239341771433808</v>
      </c>
      <c r="AF39" s="141" t="n">
        <f aca="false">IF(AF8=1,AF38*1000/(AF35*8760),"")</f>
        <v>0.238623746119507</v>
      </c>
      <c r="AG39" s="141" t="n">
        <f aca="false">IF(AG8=1,AG38*1000/(AG35*8760),"")</f>
        <v>0.237907874881148</v>
      </c>
      <c r="AH39" s="141" t="n">
        <f aca="false">IF(AH8=1,AH38*1000/(AH35*8760),"")</f>
        <v>0.237194151256505</v>
      </c>
      <c r="AI39" s="141" t="n">
        <f aca="false">IF(AI8=1,AI38*1000/(AI35*8760),"")</f>
        <v>0.236482568802736</v>
      </c>
      <c r="AJ39" s="141" t="n">
        <f aca="false">IF(AJ8=1,AJ38*1000/(AJ35*8760),"")</f>
        <v>0.235773121096327</v>
      </c>
      <c r="AK39" s="141" t="n">
        <f aca="false">IF(AK8=1,AK38*1000/(AK35*8760),"")</f>
        <v>0.235065801733038</v>
      </c>
      <c r="AL39" s="141" t="n">
        <f aca="false">IF(AL8=1,AL38*1000/(AL35*8760),"")</f>
        <v>0.234360604327839</v>
      </c>
      <c r="AM39" s="141" t="n">
        <f aca="false">IF(AM8=1,AM38*1000/(AM35*8760),"")</f>
        <v>0.233657522514856</v>
      </c>
      <c r="AN39" s="141" t="n">
        <f aca="false">IF(AN8=1,AN38*1000/(AN35*8760),"")</f>
        <v>0.232956549947311</v>
      </c>
      <c r="AO39" s="141" t="n">
        <f aca="false">IF(AO8=1,AO38*1000/(AO35*8760),"")</f>
        <v>0.232257680297469</v>
      </c>
      <c r="AP39" s="141" t="n">
        <f aca="false">IF(AP8=1,AP38*1000/(AP35*8760),"")</f>
        <v>0.231560907256577</v>
      </c>
      <c r="AQ39" s="141" t="str">
        <f aca="false">IF(AQ8=1,AQ38*1000/(AQ35*8760),"")</f>
        <v/>
      </c>
    </row>
    <row r="40" customFormat="false" ht="15" hidden="false" customHeight="false" outlineLevel="0" collapsed="false">
      <c r="E40" s="146"/>
      <c r="F40" s="146"/>
      <c r="G40" s="146"/>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46"/>
      <c r="AL40" s="146"/>
      <c r="AM40" s="146"/>
      <c r="AN40" s="146"/>
      <c r="AO40" s="146"/>
      <c r="AP40" s="146"/>
      <c r="AQ40" s="146"/>
    </row>
    <row r="41" customFormat="false" ht="15" hidden="false" customHeight="false" outlineLevel="0" collapsed="false">
      <c r="C41" s="136" t="s">
        <v>1229</v>
      </c>
      <c r="D41" s="136"/>
      <c r="E41" s="270" t="n">
        <f aca="false">Inputs!$E$188</f>
        <v>1</v>
      </c>
      <c r="F41" s="279" t="s">
        <v>1230</v>
      </c>
      <c r="G41" s="278"/>
      <c r="H41" s="278"/>
      <c r="I41" s="278"/>
      <c r="J41" s="278"/>
      <c r="K41" s="278"/>
      <c r="L41" s="278"/>
      <c r="M41" s="278"/>
      <c r="N41" s="278"/>
      <c r="O41" s="278"/>
      <c r="P41" s="278"/>
      <c r="Q41" s="278"/>
      <c r="R41" s="278"/>
      <c r="S41" s="278"/>
      <c r="T41" s="278"/>
      <c r="U41" s="278"/>
      <c r="V41" s="278"/>
      <c r="W41" s="278"/>
      <c r="X41" s="278"/>
      <c r="Y41" s="278"/>
      <c r="Z41" s="278"/>
      <c r="AA41" s="278"/>
      <c r="AB41" s="278"/>
      <c r="AC41" s="278"/>
      <c r="AD41" s="278"/>
      <c r="AE41" s="278"/>
      <c r="AF41" s="278"/>
      <c r="AG41" s="278"/>
      <c r="AH41" s="278"/>
      <c r="AI41" s="278"/>
      <c r="AJ41" s="278"/>
      <c r="AK41" s="278"/>
      <c r="AL41" s="278"/>
      <c r="AM41" s="278"/>
      <c r="AN41" s="278"/>
      <c r="AO41" s="278"/>
      <c r="AP41" s="278"/>
      <c r="AQ41" s="278"/>
    </row>
    <row r="42" customFormat="false" ht="15" hidden="false" customHeight="false" outlineLevel="0" collapsed="false">
      <c r="C42" s="0" t="s">
        <v>1231</v>
      </c>
      <c r="D42" s="0" t="s">
        <v>253</v>
      </c>
      <c r="E42" s="146"/>
      <c r="F42" s="146"/>
      <c r="G42" s="158"/>
      <c r="H42" s="261" t="str">
        <f aca="false">IFERROR(INDEX(Curves!$K$22:$K$66,MATCH(H$5,Curves!$C$22:$C$66,0))*Inputs!$E$186,IFERROR(IF(H$5&gt;LOOKUP(9.99E+307,Curves!$K$22:$K$66,Curves!$C$22:$C$66),LOOKUP(9.99E+307,Curves!$K$22:$K$66)*(1+Curves!$E$19)^(H$5-LOOKUP(9.99E+307,Curves!$K$22:$K$66,Curves!$C$22:$C$66))*Inputs!$E$186,""),""))</f>
        <v/>
      </c>
      <c r="I42" s="261" t="n">
        <f aca="false">IFERROR(INDEX(Curves!$K$22:$K$66,MATCH(I$5,Curves!$C$22:$C$66,0))*Inputs!$E$186,IFERROR(IF(I$5&gt;LOOKUP(9.99E+307,Curves!$K$22:$K$66,Curves!$C$22:$C$66),LOOKUP(9.99E+307,Curves!$K$22:$K$66)*(1+Curves!$E$19)^(I$5-LOOKUP(9.99E+307,Curves!$K$22:$K$66,Curves!$C$22:$C$66))*Inputs!$E$186,""),""))</f>
        <v>129.404952</v>
      </c>
      <c r="J42" s="261" t="n">
        <f aca="false">IFERROR(INDEX(Curves!$K$22:$K$66,MATCH(J$5,Curves!$C$22:$C$66,0))*Inputs!$E$186,IFERROR(IF(J$5&gt;LOOKUP(9.99E+307,Curves!$K$22:$K$66,Curves!$C$22:$C$66),LOOKUP(9.99E+307,Curves!$K$22:$K$66)*(1+Curves!$E$19)^(J$5-LOOKUP(9.99E+307,Curves!$K$22:$K$66,Curves!$C$22:$C$66))*Inputs!$E$186,""),""))</f>
        <v>121.22178984</v>
      </c>
      <c r="K42" s="261" t="n">
        <f aca="false">IFERROR(INDEX(Curves!$K$22:$K$66,MATCH(K$5,Curves!$C$22:$C$66,0))*Inputs!$E$186,IFERROR(IF(K$5&gt;LOOKUP(9.99E+307,Curves!$K$22:$K$66,Curves!$C$22:$C$66),LOOKUP(9.99E+307,Curves!$K$22:$K$66)*(1+Curves!$E$19)^(K$5-LOOKUP(9.99E+307,Curves!$K$22:$K$66,Curves!$C$22:$C$66))*Inputs!$E$186,""),""))</f>
        <v>114.3697820256</v>
      </c>
      <c r="L42" s="261" t="n">
        <f aca="false">IFERROR(INDEX(Curves!$K$22:$K$66,MATCH(L$5,Curves!$C$22:$C$66,0))*Inputs!$E$186,IFERROR(IF(L$5&gt;LOOKUP(9.99E+307,Curves!$K$22:$K$66,Curves!$C$22:$C$66),LOOKUP(9.99E+307,Curves!$K$22:$K$66)*(1+Curves!$E$19)^(L$5-LOOKUP(9.99E+307,Curves!$K$22:$K$66,Curves!$C$22:$C$66))*Inputs!$E$186,""),""))</f>
        <v>107.890776088704</v>
      </c>
      <c r="M42" s="261" t="n">
        <f aca="false">IFERROR(INDEX(Curves!$K$22:$K$66,MATCH(M$5,Curves!$C$22:$C$66,0))*Inputs!$E$186,IFERROR(IF(M$5&gt;LOOKUP(9.99E+307,Curves!$K$22:$K$66,Curves!$C$22:$C$66),LOOKUP(9.99E+307,Curves!$K$22:$K$66)*(1+Curves!$E$19)^(M$5-LOOKUP(9.99E+307,Curves!$K$22:$K$66,Curves!$C$22:$C$66))*Inputs!$E$186,""),""))</f>
        <v>115.735711827761</v>
      </c>
      <c r="N42" s="261" t="n">
        <f aca="false">IFERROR(INDEX(Curves!$K$22:$K$66,MATCH(N$5,Curves!$C$22:$C$66,0))*Inputs!$E$186,IFERROR(IF(N$5&gt;LOOKUP(9.99E+307,Curves!$K$22:$K$66,Curves!$C$22:$C$66),LOOKUP(9.99E+307,Curves!$K$22:$K$66)*(1+Curves!$E$19)^(N$5-LOOKUP(9.99E+307,Curves!$K$22:$K$66,Curves!$C$22:$C$66))*Inputs!$E$186,""),""))</f>
        <v>114.455039924574</v>
      </c>
      <c r="O42" s="261" t="n">
        <f aca="false">IFERROR(INDEX(Curves!$K$22:$K$66,MATCH(O$5,Curves!$C$22:$C$66,0))*Inputs!$E$186,IFERROR(IF(O$5&gt;LOOKUP(9.99E+307,Curves!$K$22:$K$66,Curves!$C$22:$C$66),LOOKUP(9.99E+307,Curves!$K$22:$K$66)*(1+Curves!$E$19)^(O$5-LOOKUP(9.99E+307,Curves!$K$22:$K$66,Curves!$C$22:$C$66))*Inputs!$E$186,""),""))</f>
        <v>117.271387444517</v>
      </c>
      <c r="P42" s="261" t="n">
        <f aca="false">IFERROR(INDEX(Curves!$K$22:$K$66,MATCH(P$5,Curves!$C$22:$C$66,0))*Inputs!$E$186,IFERROR(IF(P$5&gt;LOOKUP(9.99E+307,Curves!$K$22:$K$66,Curves!$C$22:$C$66),LOOKUP(9.99E+307,Curves!$K$22:$K$66)*(1+Curves!$E$19)^(P$5-LOOKUP(9.99E+307,Curves!$K$22:$K$66,Curves!$C$22:$C$66))*Inputs!$E$186,""),""))</f>
        <v>115.087414358329</v>
      </c>
      <c r="Q42" s="261" t="n">
        <f aca="false">IFERROR(INDEX(Curves!$K$22:$K$66,MATCH(Q$5,Curves!$C$22:$C$66,0))*Inputs!$E$186,IFERROR(IF(Q$5&gt;LOOKUP(9.99E+307,Curves!$K$22:$K$66,Curves!$C$22:$C$66),LOOKUP(9.99E+307,Curves!$K$22:$K$66)*(1+Curves!$E$19)^(Q$5-LOOKUP(9.99E+307,Curves!$K$22:$K$66,Curves!$C$22:$C$66))*Inputs!$E$186,""),""))</f>
        <v>117.120983873096</v>
      </c>
      <c r="R42" s="261" t="n">
        <f aca="false">IFERROR(INDEX(Curves!$K$22:$K$66,MATCH(R$5,Curves!$C$22:$C$66,0))*Inputs!$E$186,IFERROR(IF(R$5&gt;LOOKUP(9.99E+307,Curves!$K$22:$K$66,Curves!$C$22:$C$66),LOOKUP(9.99E+307,Curves!$K$22:$K$66)*(1+Curves!$E$19)^(R$5-LOOKUP(9.99E+307,Curves!$K$22:$K$66,Curves!$C$22:$C$66))*Inputs!$E$186,""),""))</f>
        <v>119.600174724482</v>
      </c>
      <c r="S42" s="261" t="n">
        <f aca="false">IFERROR(INDEX(Curves!$K$22:$K$66,MATCH(S$5,Curves!$C$22:$C$66,0))*Inputs!$E$186,IFERROR(IF(S$5&gt;LOOKUP(9.99E+307,Curves!$K$22:$K$66,Curves!$C$22:$C$66),LOOKUP(9.99E+307,Curves!$K$22:$K$66)*(1+Curves!$E$19)^(S$5-LOOKUP(9.99E+307,Curves!$K$22:$K$66,Curves!$C$22:$C$66))*Inputs!$E$186,""),""))</f>
        <v>126.215423394865</v>
      </c>
      <c r="T42" s="261" t="n">
        <f aca="false">IFERROR(INDEX(Curves!$K$22:$K$66,MATCH(T$5,Curves!$C$22:$C$66,0))*Inputs!$E$186,IFERROR(IF(T$5&gt;LOOKUP(9.99E+307,Curves!$K$22:$K$66,Curves!$C$22:$C$66),LOOKUP(9.99E+307,Curves!$K$22:$K$66)*(1+Curves!$E$19)^(T$5-LOOKUP(9.99E+307,Curves!$K$22:$K$66,Curves!$C$22:$C$66))*Inputs!$E$186,""),""))</f>
        <v>127.019235044258</v>
      </c>
      <c r="U42" s="261" t="n">
        <f aca="false">IFERROR(INDEX(Curves!$K$22:$K$66,MATCH(U$5,Curves!$C$22:$C$66,0))*Inputs!$E$186,IFERROR(IF(U$5&gt;LOOKUP(9.99E+307,Curves!$K$22:$K$66,Curves!$C$22:$C$66),LOOKUP(9.99E+307,Curves!$K$22:$K$66)*(1+Curves!$E$19)^(U$5-LOOKUP(9.99E+307,Curves!$K$22:$K$66,Curves!$C$22:$C$66))*Inputs!$E$186,""),""))</f>
        <v>128.886685575981</v>
      </c>
      <c r="V42" s="261" t="n">
        <f aca="false">IFERROR(INDEX(Curves!$K$22:$K$66,MATCH(V$5,Curves!$C$22:$C$66,0))*Inputs!$E$186,IFERROR(IF(V$5&gt;LOOKUP(9.99E+307,Curves!$K$22:$K$66,Curves!$C$22:$C$66),LOOKUP(9.99E+307,Curves!$K$22:$K$66)*(1+Curves!$E$19)^(V$5-LOOKUP(9.99E+307,Curves!$K$22:$K$66,Curves!$C$22:$C$66))*Inputs!$E$186,""),""))</f>
        <v>129.930129381812</v>
      </c>
      <c r="W42" s="261" t="n">
        <f aca="false">IFERROR(INDEX(Curves!$K$22:$K$66,MATCH(W$5,Curves!$C$22:$C$66,0))*Inputs!$E$186,IFERROR(IF(W$5&gt;LOOKUP(9.99E+307,Curves!$K$22:$K$66,Curves!$C$22:$C$66),LOOKUP(9.99E+307,Curves!$K$22:$K$66)*(1+Curves!$E$19)^(W$5-LOOKUP(9.99E+307,Curves!$K$22:$K$66,Curves!$C$22:$C$66))*Inputs!$E$186,""),""))</f>
        <v>130.89511698039</v>
      </c>
      <c r="X42" s="261" t="n">
        <f aca="false">IFERROR(INDEX(Curves!$K$22:$K$66,MATCH(X$5,Curves!$C$22:$C$66,0))*Inputs!$E$186,IFERROR(IF(X$5&gt;LOOKUP(9.99E+307,Curves!$K$22:$K$66,Curves!$C$22:$C$66),LOOKUP(9.99E+307,Curves!$K$22:$K$66)*(1+Curves!$E$19)^(X$5-LOOKUP(9.99E+307,Curves!$K$22:$K$66,Curves!$C$22:$C$66))*Inputs!$E$186,""),""))</f>
        <v>134.633212455352</v>
      </c>
      <c r="Y42" s="261" t="n">
        <f aca="false">IFERROR(INDEX(Curves!$K$22:$K$66,MATCH(Y$5,Curves!$C$22:$C$66,0))*Inputs!$E$186,IFERROR(IF(Y$5&gt;LOOKUP(9.99E+307,Curves!$K$22:$K$66,Curves!$C$22:$C$66),LOOKUP(9.99E+307,Curves!$K$22:$K$66)*(1+Curves!$E$19)^(Y$5-LOOKUP(9.99E+307,Curves!$K$22:$K$66,Curves!$C$22:$C$66))*Inputs!$E$186,""),""))</f>
        <v>137.611525953974</v>
      </c>
      <c r="Z42" s="261" t="n">
        <f aca="false">IFERROR(INDEX(Curves!$K$22:$K$66,MATCH(Z$5,Curves!$C$22:$C$66,0))*Inputs!$E$186,IFERROR(IF(Z$5&gt;LOOKUP(9.99E+307,Curves!$K$22:$K$66,Curves!$C$22:$C$66),LOOKUP(9.99E+307,Curves!$K$22:$K$66)*(1+Curves!$E$19)^(Z$5-LOOKUP(9.99E+307,Curves!$K$22:$K$66,Curves!$C$22:$C$66))*Inputs!$E$186,""),""))</f>
        <v>139.271148093658</v>
      </c>
      <c r="AA42" s="261" t="n">
        <f aca="false">IFERROR(INDEX(Curves!$K$22:$K$66,MATCH(AA$5,Curves!$C$22:$C$66,0))*Inputs!$E$186,IFERROR(IF(AA$5&gt;LOOKUP(9.99E+307,Curves!$K$22:$K$66,Curves!$C$22:$C$66),LOOKUP(9.99E+307,Curves!$K$22:$K$66)*(1+Curves!$E$19)^(AA$5-LOOKUP(9.99E+307,Curves!$K$22:$K$66,Curves!$C$22:$C$66))*Inputs!$E$186,""),""))</f>
        <v>144.404367941177</v>
      </c>
      <c r="AB42" s="261" t="n">
        <f aca="false">IFERROR(INDEX(Curves!$K$22:$K$66,MATCH(AB$5,Curves!$C$22:$C$66,0))*Inputs!$E$186,IFERROR(IF(AB$5&gt;LOOKUP(9.99E+307,Curves!$K$22:$K$66,Curves!$C$22:$C$66),LOOKUP(9.99E+307,Curves!$K$22:$K$66)*(1+Curves!$E$19)^(AB$5-LOOKUP(9.99E+307,Curves!$K$22:$K$66,Curves!$C$22:$C$66))*Inputs!$E$186,""),""))</f>
        <v>147.534961915024</v>
      </c>
      <c r="AC42" s="261" t="n">
        <f aca="false">IFERROR(INDEX(Curves!$K$22:$K$66,MATCH(AC$5,Curves!$C$22:$C$66,0))*Inputs!$E$186,IFERROR(IF(AC$5&gt;LOOKUP(9.99E+307,Curves!$K$22:$K$66,Curves!$C$22:$C$66),LOOKUP(9.99E+307,Curves!$K$22:$K$66)*(1+Curves!$E$19)^(AC$5-LOOKUP(9.99E+307,Curves!$K$22:$K$66,Curves!$C$22:$C$66))*Inputs!$E$186,""),""))</f>
        <v>150.145545625754</v>
      </c>
      <c r="AD42" s="261" t="n">
        <f aca="false">IFERROR(INDEX(Curves!$K$22:$K$66,MATCH(AD$5,Curves!$C$22:$C$66,0))*Inputs!$E$186,IFERROR(IF(AD$5&gt;LOOKUP(9.99E+307,Curves!$K$22:$K$66,Curves!$C$22:$C$66),LOOKUP(9.99E+307,Curves!$K$22:$K$66)*(1+Curves!$E$19)^(AD$5-LOOKUP(9.99E+307,Curves!$K$22:$K$66,Curves!$C$22:$C$66))*Inputs!$E$186,""),""))</f>
        <v>150.373113833292</v>
      </c>
      <c r="AE42" s="261" t="n">
        <f aca="false">IFERROR(INDEX(Curves!$K$22:$K$66,MATCH(AE$5,Curves!$C$22:$C$66,0))*Inputs!$E$186,IFERROR(IF(AE$5&gt;LOOKUP(9.99E+307,Curves!$K$22:$K$66,Curves!$C$22:$C$66),LOOKUP(9.99E+307,Curves!$K$22:$K$66)*(1+Curves!$E$19)^(AE$5-LOOKUP(9.99E+307,Curves!$K$22:$K$66,Curves!$C$22:$C$66))*Inputs!$E$186,""),""))</f>
        <v>153.52533546241</v>
      </c>
      <c r="AF42" s="261" t="n">
        <f aca="false">IFERROR(INDEX(Curves!$K$22:$K$66,MATCH(AF$5,Curves!$C$22:$C$66,0))*Inputs!$E$186,IFERROR(IF(AF$5&gt;LOOKUP(9.99E+307,Curves!$K$22:$K$66,Curves!$C$22:$C$66),LOOKUP(9.99E+307,Curves!$K$22:$K$66)*(1+Curves!$E$19)^(AF$5-LOOKUP(9.99E+307,Curves!$K$22:$K$66,Curves!$C$22:$C$66))*Inputs!$E$186,""),""))</f>
        <v>154.610708918356</v>
      </c>
      <c r="AG42" s="261" t="n">
        <f aca="false">IFERROR(INDEX(Curves!$K$22:$K$66,MATCH(AG$5,Curves!$C$22:$C$66,0))*Inputs!$E$186,IFERROR(IF(AG$5&gt;LOOKUP(9.99E+307,Curves!$K$22:$K$66,Curves!$C$22:$C$66),LOOKUP(9.99E+307,Curves!$K$22:$K$66)*(1+Curves!$E$19)^(AG$5-LOOKUP(9.99E+307,Curves!$K$22:$K$66,Curves!$C$22:$C$66))*Inputs!$E$186,""),""))</f>
        <v>156.029504982369</v>
      </c>
      <c r="AH42" s="261" t="n">
        <f aca="false">IFERROR(INDEX(Curves!$K$22:$K$66,MATCH(AH$5,Curves!$C$22:$C$66,0))*Inputs!$E$186,IFERROR(IF(AH$5&gt;LOOKUP(9.99E+307,Curves!$K$22:$K$66,Curves!$C$22:$C$66),LOOKUP(9.99E+307,Curves!$K$22:$K$66)*(1+Curves!$E$19)^(AH$5-LOOKUP(9.99E+307,Curves!$K$22:$K$66,Curves!$C$22:$C$66))*Inputs!$E$186,""),""))</f>
        <v>156.402007854625</v>
      </c>
      <c r="AI42" s="261" t="n">
        <f aca="false">IFERROR(INDEX(Curves!$K$22:$K$66,MATCH(AI$5,Curves!$C$22:$C$66,0))*Inputs!$E$186,IFERROR(IF(AI$5&gt;LOOKUP(9.99E+307,Curves!$K$22:$K$66,Curves!$C$22:$C$66),LOOKUP(9.99E+307,Curves!$K$22:$K$66)*(1+Curves!$E$19)^(AI$5-LOOKUP(9.99E+307,Curves!$K$22:$K$66,Curves!$C$22:$C$66))*Inputs!$E$186,""),""))</f>
        <v>160.992508344903</v>
      </c>
      <c r="AJ42" s="261" t="n">
        <f aca="false">IFERROR(INDEX(Curves!$K$22:$K$66,MATCH(AJ$5,Curves!$C$22:$C$66,0))*Inputs!$E$186,IFERROR(IF(AJ$5&gt;LOOKUP(9.99E+307,Curves!$K$22:$K$66,Curves!$C$22:$C$66),LOOKUP(9.99E+307,Curves!$K$22:$K$66)*(1+Curves!$E$19)^(AJ$5-LOOKUP(9.99E+307,Curves!$K$22:$K$66,Curves!$C$22:$C$66))*Inputs!$E$186,""),""))</f>
        <v>163.377711507361</v>
      </c>
      <c r="AK42" s="261" t="n">
        <f aca="false">IFERROR(INDEX(Curves!$K$22:$K$66,MATCH(AK$5,Curves!$C$22:$C$66,0))*Inputs!$E$186,IFERROR(IF(AK$5&gt;LOOKUP(9.99E+307,Curves!$K$22:$K$66,Curves!$C$22:$C$66),LOOKUP(9.99E+307,Curves!$K$22:$K$66)*(1+Curves!$E$19)^(AK$5-LOOKUP(9.99E+307,Curves!$K$22:$K$66,Curves!$C$22:$C$66))*Inputs!$E$186,""),""))</f>
        <v>165.866380256344</v>
      </c>
      <c r="AL42" s="261" t="n">
        <f aca="false">IFERROR(INDEX(Curves!$K$22:$K$66,MATCH(AL$5,Curves!$C$22:$C$66,0))*Inputs!$E$186,IFERROR(IF(AL$5&gt;LOOKUP(9.99E+307,Curves!$K$22:$K$66,Curves!$C$22:$C$66),LOOKUP(9.99E+307,Curves!$K$22:$K$66)*(1+Curves!$E$19)^(AL$5-LOOKUP(9.99E+307,Curves!$K$22:$K$66,Curves!$C$22:$C$66))*Inputs!$E$186,""),""))</f>
        <v>167.058980723318</v>
      </c>
      <c r="AM42" s="261" t="n">
        <f aca="false">IFERROR(INDEX(Curves!$K$22:$K$66,MATCH(AM$5,Curves!$C$22:$C$66,0))*Inputs!$E$186,IFERROR(IF(AM$5&gt;LOOKUP(9.99E+307,Curves!$K$22:$K$66,Curves!$C$22:$C$66),LOOKUP(9.99E+307,Curves!$K$22:$K$66)*(1+Curves!$E$19)^(AM$5-LOOKUP(9.99E+307,Curves!$K$22:$K$66,Curves!$C$22:$C$66))*Inputs!$E$186,""),""))</f>
        <v>171.700493346334</v>
      </c>
      <c r="AN42" s="261" t="n">
        <f aca="false">IFERROR(INDEX(Curves!$K$22:$K$66,MATCH(AN$5,Curves!$C$22:$C$66,0))*Inputs!$E$186,IFERROR(IF(AN$5&gt;LOOKUP(9.99E+307,Curves!$K$22:$K$66,Curves!$C$22:$C$66),LOOKUP(9.99E+307,Curves!$K$22:$K$66)*(1+Curves!$E$19)^(AN$5-LOOKUP(9.99E+307,Curves!$K$22:$K$66,Curves!$C$22:$C$66))*Inputs!$E$186,""),""))</f>
        <v>178.556075112279</v>
      </c>
      <c r="AO42" s="261" t="n">
        <f aca="false">IFERROR(INDEX(Curves!$K$22:$K$66,MATCH(AO$5,Curves!$C$22:$C$66,0))*Inputs!$E$186,IFERROR(IF(AO$5&gt;LOOKUP(9.99E+307,Curves!$K$22:$K$66,Curves!$C$22:$C$66),LOOKUP(9.99E+307,Curves!$K$22:$K$66)*(1+Curves!$E$19)^(AO$5-LOOKUP(9.99E+307,Curves!$K$22:$K$66,Curves!$C$22:$C$66))*Inputs!$E$186,""),""))</f>
        <v>184.872143059356</v>
      </c>
      <c r="AP42" s="261" t="n">
        <f aca="false">IFERROR(INDEX(Curves!$K$22:$K$66,MATCH(AP$5,Curves!$C$22:$C$66,0))*Inputs!$E$186,IFERROR(IF(AP$5&gt;LOOKUP(9.99E+307,Curves!$K$22:$K$66,Curves!$C$22:$C$66),LOOKUP(9.99E+307,Curves!$K$22:$K$66)*(1+Curves!$E$19)^(AP$5-LOOKUP(9.99E+307,Curves!$K$22:$K$66,Curves!$C$22:$C$66))*Inputs!$E$186,""),""))</f>
        <v>186.709688636567</v>
      </c>
      <c r="AQ42" s="261" t="n">
        <f aca="false">IFERROR(INDEX(Curves!$K$22:$K$66,MATCH(AQ$5,Curves!$C$22:$C$66,0))*Inputs!$E$186,IFERROR(IF(AQ$5&gt;LOOKUP(9.99E+307,Curves!$K$22:$K$66,Curves!$C$22:$C$66),LOOKUP(9.99E+307,Curves!$K$22:$K$66)*(1+Curves!$E$19)^(AQ$5-LOOKUP(9.99E+307,Curves!$K$22:$K$66,Curves!$C$22:$C$66))*Inputs!$E$186,""),""))</f>
        <v>190.443882409298</v>
      </c>
    </row>
    <row r="43" customFormat="false" ht="15" hidden="false" customHeight="false" outlineLevel="0" collapsed="false">
      <c r="C43" s="0" t="s">
        <v>1232</v>
      </c>
      <c r="D43" s="0" t="s">
        <v>253</v>
      </c>
      <c r="E43" s="146" t="n">
        <f aca="false">Inputs!$E$189</f>
        <v>100</v>
      </c>
      <c r="F43" s="146"/>
      <c r="G43" s="158"/>
      <c r="H43" s="158" t="n">
        <f aca="false">$E$43*(1+Inputs!$E$190)^(H$5-YEAR(Inputs!$E$155))</f>
        <v>90.5730809829916</v>
      </c>
      <c r="I43" s="158" t="n">
        <f aca="false">$E$43*(1+Inputs!$E$190)^(I$5-YEAR(Inputs!$E$155))</f>
        <v>92.3845426026514</v>
      </c>
      <c r="J43" s="158" t="n">
        <f aca="false">$E$43*(1+Inputs!$E$190)^(J$5-YEAR(Inputs!$E$155))</f>
        <v>94.2322334547045</v>
      </c>
      <c r="K43" s="158" t="n">
        <f aca="false">$E$43*(1+Inputs!$E$190)^(K$5-YEAR(Inputs!$E$155))</f>
        <v>96.1168781237985</v>
      </c>
      <c r="L43" s="158" t="n">
        <f aca="false">$E$43*(1+Inputs!$E$190)^(L$5-YEAR(Inputs!$E$155))</f>
        <v>98.0392156862745</v>
      </c>
      <c r="M43" s="158" t="n">
        <f aca="false">$E$43*(1+Inputs!$E$190)^(M$5-YEAR(Inputs!$E$155))</f>
        <v>100</v>
      </c>
      <c r="N43" s="158" t="n">
        <f aca="false">$E$43*(1+Inputs!$E$190)^(N$5-YEAR(Inputs!$E$155))</f>
        <v>102</v>
      </c>
      <c r="O43" s="158" t="n">
        <f aca="false">$E$43*(1+Inputs!$E$190)^(O$5-YEAR(Inputs!$E$155))</f>
        <v>104.04</v>
      </c>
      <c r="P43" s="158" t="n">
        <f aca="false">$E$43*(1+Inputs!$E$190)^(P$5-YEAR(Inputs!$E$155))</f>
        <v>106.1208</v>
      </c>
      <c r="Q43" s="158" t="n">
        <f aca="false">$E$43*(1+Inputs!$E$190)^(Q$5-YEAR(Inputs!$E$155))</f>
        <v>108.243216</v>
      </c>
      <c r="R43" s="158" t="n">
        <f aca="false">$E$43*(1+Inputs!$E$190)^(R$5-YEAR(Inputs!$E$155))</f>
        <v>110.40808032</v>
      </c>
      <c r="S43" s="158" t="n">
        <f aca="false">$E$43*(1+Inputs!$E$190)^(S$5-YEAR(Inputs!$E$155))</f>
        <v>112.6162419264</v>
      </c>
      <c r="T43" s="158" t="n">
        <f aca="false">$E$43*(1+Inputs!$E$190)^(T$5-YEAR(Inputs!$E$155))</f>
        <v>114.868566764928</v>
      </c>
      <c r="U43" s="158" t="n">
        <f aca="false">$E$43*(1+Inputs!$E$190)^(U$5-YEAR(Inputs!$E$155))</f>
        <v>117.165938100227</v>
      </c>
      <c r="V43" s="158" t="n">
        <f aca="false">$E$43*(1+Inputs!$E$190)^(V$5-YEAR(Inputs!$E$155))</f>
        <v>119.509256862231</v>
      </c>
      <c r="W43" s="158" t="n">
        <f aca="false">$E$43*(1+Inputs!$E$190)^(W$5-YEAR(Inputs!$E$155))</f>
        <v>121.899441999476</v>
      </c>
      <c r="X43" s="158" t="n">
        <f aca="false">$E$43*(1+Inputs!$E$190)^(X$5-YEAR(Inputs!$E$155))</f>
        <v>124.337430839465</v>
      </c>
      <c r="Y43" s="158" t="n">
        <f aca="false">$E$43*(1+Inputs!$E$190)^(Y$5-YEAR(Inputs!$E$155))</f>
        <v>126.824179456255</v>
      </c>
      <c r="Z43" s="158" t="n">
        <f aca="false">$E$43*(1+Inputs!$E$190)^(Z$5-YEAR(Inputs!$E$155))</f>
        <v>129.36066304538</v>
      </c>
      <c r="AA43" s="158" t="n">
        <f aca="false">$E$43*(1+Inputs!$E$190)^(AA$5-YEAR(Inputs!$E$155))</f>
        <v>131.947876306287</v>
      </c>
      <c r="AB43" s="158" t="n">
        <f aca="false">$E$43*(1+Inputs!$E$190)^(AB$5-YEAR(Inputs!$E$155))</f>
        <v>134.586833832413</v>
      </c>
      <c r="AC43" s="158" t="n">
        <f aca="false">$E$43*(1+Inputs!$E$190)^(AC$5-YEAR(Inputs!$E$155))</f>
        <v>137.278570509061</v>
      </c>
      <c r="AD43" s="158" t="n">
        <f aca="false">$E$43*(1+Inputs!$E$190)^(AD$5-YEAR(Inputs!$E$155))</f>
        <v>140.024141919242</v>
      </c>
      <c r="AE43" s="158" t="n">
        <f aca="false">$E$43*(1+Inputs!$E$190)^(AE$5-YEAR(Inputs!$E$155))</f>
        <v>142.824624757627</v>
      </c>
      <c r="AF43" s="158" t="n">
        <f aca="false">$E$43*(1+Inputs!$E$190)^(AF$5-YEAR(Inputs!$E$155))</f>
        <v>145.68111725278</v>
      </c>
      <c r="AG43" s="158" t="n">
        <f aca="false">$E$43*(1+Inputs!$E$190)^(AG$5-YEAR(Inputs!$E$155))</f>
        <v>148.594739597835</v>
      </c>
      <c r="AH43" s="158" t="n">
        <f aca="false">$E$43*(1+Inputs!$E$190)^(AH$5-YEAR(Inputs!$E$155))</f>
        <v>151.566634389792</v>
      </c>
      <c r="AI43" s="158" t="n">
        <f aca="false">$E$43*(1+Inputs!$E$190)^(AI$5-YEAR(Inputs!$E$155))</f>
        <v>154.597967077588</v>
      </c>
      <c r="AJ43" s="158" t="n">
        <f aca="false">$E$43*(1+Inputs!$E$190)^(AJ$5-YEAR(Inputs!$E$155))</f>
        <v>157.68992641914</v>
      </c>
      <c r="AK43" s="158" t="n">
        <f aca="false">$E$43*(1+Inputs!$E$190)^(AK$5-YEAR(Inputs!$E$155))</f>
        <v>160.843724947523</v>
      </c>
      <c r="AL43" s="158" t="n">
        <f aca="false">$E$43*(1+Inputs!$E$190)^(AL$5-YEAR(Inputs!$E$155))</f>
        <v>164.060599446473</v>
      </c>
      <c r="AM43" s="158" t="n">
        <f aca="false">$E$43*(1+Inputs!$E$190)^(AM$5-YEAR(Inputs!$E$155))</f>
        <v>167.341811435403</v>
      </c>
      <c r="AN43" s="158" t="n">
        <f aca="false">$E$43*(1+Inputs!$E$190)^(AN$5-YEAR(Inputs!$E$155))</f>
        <v>170.688647664111</v>
      </c>
      <c r="AO43" s="158" t="n">
        <f aca="false">$E$43*(1+Inputs!$E$190)^(AO$5-YEAR(Inputs!$E$155))</f>
        <v>174.102420617393</v>
      </c>
      <c r="AP43" s="158" t="n">
        <f aca="false">$E$43*(1+Inputs!$E$190)^(AP$5-YEAR(Inputs!$E$155))</f>
        <v>177.584469029741</v>
      </c>
      <c r="AQ43" s="158" t="n">
        <f aca="false">$E$43*(1+Inputs!$E$190)^(AQ$5-YEAR(Inputs!$E$155))</f>
        <v>181.136158410335</v>
      </c>
    </row>
    <row r="44" customFormat="false" ht="15" hidden="false" customHeight="false" outlineLevel="0" collapsed="false">
      <c r="C44" s="0" t="s">
        <v>1233</v>
      </c>
      <c r="D44" s="0" t="s">
        <v>253</v>
      </c>
      <c r="E44" s="141" t="n">
        <f aca="false">Inputs!$E$191</f>
        <v>0.85</v>
      </c>
      <c r="F44" s="146"/>
      <c r="G44" s="158"/>
      <c r="H44" s="158" t="n">
        <f aca="false">H43*$E$44</f>
        <v>76.9871188355428</v>
      </c>
      <c r="I44" s="158" t="n">
        <f aca="false">I43*$E$44</f>
        <v>78.5268612122537</v>
      </c>
      <c r="J44" s="158" t="n">
        <f aca="false">J43*$E$44</f>
        <v>80.0973984364988</v>
      </c>
      <c r="K44" s="158" t="n">
        <f aca="false">K43*$E$44</f>
        <v>81.6993464052288</v>
      </c>
      <c r="L44" s="158" t="n">
        <f aca="false">L43*$E$44</f>
        <v>83.3333333333333</v>
      </c>
      <c r="M44" s="158" t="n">
        <f aca="false">M43*$E$44</f>
        <v>85</v>
      </c>
      <c r="N44" s="158" t="n">
        <f aca="false">N43*$E$44</f>
        <v>86.7</v>
      </c>
      <c r="O44" s="158" t="n">
        <f aca="false">O43*$E$44</f>
        <v>88.434</v>
      </c>
      <c r="P44" s="158" t="n">
        <f aca="false">P43*$E$44</f>
        <v>90.20268</v>
      </c>
      <c r="Q44" s="158" t="n">
        <f aca="false">Q43*$E$44</f>
        <v>92.0067336</v>
      </c>
      <c r="R44" s="158" t="n">
        <f aca="false">R43*$E$44</f>
        <v>93.846868272</v>
      </c>
      <c r="S44" s="158" t="n">
        <f aca="false">S43*$E$44</f>
        <v>95.72380563744</v>
      </c>
      <c r="T44" s="158" t="n">
        <f aca="false">T43*$E$44</f>
        <v>97.6382817501888</v>
      </c>
      <c r="U44" s="158" t="n">
        <f aca="false">U43*$E$44</f>
        <v>99.5910473851926</v>
      </c>
      <c r="V44" s="158" t="n">
        <f aca="false">V43*$E$44</f>
        <v>101.582868332896</v>
      </c>
      <c r="W44" s="158" t="n">
        <f aca="false">W43*$E$44</f>
        <v>103.614525699554</v>
      </c>
      <c r="X44" s="158" t="n">
        <f aca="false">X43*$E$44</f>
        <v>105.686816213545</v>
      </c>
      <c r="Y44" s="158" t="n">
        <f aca="false">Y43*$E$44</f>
        <v>107.800552537816</v>
      </c>
      <c r="Z44" s="158" t="n">
        <f aca="false">Z43*$E$44</f>
        <v>109.956563588573</v>
      </c>
      <c r="AA44" s="158" t="n">
        <f aca="false">AA43*$E$44</f>
        <v>112.155694860344</v>
      </c>
      <c r="AB44" s="158" t="n">
        <f aca="false">AB43*$E$44</f>
        <v>114.398808757551</v>
      </c>
      <c r="AC44" s="158" t="n">
        <f aca="false">AC43*$E$44</f>
        <v>116.686784932702</v>
      </c>
      <c r="AD44" s="158" t="n">
        <f aca="false">AD43*$E$44</f>
        <v>119.020520631356</v>
      </c>
      <c r="AE44" s="158" t="n">
        <f aca="false">AE43*$E$44</f>
        <v>121.400931043983</v>
      </c>
      <c r="AF44" s="158" t="n">
        <f aca="false">AF43*$E$44</f>
        <v>123.828949664863</v>
      </c>
      <c r="AG44" s="158" t="n">
        <f aca="false">AG43*$E$44</f>
        <v>126.30552865816</v>
      </c>
      <c r="AH44" s="158" t="n">
        <f aca="false">AH43*$E$44</f>
        <v>128.831639231323</v>
      </c>
      <c r="AI44" s="158" t="n">
        <f aca="false">AI43*$E$44</f>
        <v>131.40827201595</v>
      </c>
      <c r="AJ44" s="158" t="n">
        <f aca="false">AJ43*$E$44</f>
        <v>134.036437456269</v>
      </c>
      <c r="AK44" s="158" t="n">
        <f aca="false">AK43*$E$44</f>
        <v>136.717166205394</v>
      </c>
      <c r="AL44" s="158" t="n">
        <f aca="false">AL43*$E$44</f>
        <v>139.451509529502</v>
      </c>
      <c r="AM44" s="158" t="n">
        <f aca="false">AM43*$E$44</f>
        <v>142.240539720092</v>
      </c>
      <c r="AN44" s="158" t="n">
        <f aca="false">AN43*$E$44</f>
        <v>145.085350514494</v>
      </c>
      <c r="AO44" s="158" t="n">
        <f aca="false">AO43*$E$44</f>
        <v>147.987057524784</v>
      </c>
      <c r="AP44" s="158" t="n">
        <f aca="false">AP43*$E$44</f>
        <v>150.94679867528</v>
      </c>
      <c r="AQ44" s="158" t="n">
        <f aca="false">AQ43*$E$44</f>
        <v>153.965734648785</v>
      </c>
    </row>
    <row r="45" customFormat="false" ht="15" hidden="false" customHeight="false" outlineLevel="0" collapsed="false">
      <c r="C45" s="0" t="s">
        <v>1234</v>
      </c>
      <c r="D45" s="0" t="s">
        <v>253</v>
      </c>
      <c r="E45" s="146"/>
      <c r="F45" s="146"/>
      <c r="G45" s="158"/>
      <c r="H45" s="158" t="n">
        <f aca="false">IF(AND($E$41=1,ISNUMBER(H42)),H42,H44)</f>
        <v>76.9871188355428</v>
      </c>
      <c r="I45" s="158" t="n">
        <f aca="false">IF(AND($E$41=1,ISNUMBER(I42)),I42,I44)</f>
        <v>129.404952</v>
      </c>
      <c r="J45" s="158" t="n">
        <f aca="false">IF(AND($E$41=1,ISNUMBER(J42)),J42,J44)</f>
        <v>121.22178984</v>
      </c>
      <c r="K45" s="158" t="n">
        <f aca="false">IF(AND($E$41=1,ISNUMBER(K42)),K42,K44)</f>
        <v>114.3697820256</v>
      </c>
      <c r="L45" s="158" t="n">
        <f aca="false">IF(AND($E$41=1,ISNUMBER(L42)),L42,L44)</f>
        <v>107.890776088704</v>
      </c>
      <c r="M45" s="158" t="n">
        <f aca="false">IF(AND($E$41=1,ISNUMBER(M42)),M42,M44)</f>
        <v>115.735711827761</v>
      </c>
      <c r="N45" s="158" t="n">
        <f aca="false">IF(AND($E$41=1,ISNUMBER(N42)),N42,N44)</f>
        <v>114.455039924574</v>
      </c>
      <c r="O45" s="158" t="n">
        <f aca="false">IF(AND($E$41=1,ISNUMBER(O42)),O42,O44)</f>
        <v>117.271387444517</v>
      </c>
      <c r="P45" s="158" t="n">
        <f aca="false">IF(AND($E$41=1,ISNUMBER(P42)),P42,P44)</f>
        <v>115.087414358329</v>
      </c>
      <c r="Q45" s="158" t="n">
        <f aca="false">IF(AND($E$41=1,ISNUMBER(Q42)),Q42,Q44)</f>
        <v>117.120983873096</v>
      </c>
      <c r="R45" s="158" t="n">
        <f aca="false">IF(AND($E$41=1,ISNUMBER(R42)),R42,R44)</f>
        <v>119.600174724482</v>
      </c>
      <c r="S45" s="158" t="n">
        <f aca="false">IF(AND($E$41=1,ISNUMBER(S42)),S42,S44)</f>
        <v>126.215423394865</v>
      </c>
      <c r="T45" s="158" t="n">
        <f aca="false">IF(AND($E$41=1,ISNUMBER(T42)),T42,T44)</f>
        <v>127.019235044258</v>
      </c>
      <c r="U45" s="158" t="n">
        <f aca="false">IF(AND($E$41=1,ISNUMBER(U42)),U42,U44)</f>
        <v>128.886685575981</v>
      </c>
      <c r="V45" s="158" t="n">
        <f aca="false">IF(AND($E$41=1,ISNUMBER(V42)),V42,V44)</f>
        <v>129.930129381812</v>
      </c>
      <c r="W45" s="158" t="n">
        <f aca="false">IF(AND($E$41=1,ISNUMBER(W42)),W42,W44)</f>
        <v>130.89511698039</v>
      </c>
      <c r="X45" s="158" t="n">
        <f aca="false">IF(AND($E$41=1,ISNUMBER(X42)),X42,X44)</f>
        <v>134.633212455352</v>
      </c>
      <c r="Y45" s="158" t="n">
        <f aca="false">IF(AND($E$41=1,ISNUMBER(Y42)),Y42,Y44)</f>
        <v>137.611525953974</v>
      </c>
      <c r="Z45" s="158" t="n">
        <f aca="false">IF(AND($E$41=1,ISNUMBER(Z42)),Z42,Z44)</f>
        <v>139.271148093658</v>
      </c>
      <c r="AA45" s="158" t="n">
        <f aca="false">IF(AND($E$41=1,ISNUMBER(AA42)),AA42,AA44)</f>
        <v>144.404367941177</v>
      </c>
      <c r="AB45" s="158" t="n">
        <f aca="false">IF(AND($E$41=1,ISNUMBER(AB42)),AB42,AB44)</f>
        <v>147.534961915024</v>
      </c>
      <c r="AC45" s="158" t="n">
        <f aca="false">IF(AND($E$41=1,ISNUMBER(AC42)),AC42,AC44)</f>
        <v>150.145545625754</v>
      </c>
      <c r="AD45" s="158" t="n">
        <f aca="false">IF(AND($E$41=1,ISNUMBER(AD42)),AD42,AD44)</f>
        <v>150.373113833292</v>
      </c>
      <c r="AE45" s="158" t="n">
        <f aca="false">IF(AND($E$41=1,ISNUMBER(AE42)),AE42,AE44)</f>
        <v>153.52533546241</v>
      </c>
      <c r="AF45" s="158" t="n">
        <f aca="false">IF(AND($E$41=1,ISNUMBER(AF42)),AF42,AF44)</f>
        <v>154.610708918356</v>
      </c>
      <c r="AG45" s="158" t="n">
        <f aca="false">IF(AND($E$41=1,ISNUMBER(AG42)),AG42,AG44)</f>
        <v>156.029504982369</v>
      </c>
      <c r="AH45" s="158" t="n">
        <f aca="false">IF(AND($E$41=1,ISNUMBER(AH42)),AH42,AH44)</f>
        <v>156.402007854625</v>
      </c>
      <c r="AI45" s="158" t="n">
        <f aca="false">IF(AND($E$41=1,ISNUMBER(AI42)),AI42,AI44)</f>
        <v>160.992508344903</v>
      </c>
      <c r="AJ45" s="158" t="n">
        <f aca="false">IF(AND($E$41=1,ISNUMBER(AJ42)),AJ42,AJ44)</f>
        <v>163.377711507361</v>
      </c>
      <c r="AK45" s="158" t="n">
        <f aca="false">IF(AND($E$41=1,ISNUMBER(AK42)),AK42,AK44)</f>
        <v>165.866380256344</v>
      </c>
      <c r="AL45" s="158" t="n">
        <f aca="false">IF(AND($E$41=1,ISNUMBER(AL42)),AL42,AL44)</f>
        <v>167.058980723318</v>
      </c>
      <c r="AM45" s="158" t="n">
        <f aca="false">IF(AND($E$41=1,ISNUMBER(AM42)),AM42,AM44)</f>
        <v>171.700493346334</v>
      </c>
      <c r="AN45" s="158" t="n">
        <f aca="false">IF(AND($E$41=1,ISNUMBER(AN42)),AN42,AN44)</f>
        <v>178.556075112279</v>
      </c>
      <c r="AO45" s="158" t="n">
        <f aca="false">IF(AND($E$41=1,ISNUMBER(AO42)),AO42,AO44)</f>
        <v>184.872143059356</v>
      </c>
      <c r="AP45" s="158" t="n">
        <f aca="false">IF(AND($E$41=1,ISNUMBER(AP42)),AP42,AP44)</f>
        <v>186.709688636567</v>
      </c>
      <c r="AQ45" s="158" t="n">
        <f aca="false">IF(AND($E$41=1,ISNUMBER(AQ42)),AQ42,AQ44)</f>
        <v>190.443882409298</v>
      </c>
    </row>
    <row r="46" customFormat="false" ht="15" hidden="false" customHeight="false" outlineLevel="0" collapsed="false">
      <c r="C46" s="0" t="s">
        <v>1235</v>
      </c>
      <c r="D46" s="0" t="s">
        <v>990</v>
      </c>
      <c r="E46" s="146"/>
      <c r="F46" s="146"/>
      <c r="G46" s="146" t="n">
        <f aca="false">SUM(H46:AQ46)</f>
        <v>0</v>
      </c>
      <c r="H46" s="146" t="n">
        <f aca="false">IF(AND($E$41=1,H10&gt;0,NOT(ISNUMBER(H42))),1,0)</f>
        <v>0</v>
      </c>
      <c r="I46" s="146" t="n">
        <f aca="false">IF(AND($E$41=1,I10&gt;0,NOT(ISNUMBER(I42))),1,0)</f>
        <v>0</v>
      </c>
      <c r="J46" s="146" t="n">
        <f aca="false">IF(AND($E$41=1,J10&gt;0,NOT(ISNUMBER(J42))),1,0)</f>
        <v>0</v>
      </c>
      <c r="K46" s="146" t="n">
        <f aca="false">IF(AND($E$41=1,K10&gt;0,NOT(ISNUMBER(K42))),1,0)</f>
        <v>0</v>
      </c>
      <c r="L46" s="146" t="n">
        <f aca="false">IF(AND($E$41=1,L10&gt;0,NOT(ISNUMBER(L42))),1,0)</f>
        <v>0</v>
      </c>
      <c r="M46" s="146" t="n">
        <f aca="false">IF(AND($E$41=1,M10&gt;0,NOT(ISNUMBER(M42))),1,0)</f>
        <v>0</v>
      </c>
      <c r="N46" s="146" t="n">
        <f aca="false">IF(AND($E$41=1,N10&gt;0,NOT(ISNUMBER(N42))),1,0)</f>
        <v>0</v>
      </c>
      <c r="O46" s="146" t="n">
        <f aca="false">IF(AND($E$41=1,O10&gt;0,NOT(ISNUMBER(O42))),1,0)</f>
        <v>0</v>
      </c>
      <c r="P46" s="146" t="n">
        <f aca="false">IF(AND($E$41=1,P10&gt;0,NOT(ISNUMBER(P42))),1,0)</f>
        <v>0</v>
      </c>
      <c r="Q46" s="146" t="n">
        <f aca="false">IF(AND($E$41=1,Q10&gt;0,NOT(ISNUMBER(Q42))),1,0)</f>
        <v>0</v>
      </c>
      <c r="R46" s="146" t="n">
        <f aca="false">IF(AND($E$41=1,R10&gt;0,NOT(ISNUMBER(R42))),1,0)</f>
        <v>0</v>
      </c>
      <c r="S46" s="146" t="n">
        <f aca="false">IF(AND($E$41=1,S10&gt;0,NOT(ISNUMBER(S42))),1,0)</f>
        <v>0</v>
      </c>
      <c r="T46" s="146" t="n">
        <f aca="false">IF(AND($E$41=1,T10&gt;0,NOT(ISNUMBER(T42))),1,0)</f>
        <v>0</v>
      </c>
      <c r="U46" s="146" t="n">
        <f aca="false">IF(AND($E$41=1,U10&gt;0,NOT(ISNUMBER(U42))),1,0)</f>
        <v>0</v>
      </c>
      <c r="V46" s="146" t="n">
        <f aca="false">IF(AND($E$41=1,V10&gt;0,NOT(ISNUMBER(V42))),1,0)</f>
        <v>0</v>
      </c>
      <c r="W46" s="146" t="n">
        <f aca="false">IF(AND($E$41=1,W10&gt;0,NOT(ISNUMBER(W42))),1,0)</f>
        <v>0</v>
      </c>
      <c r="X46" s="146" t="n">
        <f aca="false">IF(AND($E$41=1,X10&gt;0,NOT(ISNUMBER(X42))),1,0)</f>
        <v>0</v>
      </c>
      <c r="Y46" s="146" t="n">
        <f aca="false">IF(AND($E$41=1,Y10&gt;0,NOT(ISNUMBER(Y42))),1,0)</f>
        <v>0</v>
      </c>
      <c r="Z46" s="146" t="n">
        <f aca="false">IF(AND($E$41=1,Z10&gt;0,NOT(ISNUMBER(Z42))),1,0)</f>
        <v>0</v>
      </c>
      <c r="AA46" s="146" t="n">
        <f aca="false">IF(AND($E$41=1,AA10&gt;0,NOT(ISNUMBER(AA42))),1,0)</f>
        <v>0</v>
      </c>
      <c r="AB46" s="146" t="n">
        <f aca="false">IF(AND($E$41=1,AB10&gt;0,NOT(ISNUMBER(AB42))),1,0)</f>
        <v>0</v>
      </c>
      <c r="AC46" s="146" t="n">
        <f aca="false">IF(AND($E$41=1,AC10&gt;0,NOT(ISNUMBER(AC42))),1,0)</f>
        <v>0</v>
      </c>
      <c r="AD46" s="146" t="n">
        <f aca="false">IF(AND($E$41=1,AD10&gt;0,NOT(ISNUMBER(AD42))),1,0)</f>
        <v>0</v>
      </c>
      <c r="AE46" s="146" t="n">
        <f aca="false">IF(AND($E$41=1,AE10&gt;0,NOT(ISNUMBER(AE42))),1,0)</f>
        <v>0</v>
      </c>
      <c r="AF46" s="146" t="n">
        <f aca="false">IF(AND($E$41=1,AF10&gt;0,NOT(ISNUMBER(AF42))),1,0)</f>
        <v>0</v>
      </c>
      <c r="AG46" s="146" t="n">
        <f aca="false">IF(AND($E$41=1,AG10&gt;0,NOT(ISNUMBER(AG42))),1,0)</f>
        <v>0</v>
      </c>
      <c r="AH46" s="146" t="n">
        <f aca="false">IF(AND($E$41=1,AH10&gt;0,NOT(ISNUMBER(AH42))),1,0)</f>
        <v>0</v>
      </c>
      <c r="AI46" s="146" t="n">
        <f aca="false">IF(AND($E$41=1,AI10&gt;0,NOT(ISNUMBER(AI42))),1,0)</f>
        <v>0</v>
      </c>
      <c r="AJ46" s="146" t="n">
        <f aca="false">IF(AND($E$41=1,AJ10&gt;0,NOT(ISNUMBER(AJ42))),1,0)</f>
        <v>0</v>
      </c>
      <c r="AK46" s="146" t="n">
        <f aca="false">IF(AND($E$41=1,AK10&gt;0,NOT(ISNUMBER(AK42))),1,0)</f>
        <v>0</v>
      </c>
      <c r="AL46" s="146" t="n">
        <f aca="false">IF(AND($E$41=1,AL10&gt;0,NOT(ISNUMBER(AL42))),1,0)</f>
        <v>0</v>
      </c>
      <c r="AM46" s="146" t="n">
        <f aca="false">IF(AND($E$41=1,AM10&gt;0,NOT(ISNUMBER(AM42))),1,0)</f>
        <v>0</v>
      </c>
      <c r="AN46" s="146" t="n">
        <f aca="false">IF(AND($E$41=1,AN10&gt;0,NOT(ISNUMBER(AN42))),1,0)</f>
        <v>0</v>
      </c>
      <c r="AO46" s="146" t="n">
        <f aca="false">IF(AND($E$41=1,AO10&gt;0,NOT(ISNUMBER(AO42))),1,0)</f>
        <v>0</v>
      </c>
      <c r="AP46" s="146" t="n">
        <f aca="false">IF(AND($E$41=1,AP10&gt;0,NOT(ISNUMBER(AP42))),1,0)</f>
        <v>0</v>
      </c>
      <c r="AQ46" s="146" t="n">
        <f aca="false">IF(AND($E$41=1,AQ10&gt;0,NOT(ISNUMBER(AQ42))),1,0)</f>
        <v>0</v>
      </c>
    </row>
    <row r="47" customFormat="false" ht="15" hidden="false" customHeight="false" outlineLevel="0" collapsed="false">
      <c r="C47" s="0" t="s">
        <v>1236</v>
      </c>
      <c r="D47" s="0" t="s">
        <v>253</v>
      </c>
      <c r="E47" s="146" t="n">
        <f aca="false">Inputs!$E$193</f>
        <v>90</v>
      </c>
      <c r="F47" s="146"/>
      <c r="G47" s="158"/>
      <c r="H47" s="158" t="n">
        <f aca="false">$E$47*(1+Inputs!$E$194)^(H$5-YEAR(Inputs!$E$155))</f>
        <v>85.6319118846074</v>
      </c>
      <c r="I47" s="158" t="n">
        <f aca="false">$E$47*(1+Inputs!$E$194)^(I$5-YEAR(Inputs!$E$155))</f>
        <v>86.4882310034535</v>
      </c>
      <c r="J47" s="158" t="n">
        <f aca="false">$E$47*(1+Inputs!$E$194)^(J$5-YEAR(Inputs!$E$155))</f>
        <v>87.353113313488</v>
      </c>
      <c r="K47" s="158" t="n">
        <f aca="false">$E$47*(1+Inputs!$E$194)^(K$5-YEAR(Inputs!$E$155))</f>
        <v>88.2266444466229</v>
      </c>
      <c r="L47" s="158" t="n">
        <f aca="false">$E$47*(1+Inputs!$E$194)^(L$5-YEAR(Inputs!$E$155))</f>
        <v>89.1089108910891</v>
      </c>
      <c r="M47" s="158" t="n">
        <f aca="false">$E$47*(1+Inputs!$E$194)^(M$5-YEAR(Inputs!$E$155))</f>
        <v>90</v>
      </c>
      <c r="N47" s="158" t="n">
        <f aca="false">$E$47*(1+Inputs!$E$194)^(N$5-YEAR(Inputs!$E$155))</f>
        <v>90.9</v>
      </c>
      <c r="O47" s="158" t="n">
        <f aca="false">$E$47*(1+Inputs!$E$194)^(O$5-YEAR(Inputs!$E$155))</f>
        <v>91.809</v>
      </c>
      <c r="P47" s="158" t="n">
        <f aca="false">$E$47*(1+Inputs!$E$194)^(P$5-YEAR(Inputs!$E$155))</f>
        <v>92.72709</v>
      </c>
      <c r="Q47" s="158" t="n">
        <f aca="false">$E$47*(1+Inputs!$E$194)^(Q$5-YEAR(Inputs!$E$155))</f>
        <v>93.6543609</v>
      </c>
      <c r="R47" s="158" t="n">
        <f aca="false">$E$47*(1+Inputs!$E$194)^(R$5-YEAR(Inputs!$E$155))</f>
        <v>94.590904509</v>
      </c>
      <c r="S47" s="158" t="n">
        <f aca="false">$E$47*(1+Inputs!$E$194)^(S$5-YEAR(Inputs!$E$155))</f>
        <v>95.53681355409</v>
      </c>
      <c r="T47" s="158" t="n">
        <f aca="false">$E$47*(1+Inputs!$E$194)^(T$5-YEAR(Inputs!$E$155))</f>
        <v>96.4921816896309</v>
      </c>
      <c r="U47" s="158" t="n">
        <f aca="false">$E$47*(1+Inputs!$E$194)^(U$5-YEAR(Inputs!$E$155))</f>
        <v>97.4571035065272</v>
      </c>
      <c r="V47" s="158" t="n">
        <f aca="false">$E$47*(1+Inputs!$E$194)^(V$5-YEAR(Inputs!$E$155))</f>
        <v>98.4316745415925</v>
      </c>
      <c r="W47" s="158" t="n">
        <f aca="false">$E$47*(1+Inputs!$E$194)^(W$5-YEAR(Inputs!$E$155))</f>
        <v>99.4159912870084</v>
      </c>
      <c r="X47" s="158" t="n">
        <f aca="false">$E$47*(1+Inputs!$E$194)^(X$5-YEAR(Inputs!$E$155))</f>
        <v>100.410151199878</v>
      </c>
      <c r="Y47" s="158" t="n">
        <f aca="false">$E$47*(1+Inputs!$E$194)^(Y$5-YEAR(Inputs!$E$155))</f>
        <v>101.414252711877</v>
      </c>
      <c r="Z47" s="158" t="n">
        <f aca="false">$E$47*(1+Inputs!$E$194)^(Z$5-YEAR(Inputs!$E$155))</f>
        <v>102.428395238996</v>
      </c>
      <c r="AA47" s="158" t="n">
        <f aca="false">$E$47*(1+Inputs!$E$194)^(AA$5-YEAR(Inputs!$E$155))</f>
        <v>103.452679191386</v>
      </c>
      <c r="AB47" s="158" t="n">
        <f aca="false">$E$47*(1+Inputs!$E$194)^(AB$5-YEAR(Inputs!$E$155))</f>
        <v>104.4872059833</v>
      </c>
      <c r="AC47" s="158" t="n">
        <f aca="false">$E$47*(1+Inputs!$E$194)^(AC$5-YEAR(Inputs!$E$155))</f>
        <v>105.532078043133</v>
      </c>
      <c r="AD47" s="158" t="n">
        <f aca="false">$E$47*(1+Inputs!$E$194)^(AD$5-YEAR(Inputs!$E$155))</f>
        <v>106.587398823564</v>
      </c>
      <c r="AE47" s="158" t="n">
        <f aca="false">$E$47*(1+Inputs!$E$194)^(AE$5-YEAR(Inputs!$E$155))</f>
        <v>107.6532728118</v>
      </c>
      <c r="AF47" s="158" t="n">
        <f aca="false">$E$47*(1+Inputs!$E$194)^(AF$5-YEAR(Inputs!$E$155))</f>
        <v>108.729805539918</v>
      </c>
      <c r="AG47" s="158" t="n">
        <f aca="false">$E$47*(1+Inputs!$E$194)^(AG$5-YEAR(Inputs!$E$155))</f>
        <v>109.817103595317</v>
      </c>
      <c r="AH47" s="158" t="n">
        <f aca="false">$E$47*(1+Inputs!$E$194)^(AH$5-YEAR(Inputs!$E$155))</f>
        <v>110.91527463127</v>
      </c>
      <c r="AI47" s="158" t="n">
        <f aca="false">$E$47*(1+Inputs!$E$194)^(AI$5-YEAR(Inputs!$E$155))</f>
        <v>112.024427377583</v>
      </c>
      <c r="AJ47" s="158" t="n">
        <f aca="false">$E$47*(1+Inputs!$E$194)^(AJ$5-YEAR(Inputs!$E$155))</f>
        <v>113.144671651359</v>
      </c>
      <c r="AK47" s="158" t="n">
        <f aca="false">$E$47*(1+Inputs!$E$194)^(AK$5-YEAR(Inputs!$E$155))</f>
        <v>114.276118367872</v>
      </c>
      <c r="AL47" s="158" t="n">
        <f aca="false">$E$47*(1+Inputs!$E$194)^(AL$5-YEAR(Inputs!$E$155))</f>
        <v>115.418879551551</v>
      </c>
      <c r="AM47" s="158" t="n">
        <f aca="false">$E$47*(1+Inputs!$E$194)^(AM$5-YEAR(Inputs!$E$155))</f>
        <v>116.573068347067</v>
      </c>
      <c r="AN47" s="158" t="n">
        <f aca="false">$E$47*(1+Inputs!$E$194)^(AN$5-YEAR(Inputs!$E$155))</f>
        <v>117.738799030537</v>
      </c>
      <c r="AO47" s="158" t="n">
        <f aca="false">$E$47*(1+Inputs!$E$194)^(AO$5-YEAR(Inputs!$E$155))</f>
        <v>118.916187020843</v>
      </c>
      <c r="AP47" s="158" t="n">
        <f aca="false">$E$47*(1+Inputs!$E$194)^(AP$5-YEAR(Inputs!$E$155))</f>
        <v>120.105348891051</v>
      </c>
      <c r="AQ47" s="158" t="n">
        <f aca="false">$E$47*(1+Inputs!$E$194)^(AQ$5-YEAR(Inputs!$E$155))</f>
        <v>121.306402379962</v>
      </c>
    </row>
    <row r="48" customFormat="false" ht="15" hidden="false" customHeight="false" outlineLevel="0" collapsed="false">
      <c r="C48" s="0" t="s">
        <v>1237</v>
      </c>
      <c r="D48" s="0" t="s">
        <v>51</v>
      </c>
      <c r="E48" s="141" t="n">
        <f aca="false">1-Inputs!$E$192</f>
        <v>1</v>
      </c>
      <c r="F48" s="146"/>
      <c r="G48" s="141"/>
      <c r="H48" s="141" t="n">
        <f aca="false">IF(AND(H9&gt;=1,H9&lt;=Inputs!$E$195),$E$48,0)</f>
        <v>0</v>
      </c>
      <c r="I48" s="141" t="n">
        <f aca="false">IF(AND(I9&gt;=1,I9&lt;=Inputs!$E$195),$E$48,0)</f>
        <v>0</v>
      </c>
      <c r="J48" s="141" t="n">
        <f aca="false">IF(AND(J9&gt;=1,J9&lt;=Inputs!$E$195),$E$48,0)</f>
        <v>0</v>
      </c>
      <c r="K48" s="141" t="n">
        <f aca="false">IF(AND(K9&gt;=1,K9&lt;=Inputs!$E$195),$E$48,0)</f>
        <v>0</v>
      </c>
      <c r="L48" s="141" t="n">
        <f aca="false">IF(AND(L9&gt;=1,L9&lt;=Inputs!$E$195),$E$48,0)</f>
        <v>0</v>
      </c>
      <c r="M48" s="141" t="n">
        <f aca="false">IF(AND(M9&gt;=1,M9&lt;=Inputs!$E$195),$E$48,0)</f>
        <v>0</v>
      </c>
      <c r="N48" s="141" t="n">
        <f aca="false">IF(AND(N9&gt;=1,N9&lt;=Inputs!$E$195),$E$48,0)</f>
        <v>1</v>
      </c>
      <c r="O48" s="141" t="n">
        <f aca="false">IF(AND(O9&gt;=1,O9&lt;=Inputs!$E$195),$E$48,0)</f>
        <v>1</v>
      </c>
      <c r="P48" s="141" t="n">
        <f aca="false">IF(AND(P9&gt;=1,P9&lt;=Inputs!$E$195),$E$48,0)</f>
        <v>1</v>
      </c>
      <c r="Q48" s="141" t="n">
        <f aca="false">IF(AND(Q9&gt;=1,Q9&lt;=Inputs!$E$195),$E$48,0)</f>
        <v>1</v>
      </c>
      <c r="R48" s="141" t="n">
        <f aca="false">IF(AND(R9&gt;=1,R9&lt;=Inputs!$E$195),$E$48,0)</f>
        <v>1</v>
      </c>
      <c r="S48" s="141" t="n">
        <f aca="false">IF(AND(S9&gt;=1,S9&lt;=Inputs!$E$195),$E$48,0)</f>
        <v>1</v>
      </c>
      <c r="T48" s="141" t="n">
        <f aca="false">IF(AND(T9&gt;=1,T9&lt;=Inputs!$E$195),$E$48,0)</f>
        <v>1</v>
      </c>
      <c r="U48" s="141" t="n">
        <f aca="false">IF(AND(U9&gt;=1,U9&lt;=Inputs!$E$195),$E$48,0)</f>
        <v>1</v>
      </c>
      <c r="V48" s="141" t="n">
        <f aca="false">IF(AND(V9&gt;=1,V9&lt;=Inputs!$E$195),$E$48,0)</f>
        <v>1</v>
      </c>
      <c r="W48" s="141" t="n">
        <f aca="false">IF(AND(W9&gt;=1,W9&lt;=Inputs!$E$195),$E$48,0)</f>
        <v>1</v>
      </c>
      <c r="X48" s="141" t="n">
        <f aca="false">IF(AND(X9&gt;=1,X9&lt;=Inputs!$E$195),$E$48,0)</f>
        <v>1</v>
      </c>
      <c r="Y48" s="141" t="n">
        <f aca="false">IF(AND(Y9&gt;=1,Y9&lt;=Inputs!$E$195),$E$48,0)</f>
        <v>1</v>
      </c>
      <c r="Z48" s="141" t="n">
        <f aca="false">IF(AND(Z9&gt;=1,Z9&lt;=Inputs!$E$195),$E$48,0)</f>
        <v>1</v>
      </c>
      <c r="AA48" s="141" t="n">
        <f aca="false">IF(AND(AA9&gt;=1,AA9&lt;=Inputs!$E$195),$E$48,0)</f>
        <v>1</v>
      </c>
      <c r="AB48" s="141" t="n">
        <f aca="false">IF(AND(AB9&gt;=1,AB9&lt;=Inputs!$E$195),$E$48,0)</f>
        <v>1</v>
      </c>
      <c r="AC48" s="141" t="n">
        <f aca="false">IF(AND(AC9&gt;=1,AC9&lt;=Inputs!$E$195),$E$48,0)</f>
        <v>1</v>
      </c>
      <c r="AD48" s="141" t="n">
        <f aca="false">IF(AND(AD9&gt;=1,AD9&lt;=Inputs!$E$195),$E$48,0)</f>
        <v>1</v>
      </c>
      <c r="AE48" s="141" t="n">
        <f aca="false">IF(AND(AE9&gt;=1,AE9&lt;=Inputs!$E$195),$E$48,0)</f>
        <v>1</v>
      </c>
      <c r="AF48" s="141" t="n">
        <f aca="false">IF(AND(AF9&gt;=1,AF9&lt;=Inputs!$E$195),$E$48,0)</f>
        <v>1</v>
      </c>
      <c r="AG48" s="141" t="n">
        <f aca="false">IF(AND(AG9&gt;=1,AG9&lt;=Inputs!$E$195),$E$48,0)</f>
        <v>1</v>
      </c>
      <c r="AH48" s="141" t="n">
        <f aca="false">IF(AND(AH9&gt;=1,AH9&lt;=Inputs!$E$195),$E$48,0)</f>
        <v>1</v>
      </c>
      <c r="AI48" s="141" t="n">
        <f aca="false">IF(AND(AI9&gt;=1,AI9&lt;=Inputs!$E$195),$E$48,0)</f>
        <v>1</v>
      </c>
      <c r="AJ48" s="141" t="n">
        <f aca="false">IF(AND(AJ9&gt;=1,AJ9&lt;=Inputs!$E$195),$E$48,0)</f>
        <v>1</v>
      </c>
      <c r="AK48" s="141" t="n">
        <f aca="false">IF(AND(AK9&gt;=1,AK9&lt;=Inputs!$E$195),$E$48,0)</f>
        <v>1</v>
      </c>
      <c r="AL48" s="141" t="n">
        <f aca="false">IF(AND(AL9&gt;=1,AL9&lt;=Inputs!$E$195),$E$48,0)</f>
        <v>1</v>
      </c>
      <c r="AM48" s="141" t="n">
        <f aca="false">IF(AND(AM9&gt;=1,AM9&lt;=Inputs!$E$195),$E$48,0)</f>
        <v>1</v>
      </c>
      <c r="AN48" s="141" t="n">
        <f aca="false">IF(AND(AN9&gt;=1,AN9&lt;=Inputs!$E$195),$E$48,0)</f>
        <v>1</v>
      </c>
      <c r="AO48" s="141" t="n">
        <f aca="false">IF(AND(AO9&gt;=1,AO9&lt;=Inputs!$E$195),$E$48,0)</f>
        <v>1</v>
      </c>
      <c r="AP48" s="141" t="n">
        <f aca="false">IF(AND(AP9&gt;=1,AP9&lt;=Inputs!$E$195),$E$48,0)</f>
        <v>1</v>
      </c>
      <c r="AQ48" s="141" t="n">
        <f aca="false">IF(AND(AQ9&gt;=1,AQ9&lt;=Inputs!$E$195),$E$48,0)</f>
        <v>1</v>
      </c>
    </row>
    <row r="49" customFormat="false" ht="15" hidden="false" customHeight="false" outlineLevel="0" collapsed="false">
      <c r="C49" s="205" t="s">
        <v>1238</v>
      </c>
      <c r="D49" s="205" t="s">
        <v>253</v>
      </c>
      <c r="E49" s="277"/>
      <c r="F49" s="277"/>
      <c r="G49" s="251" t="n">
        <f aca="false">IF(G38=0,"",G54/G38)</f>
        <v>105.08925186711</v>
      </c>
      <c r="H49" s="251" t="str">
        <f aca="false">IF(H38=0,"",H45*(1-H48)+H47*H48)</f>
        <v/>
      </c>
      <c r="I49" s="251" t="str">
        <f aca="false">IF(I38=0,"",I45*(1-I48)+I47*I48)</f>
        <v/>
      </c>
      <c r="J49" s="251" t="str">
        <f aca="false">IF(J38=0,"",J45*(1-J48)+J47*J48)</f>
        <v/>
      </c>
      <c r="K49" s="251" t="str">
        <f aca="false">IF(K38=0,"",K45*(1-K48)+K47*K48)</f>
        <v/>
      </c>
      <c r="L49" s="251" t="str">
        <f aca="false">IF(L38=0,"",L45*(1-L48)+L47*L48)</f>
        <v/>
      </c>
      <c r="M49" s="251" t="n">
        <f aca="false">IF(M38=0,"",M45*(1-M48)+M47*M48)</f>
        <v>115.735711827761</v>
      </c>
      <c r="N49" s="251" t="n">
        <f aca="false">IF(N38=0,"",N45*(1-N48)+N47*N48)</f>
        <v>90.9</v>
      </c>
      <c r="O49" s="251" t="n">
        <f aca="false">IF(O38=0,"",O45*(1-O48)+O47*O48)</f>
        <v>91.809</v>
      </c>
      <c r="P49" s="251" t="n">
        <f aca="false">IF(P38=0,"",P45*(1-P48)+P47*P48)</f>
        <v>92.72709</v>
      </c>
      <c r="Q49" s="251" t="n">
        <f aca="false">IF(Q38=0,"",Q45*(1-Q48)+Q47*Q48)</f>
        <v>93.6543609</v>
      </c>
      <c r="R49" s="251" t="n">
        <f aca="false">IF(R38=0,"",R45*(1-R48)+R47*R48)</f>
        <v>94.590904509</v>
      </c>
      <c r="S49" s="251" t="n">
        <f aca="false">IF(S38=0,"",S45*(1-S48)+S47*S48)</f>
        <v>95.53681355409</v>
      </c>
      <c r="T49" s="251" t="n">
        <f aca="false">IF(T38=0,"",T45*(1-T48)+T47*T48)</f>
        <v>96.4921816896309</v>
      </c>
      <c r="U49" s="251" t="n">
        <f aca="false">IF(U38=0,"",U45*(1-U48)+U47*U48)</f>
        <v>97.4571035065272</v>
      </c>
      <c r="V49" s="251" t="n">
        <f aca="false">IF(V38=0,"",V45*(1-V48)+V47*V48)</f>
        <v>98.4316745415925</v>
      </c>
      <c r="W49" s="251" t="n">
        <f aca="false">IF(W38=0,"",W45*(1-W48)+W47*W48)</f>
        <v>99.4159912870084</v>
      </c>
      <c r="X49" s="251" t="n">
        <f aca="false">IF(X38=0,"",X45*(1-X48)+X47*X48)</f>
        <v>100.410151199878</v>
      </c>
      <c r="Y49" s="251" t="n">
        <f aca="false">IF(Y38=0,"",Y45*(1-Y48)+Y47*Y48)</f>
        <v>101.414252711877</v>
      </c>
      <c r="Z49" s="251" t="n">
        <f aca="false">IF(Z38=0,"",Z45*(1-Z48)+Z47*Z48)</f>
        <v>102.428395238996</v>
      </c>
      <c r="AA49" s="251" t="n">
        <f aca="false">IF(AA38=0,"",AA45*(1-AA48)+AA47*AA48)</f>
        <v>103.452679191386</v>
      </c>
      <c r="AB49" s="251" t="n">
        <f aca="false">IF(AB38=0,"",AB45*(1-AB48)+AB47*AB48)</f>
        <v>104.4872059833</v>
      </c>
      <c r="AC49" s="251" t="n">
        <f aca="false">IF(AC38=0,"",AC45*(1-AC48)+AC47*AC48)</f>
        <v>105.532078043133</v>
      </c>
      <c r="AD49" s="251" t="n">
        <f aca="false">IF(AD38=0,"",AD45*(1-AD48)+AD47*AD48)</f>
        <v>106.587398823564</v>
      </c>
      <c r="AE49" s="251" t="n">
        <f aca="false">IF(AE38=0,"",AE45*(1-AE48)+AE47*AE48)</f>
        <v>107.6532728118</v>
      </c>
      <c r="AF49" s="251" t="n">
        <f aca="false">IF(AF38=0,"",AF45*(1-AF48)+AF47*AF48)</f>
        <v>108.729805539918</v>
      </c>
      <c r="AG49" s="251" t="n">
        <f aca="false">IF(AG38=0,"",AG45*(1-AG48)+AG47*AG48)</f>
        <v>109.817103595317</v>
      </c>
      <c r="AH49" s="251" t="n">
        <f aca="false">IF(AH38=0,"",AH45*(1-AH48)+AH47*AH48)</f>
        <v>110.91527463127</v>
      </c>
      <c r="AI49" s="251" t="n">
        <f aca="false">IF(AI38=0,"",AI45*(1-AI48)+AI47*AI48)</f>
        <v>112.024427377583</v>
      </c>
      <c r="AJ49" s="251" t="n">
        <f aca="false">IF(AJ38=0,"",AJ45*(1-AJ48)+AJ47*AJ48)</f>
        <v>113.144671651359</v>
      </c>
      <c r="AK49" s="251" t="n">
        <f aca="false">IF(AK38=0,"",AK45*(1-AK48)+AK47*AK48)</f>
        <v>114.276118367872</v>
      </c>
      <c r="AL49" s="251" t="n">
        <f aca="false">IF(AL38=0,"",AL45*(1-AL48)+AL47*AL48)</f>
        <v>115.418879551551</v>
      </c>
      <c r="AM49" s="251" t="n">
        <f aca="false">IF(AM38=0,"",AM45*(1-AM48)+AM47*AM48)</f>
        <v>116.573068347067</v>
      </c>
      <c r="AN49" s="251" t="n">
        <f aca="false">IF(AN38=0,"",AN45*(1-AN48)+AN47*AN48)</f>
        <v>117.738799030537</v>
      </c>
      <c r="AO49" s="251" t="n">
        <f aca="false">IF(AO38=0,"",AO45*(1-AO48)+AO47*AO48)</f>
        <v>118.916187020843</v>
      </c>
      <c r="AP49" s="251" t="n">
        <f aca="false">IF(AP38=0,"",AP45*(1-AP48)+AP47*AP48)</f>
        <v>120.105348891051</v>
      </c>
      <c r="AQ49" s="251" t="n">
        <f aca="false">IF(AQ38=0,"",AQ45*(1-AQ48)+AQ47*AQ48)</f>
        <v>121.306402379962</v>
      </c>
    </row>
    <row r="50" customFormat="false" ht="15" hidden="false" customHeight="false" outlineLevel="0" collapsed="false">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row>
    <row r="51" customFormat="false" ht="15" hidden="false" customHeight="false" outlineLevel="0" collapsed="false">
      <c r="C51" s="136" t="s">
        <v>1239</v>
      </c>
      <c r="D51" s="136"/>
      <c r="E51" s="280" t="n">
        <f aca="false">Inputs!$E$211</f>
        <v>0.025</v>
      </c>
      <c r="F51" s="279" t="s">
        <v>1240</v>
      </c>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c r="AL51" s="278"/>
      <c r="AM51" s="278"/>
      <c r="AN51" s="278"/>
      <c r="AO51" s="278"/>
      <c r="AP51" s="278"/>
      <c r="AQ51" s="278"/>
    </row>
    <row r="52" customFormat="false" ht="15" hidden="false" customHeight="false" outlineLevel="0" collapsed="false">
      <c r="C52" s="0" t="s">
        <v>1241</v>
      </c>
      <c r="D52" s="0" t="s">
        <v>125</v>
      </c>
      <c r="E52" s="146"/>
      <c r="F52" s="146"/>
      <c r="G52" s="146" t="n">
        <f aca="false">SUM(H52:AQ52)</f>
        <v>17352.4884528617</v>
      </c>
      <c r="H52" s="146" t="n">
        <f aca="false">H38*H45*(1-H48)</f>
        <v>0</v>
      </c>
      <c r="I52" s="146" t="n">
        <f aca="false">I38*I45*(1-I48)</f>
        <v>0</v>
      </c>
      <c r="J52" s="146" t="n">
        <f aca="false">J38*J45*(1-J48)</f>
        <v>0</v>
      </c>
      <c r="K52" s="146" t="n">
        <f aca="false">K38*K45*(1-K48)</f>
        <v>0</v>
      </c>
      <c r="L52" s="146" t="n">
        <f aca="false">L38*L45*(1-L48)</f>
        <v>0</v>
      </c>
      <c r="M52" s="146" t="n">
        <f aca="false">M38*M45*(1-M48)</f>
        <v>17352.4884528617</v>
      </c>
      <c r="N52" s="146" t="n">
        <f aca="false">N38*N45*(1-N48)</f>
        <v>0</v>
      </c>
      <c r="O52" s="146" t="n">
        <f aca="false">O38*O45*(1-O48)</f>
        <v>0</v>
      </c>
      <c r="P52" s="146" t="n">
        <f aca="false">P38*P45*(1-P48)</f>
        <v>0</v>
      </c>
      <c r="Q52" s="146" t="n">
        <f aca="false">Q38*Q45*(1-Q48)</f>
        <v>0</v>
      </c>
      <c r="R52" s="146" t="n">
        <f aca="false">R38*R45*(1-R48)</f>
        <v>0</v>
      </c>
      <c r="S52" s="146" t="n">
        <f aca="false">S38*S45*(1-S48)</f>
        <v>0</v>
      </c>
      <c r="T52" s="146" t="n">
        <f aca="false">T38*T45*(1-T48)</f>
        <v>0</v>
      </c>
      <c r="U52" s="146" t="n">
        <f aca="false">U38*U45*(1-U48)</f>
        <v>0</v>
      </c>
      <c r="V52" s="146" t="n">
        <f aca="false">V38*V45*(1-V48)</f>
        <v>0</v>
      </c>
      <c r="W52" s="146" t="n">
        <f aca="false">W38*W45*(1-W48)</f>
        <v>0</v>
      </c>
      <c r="X52" s="146" t="n">
        <f aca="false">X38*X45*(1-X48)</f>
        <v>0</v>
      </c>
      <c r="Y52" s="146" t="n">
        <f aca="false">Y38*Y45*(1-Y48)</f>
        <v>0</v>
      </c>
      <c r="Z52" s="146" t="n">
        <f aca="false">Z38*Z45*(1-Z48)</f>
        <v>0</v>
      </c>
      <c r="AA52" s="146" t="n">
        <f aca="false">AA38*AA45*(1-AA48)</f>
        <v>0</v>
      </c>
      <c r="AB52" s="146" t="n">
        <f aca="false">AB38*AB45*(1-AB48)</f>
        <v>0</v>
      </c>
      <c r="AC52" s="146" t="n">
        <f aca="false">AC38*AC45*(1-AC48)</f>
        <v>0</v>
      </c>
      <c r="AD52" s="146" t="n">
        <f aca="false">AD38*AD45*(1-AD48)</f>
        <v>0</v>
      </c>
      <c r="AE52" s="146" t="n">
        <f aca="false">AE38*AE45*(1-AE48)</f>
        <v>0</v>
      </c>
      <c r="AF52" s="146" t="n">
        <f aca="false">AF38*AF45*(1-AF48)</f>
        <v>0</v>
      </c>
      <c r="AG52" s="146" t="n">
        <f aca="false">AG38*AG45*(1-AG48)</f>
        <v>0</v>
      </c>
      <c r="AH52" s="146" t="n">
        <f aca="false">AH38*AH45*(1-AH48)</f>
        <v>0</v>
      </c>
      <c r="AI52" s="146" t="n">
        <f aca="false">AI38*AI45*(1-AI48)</f>
        <v>0</v>
      </c>
      <c r="AJ52" s="146" t="n">
        <f aca="false">AJ38*AJ45*(1-AJ48)</f>
        <v>0</v>
      </c>
      <c r="AK52" s="146" t="n">
        <f aca="false">AK38*AK45*(1-AK48)</f>
        <v>0</v>
      </c>
      <c r="AL52" s="146" t="n">
        <f aca="false">AL38*AL45*(1-AL48)</f>
        <v>0</v>
      </c>
      <c r="AM52" s="146" t="n">
        <f aca="false">AM38*AM45*(1-AM48)</f>
        <v>0</v>
      </c>
      <c r="AN52" s="146" t="n">
        <f aca="false">AN38*AN45*(1-AN48)</f>
        <v>0</v>
      </c>
      <c r="AO52" s="146" t="n">
        <f aca="false">AO38*AO45*(1-AO48)</f>
        <v>0</v>
      </c>
      <c r="AP52" s="146" t="n">
        <f aca="false">AP38*AP45*(1-AP48)</f>
        <v>0</v>
      </c>
      <c r="AQ52" s="146" t="n">
        <f aca="false">AQ38*AQ45*(1-AQ48)</f>
        <v>0</v>
      </c>
    </row>
    <row r="53" customFormat="false" ht="15" hidden="false" customHeight="false" outlineLevel="0" collapsed="false">
      <c r="C53" s="0" t="s">
        <v>1242</v>
      </c>
      <c r="D53" s="0" t="s">
        <v>125</v>
      </c>
      <c r="E53" s="146"/>
      <c r="F53" s="146"/>
      <c r="G53" s="146" t="n">
        <f aca="false">SUM(H53:AQ53)</f>
        <v>889341.565076994</v>
      </c>
      <c r="H53" s="146" t="n">
        <f aca="false">H38*H47*H48</f>
        <v>0</v>
      </c>
      <c r="I53" s="146" t="n">
        <f aca="false">I38*I47*I48</f>
        <v>0</v>
      </c>
      <c r="J53" s="146" t="n">
        <f aca="false">J38*J47*J48</f>
        <v>0</v>
      </c>
      <c r="K53" s="146" t="n">
        <f aca="false">K38*K47*K48</f>
        <v>0</v>
      </c>
      <c r="L53" s="146" t="n">
        <f aca="false">L38*L47*L48</f>
        <v>0</v>
      </c>
      <c r="M53" s="146" t="n">
        <f aca="false">M38*M47*M48</f>
        <v>0</v>
      </c>
      <c r="N53" s="146" t="n">
        <f aca="false">N38*N47*N48</f>
        <v>27257.64028155</v>
      </c>
      <c r="O53" s="146" t="n">
        <f aca="false">O38*O47*O48</f>
        <v>27447.6260343124</v>
      </c>
      <c r="P53" s="146" t="n">
        <f aca="false">P38*P47*P48</f>
        <v>27638.9359877716</v>
      </c>
      <c r="Q53" s="146" t="n">
        <f aca="false">Q38*Q47*Q48</f>
        <v>27831.5793716063</v>
      </c>
      <c r="R53" s="146" t="n">
        <f aca="false">R38*R47*R48</f>
        <v>28025.5654798264</v>
      </c>
      <c r="S53" s="146" t="n">
        <f aca="false">S38*S47*S48</f>
        <v>28220.9036712208</v>
      </c>
      <c r="T53" s="146" t="n">
        <f aca="false">T38*T47*T48</f>
        <v>28417.6033698092</v>
      </c>
      <c r="U53" s="146" t="n">
        <f aca="false">U38*U47*U48</f>
        <v>28615.6740652968</v>
      </c>
      <c r="V53" s="146" t="n">
        <f aca="false">V38*V47*V48</f>
        <v>28815.1253135319</v>
      </c>
      <c r="W53" s="146" t="n">
        <f aca="false">W38*W47*W48</f>
        <v>29015.9667369672</v>
      </c>
      <c r="X53" s="146" t="n">
        <f aca="false">X38*X47*X48</f>
        <v>29218.2080251239</v>
      </c>
      <c r="Y53" s="146" t="n">
        <f aca="false">Y38*Y47*Y48</f>
        <v>29421.858935059</v>
      </c>
      <c r="Z53" s="146" t="n">
        <f aca="false">Z38*Z47*Z48</f>
        <v>29626.9292918364</v>
      </c>
      <c r="AA53" s="146" t="n">
        <f aca="false">AA38*AA47*AA48</f>
        <v>29833.4289890005</v>
      </c>
      <c r="AB53" s="146" t="n">
        <f aca="false">AB38*AB47*AB48</f>
        <v>30041.3679890538</v>
      </c>
      <c r="AC53" s="146" t="n">
        <f aca="false">AC38*AC47*AC48</f>
        <v>30250.7563239375</v>
      </c>
      <c r="AD53" s="146" t="n">
        <f aca="false">AD38*AD47*AD48</f>
        <v>30461.6040955154</v>
      </c>
      <c r="AE53" s="146" t="n">
        <f aca="false">AE38*AE47*AE48</f>
        <v>30673.9214760611</v>
      </c>
      <c r="AF53" s="146" t="n">
        <f aca="false">AF38*AF47*AF48</f>
        <v>30887.7187087492</v>
      </c>
      <c r="AG53" s="146" t="n">
        <f aca="false">AG38*AG47*AG48</f>
        <v>31103.0061081492</v>
      </c>
      <c r="AH53" s="146" t="n">
        <f aca="false">AH38*AH47*AH48</f>
        <v>31319.794060723</v>
      </c>
      <c r="AI53" s="146" t="n">
        <f aca="false">AI38*AI47*AI48</f>
        <v>31538.0930253263</v>
      </c>
      <c r="AJ53" s="146" t="n">
        <f aca="false">AJ38*AJ47*AJ48</f>
        <v>31757.9135337128</v>
      </c>
      <c r="AK53" s="146" t="n">
        <f aca="false">AK38*AK47*AK48</f>
        <v>31979.2661910428</v>
      </c>
      <c r="AL53" s="146" t="n">
        <f aca="false">AL38*AL47*AL48</f>
        <v>32202.1616763943</v>
      </c>
      <c r="AM53" s="146" t="n">
        <f aca="false">AM38*AM47*AM48</f>
        <v>32426.6107432788</v>
      </c>
      <c r="AN53" s="146" t="n">
        <f aca="false">AN38*AN47*AN48</f>
        <v>32652.6242201595</v>
      </c>
      <c r="AO53" s="146" t="n">
        <f aca="false">AO38*AO47*AO48</f>
        <v>32880.213010974</v>
      </c>
      <c r="AP53" s="146" t="n">
        <f aca="false">AP38*AP47*AP48</f>
        <v>33109.3880956605</v>
      </c>
      <c r="AQ53" s="146" t="n">
        <f aca="false">AQ38*AQ47*AQ48</f>
        <v>16670.0802653436</v>
      </c>
    </row>
    <row r="54" customFormat="false" ht="15" hidden="false" customHeight="false" outlineLevel="0" collapsed="false">
      <c r="C54" s="205" t="s">
        <v>1243</v>
      </c>
      <c r="D54" s="205" t="s">
        <v>125</v>
      </c>
      <c r="E54" s="277"/>
      <c r="F54" s="277"/>
      <c r="G54" s="277" t="n">
        <f aca="false">SUM(H54:AQ54)</f>
        <v>906694.053529856</v>
      </c>
      <c r="H54" s="277" t="n">
        <f aca="false">H52+H53</f>
        <v>0</v>
      </c>
      <c r="I54" s="277" t="n">
        <f aca="false">I52+I53</f>
        <v>0</v>
      </c>
      <c r="J54" s="277" t="n">
        <f aca="false">J52+J53</f>
        <v>0</v>
      </c>
      <c r="K54" s="277" t="n">
        <f aca="false">K52+K53</f>
        <v>0</v>
      </c>
      <c r="L54" s="277" t="n">
        <f aca="false">L52+L53</f>
        <v>0</v>
      </c>
      <c r="M54" s="277" t="n">
        <f aca="false">M52+M53</f>
        <v>17352.4884528617</v>
      </c>
      <c r="N54" s="277" t="n">
        <f aca="false">N52+N53</f>
        <v>27257.64028155</v>
      </c>
      <c r="O54" s="277" t="n">
        <f aca="false">O52+O53</f>
        <v>27447.6260343124</v>
      </c>
      <c r="P54" s="277" t="n">
        <f aca="false">P52+P53</f>
        <v>27638.9359877716</v>
      </c>
      <c r="Q54" s="277" t="n">
        <f aca="false">Q52+Q53</f>
        <v>27831.5793716063</v>
      </c>
      <c r="R54" s="277" t="n">
        <f aca="false">R52+R53</f>
        <v>28025.5654798264</v>
      </c>
      <c r="S54" s="277" t="n">
        <f aca="false">S52+S53</f>
        <v>28220.9036712208</v>
      </c>
      <c r="T54" s="277" t="n">
        <f aca="false">T52+T53</f>
        <v>28417.6033698092</v>
      </c>
      <c r="U54" s="277" t="n">
        <f aca="false">U52+U53</f>
        <v>28615.6740652968</v>
      </c>
      <c r="V54" s="277" t="n">
        <f aca="false">V52+V53</f>
        <v>28815.1253135319</v>
      </c>
      <c r="W54" s="277" t="n">
        <f aca="false">W52+W53</f>
        <v>29015.9667369672</v>
      </c>
      <c r="X54" s="277" t="n">
        <f aca="false">X52+X53</f>
        <v>29218.2080251239</v>
      </c>
      <c r="Y54" s="277" t="n">
        <f aca="false">Y52+Y53</f>
        <v>29421.858935059</v>
      </c>
      <c r="Z54" s="277" t="n">
        <f aca="false">Z52+Z53</f>
        <v>29626.9292918364</v>
      </c>
      <c r="AA54" s="277" t="n">
        <f aca="false">AA52+AA53</f>
        <v>29833.4289890005</v>
      </c>
      <c r="AB54" s="277" t="n">
        <f aca="false">AB52+AB53</f>
        <v>30041.3679890538</v>
      </c>
      <c r="AC54" s="277" t="n">
        <f aca="false">AC52+AC53</f>
        <v>30250.7563239375</v>
      </c>
      <c r="AD54" s="277" t="n">
        <f aca="false">AD52+AD53</f>
        <v>30461.6040955154</v>
      </c>
      <c r="AE54" s="277" t="n">
        <f aca="false">AE52+AE53</f>
        <v>30673.9214760611</v>
      </c>
      <c r="AF54" s="277" t="n">
        <f aca="false">AF52+AF53</f>
        <v>30887.7187087492</v>
      </c>
      <c r="AG54" s="277" t="n">
        <f aca="false">AG52+AG53</f>
        <v>31103.0061081492</v>
      </c>
      <c r="AH54" s="277" t="n">
        <f aca="false">AH52+AH53</f>
        <v>31319.794060723</v>
      </c>
      <c r="AI54" s="277" t="n">
        <f aca="false">AI52+AI53</f>
        <v>31538.0930253263</v>
      </c>
      <c r="AJ54" s="277" t="n">
        <f aca="false">AJ52+AJ53</f>
        <v>31757.9135337128</v>
      </c>
      <c r="AK54" s="277" t="n">
        <f aca="false">AK52+AK53</f>
        <v>31979.2661910428</v>
      </c>
      <c r="AL54" s="277" t="n">
        <f aca="false">AL52+AL53</f>
        <v>32202.1616763943</v>
      </c>
      <c r="AM54" s="277" t="n">
        <f aca="false">AM52+AM53</f>
        <v>32426.6107432788</v>
      </c>
      <c r="AN54" s="277" t="n">
        <f aca="false">AN52+AN53</f>
        <v>32652.6242201595</v>
      </c>
      <c r="AO54" s="277" t="n">
        <f aca="false">AO52+AO53</f>
        <v>32880.213010974</v>
      </c>
      <c r="AP54" s="277" t="n">
        <f aca="false">AP52+AP53</f>
        <v>33109.3880956605</v>
      </c>
      <c r="AQ54" s="277" t="n">
        <f aca="false">AQ52+AQ53</f>
        <v>16670.0802653436</v>
      </c>
    </row>
    <row r="55" customFormat="false" ht="15" hidden="false" customHeight="false" outlineLevel="0" collapsed="false">
      <c r="C55" s="0" t="s">
        <v>1244</v>
      </c>
      <c r="D55" s="0" t="s">
        <v>7</v>
      </c>
      <c r="E55" s="146"/>
      <c r="F55" s="146"/>
      <c r="G55" s="158"/>
      <c r="H55" s="158" t="n">
        <f aca="false">IF(H10&gt;0,(1+$E$51)^(H$5-YEAR(Inputs!$E$155)),0)</f>
        <v>0</v>
      </c>
      <c r="I55" s="158" t="n">
        <f aca="false">IF(I10&gt;0,(1+$E$51)^(I$5-YEAR(Inputs!$E$155)),0)</f>
        <v>0</v>
      </c>
      <c r="J55" s="158" t="n">
        <f aca="false">IF(J10&gt;0,(1+$E$51)^(J$5-YEAR(Inputs!$E$155)),0)</f>
        <v>0</v>
      </c>
      <c r="K55" s="158" t="n">
        <f aca="false">IF(K10&gt;0,(1+$E$51)^(K$5-YEAR(Inputs!$E$155)),0)</f>
        <v>0</v>
      </c>
      <c r="L55" s="158" t="n">
        <f aca="false">IF(L10&gt;0,(1+$E$51)^(L$5-YEAR(Inputs!$E$155)),0)</f>
        <v>0</v>
      </c>
      <c r="M55" s="158" t="n">
        <f aca="false">IF(M10&gt;0,(1+$E$51)^(M$5-YEAR(Inputs!$E$155)),0)</f>
        <v>1</v>
      </c>
      <c r="N55" s="158" t="n">
        <f aca="false">IF(N10&gt;0,(1+$E$51)^(N$5-YEAR(Inputs!$E$155)),0)</f>
        <v>1.025</v>
      </c>
      <c r="O55" s="158" t="n">
        <f aca="false">IF(O10&gt;0,(1+$E$51)^(O$5-YEAR(Inputs!$E$155)),0)</f>
        <v>1.050625</v>
      </c>
      <c r="P55" s="158" t="n">
        <f aca="false">IF(P10&gt;0,(1+$E$51)^(P$5-YEAR(Inputs!$E$155)),0)</f>
        <v>1.076890625</v>
      </c>
      <c r="Q55" s="158" t="n">
        <f aca="false">IF(Q10&gt;0,(1+$E$51)^(Q$5-YEAR(Inputs!$E$155)),0)</f>
        <v>1.103812890625</v>
      </c>
      <c r="R55" s="158" t="n">
        <f aca="false">IF(R10&gt;0,(1+$E$51)^(R$5-YEAR(Inputs!$E$155)),0)</f>
        <v>1.13140821289062</v>
      </c>
      <c r="S55" s="158" t="n">
        <f aca="false">IF(S10&gt;0,(1+$E$51)^(S$5-YEAR(Inputs!$E$155)),0)</f>
        <v>1.15969341821289</v>
      </c>
      <c r="T55" s="158" t="n">
        <f aca="false">IF(T10&gt;0,(1+$E$51)^(T$5-YEAR(Inputs!$E$155)),0)</f>
        <v>1.18868575366821</v>
      </c>
      <c r="U55" s="158" t="n">
        <f aca="false">IF(U10&gt;0,(1+$E$51)^(U$5-YEAR(Inputs!$E$155)),0)</f>
        <v>1.21840289750992</v>
      </c>
      <c r="V55" s="158" t="n">
        <f aca="false">IF(V10&gt;0,(1+$E$51)^(V$5-YEAR(Inputs!$E$155)),0)</f>
        <v>1.24886296994767</v>
      </c>
      <c r="W55" s="158" t="n">
        <f aca="false">IF(W10&gt;0,(1+$E$51)^(W$5-YEAR(Inputs!$E$155)),0)</f>
        <v>1.28008454419636</v>
      </c>
      <c r="X55" s="158" t="n">
        <f aca="false">IF(X10&gt;0,(1+$E$51)^(X$5-YEAR(Inputs!$E$155)),0)</f>
        <v>1.31208665780127</v>
      </c>
      <c r="Y55" s="158" t="n">
        <f aca="false">IF(Y10&gt;0,(1+$E$51)^(Y$5-YEAR(Inputs!$E$155)),0)</f>
        <v>1.3448888242463</v>
      </c>
      <c r="Z55" s="158" t="n">
        <f aca="false">IF(Z10&gt;0,(1+$E$51)^(Z$5-YEAR(Inputs!$E$155)),0)</f>
        <v>1.37851104485245</v>
      </c>
      <c r="AA55" s="158" t="n">
        <f aca="false">IF(AA10&gt;0,(1+$E$51)^(AA$5-YEAR(Inputs!$E$155)),0)</f>
        <v>1.41297382097377</v>
      </c>
      <c r="AB55" s="158" t="n">
        <f aca="false">IF(AB10&gt;0,(1+$E$51)^(AB$5-YEAR(Inputs!$E$155)),0)</f>
        <v>1.44829816649811</v>
      </c>
      <c r="AC55" s="158" t="n">
        <f aca="false">IF(AC10&gt;0,(1+$E$51)^(AC$5-YEAR(Inputs!$E$155)),0)</f>
        <v>1.48450562066056</v>
      </c>
      <c r="AD55" s="158" t="n">
        <f aca="false">IF(AD10&gt;0,(1+$E$51)^(AD$5-YEAR(Inputs!$E$155)),0)</f>
        <v>1.52161826117708</v>
      </c>
      <c r="AE55" s="158" t="n">
        <f aca="false">IF(AE10&gt;0,(1+$E$51)^(AE$5-YEAR(Inputs!$E$155)),0)</f>
        <v>1.5596587177065</v>
      </c>
      <c r="AF55" s="158" t="n">
        <f aca="false">IF(AF10&gt;0,(1+$E$51)^(AF$5-YEAR(Inputs!$E$155)),0)</f>
        <v>1.59865018564917</v>
      </c>
      <c r="AG55" s="158" t="n">
        <f aca="false">IF(AG10&gt;0,(1+$E$51)^(AG$5-YEAR(Inputs!$E$155)),0)</f>
        <v>1.63861644029039</v>
      </c>
      <c r="AH55" s="158" t="n">
        <f aca="false">IF(AH10&gt;0,(1+$E$51)^(AH$5-YEAR(Inputs!$E$155)),0)</f>
        <v>1.67958185129765</v>
      </c>
      <c r="AI55" s="158" t="n">
        <f aca="false">IF(AI10&gt;0,(1+$E$51)^(AI$5-YEAR(Inputs!$E$155)),0)</f>
        <v>1.7215713975801</v>
      </c>
      <c r="AJ55" s="158" t="n">
        <f aca="false">IF(AJ10&gt;0,(1+$E$51)^(AJ$5-YEAR(Inputs!$E$155)),0)</f>
        <v>1.7646106825196</v>
      </c>
      <c r="AK55" s="158" t="n">
        <f aca="false">IF(AK10&gt;0,(1+$E$51)^(AK$5-YEAR(Inputs!$E$155)),0)</f>
        <v>1.80872594958259</v>
      </c>
      <c r="AL55" s="158" t="n">
        <f aca="false">IF(AL10&gt;0,(1+$E$51)^(AL$5-YEAR(Inputs!$E$155)),0)</f>
        <v>1.85394409832215</v>
      </c>
      <c r="AM55" s="158" t="n">
        <f aca="false">IF(AM10&gt;0,(1+$E$51)^(AM$5-YEAR(Inputs!$E$155)),0)</f>
        <v>1.90029270078021</v>
      </c>
      <c r="AN55" s="158" t="n">
        <f aca="false">IF(AN10&gt;0,(1+$E$51)^(AN$5-YEAR(Inputs!$E$155)),0)</f>
        <v>1.94780001829971</v>
      </c>
      <c r="AO55" s="158" t="n">
        <f aca="false">IF(AO10&gt;0,(1+$E$51)^(AO$5-YEAR(Inputs!$E$155)),0)</f>
        <v>1.9964950187572</v>
      </c>
      <c r="AP55" s="158" t="n">
        <f aca="false">IF(AP10&gt;0,(1+$E$51)^(AP$5-YEAR(Inputs!$E$155)),0)</f>
        <v>2.04640739422613</v>
      </c>
      <c r="AQ55" s="158" t="n">
        <f aca="false">IF(AQ10&gt;0,(1+$E$51)^(AQ$5-YEAR(Inputs!$E$155)),0)</f>
        <v>2.09756757908179</v>
      </c>
    </row>
    <row r="56" customFormat="false" ht="15" hidden="false" customHeight="false" outlineLevel="0" collapsed="false">
      <c r="C56" s="0" t="s">
        <v>678</v>
      </c>
      <c r="D56" s="0" t="s">
        <v>125</v>
      </c>
      <c r="E56" s="146"/>
      <c r="F56" s="146"/>
      <c r="G56" s="146" t="n">
        <f aca="false">SUM(H56:AQ56)</f>
        <v>-50854.7017836926</v>
      </c>
      <c r="H56" s="146" t="n">
        <f aca="false">-H38*Inputs!$E$196*H55</f>
        <v>-0</v>
      </c>
      <c r="I56" s="146" t="n">
        <f aca="false">-I38*Inputs!$E$196*I55</f>
        <v>-0</v>
      </c>
      <c r="J56" s="146" t="n">
        <f aca="false">-J38*Inputs!$E$196*J55</f>
        <v>-0</v>
      </c>
      <c r="K56" s="146" t="n">
        <f aca="false">-K38*Inputs!$E$196*K55</f>
        <v>-0</v>
      </c>
      <c r="L56" s="146" t="n">
        <f aca="false">-L38*Inputs!$E$196*L55</f>
        <v>-0</v>
      </c>
      <c r="M56" s="146" t="n">
        <f aca="false">-M38*Inputs!$E$196*M55</f>
        <v>-599.728059</v>
      </c>
      <c r="N56" s="146" t="n">
        <f aca="false">-N38*Inputs!$E$196*N55</f>
        <v>-1229.44252095</v>
      </c>
      <c r="O56" s="146" t="n">
        <f aca="false">-O38*Inputs!$E$196*O55</f>
        <v>-1256.39804822183</v>
      </c>
      <c r="P56" s="146" t="n">
        <f aca="false">-P38*Inputs!$E$196*P55</f>
        <v>-1283.94457542909</v>
      </c>
      <c r="Q56" s="146" t="n">
        <f aca="false">-Q38*Inputs!$E$196*Q55</f>
        <v>-1312.09506024537</v>
      </c>
      <c r="R56" s="146" t="n">
        <f aca="false">-R38*Inputs!$E$196*R55</f>
        <v>-1340.86274444125</v>
      </c>
      <c r="S56" s="146" t="n">
        <f aca="false">-S38*Inputs!$E$196*S55</f>
        <v>-1370.26116011313</v>
      </c>
      <c r="T56" s="146" t="n">
        <f aca="false">-T38*Inputs!$E$196*T55</f>
        <v>-1400.30413604861</v>
      </c>
      <c r="U56" s="146" t="n">
        <f aca="false">-U38*Inputs!$E$196*U55</f>
        <v>-1431.00580423147</v>
      </c>
      <c r="V56" s="146" t="n">
        <f aca="false">-V38*Inputs!$E$196*V55</f>
        <v>-1462.38060648925</v>
      </c>
      <c r="W56" s="146" t="n">
        <f aca="false">-W38*Inputs!$E$196*W55</f>
        <v>-1494.44330128653</v>
      </c>
      <c r="X56" s="146" t="n">
        <f aca="false">-X38*Inputs!$E$196*X55</f>
        <v>-1527.20897066723</v>
      </c>
      <c r="Y56" s="146" t="n">
        <f aca="false">-Y38*Inputs!$E$196*Y55</f>
        <v>-1560.69302734911</v>
      </c>
      <c r="Z56" s="146" t="n">
        <f aca="false">-Z38*Inputs!$E$196*Z55</f>
        <v>-1594.91122197374</v>
      </c>
      <c r="AA56" s="146" t="n">
        <f aca="false">-AA38*Inputs!$E$196*AA55</f>
        <v>-1629.87965051552</v>
      </c>
      <c r="AB56" s="146" t="n">
        <f aca="false">-AB38*Inputs!$E$196*AB55</f>
        <v>-1665.61476185307</v>
      </c>
      <c r="AC56" s="146" t="n">
        <f aca="false">-AC38*Inputs!$E$196*AC55</f>
        <v>-1702.1333655067</v>
      </c>
      <c r="AD56" s="146" t="n">
        <f aca="false">-AD38*Inputs!$E$196*AD55</f>
        <v>-1739.45263954543</v>
      </c>
      <c r="AE56" s="146" t="n">
        <f aca="false">-AE38*Inputs!$E$196*AE55</f>
        <v>-1777.59013866746</v>
      </c>
      <c r="AF56" s="146" t="n">
        <f aca="false">-AF38*Inputs!$E$196*AF55</f>
        <v>-1816.56380245775</v>
      </c>
      <c r="AG56" s="146" t="n">
        <f aca="false">-AG38*Inputs!$E$196*AG55</f>
        <v>-1856.39196382663</v>
      </c>
      <c r="AH56" s="146" t="n">
        <f aca="false">-AH38*Inputs!$E$196*AH55</f>
        <v>-1897.09335763353</v>
      </c>
      <c r="AI56" s="146" t="n">
        <f aca="false">-AI38*Inputs!$E$196*AI55</f>
        <v>-1938.68712949965</v>
      </c>
      <c r="AJ56" s="146" t="n">
        <f aca="false">-AJ38*Inputs!$E$196*AJ55</f>
        <v>-1981.19284481393</v>
      </c>
      <c r="AK56" s="146" t="n">
        <f aca="false">-AK38*Inputs!$E$196*AK55</f>
        <v>-2024.63049793647</v>
      </c>
      <c r="AL56" s="146" t="n">
        <f aca="false">-AL38*Inputs!$E$196*AL55</f>
        <v>-2069.02052160373</v>
      </c>
      <c r="AM56" s="146" t="n">
        <f aca="false">-AM38*Inputs!$E$196*AM55</f>
        <v>-2114.38379653989</v>
      </c>
      <c r="AN56" s="146" t="n">
        <f aca="false">-AN38*Inputs!$E$196*AN55</f>
        <v>-2160.74166127903</v>
      </c>
      <c r="AO56" s="146" t="n">
        <f aca="false">-AO38*Inputs!$E$196*AO55</f>
        <v>-2208.11592220257</v>
      </c>
      <c r="AP56" s="146" t="n">
        <f aca="false">-AP38*Inputs!$E$196*AP55</f>
        <v>-2256.52886379686</v>
      </c>
      <c r="AQ56" s="146" t="n">
        <f aca="false">-AQ38*Inputs!$E$196*AQ55</f>
        <v>-1153.0016295678</v>
      </c>
    </row>
    <row r="57" customFormat="false" ht="15" hidden="false" customHeight="false" outlineLevel="0" collapsed="false">
      <c r="C57" s="0" t="s">
        <v>1245</v>
      </c>
      <c r="D57" s="0" t="s">
        <v>125</v>
      </c>
      <c r="E57" s="146"/>
      <c r="F57" s="146"/>
      <c r="G57" s="146" t="n">
        <f aca="false">SUM(H57:AQ57)</f>
        <v>-12713.6754459232</v>
      </c>
      <c r="H57" s="146" t="n">
        <f aca="false">-H38*Inputs!$E$197*H55</f>
        <v>-0</v>
      </c>
      <c r="I57" s="146" t="n">
        <f aca="false">-I38*Inputs!$E$197*I55</f>
        <v>-0</v>
      </c>
      <c r="J57" s="146" t="n">
        <f aca="false">-J38*Inputs!$E$197*J55</f>
        <v>-0</v>
      </c>
      <c r="K57" s="146" t="n">
        <f aca="false">-K38*Inputs!$E$197*K55</f>
        <v>-0</v>
      </c>
      <c r="L57" s="146" t="n">
        <f aca="false">-L38*Inputs!$E$197*L55</f>
        <v>-0</v>
      </c>
      <c r="M57" s="146" t="n">
        <f aca="false">-M38*Inputs!$E$197*M55</f>
        <v>-149.93201475</v>
      </c>
      <c r="N57" s="146" t="n">
        <f aca="false">-N38*Inputs!$E$197*N55</f>
        <v>-307.3606302375</v>
      </c>
      <c r="O57" s="146" t="n">
        <f aca="false">-O38*Inputs!$E$197*O55</f>
        <v>-314.099512055457</v>
      </c>
      <c r="P57" s="146" t="n">
        <f aca="false">-P38*Inputs!$E$197*P55</f>
        <v>-320.986143857273</v>
      </c>
      <c r="Q57" s="146" t="n">
        <f aca="false">-Q38*Inputs!$E$197*Q55</f>
        <v>-328.023765061344</v>
      </c>
      <c r="R57" s="146" t="n">
        <f aca="false">-R38*Inputs!$E$197*R55</f>
        <v>-335.215686110314</v>
      </c>
      <c r="S57" s="146" t="n">
        <f aca="false">-S38*Inputs!$E$197*S55</f>
        <v>-342.565290028282</v>
      </c>
      <c r="T57" s="146" t="n">
        <f aca="false">-T38*Inputs!$E$197*T55</f>
        <v>-350.076034012152</v>
      </c>
      <c r="U57" s="146" t="n">
        <f aca="false">-U38*Inputs!$E$197*U55</f>
        <v>-357.751451057869</v>
      </c>
      <c r="V57" s="146" t="n">
        <f aca="false">-V38*Inputs!$E$197*V55</f>
        <v>-365.595151622312</v>
      </c>
      <c r="W57" s="146" t="n">
        <f aca="false">-W38*Inputs!$E$197*W55</f>
        <v>-373.610825321632</v>
      </c>
      <c r="X57" s="146" t="n">
        <f aca="false">-X38*Inputs!$E$197*X55</f>
        <v>-381.802242666808</v>
      </c>
      <c r="Y57" s="146" t="n">
        <f aca="false">-Y38*Inputs!$E$197*Y55</f>
        <v>-390.173256837278</v>
      </c>
      <c r="Z57" s="146" t="n">
        <f aca="false">-Z38*Inputs!$E$197*Z55</f>
        <v>-398.727805493435</v>
      </c>
      <c r="AA57" s="146" t="n">
        <f aca="false">-AA38*Inputs!$E$197*AA55</f>
        <v>-407.469912628879</v>
      </c>
      <c r="AB57" s="146" t="n">
        <f aca="false">-AB38*Inputs!$E$197*AB55</f>
        <v>-416.403690463267</v>
      </c>
      <c r="AC57" s="146" t="n">
        <f aca="false">-AC38*Inputs!$E$197*AC55</f>
        <v>-425.533341376674</v>
      </c>
      <c r="AD57" s="146" t="n">
        <f aca="false">-AD38*Inputs!$E$197*AD55</f>
        <v>-434.863159886358</v>
      </c>
      <c r="AE57" s="146" t="n">
        <f aca="false">-AE38*Inputs!$E$197*AE55</f>
        <v>-444.397534666866</v>
      </c>
      <c r="AF57" s="146" t="n">
        <f aca="false">-AF38*Inputs!$E$197*AF55</f>
        <v>-454.140950614437</v>
      </c>
      <c r="AG57" s="146" t="n">
        <f aca="false">-AG38*Inputs!$E$197*AG55</f>
        <v>-464.097990956658</v>
      </c>
      <c r="AH57" s="146" t="n">
        <f aca="false">-AH38*Inputs!$E$197*AH55</f>
        <v>-474.273339408383</v>
      </c>
      <c r="AI57" s="146" t="n">
        <f aca="false">-AI38*Inputs!$E$197*AI55</f>
        <v>-484.671782374912</v>
      </c>
      <c r="AJ57" s="146" t="n">
        <f aca="false">-AJ38*Inputs!$E$197*AJ55</f>
        <v>-495.298211203482</v>
      </c>
      <c r="AK57" s="146" t="n">
        <f aca="false">-AK38*Inputs!$E$197*AK55</f>
        <v>-506.157624484118</v>
      </c>
      <c r="AL57" s="146" t="n">
        <f aca="false">-AL38*Inputs!$E$197*AL55</f>
        <v>-517.255130400932</v>
      </c>
      <c r="AM57" s="146" t="n">
        <f aca="false">-AM38*Inputs!$E$197*AM55</f>
        <v>-528.595949134973</v>
      </c>
      <c r="AN57" s="146" t="n">
        <f aca="false">-AN38*Inputs!$E$197*AN55</f>
        <v>-540.185415319757</v>
      </c>
      <c r="AO57" s="146" t="n">
        <f aca="false">-AO38*Inputs!$E$197*AO55</f>
        <v>-552.028980550643</v>
      </c>
      <c r="AP57" s="146" t="n">
        <f aca="false">-AP38*Inputs!$E$197*AP55</f>
        <v>-564.132215949215</v>
      </c>
      <c r="AQ57" s="146" t="n">
        <f aca="false">-AQ38*Inputs!$E$197*AQ55</f>
        <v>-288.250407391951</v>
      </c>
    </row>
    <row r="58" customFormat="false" ht="15" hidden="false" customHeight="false" outlineLevel="0" collapsed="false">
      <c r="C58" s="0" t="s">
        <v>681</v>
      </c>
      <c r="D58" s="0" t="s">
        <v>125</v>
      </c>
      <c r="E58" s="146"/>
      <c r="F58" s="146"/>
      <c r="G58" s="146" t="n">
        <f aca="false">SUM(H58:AQ58)</f>
        <v>-906.694053529856</v>
      </c>
      <c r="H58" s="146" t="n">
        <f aca="false">-H54*Inputs!$E$198</f>
        <v>-0</v>
      </c>
      <c r="I58" s="146" t="n">
        <f aca="false">-I54*Inputs!$E$198</f>
        <v>-0</v>
      </c>
      <c r="J58" s="146" t="n">
        <f aca="false">-J54*Inputs!$E$198</f>
        <v>-0</v>
      </c>
      <c r="K58" s="146" t="n">
        <f aca="false">-K54*Inputs!$E$198</f>
        <v>-0</v>
      </c>
      <c r="L58" s="146" t="n">
        <f aca="false">-L54*Inputs!$E$198</f>
        <v>-0</v>
      </c>
      <c r="M58" s="146" t="n">
        <f aca="false">-M54*Inputs!$E$198</f>
        <v>-17.3524884528617</v>
      </c>
      <c r="N58" s="146" t="n">
        <f aca="false">-N54*Inputs!$E$198</f>
        <v>-27.25764028155</v>
      </c>
      <c r="O58" s="146" t="n">
        <f aca="false">-O54*Inputs!$E$198</f>
        <v>-27.4476260343124</v>
      </c>
      <c r="P58" s="146" t="n">
        <f aca="false">-P54*Inputs!$E$198</f>
        <v>-27.6389359877716</v>
      </c>
      <c r="Q58" s="146" t="n">
        <f aca="false">-Q54*Inputs!$E$198</f>
        <v>-27.8315793716063</v>
      </c>
      <c r="R58" s="146" t="n">
        <f aca="false">-R54*Inputs!$E$198</f>
        <v>-28.0255654798264</v>
      </c>
      <c r="S58" s="146" t="n">
        <f aca="false">-S54*Inputs!$E$198</f>
        <v>-28.2209036712208</v>
      </c>
      <c r="T58" s="146" t="n">
        <f aca="false">-T54*Inputs!$E$198</f>
        <v>-28.4176033698092</v>
      </c>
      <c r="U58" s="146" t="n">
        <f aca="false">-U54*Inputs!$E$198</f>
        <v>-28.6156740652968</v>
      </c>
      <c r="V58" s="146" t="n">
        <f aca="false">-V54*Inputs!$E$198</f>
        <v>-28.8151253135319</v>
      </c>
      <c r="W58" s="146" t="n">
        <f aca="false">-W54*Inputs!$E$198</f>
        <v>-29.0159667369672</v>
      </c>
      <c r="X58" s="146" t="n">
        <f aca="false">-X54*Inputs!$E$198</f>
        <v>-29.2182080251239</v>
      </c>
      <c r="Y58" s="146" t="n">
        <f aca="false">-Y54*Inputs!$E$198</f>
        <v>-29.421858935059</v>
      </c>
      <c r="Z58" s="146" t="n">
        <f aca="false">-Z54*Inputs!$E$198</f>
        <v>-29.6269292918364</v>
      </c>
      <c r="AA58" s="146" t="n">
        <f aca="false">-AA54*Inputs!$E$198</f>
        <v>-29.8334289890005</v>
      </c>
      <c r="AB58" s="146" t="n">
        <f aca="false">-AB54*Inputs!$E$198</f>
        <v>-30.0413679890538</v>
      </c>
      <c r="AC58" s="146" t="n">
        <f aca="false">-AC54*Inputs!$E$198</f>
        <v>-30.2507563239375</v>
      </c>
      <c r="AD58" s="146" t="n">
        <f aca="false">-AD54*Inputs!$E$198</f>
        <v>-30.4616040955154</v>
      </c>
      <c r="AE58" s="146" t="n">
        <f aca="false">-AE54*Inputs!$E$198</f>
        <v>-30.6739214760611</v>
      </c>
      <c r="AF58" s="146" t="n">
        <f aca="false">-AF54*Inputs!$E$198</f>
        <v>-30.8877187087492</v>
      </c>
      <c r="AG58" s="146" t="n">
        <f aca="false">-AG54*Inputs!$E$198</f>
        <v>-31.1030061081492</v>
      </c>
      <c r="AH58" s="146" t="n">
        <f aca="false">-AH54*Inputs!$E$198</f>
        <v>-31.319794060723</v>
      </c>
      <c r="AI58" s="146" t="n">
        <f aca="false">-AI54*Inputs!$E$198</f>
        <v>-31.5380930253263</v>
      </c>
      <c r="AJ58" s="146" t="n">
        <f aca="false">-AJ54*Inputs!$E$198</f>
        <v>-31.7579135337128</v>
      </c>
      <c r="AK58" s="146" t="n">
        <f aca="false">-AK54*Inputs!$E$198</f>
        <v>-31.9792661910428</v>
      </c>
      <c r="AL58" s="146" t="n">
        <f aca="false">-AL54*Inputs!$E$198</f>
        <v>-32.2021616763943</v>
      </c>
      <c r="AM58" s="146" t="n">
        <f aca="false">-AM54*Inputs!$E$198</f>
        <v>-32.4266107432788</v>
      </c>
      <c r="AN58" s="146" t="n">
        <f aca="false">-AN54*Inputs!$E$198</f>
        <v>-32.6526242201595</v>
      </c>
      <c r="AO58" s="146" t="n">
        <f aca="false">-AO54*Inputs!$E$198</f>
        <v>-32.880213010974</v>
      </c>
      <c r="AP58" s="146" t="n">
        <f aca="false">-AP54*Inputs!$E$198</f>
        <v>-33.1093880956605</v>
      </c>
      <c r="AQ58" s="146" t="n">
        <f aca="false">-AQ54*Inputs!$E$198</f>
        <v>-16.6700802653436</v>
      </c>
    </row>
    <row r="59" customFormat="false" ht="15" hidden="false" customHeight="false" outlineLevel="0" collapsed="false">
      <c r="C59" s="0" t="s">
        <v>1246</v>
      </c>
      <c r="D59" s="0" t="s">
        <v>125</v>
      </c>
      <c r="E59" s="146"/>
      <c r="F59" s="146"/>
      <c r="G59" s="146" t="n">
        <f aca="false">SUM(H59:AQ59)</f>
        <v>-25883.5429148284</v>
      </c>
      <c r="H59" s="146" t="n">
        <f aca="false">-H38*Inputs!$E$236</f>
        <v>-0</v>
      </c>
      <c r="I59" s="146" t="n">
        <f aca="false">-I38*Inputs!$E$236</f>
        <v>-0</v>
      </c>
      <c r="J59" s="146" t="n">
        <f aca="false">-J38*Inputs!$E$236</f>
        <v>-0</v>
      </c>
      <c r="K59" s="146" t="n">
        <f aca="false">-K38*Inputs!$E$236</f>
        <v>-0</v>
      </c>
      <c r="L59" s="146" t="n">
        <f aca="false">-L38*Inputs!$E$236</f>
        <v>-0</v>
      </c>
      <c r="M59" s="146" t="n">
        <f aca="false">-M38*Inputs!$E$236</f>
        <v>-449.79604425</v>
      </c>
      <c r="N59" s="146" t="n">
        <f aca="false">-N38*Inputs!$E$236</f>
        <v>-899.5920885</v>
      </c>
      <c r="O59" s="146" t="n">
        <f aca="false">-O38*Inputs!$E$236</f>
        <v>-896.8933122345</v>
      </c>
      <c r="P59" s="146" t="n">
        <f aca="false">-P38*Inputs!$E$236</f>
        <v>-894.202632297797</v>
      </c>
      <c r="Q59" s="146" t="n">
        <f aca="false">-Q38*Inputs!$E$236</f>
        <v>-891.520024400903</v>
      </c>
      <c r="R59" s="146" t="n">
        <f aca="false">-R38*Inputs!$E$236</f>
        <v>-888.845464327701</v>
      </c>
      <c r="S59" s="146" t="n">
        <f aca="false">-S38*Inputs!$E$236</f>
        <v>-886.178927934717</v>
      </c>
      <c r="T59" s="146" t="n">
        <f aca="false">-T38*Inputs!$E$236</f>
        <v>-883.520391150913</v>
      </c>
      <c r="U59" s="146" t="n">
        <f aca="false">-U38*Inputs!$E$236</f>
        <v>-880.86982997746</v>
      </c>
      <c r="V59" s="146" t="n">
        <f aca="false">-V38*Inputs!$E$236</f>
        <v>-878.227220487528</v>
      </c>
      <c r="W59" s="146" t="n">
        <f aca="false">-W38*Inputs!$E$236</f>
        <v>-875.592538826065</v>
      </c>
      <c r="X59" s="146" t="n">
        <f aca="false">-X38*Inputs!$E$236</f>
        <v>-872.965761209587</v>
      </c>
      <c r="Y59" s="146" t="n">
        <f aca="false">-Y38*Inputs!$E$236</f>
        <v>-870.346863925958</v>
      </c>
      <c r="Z59" s="146" t="n">
        <f aca="false">-Z38*Inputs!$E$236</f>
        <v>-867.735823334181</v>
      </c>
      <c r="AA59" s="146" t="n">
        <f aca="false">-AA38*Inputs!$E$236</f>
        <v>-865.132615864178</v>
      </c>
      <c r="AB59" s="146" t="n">
        <f aca="false">-AB38*Inputs!$E$236</f>
        <v>-862.537218016586</v>
      </c>
      <c r="AC59" s="146" t="n">
        <f aca="false">-AC38*Inputs!$E$236</f>
        <v>-859.949606362536</v>
      </c>
      <c r="AD59" s="146" t="n">
        <f aca="false">-AD38*Inputs!$E$236</f>
        <v>-857.369757543448</v>
      </c>
      <c r="AE59" s="146" t="n">
        <f aca="false">-AE38*Inputs!$E$236</f>
        <v>-854.797648270818</v>
      </c>
      <c r="AF59" s="146" t="n">
        <f aca="false">-AF38*Inputs!$E$236</f>
        <v>-852.233255326005</v>
      </c>
      <c r="AG59" s="146" t="n">
        <f aca="false">-AG38*Inputs!$E$236</f>
        <v>-849.676555560027</v>
      </c>
      <c r="AH59" s="146" t="n">
        <f aca="false">-AH38*Inputs!$E$236</f>
        <v>-847.127525893347</v>
      </c>
      <c r="AI59" s="146" t="n">
        <f aca="false">-AI38*Inputs!$E$236</f>
        <v>-844.586143315667</v>
      </c>
      <c r="AJ59" s="146" t="n">
        <f aca="false">-AJ38*Inputs!$E$236</f>
        <v>-842.05238488572</v>
      </c>
      <c r="AK59" s="146" t="n">
        <f aca="false">-AK38*Inputs!$E$236</f>
        <v>-839.526227731063</v>
      </c>
      <c r="AL59" s="146" t="n">
        <f aca="false">-AL38*Inputs!$E$236</f>
        <v>-837.00764904787</v>
      </c>
      <c r="AM59" s="146" t="n">
        <f aca="false">-AM38*Inputs!$E$236</f>
        <v>-834.496626100726</v>
      </c>
      <c r="AN59" s="146" t="n">
        <f aca="false">-AN38*Inputs!$E$236</f>
        <v>-831.993136222424</v>
      </c>
      <c r="AO59" s="146" t="n">
        <f aca="false">-AO38*Inputs!$E$236</f>
        <v>-829.497156813757</v>
      </c>
      <c r="AP59" s="146" t="n">
        <f aca="false">-AP38*Inputs!$E$236</f>
        <v>-827.008665343315</v>
      </c>
      <c r="AQ59" s="146" t="n">
        <f aca="false">-AQ38*Inputs!$E$236</f>
        <v>-412.263819673643</v>
      </c>
    </row>
    <row r="60" customFormat="false" ht="15" hidden="false" customHeight="false" outlineLevel="0" collapsed="false">
      <c r="C60" s="0" t="s">
        <v>43</v>
      </c>
      <c r="D60" s="0" t="s">
        <v>125</v>
      </c>
      <c r="E60" s="146"/>
      <c r="F60" s="146"/>
      <c r="G60" s="146" t="n">
        <f aca="false">SUM(H60:AQ60)</f>
        <v>-72491.4849226466</v>
      </c>
      <c r="H60" s="146" t="n">
        <f aca="false">-Inputs!$E$203*$E$35*H55*H10</f>
        <v>-0</v>
      </c>
      <c r="I60" s="146" t="n">
        <f aca="false">-Inputs!$E$203*$E$35*I55*I10</f>
        <v>-0</v>
      </c>
      <c r="J60" s="146" t="n">
        <f aca="false">-Inputs!$E$203*$E$35*J55*J10</f>
        <v>-0</v>
      </c>
      <c r="K60" s="146" t="n">
        <f aca="false">-Inputs!$E$203*$E$35*K55*K10</f>
        <v>-0</v>
      </c>
      <c r="L60" s="146" t="n">
        <f aca="false">-Inputs!$E$203*$E$35*L55*L10</f>
        <v>-0</v>
      </c>
      <c r="M60" s="146" t="n">
        <f aca="false">-Inputs!$E$203*$E$35*M55*M10</f>
        <v>-815.4</v>
      </c>
      <c r="N60" s="146" t="n">
        <f aca="false">-Inputs!$E$203*$E$35*N55*N10</f>
        <v>-1671.57</v>
      </c>
      <c r="O60" s="146" t="n">
        <f aca="false">-Inputs!$E$203*$E$35*O55*O10</f>
        <v>-1713.35925</v>
      </c>
      <c r="P60" s="146" t="n">
        <f aca="false">-Inputs!$E$203*$E$35*P55*P10</f>
        <v>-1756.19323125</v>
      </c>
      <c r="Q60" s="146" t="n">
        <f aca="false">-Inputs!$E$203*$E$35*Q55*Q10</f>
        <v>-1800.09806203125</v>
      </c>
      <c r="R60" s="146" t="n">
        <f aca="false">-Inputs!$E$203*$E$35*R55*R10</f>
        <v>-1845.10051358203</v>
      </c>
      <c r="S60" s="146" t="n">
        <f aca="false">-Inputs!$E$203*$E$35*S55*S10</f>
        <v>-1891.22802642158</v>
      </c>
      <c r="T60" s="146" t="n">
        <f aca="false">-Inputs!$E$203*$E$35*T55*T10</f>
        <v>-1938.50872708212</v>
      </c>
      <c r="U60" s="146" t="n">
        <f aca="false">-Inputs!$E$203*$E$35*U55*U10</f>
        <v>-1986.97144525917</v>
      </c>
      <c r="V60" s="146" t="n">
        <f aca="false">-Inputs!$E$203*$E$35*V55*V10</f>
        <v>-2036.64573139065</v>
      </c>
      <c r="W60" s="146" t="n">
        <f aca="false">-Inputs!$E$203*$E$35*W55*W10</f>
        <v>-2087.56187467542</v>
      </c>
      <c r="X60" s="146" t="n">
        <f aca="false">-Inputs!$E$203*$E$35*X55*X10</f>
        <v>-2139.7509215423</v>
      </c>
      <c r="Y60" s="146" t="n">
        <f aca="false">-Inputs!$E$203*$E$35*Y55*Y10</f>
        <v>-2193.24469458086</v>
      </c>
      <c r="Z60" s="146" t="n">
        <f aca="false">-Inputs!$E$203*$E$35*Z55*Z10</f>
        <v>-2248.07581194538</v>
      </c>
      <c r="AA60" s="146" t="n">
        <f aca="false">-Inputs!$E$203*$E$35*AA55*AA10</f>
        <v>-2304.27770724402</v>
      </c>
      <c r="AB60" s="146" t="n">
        <f aca="false">-Inputs!$E$203*$E$35*AB55*AB10</f>
        <v>-2361.88464992512</v>
      </c>
      <c r="AC60" s="146" t="n">
        <f aca="false">-Inputs!$E$203*$E$35*AC55*AC10</f>
        <v>-2420.93176617325</v>
      </c>
      <c r="AD60" s="146" t="n">
        <f aca="false">-Inputs!$E$203*$E$35*AD55*AD10</f>
        <v>-2481.45506032758</v>
      </c>
      <c r="AE60" s="146" t="n">
        <f aca="false">-Inputs!$E$203*$E$35*AE55*AE10</f>
        <v>-2543.49143683577</v>
      </c>
      <c r="AF60" s="146" t="n">
        <f aca="false">-Inputs!$E$203*$E$35*AF55*AF10</f>
        <v>-2607.07872275666</v>
      </c>
      <c r="AG60" s="146" t="n">
        <f aca="false">-Inputs!$E$203*$E$35*AG55*AG10</f>
        <v>-2672.25569082558</v>
      </c>
      <c r="AH60" s="146" t="n">
        <f aca="false">-Inputs!$E$203*$E$35*AH55*AH10</f>
        <v>-2739.06208309622</v>
      </c>
      <c r="AI60" s="146" t="n">
        <f aca="false">-Inputs!$E$203*$E$35*AI55*AI10</f>
        <v>-2807.53863517362</v>
      </c>
      <c r="AJ60" s="146" t="n">
        <f aca="false">-Inputs!$E$203*$E$35*AJ55*AJ10</f>
        <v>-2877.72710105296</v>
      </c>
      <c r="AK60" s="146" t="n">
        <f aca="false">-Inputs!$E$203*$E$35*AK55*AK10</f>
        <v>-2949.67027857928</v>
      </c>
      <c r="AL60" s="146" t="n">
        <f aca="false">-Inputs!$E$203*$E$35*AL55*AL10</f>
        <v>-3023.41203554377</v>
      </c>
      <c r="AM60" s="146" t="n">
        <f aca="false">-Inputs!$E$203*$E$35*AM55*AM10</f>
        <v>-3098.99733643236</v>
      </c>
      <c r="AN60" s="146" t="n">
        <f aca="false">-Inputs!$E$203*$E$35*AN55*AN10</f>
        <v>-3176.47226984317</v>
      </c>
      <c r="AO60" s="146" t="n">
        <f aca="false">-Inputs!$E$203*$E$35*AO55*AO10</f>
        <v>-3255.88407658925</v>
      </c>
      <c r="AP60" s="146" t="n">
        <f aca="false">-Inputs!$E$203*$E$35*AP55*AP10</f>
        <v>-3337.28117850398</v>
      </c>
      <c r="AQ60" s="146" t="n">
        <f aca="false">-Inputs!$E$203*$E$35*AQ55*AQ10</f>
        <v>-1710.35660398329</v>
      </c>
    </row>
    <row r="61" customFormat="false" ht="15" hidden="false" customHeight="false" outlineLevel="0" collapsed="false">
      <c r="C61" s="0" t="s">
        <v>691</v>
      </c>
      <c r="D61" s="0" t="s">
        <v>125</v>
      </c>
      <c r="E61" s="146"/>
      <c r="F61" s="146"/>
      <c r="G61" s="146" t="n">
        <f aca="false">SUM(H61:AQ61)</f>
        <v>-18122.8712306617</v>
      </c>
      <c r="H61" s="146" t="n">
        <f aca="false">-Inputs!$E$204*$E$35*H55*H10</f>
        <v>-0</v>
      </c>
      <c r="I61" s="146" t="n">
        <f aca="false">-Inputs!$E$204*$E$35*I55*I10</f>
        <v>-0</v>
      </c>
      <c r="J61" s="146" t="n">
        <f aca="false">-Inputs!$E$204*$E$35*J55*J10</f>
        <v>-0</v>
      </c>
      <c r="K61" s="146" t="n">
        <f aca="false">-Inputs!$E$204*$E$35*K55*K10</f>
        <v>-0</v>
      </c>
      <c r="L61" s="146" t="n">
        <f aca="false">-Inputs!$E$204*$E$35*L55*L10</f>
        <v>-0</v>
      </c>
      <c r="M61" s="146" t="n">
        <f aca="false">-Inputs!$E$204*$E$35*M55*M10</f>
        <v>-203.85</v>
      </c>
      <c r="N61" s="146" t="n">
        <f aca="false">-Inputs!$E$204*$E$35*N55*N10</f>
        <v>-417.8925</v>
      </c>
      <c r="O61" s="146" t="n">
        <f aca="false">-Inputs!$E$204*$E$35*O55*O10</f>
        <v>-428.3398125</v>
      </c>
      <c r="P61" s="146" t="n">
        <f aca="false">-Inputs!$E$204*$E$35*P55*P10</f>
        <v>-439.0483078125</v>
      </c>
      <c r="Q61" s="146" t="n">
        <f aca="false">-Inputs!$E$204*$E$35*Q55*Q10</f>
        <v>-450.024515507812</v>
      </c>
      <c r="R61" s="146" t="n">
        <f aca="false">-Inputs!$E$204*$E$35*R55*R10</f>
        <v>-461.275128395508</v>
      </c>
      <c r="S61" s="146" t="n">
        <f aca="false">-Inputs!$E$204*$E$35*S55*S10</f>
        <v>-472.807006605395</v>
      </c>
      <c r="T61" s="146" t="n">
        <f aca="false">-Inputs!$E$204*$E$35*T55*T10</f>
        <v>-484.62718177053</v>
      </c>
      <c r="U61" s="146" t="n">
        <f aca="false">-Inputs!$E$204*$E$35*U55*U10</f>
        <v>-496.742861314793</v>
      </c>
      <c r="V61" s="146" t="n">
        <f aca="false">-Inputs!$E$204*$E$35*V55*V10</f>
        <v>-509.161432847663</v>
      </c>
      <c r="W61" s="146" t="n">
        <f aca="false">-Inputs!$E$204*$E$35*W55*W10</f>
        <v>-521.890468668855</v>
      </c>
      <c r="X61" s="146" t="n">
        <f aca="false">-Inputs!$E$204*$E$35*X55*X10</f>
        <v>-534.937730385576</v>
      </c>
      <c r="Y61" s="146" t="n">
        <f aca="false">-Inputs!$E$204*$E$35*Y55*Y10</f>
        <v>-548.311173645215</v>
      </c>
      <c r="Z61" s="146" t="n">
        <f aca="false">-Inputs!$E$204*$E$35*Z55*Z10</f>
        <v>-562.018952986346</v>
      </c>
      <c r="AA61" s="146" t="n">
        <f aca="false">-Inputs!$E$204*$E$35*AA55*AA10</f>
        <v>-576.069426811004</v>
      </c>
      <c r="AB61" s="146" t="n">
        <f aca="false">-Inputs!$E$204*$E$35*AB55*AB10</f>
        <v>-590.471162481279</v>
      </c>
      <c r="AC61" s="146" t="n">
        <f aca="false">-Inputs!$E$204*$E$35*AC55*AC10</f>
        <v>-605.232941543311</v>
      </c>
      <c r="AD61" s="146" t="n">
        <f aca="false">-Inputs!$E$204*$E$35*AD55*AD10</f>
        <v>-620.363765081894</v>
      </c>
      <c r="AE61" s="146" t="n">
        <f aca="false">-Inputs!$E$204*$E$35*AE55*AE10</f>
        <v>-635.872859208941</v>
      </c>
      <c r="AF61" s="146" t="n">
        <f aca="false">-Inputs!$E$204*$E$35*AF55*AF10</f>
        <v>-651.769680689165</v>
      </c>
      <c r="AG61" s="146" t="n">
        <f aca="false">-Inputs!$E$204*$E$35*AG55*AG10</f>
        <v>-668.063922706394</v>
      </c>
      <c r="AH61" s="146" t="n">
        <f aca="false">-Inputs!$E$204*$E$35*AH55*AH10</f>
        <v>-684.765520774054</v>
      </c>
      <c r="AI61" s="146" t="n">
        <f aca="false">-Inputs!$E$204*$E$35*AI55*AI10</f>
        <v>-701.884658793405</v>
      </c>
      <c r="AJ61" s="146" t="n">
        <f aca="false">-Inputs!$E$204*$E$35*AJ55*AJ10</f>
        <v>-719.43177526324</v>
      </c>
      <c r="AK61" s="146" t="n">
        <f aca="false">-Inputs!$E$204*$E$35*AK55*AK10</f>
        <v>-737.417569644821</v>
      </c>
      <c r="AL61" s="146" t="n">
        <f aca="false">-Inputs!$E$204*$E$35*AL55*AL10</f>
        <v>-755.853008885941</v>
      </c>
      <c r="AM61" s="146" t="n">
        <f aca="false">-Inputs!$E$204*$E$35*AM55*AM10</f>
        <v>-774.74933410809</v>
      </c>
      <c r="AN61" s="146" t="n">
        <f aca="false">-Inputs!$E$204*$E$35*AN55*AN10</f>
        <v>-794.118067460792</v>
      </c>
      <c r="AO61" s="146" t="n">
        <f aca="false">-Inputs!$E$204*$E$35*AO55*AO10</f>
        <v>-813.971019147312</v>
      </c>
      <c r="AP61" s="146" t="n">
        <f aca="false">-Inputs!$E$204*$E$35*AP55*AP10</f>
        <v>-834.320294625995</v>
      </c>
      <c r="AQ61" s="146" t="n">
        <f aca="false">-Inputs!$E$204*$E$35*AQ55*AQ10</f>
        <v>-427.589150995822</v>
      </c>
    </row>
    <row r="62" customFormat="false" ht="15" hidden="false" customHeight="false" outlineLevel="0" collapsed="false">
      <c r="C62" s="0" t="s">
        <v>1247</v>
      </c>
      <c r="D62" s="0" t="s">
        <v>125</v>
      </c>
      <c r="E62" s="146"/>
      <c r="F62" s="146"/>
      <c r="G62" s="146" t="n">
        <f aca="false">SUM(H62:AQ62)</f>
        <v>-18918.4239588975</v>
      </c>
      <c r="H62" s="146" t="n">
        <f aca="false">-Inputs!$E$205*$E$35*(1+$E$51)^(H$5-YEAR(Inputs!$E$155))*(H10+H14)</f>
        <v>-0</v>
      </c>
      <c r="I62" s="146" t="n">
        <f aca="false">-Inputs!$E$205*$E$35*(1+$E$51)^(I$5-YEAR(Inputs!$E$155))*(I10+I14)</f>
        <v>-0</v>
      </c>
      <c r="J62" s="146" t="n">
        <f aca="false">-Inputs!$E$205*$E$35*(1+$E$51)^(J$5-YEAR(Inputs!$E$155))*(J10+J14)</f>
        <v>-0</v>
      </c>
      <c r="K62" s="146" t="n">
        <f aca="false">-Inputs!$E$205*$E$35*(1+$E$51)^(K$5-YEAR(Inputs!$E$155))*(K10+K14)</f>
        <v>-195.622110126881</v>
      </c>
      <c r="L62" s="146" t="n">
        <f aca="false">-Inputs!$E$205*$E$35*(1+$E$51)^(L$5-YEAR(Inputs!$E$155))*(L10+L14)</f>
        <v>-397.756097560976</v>
      </c>
      <c r="M62" s="146" t="n">
        <f aca="false">-Inputs!$E$205*$E$35*(1+$E$51)^(M$5-YEAR(Inputs!$E$155))*(M10+M14)</f>
        <v>-406.024520547945</v>
      </c>
      <c r="N62" s="146" t="n">
        <f aca="false">-Inputs!$E$205*$E$35*(1+$E$51)^(N$5-YEAR(Inputs!$E$155))*(N10+N14)</f>
        <v>-417.8925</v>
      </c>
      <c r="O62" s="146" t="n">
        <f aca="false">-Inputs!$E$205*$E$35*(1+$E$51)^(O$5-YEAR(Inputs!$E$155))*(O10+O14)</f>
        <v>-428.3398125</v>
      </c>
      <c r="P62" s="146" t="n">
        <f aca="false">-Inputs!$E$205*$E$35*(1+$E$51)^(P$5-YEAR(Inputs!$E$155))*(P10+P14)</f>
        <v>-439.0483078125</v>
      </c>
      <c r="Q62" s="146" t="n">
        <f aca="false">-Inputs!$E$205*$E$35*(1+$E$51)^(Q$5-YEAR(Inputs!$E$155))*(Q10+Q14)</f>
        <v>-450.024515507812</v>
      </c>
      <c r="R62" s="146" t="n">
        <f aca="false">-Inputs!$E$205*$E$35*(1+$E$51)^(R$5-YEAR(Inputs!$E$155))*(R10+R14)</f>
        <v>-461.275128395508</v>
      </c>
      <c r="S62" s="146" t="n">
        <f aca="false">-Inputs!$E$205*$E$35*(1+$E$51)^(S$5-YEAR(Inputs!$E$155))*(S10+S14)</f>
        <v>-472.807006605395</v>
      </c>
      <c r="T62" s="146" t="n">
        <f aca="false">-Inputs!$E$205*$E$35*(1+$E$51)^(T$5-YEAR(Inputs!$E$155))*(T10+T14)</f>
        <v>-484.62718177053</v>
      </c>
      <c r="U62" s="146" t="n">
        <f aca="false">-Inputs!$E$205*$E$35*(1+$E$51)^(U$5-YEAR(Inputs!$E$155))*(U10+U14)</f>
        <v>-496.742861314793</v>
      </c>
      <c r="V62" s="146" t="n">
        <f aca="false">-Inputs!$E$205*$E$35*(1+$E$51)^(V$5-YEAR(Inputs!$E$155))*(V10+V14)</f>
        <v>-509.161432847663</v>
      </c>
      <c r="W62" s="146" t="n">
        <f aca="false">-Inputs!$E$205*$E$35*(1+$E$51)^(W$5-YEAR(Inputs!$E$155))*(W10+W14)</f>
        <v>-521.890468668855</v>
      </c>
      <c r="X62" s="146" t="n">
        <f aca="false">-Inputs!$E$205*$E$35*(1+$E$51)^(X$5-YEAR(Inputs!$E$155))*(X10+X14)</f>
        <v>-534.937730385576</v>
      </c>
      <c r="Y62" s="146" t="n">
        <f aca="false">-Inputs!$E$205*$E$35*(1+$E$51)^(Y$5-YEAR(Inputs!$E$155))*(Y10+Y14)</f>
        <v>-548.311173645215</v>
      </c>
      <c r="Z62" s="146" t="n">
        <f aca="false">-Inputs!$E$205*$E$35*(1+$E$51)^(Z$5-YEAR(Inputs!$E$155))*(Z10+Z14)</f>
        <v>-562.018952986346</v>
      </c>
      <c r="AA62" s="146" t="n">
        <f aca="false">-Inputs!$E$205*$E$35*(1+$E$51)^(AA$5-YEAR(Inputs!$E$155))*(AA10+AA14)</f>
        <v>-576.069426811004</v>
      </c>
      <c r="AB62" s="146" t="n">
        <f aca="false">-Inputs!$E$205*$E$35*(1+$E$51)^(AB$5-YEAR(Inputs!$E$155))*(AB10+AB14)</f>
        <v>-590.471162481279</v>
      </c>
      <c r="AC62" s="146" t="n">
        <f aca="false">-Inputs!$E$205*$E$35*(1+$E$51)^(AC$5-YEAR(Inputs!$E$155))*(AC10+AC14)</f>
        <v>-605.232941543311</v>
      </c>
      <c r="AD62" s="146" t="n">
        <f aca="false">-Inputs!$E$205*$E$35*(1+$E$51)^(AD$5-YEAR(Inputs!$E$155))*(AD10+AD14)</f>
        <v>-620.363765081894</v>
      </c>
      <c r="AE62" s="146" t="n">
        <f aca="false">-Inputs!$E$205*$E$35*(1+$E$51)^(AE$5-YEAR(Inputs!$E$155))*(AE10+AE14)</f>
        <v>-635.872859208941</v>
      </c>
      <c r="AF62" s="146" t="n">
        <f aca="false">-Inputs!$E$205*$E$35*(1+$E$51)^(AF$5-YEAR(Inputs!$E$155))*(AF10+AF14)</f>
        <v>-651.769680689165</v>
      </c>
      <c r="AG62" s="146" t="n">
        <f aca="false">-Inputs!$E$205*$E$35*(1+$E$51)^(AG$5-YEAR(Inputs!$E$155))*(AG10+AG14)</f>
        <v>-668.063922706394</v>
      </c>
      <c r="AH62" s="146" t="n">
        <f aca="false">-Inputs!$E$205*$E$35*(1+$E$51)^(AH$5-YEAR(Inputs!$E$155))*(AH10+AH14)</f>
        <v>-684.765520774054</v>
      </c>
      <c r="AI62" s="146" t="n">
        <f aca="false">-Inputs!$E$205*$E$35*(1+$E$51)^(AI$5-YEAR(Inputs!$E$155))*(AI10+AI14)</f>
        <v>-701.884658793405</v>
      </c>
      <c r="AJ62" s="146" t="n">
        <f aca="false">-Inputs!$E$205*$E$35*(1+$E$51)^(AJ$5-YEAR(Inputs!$E$155))*(AJ10+AJ14)</f>
        <v>-719.43177526324</v>
      </c>
      <c r="AK62" s="146" t="n">
        <f aca="false">-Inputs!$E$205*$E$35*(1+$E$51)^(AK$5-YEAR(Inputs!$E$155))*(AK10+AK14)</f>
        <v>-737.417569644821</v>
      </c>
      <c r="AL62" s="146" t="n">
        <f aca="false">-Inputs!$E$205*$E$35*(1+$E$51)^(AL$5-YEAR(Inputs!$E$155))*(AL10+AL14)</f>
        <v>-755.853008885941</v>
      </c>
      <c r="AM62" s="146" t="n">
        <f aca="false">-Inputs!$E$205*$E$35*(1+$E$51)^(AM$5-YEAR(Inputs!$E$155))*(AM10+AM14)</f>
        <v>-774.74933410809</v>
      </c>
      <c r="AN62" s="146" t="n">
        <f aca="false">-Inputs!$E$205*$E$35*(1+$E$51)^(AN$5-YEAR(Inputs!$E$155))*(AN10+AN14)</f>
        <v>-794.118067460792</v>
      </c>
      <c r="AO62" s="146" t="n">
        <f aca="false">-Inputs!$E$205*$E$35*(1+$E$51)^(AO$5-YEAR(Inputs!$E$155))*(AO10+AO14)</f>
        <v>-813.971019147312</v>
      </c>
      <c r="AP62" s="146" t="n">
        <f aca="false">-Inputs!$E$205*$E$35*(1+$E$51)^(AP$5-YEAR(Inputs!$E$155))*(AP10+AP14)</f>
        <v>-834.320294625995</v>
      </c>
      <c r="AQ62" s="146" t="n">
        <f aca="false">-Inputs!$E$205*$E$35*(1+$E$51)^(AQ$5-YEAR(Inputs!$E$155))*(AQ10+AQ14)</f>
        <v>-427.589150995822</v>
      </c>
    </row>
    <row r="63" customFormat="false" ht="15" hidden="false" customHeight="false" outlineLevel="0" collapsed="false">
      <c r="C63" s="0" t="s">
        <v>694</v>
      </c>
      <c r="D63" s="0" t="s">
        <v>125</v>
      </c>
      <c r="E63" s="146"/>
      <c r="F63" s="146"/>
      <c r="G63" s="146" t="n">
        <f aca="false">SUM(H63:AQ63)</f>
        <v>-15102.392692218</v>
      </c>
      <c r="H63" s="146" t="n">
        <f aca="false">-Inputs!$E$206*$E$35*H55*H10</f>
        <v>-0</v>
      </c>
      <c r="I63" s="146" t="n">
        <f aca="false">-Inputs!$E$206*$E$35*I55*I10</f>
        <v>-0</v>
      </c>
      <c r="J63" s="146" t="n">
        <f aca="false">-Inputs!$E$206*$E$35*J55*J10</f>
        <v>-0</v>
      </c>
      <c r="K63" s="146" t="n">
        <f aca="false">-Inputs!$E$206*$E$35*K55*K10</f>
        <v>-0</v>
      </c>
      <c r="L63" s="146" t="n">
        <f aca="false">-Inputs!$E$206*$E$35*L55*L10</f>
        <v>-0</v>
      </c>
      <c r="M63" s="146" t="n">
        <f aca="false">-Inputs!$E$206*$E$35*M55*M10</f>
        <v>-169.875</v>
      </c>
      <c r="N63" s="146" t="n">
        <f aca="false">-Inputs!$E$206*$E$35*N55*N10</f>
        <v>-348.24375</v>
      </c>
      <c r="O63" s="146" t="n">
        <f aca="false">-Inputs!$E$206*$E$35*O55*O10</f>
        <v>-356.94984375</v>
      </c>
      <c r="P63" s="146" t="n">
        <f aca="false">-Inputs!$E$206*$E$35*P55*P10</f>
        <v>-365.87358984375</v>
      </c>
      <c r="Q63" s="146" t="n">
        <f aca="false">-Inputs!$E$206*$E$35*Q55*Q10</f>
        <v>-375.020429589844</v>
      </c>
      <c r="R63" s="146" t="n">
        <f aca="false">-Inputs!$E$206*$E$35*R55*R10</f>
        <v>-384.39594032959</v>
      </c>
      <c r="S63" s="146" t="n">
        <f aca="false">-Inputs!$E$206*$E$35*S55*S10</f>
        <v>-394.005838837829</v>
      </c>
      <c r="T63" s="146" t="n">
        <f aca="false">-Inputs!$E$206*$E$35*T55*T10</f>
        <v>-403.855984808775</v>
      </c>
      <c r="U63" s="146" t="n">
        <f aca="false">-Inputs!$E$206*$E$35*U55*U10</f>
        <v>-413.952384428994</v>
      </c>
      <c r="V63" s="146" t="n">
        <f aca="false">-Inputs!$E$206*$E$35*V55*V10</f>
        <v>-424.301194039719</v>
      </c>
      <c r="W63" s="146" t="n">
        <f aca="false">-Inputs!$E$206*$E$35*W55*W10</f>
        <v>-434.908723890712</v>
      </c>
      <c r="X63" s="146" t="n">
        <f aca="false">-Inputs!$E$206*$E$35*X55*X10</f>
        <v>-445.78144198798</v>
      </c>
      <c r="Y63" s="146" t="n">
        <f aca="false">-Inputs!$E$206*$E$35*Y55*Y10</f>
        <v>-456.925978037679</v>
      </c>
      <c r="Z63" s="146" t="n">
        <f aca="false">-Inputs!$E$206*$E$35*Z55*Z10</f>
        <v>-468.349127488621</v>
      </c>
      <c r="AA63" s="146" t="n">
        <f aca="false">-Inputs!$E$206*$E$35*AA55*AA10</f>
        <v>-480.057855675837</v>
      </c>
      <c r="AB63" s="146" t="n">
        <f aca="false">-Inputs!$E$206*$E$35*AB55*AB10</f>
        <v>-492.059302067733</v>
      </c>
      <c r="AC63" s="146" t="n">
        <f aca="false">-Inputs!$E$206*$E$35*AC55*AC10</f>
        <v>-504.360784619426</v>
      </c>
      <c r="AD63" s="146" t="n">
        <f aca="false">-Inputs!$E$206*$E$35*AD55*AD10</f>
        <v>-516.969804234912</v>
      </c>
      <c r="AE63" s="146" t="n">
        <f aca="false">-Inputs!$E$206*$E$35*AE55*AE10</f>
        <v>-529.894049340784</v>
      </c>
      <c r="AF63" s="146" t="n">
        <f aca="false">-Inputs!$E$206*$E$35*AF55*AF10</f>
        <v>-543.141400574304</v>
      </c>
      <c r="AG63" s="146" t="n">
        <f aca="false">-Inputs!$E$206*$E$35*AG55*AG10</f>
        <v>-556.719935588661</v>
      </c>
      <c r="AH63" s="146" t="n">
        <f aca="false">-Inputs!$E$206*$E$35*AH55*AH10</f>
        <v>-570.637933978378</v>
      </c>
      <c r="AI63" s="146" t="n">
        <f aca="false">-Inputs!$E$206*$E$35*AI55*AI10</f>
        <v>-584.903882327837</v>
      </c>
      <c r="AJ63" s="146" t="n">
        <f aca="false">-Inputs!$E$206*$E$35*AJ55*AJ10</f>
        <v>-599.526479386033</v>
      </c>
      <c r="AK63" s="146" t="n">
        <f aca="false">-Inputs!$E$206*$E$35*AK55*AK10</f>
        <v>-614.514641370684</v>
      </c>
      <c r="AL63" s="146" t="n">
        <f aca="false">-Inputs!$E$206*$E$35*AL55*AL10</f>
        <v>-629.877507404951</v>
      </c>
      <c r="AM63" s="146" t="n">
        <f aca="false">-Inputs!$E$206*$E$35*AM55*AM10</f>
        <v>-645.624445090075</v>
      </c>
      <c r="AN63" s="146" t="n">
        <f aca="false">-Inputs!$E$206*$E$35*AN55*AN10</f>
        <v>-661.765056217327</v>
      </c>
      <c r="AO63" s="146" t="n">
        <f aca="false">-Inputs!$E$206*$E$35*AO55*AO10</f>
        <v>-678.30918262276</v>
      </c>
      <c r="AP63" s="146" t="n">
        <f aca="false">-Inputs!$E$206*$E$35*AP55*AP10</f>
        <v>-695.266912188329</v>
      </c>
      <c r="AQ63" s="146" t="n">
        <f aca="false">-Inputs!$E$206*$E$35*AQ55*AQ10</f>
        <v>-356.324292496518</v>
      </c>
    </row>
    <row r="64" customFormat="false" ht="15" hidden="false" customHeight="false" outlineLevel="0" collapsed="false">
      <c r="C64" s="0" t="s">
        <v>695</v>
      </c>
      <c r="D64" s="0" t="s">
        <v>125</v>
      </c>
      <c r="E64" s="146"/>
      <c r="F64" s="146"/>
      <c r="G64" s="146" t="n">
        <f aca="false">SUM(H64:AQ64)</f>
        <v>-9061.43561533083</v>
      </c>
      <c r="H64" s="146" t="n">
        <f aca="false">-Inputs!$E$207*$E$35*H55*H10</f>
        <v>-0</v>
      </c>
      <c r="I64" s="146" t="n">
        <f aca="false">-Inputs!$E$207*$E$35*I55*I10</f>
        <v>-0</v>
      </c>
      <c r="J64" s="146" t="n">
        <f aca="false">-Inputs!$E$207*$E$35*J55*J10</f>
        <v>-0</v>
      </c>
      <c r="K64" s="146" t="n">
        <f aca="false">-Inputs!$E$207*$E$35*K55*K10</f>
        <v>-0</v>
      </c>
      <c r="L64" s="146" t="n">
        <f aca="false">-Inputs!$E$207*$E$35*L55*L10</f>
        <v>-0</v>
      </c>
      <c r="M64" s="146" t="n">
        <f aca="false">-Inputs!$E$207*$E$35*M55*M10</f>
        <v>-101.925</v>
      </c>
      <c r="N64" s="146" t="n">
        <f aca="false">-Inputs!$E$207*$E$35*N55*N10</f>
        <v>-208.94625</v>
      </c>
      <c r="O64" s="146" t="n">
        <f aca="false">-Inputs!$E$207*$E$35*O55*O10</f>
        <v>-214.16990625</v>
      </c>
      <c r="P64" s="146" t="n">
        <f aca="false">-Inputs!$E$207*$E$35*P55*P10</f>
        <v>-219.52415390625</v>
      </c>
      <c r="Q64" s="146" t="n">
        <f aca="false">-Inputs!$E$207*$E$35*Q55*Q10</f>
        <v>-225.012257753906</v>
      </c>
      <c r="R64" s="146" t="n">
        <f aca="false">-Inputs!$E$207*$E$35*R55*R10</f>
        <v>-230.637564197754</v>
      </c>
      <c r="S64" s="146" t="n">
        <f aca="false">-Inputs!$E$207*$E$35*S55*S10</f>
        <v>-236.403503302698</v>
      </c>
      <c r="T64" s="146" t="n">
        <f aca="false">-Inputs!$E$207*$E$35*T55*T10</f>
        <v>-242.313590885265</v>
      </c>
      <c r="U64" s="146" t="n">
        <f aca="false">-Inputs!$E$207*$E$35*U55*U10</f>
        <v>-248.371430657397</v>
      </c>
      <c r="V64" s="146" t="n">
        <f aca="false">-Inputs!$E$207*$E$35*V55*V10</f>
        <v>-254.580716423832</v>
      </c>
      <c r="W64" s="146" t="n">
        <f aca="false">-Inputs!$E$207*$E$35*W55*W10</f>
        <v>-260.945234334427</v>
      </c>
      <c r="X64" s="146" t="n">
        <f aca="false">-Inputs!$E$207*$E$35*X55*X10</f>
        <v>-267.468865192788</v>
      </c>
      <c r="Y64" s="146" t="n">
        <f aca="false">-Inputs!$E$207*$E$35*Y55*Y10</f>
        <v>-274.155586822608</v>
      </c>
      <c r="Z64" s="146" t="n">
        <f aca="false">-Inputs!$E$207*$E$35*Z55*Z10</f>
        <v>-281.009476493173</v>
      </c>
      <c r="AA64" s="146" t="n">
        <f aca="false">-Inputs!$E$207*$E$35*AA55*AA10</f>
        <v>-288.034713405502</v>
      </c>
      <c r="AB64" s="146" t="n">
        <f aca="false">-Inputs!$E$207*$E$35*AB55*AB10</f>
        <v>-295.23558124064</v>
      </c>
      <c r="AC64" s="146" t="n">
        <f aca="false">-Inputs!$E$207*$E$35*AC55*AC10</f>
        <v>-302.616470771656</v>
      </c>
      <c r="AD64" s="146" t="n">
        <f aca="false">-Inputs!$E$207*$E$35*AD55*AD10</f>
        <v>-310.181882540947</v>
      </c>
      <c r="AE64" s="146" t="n">
        <f aca="false">-Inputs!$E$207*$E$35*AE55*AE10</f>
        <v>-317.936429604471</v>
      </c>
      <c r="AF64" s="146" t="n">
        <f aca="false">-Inputs!$E$207*$E$35*AF55*AF10</f>
        <v>-325.884840344582</v>
      </c>
      <c r="AG64" s="146" t="n">
        <f aca="false">-Inputs!$E$207*$E$35*AG55*AG10</f>
        <v>-334.031961353197</v>
      </c>
      <c r="AH64" s="146" t="n">
        <f aca="false">-Inputs!$E$207*$E$35*AH55*AH10</f>
        <v>-342.382760387027</v>
      </c>
      <c r="AI64" s="146" t="n">
        <f aca="false">-Inputs!$E$207*$E$35*AI55*AI10</f>
        <v>-350.942329396702</v>
      </c>
      <c r="AJ64" s="146" t="n">
        <f aca="false">-Inputs!$E$207*$E$35*AJ55*AJ10</f>
        <v>-359.71588763162</v>
      </c>
      <c r="AK64" s="146" t="n">
        <f aca="false">-Inputs!$E$207*$E$35*AK55*AK10</f>
        <v>-368.70878482241</v>
      </c>
      <c r="AL64" s="146" t="n">
        <f aca="false">-Inputs!$E$207*$E$35*AL55*AL10</f>
        <v>-377.926504442971</v>
      </c>
      <c r="AM64" s="146" t="n">
        <f aca="false">-Inputs!$E$207*$E$35*AM55*AM10</f>
        <v>-387.374667054045</v>
      </c>
      <c r="AN64" s="146" t="n">
        <f aca="false">-Inputs!$E$207*$E$35*AN55*AN10</f>
        <v>-397.059033730396</v>
      </c>
      <c r="AO64" s="146" t="n">
        <f aca="false">-Inputs!$E$207*$E$35*AO55*AO10</f>
        <v>-406.985509573656</v>
      </c>
      <c r="AP64" s="146" t="n">
        <f aca="false">-Inputs!$E$207*$E$35*AP55*AP10</f>
        <v>-417.160147312997</v>
      </c>
      <c r="AQ64" s="146" t="n">
        <f aca="false">-Inputs!$E$207*$E$35*AQ55*AQ10</f>
        <v>-213.794575497911</v>
      </c>
    </row>
    <row r="65" customFormat="false" ht="15" hidden="false" customHeight="false" outlineLevel="0" collapsed="false">
      <c r="C65" s="0" t="s">
        <v>1248</v>
      </c>
      <c r="D65" s="0" t="s">
        <v>125</v>
      </c>
      <c r="E65" s="146"/>
      <c r="F65" s="146"/>
      <c r="G65" s="146" t="n">
        <f aca="false">SUM(H65:AQ65)</f>
        <v>-18122.8712306617</v>
      </c>
      <c r="H65" s="146" t="n">
        <f aca="false">-Inputs!$E$208*$E$35*H55*H10</f>
        <v>-0</v>
      </c>
      <c r="I65" s="146" t="n">
        <f aca="false">-Inputs!$E$208*$E$35*I55*I10</f>
        <v>-0</v>
      </c>
      <c r="J65" s="146" t="n">
        <f aca="false">-Inputs!$E$208*$E$35*J55*J10</f>
        <v>-0</v>
      </c>
      <c r="K65" s="146" t="n">
        <f aca="false">-Inputs!$E$208*$E$35*K55*K10</f>
        <v>-0</v>
      </c>
      <c r="L65" s="146" t="n">
        <f aca="false">-Inputs!$E$208*$E$35*L55*L10</f>
        <v>-0</v>
      </c>
      <c r="M65" s="146" t="n">
        <f aca="false">-Inputs!$E$208*$E$35*M55*M10</f>
        <v>-203.85</v>
      </c>
      <c r="N65" s="146" t="n">
        <f aca="false">-Inputs!$E$208*$E$35*N55*N10</f>
        <v>-417.8925</v>
      </c>
      <c r="O65" s="146" t="n">
        <f aca="false">-Inputs!$E$208*$E$35*O55*O10</f>
        <v>-428.3398125</v>
      </c>
      <c r="P65" s="146" t="n">
        <f aca="false">-Inputs!$E$208*$E$35*P55*P10</f>
        <v>-439.0483078125</v>
      </c>
      <c r="Q65" s="146" t="n">
        <f aca="false">-Inputs!$E$208*$E$35*Q55*Q10</f>
        <v>-450.024515507812</v>
      </c>
      <c r="R65" s="146" t="n">
        <f aca="false">-Inputs!$E$208*$E$35*R55*R10</f>
        <v>-461.275128395508</v>
      </c>
      <c r="S65" s="146" t="n">
        <f aca="false">-Inputs!$E$208*$E$35*S55*S10</f>
        <v>-472.807006605395</v>
      </c>
      <c r="T65" s="146" t="n">
        <f aca="false">-Inputs!$E$208*$E$35*T55*T10</f>
        <v>-484.62718177053</v>
      </c>
      <c r="U65" s="146" t="n">
        <f aca="false">-Inputs!$E$208*$E$35*U55*U10</f>
        <v>-496.742861314793</v>
      </c>
      <c r="V65" s="146" t="n">
        <f aca="false">-Inputs!$E$208*$E$35*V55*V10</f>
        <v>-509.161432847663</v>
      </c>
      <c r="W65" s="146" t="n">
        <f aca="false">-Inputs!$E$208*$E$35*W55*W10</f>
        <v>-521.890468668855</v>
      </c>
      <c r="X65" s="146" t="n">
        <f aca="false">-Inputs!$E$208*$E$35*X55*X10</f>
        <v>-534.937730385576</v>
      </c>
      <c r="Y65" s="146" t="n">
        <f aca="false">-Inputs!$E$208*$E$35*Y55*Y10</f>
        <v>-548.311173645215</v>
      </c>
      <c r="Z65" s="146" t="n">
        <f aca="false">-Inputs!$E$208*$E$35*Z55*Z10</f>
        <v>-562.018952986346</v>
      </c>
      <c r="AA65" s="146" t="n">
        <f aca="false">-Inputs!$E$208*$E$35*AA55*AA10</f>
        <v>-576.069426811004</v>
      </c>
      <c r="AB65" s="146" t="n">
        <f aca="false">-Inputs!$E$208*$E$35*AB55*AB10</f>
        <v>-590.471162481279</v>
      </c>
      <c r="AC65" s="146" t="n">
        <f aca="false">-Inputs!$E$208*$E$35*AC55*AC10</f>
        <v>-605.232941543311</v>
      </c>
      <c r="AD65" s="146" t="n">
        <f aca="false">-Inputs!$E$208*$E$35*AD55*AD10</f>
        <v>-620.363765081894</v>
      </c>
      <c r="AE65" s="146" t="n">
        <f aca="false">-Inputs!$E$208*$E$35*AE55*AE10</f>
        <v>-635.872859208941</v>
      </c>
      <c r="AF65" s="146" t="n">
        <f aca="false">-Inputs!$E$208*$E$35*AF55*AF10</f>
        <v>-651.769680689165</v>
      </c>
      <c r="AG65" s="146" t="n">
        <f aca="false">-Inputs!$E$208*$E$35*AG55*AG10</f>
        <v>-668.063922706394</v>
      </c>
      <c r="AH65" s="146" t="n">
        <f aca="false">-Inputs!$E$208*$E$35*AH55*AH10</f>
        <v>-684.765520774054</v>
      </c>
      <c r="AI65" s="146" t="n">
        <f aca="false">-Inputs!$E$208*$E$35*AI55*AI10</f>
        <v>-701.884658793405</v>
      </c>
      <c r="AJ65" s="146" t="n">
        <f aca="false">-Inputs!$E$208*$E$35*AJ55*AJ10</f>
        <v>-719.43177526324</v>
      </c>
      <c r="AK65" s="146" t="n">
        <f aca="false">-Inputs!$E$208*$E$35*AK55*AK10</f>
        <v>-737.417569644821</v>
      </c>
      <c r="AL65" s="146" t="n">
        <f aca="false">-Inputs!$E$208*$E$35*AL55*AL10</f>
        <v>-755.853008885941</v>
      </c>
      <c r="AM65" s="146" t="n">
        <f aca="false">-Inputs!$E$208*$E$35*AM55*AM10</f>
        <v>-774.74933410809</v>
      </c>
      <c r="AN65" s="146" t="n">
        <f aca="false">-Inputs!$E$208*$E$35*AN55*AN10</f>
        <v>-794.118067460792</v>
      </c>
      <c r="AO65" s="146" t="n">
        <f aca="false">-Inputs!$E$208*$E$35*AO55*AO10</f>
        <v>-813.971019147312</v>
      </c>
      <c r="AP65" s="146" t="n">
        <f aca="false">-Inputs!$E$208*$E$35*AP55*AP10</f>
        <v>-834.320294625995</v>
      </c>
      <c r="AQ65" s="146" t="n">
        <f aca="false">-Inputs!$E$208*$E$35*AQ55*AQ10</f>
        <v>-427.589150995822</v>
      </c>
    </row>
    <row r="66" customFormat="false" ht="15" hidden="false" customHeight="false" outlineLevel="0" collapsed="false">
      <c r="C66" s="0" t="s">
        <v>1249</v>
      </c>
      <c r="D66" s="0" t="s">
        <v>125</v>
      </c>
      <c r="E66" s="146"/>
      <c r="F66" s="146"/>
      <c r="G66" s="146" t="n">
        <f aca="false">SUM(H66:AQ66)</f>
        <v>-3333.86152146094</v>
      </c>
      <c r="H66" s="146" t="n">
        <f aca="false">-Inputs!$E$209*H55*H10</f>
        <v>-0</v>
      </c>
      <c r="I66" s="146" t="n">
        <f aca="false">-Inputs!$E$209*I55*I10</f>
        <v>-0</v>
      </c>
      <c r="J66" s="146" t="n">
        <f aca="false">-Inputs!$E$209*J55*J10</f>
        <v>-0</v>
      </c>
      <c r="K66" s="146" t="n">
        <f aca="false">-Inputs!$E$209*K55*K10</f>
        <v>-0</v>
      </c>
      <c r="L66" s="146" t="n">
        <f aca="false">-Inputs!$E$209*L55*L10</f>
        <v>-0</v>
      </c>
      <c r="M66" s="146" t="n">
        <f aca="false">-Inputs!$E$209*M55*M10</f>
        <v>-37.5</v>
      </c>
      <c r="N66" s="146" t="n">
        <f aca="false">-Inputs!$E$209*N55*N10</f>
        <v>-76.875</v>
      </c>
      <c r="O66" s="146" t="n">
        <f aca="false">-Inputs!$E$209*O55*O10</f>
        <v>-78.796875</v>
      </c>
      <c r="P66" s="146" t="n">
        <f aca="false">-Inputs!$E$209*P55*P10</f>
        <v>-80.766796875</v>
      </c>
      <c r="Q66" s="146" t="n">
        <f aca="false">-Inputs!$E$209*Q55*Q10</f>
        <v>-82.785966796875</v>
      </c>
      <c r="R66" s="146" t="n">
        <f aca="false">-Inputs!$E$209*R55*R10</f>
        <v>-84.8556159667968</v>
      </c>
      <c r="S66" s="146" t="n">
        <f aca="false">-Inputs!$E$209*S55*S10</f>
        <v>-86.9770063659667</v>
      </c>
      <c r="T66" s="146" t="n">
        <f aca="false">-Inputs!$E$209*T55*T10</f>
        <v>-89.1514315251159</v>
      </c>
      <c r="U66" s="146" t="n">
        <f aca="false">-Inputs!$E$209*U55*U10</f>
        <v>-91.3802173132438</v>
      </c>
      <c r="V66" s="146" t="n">
        <f aca="false">-Inputs!$E$209*V55*V10</f>
        <v>-93.6647227460749</v>
      </c>
      <c r="W66" s="146" t="n">
        <f aca="false">-Inputs!$E$209*W55*W10</f>
        <v>-96.0063408147268</v>
      </c>
      <c r="X66" s="146" t="n">
        <f aca="false">-Inputs!$E$209*X55*X10</f>
        <v>-98.4064993350949</v>
      </c>
      <c r="Y66" s="146" t="n">
        <f aca="false">-Inputs!$E$209*Y55*Y10</f>
        <v>-100.866661818472</v>
      </c>
      <c r="Z66" s="146" t="n">
        <f aca="false">-Inputs!$E$209*Z55*Z10</f>
        <v>-103.388328363934</v>
      </c>
      <c r="AA66" s="146" t="n">
        <f aca="false">-Inputs!$E$209*AA55*AA10</f>
        <v>-105.973036573032</v>
      </c>
      <c r="AB66" s="146" t="n">
        <f aca="false">-Inputs!$E$209*AB55*AB10</f>
        <v>-108.622362487358</v>
      </c>
      <c r="AC66" s="146" t="n">
        <f aca="false">-Inputs!$E$209*AC55*AC10</f>
        <v>-111.337921549542</v>
      </c>
      <c r="AD66" s="146" t="n">
        <f aca="false">-Inputs!$E$209*AD55*AD10</f>
        <v>-114.121369588281</v>
      </c>
      <c r="AE66" s="146" t="n">
        <f aca="false">-Inputs!$E$209*AE55*AE10</f>
        <v>-116.974403827988</v>
      </c>
      <c r="AF66" s="146" t="n">
        <f aca="false">-Inputs!$E$209*AF55*AF10</f>
        <v>-119.898763923687</v>
      </c>
      <c r="AG66" s="146" t="n">
        <f aca="false">-Inputs!$E$209*AG55*AG10</f>
        <v>-122.89623302178</v>
      </c>
      <c r="AH66" s="146" t="n">
        <f aca="false">-Inputs!$E$209*AH55*AH10</f>
        <v>-125.968638847324</v>
      </c>
      <c r="AI66" s="146" t="n">
        <f aca="false">-Inputs!$E$209*AI55*AI10</f>
        <v>-129.117854818507</v>
      </c>
      <c r="AJ66" s="146" t="n">
        <f aca="false">-Inputs!$E$209*AJ55*AJ10</f>
        <v>-132.34580118897</v>
      </c>
      <c r="AK66" s="146" t="n">
        <f aca="false">-Inputs!$E$209*AK55*AK10</f>
        <v>-135.654446218694</v>
      </c>
      <c r="AL66" s="146" t="n">
        <f aca="false">-Inputs!$E$209*AL55*AL10</f>
        <v>-139.045807374161</v>
      </c>
      <c r="AM66" s="146" t="n">
        <f aca="false">-Inputs!$E$209*AM55*AM10</f>
        <v>-142.521952558515</v>
      </c>
      <c r="AN66" s="146" t="n">
        <f aca="false">-Inputs!$E$209*AN55*AN10</f>
        <v>-146.085001372478</v>
      </c>
      <c r="AO66" s="146" t="n">
        <f aca="false">-Inputs!$E$209*AO55*AO10</f>
        <v>-149.73712640679</v>
      </c>
      <c r="AP66" s="146" t="n">
        <f aca="false">-Inputs!$E$209*AP55*AP10</f>
        <v>-153.48055456696</v>
      </c>
      <c r="AQ66" s="146" t="n">
        <f aca="false">-Inputs!$E$209*AQ55*AQ10</f>
        <v>-78.658784215567</v>
      </c>
    </row>
    <row r="67" customFormat="false" ht="15" hidden="false" customHeight="false" outlineLevel="0" collapsed="false">
      <c r="C67" s="0" t="s">
        <v>700</v>
      </c>
      <c r="D67" s="0" t="s">
        <v>125</v>
      </c>
      <c r="E67" s="141" t="n">
        <f aca="false">Inputs!$E$210</f>
        <v>0.05</v>
      </c>
      <c r="F67" s="146"/>
      <c r="G67" s="146" t="n">
        <f aca="false">SUM(H67:AQ67)</f>
        <v>-10981.4206227511</v>
      </c>
      <c r="H67" s="146" t="n">
        <f aca="false">(SUM(H56:H58)+SUM(H60:H66))*$E$67</f>
        <v>0</v>
      </c>
      <c r="I67" s="146" t="n">
        <f aca="false">(SUM(I56:I58)+SUM(I60:I66))*$E$67</f>
        <v>0</v>
      </c>
      <c r="J67" s="146" t="n">
        <f aca="false">(SUM(J56:J58)+SUM(J60:J66))*$E$67</f>
        <v>0</v>
      </c>
      <c r="K67" s="146" t="n">
        <f aca="false">(SUM(K56:K58)+SUM(K60:K66))*$E$67</f>
        <v>-9.78110550634407</v>
      </c>
      <c r="L67" s="146" t="n">
        <f aca="false">(SUM(L56:L58)+SUM(L60:L66))*$E$67</f>
        <v>-19.8878048780488</v>
      </c>
      <c r="M67" s="146" t="n">
        <f aca="false">(SUM(M56:M58)+SUM(M60:M66))*$E$67</f>
        <v>-135.27185413754</v>
      </c>
      <c r="N67" s="146" t="n">
        <f aca="false">(SUM(N56:N58)+SUM(N60:N66))*$E$67</f>
        <v>-256.168664573453</v>
      </c>
      <c r="O67" s="146" t="n">
        <f aca="false">(SUM(O56:O58)+SUM(O60:O66))*$E$67</f>
        <v>-262.31202494058</v>
      </c>
      <c r="P67" s="146" t="n">
        <f aca="false">(SUM(P56:P58)+SUM(P60:P66))*$E$67</f>
        <v>-268.603617529332</v>
      </c>
      <c r="Q67" s="146" t="n">
        <f aca="false">(SUM(Q56:Q58)+SUM(Q60:Q66))*$E$67</f>
        <v>-275.047033368682</v>
      </c>
      <c r="R67" s="146" t="n">
        <f aca="false">(SUM(R56:R58)+SUM(R60:R66))*$E$67</f>
        <v>-281.645950764704</v>
      </c>
      <c r="S67" s="146" t="n">
        <f aca="false">(SUM(S56:S58)+SUM(S60:S66))*$E$67</f>
        <v>-288.404137427845</v>
      </c>
      <c r="T67" s="146" t="n">
        <f aca="false">(SUM(T56:T58)+SUM(T60:T66))*$E$67</f>
        <v>-295.325452652172</v>
      </c>
      <c r="U67" s="146" t="n">
        <f aca="false">(SUM(U56:U58)+SUM(U60:U66))*$E$67</f>
        <v>-302.413849547891</v>
      </c>
      <c r="V67" s="146" t="n">
        <f aca="false">(SUM(V56:V58)+SUM(V60:V66))*$E$67</f>
        <v>-309.673377328418</v>
      </c>
      <c r="W67" s="146" t="n">
        <f aca="false">(SUM(W56:W58)+SUM(W60:W66))*$E$67</f>
        <v>-317.108183653349</v>
      </c>
      <c r="X67" s="146" t="n">
        <f aca="false">(SUM(X56:X58)+SUM(X60:X66))*$E$67</f>
        <v>-324.722517028703</v>
      </c>
      <c r="Y67" s="146" t="n">
        <f aca="false">(SUM(Y56:Y58)+SUM(Y60:Y66))*$E$67</f>
        <v>-332.520729265836</v>
      </c>
      <c r="Z67" s="146" t="n">
        <f aca="false">(SUM(Z56:Z58)+SUM(Z60:Z66))*$E$67</f>
        <v>-340.507278000458</v>
      </c>
      <c r="AA67" s="146" t="n">
        <f aca="false">(SUM(AA56:AA58)+SUM(AA60:AA66))*$E$67</f>
        <v>-348.68672927324</v>
      </c>
      <c r="AB67" s="146" t="n">
        <f aca="false">(SUM(AB56:AB58)+SUM(AB60:AB66))*$E$67</f>
        <v>-357.063760173504</v>
      </c>
      <c r="AC67" s="146" t="n">
        <f aca="false">(SUM(AC56:AC58)+SUM(AC60:AC66))*$E$67</f>
        <v>-365.643161547556</v>
      </c>
      <c r="AD67" s="146" t="n">
        <f aca="false">(SUM(AD56:AD58)+SUM(AD60:AD66))*$E$67</f>
        <v>-374.429840773235</v>
      </c>
      <c r="AE67" s="146" t="n">
        <f aca="false">(SUM(AE56:AE58)+SUM(AE60:AE66))*$E$67</f>
        <v>-383.428824602311</v>
      </c>
      <c r="AF67" s="146" t="n">
        <f aca="false">(SUM(AF56:AF58)+SUM(AF60:AF66))*$E$67</f>
        <v>-392.645262072383</v>
      </c>
      <c r="AG67" s="146" t="n">
        <f aca="false">(SUM(AG56:AG58)+SUM(AG60:AG66))*$E$67</f>
        <v>-402.084427489992</v>
      </c>
      <c r="AH67" s="146" t="n">
        <f aca="false">(SUM(AH56:AH58)+SUM(AH60:AH66))*$E$67</f>
        <v>-411.751723486687</v>
      </c>
      <c r="AI67" s="146" t="n">
        <f aca="false">(SUM(AI56:AI58)+SUM(AI60:AI66))*$E$67</f>
        <v>-421.652684149838</v>
      </c>
      <c r="AJ67" s="146" t="n">
        <f aca="false">(SUM(AJ56:AJ58)+SUM(AJ60:AJ66))*$E$67</f>
        <v>-431.792978230021</v>
      </c>
      <c r="AK67" s="146" t="n">
        <f aca="false">(SUM(AK56:AK58)+SUM(AK60:AK66))*$E$67</f>
        <v>-442.178412426858</v>
      </c>
      <c r="AL67" s="146" t="n">
        <f aca="false">(SUM(AL56:AL58)+SUM(AL60:AL66))*$E$67</f>
        <v>-452.814934755236</v>
      </c>
      <c r="AM67" s="146" t="n">
        <f aca="false">(SUM(AM56:AM58)+SUM(AM60:AM66))*$E$67</f>
        <v>-463.70863799387</v>
      </c>
      <c r="AN67" s="146" t="n">
        <f aca="false">(SUM(AN56:AN58)+SUM(AN60:AN66))*$E$67</f>
        <v>-474.865763218235</v>
      </c>
      <c r="AO67" s="146" t="n">
        <f aca="false">(SUM(AO56:AO58)+SUM(AO60:AO66))*$E$67</f>
        <v>-486.292703419929</v>
      </c>
      <c r="AP67" s="146" t="n">
        <f aca="false">(SUM(AP56:AP58)+SUM(AP60:AP66))*$E$67</f>
        <v>-497.996007214599</v>
      </c>
      <c r="AQ67" s="146" t="n">
        <f aca="false">(SUM(AQ56:AQ58)+SUM(AQ60:AQ66))*$E$67</f>
        <v>-254.991191320292</v>
      </c>
    </row>
    <row r="68" customFormat="false" ht="15" hidden="false" customHeight="false" outlineLevel="0" collapsed="false">
      <c r="C68" s="0" t="s">
        <v>703</v>
      </c>
      <c r="D68" s="0" t="s">
        <v>125</v>
      </c>
      <c r="E68" s="44" t="n">
        <f aca="false">Inputs!$E$212</f>
        <v>0.02</v>
      </c>
      <c r="F68" s="146"/>
      <c r="G68" s="146" t="n">
        <f aca="false">SUM(H68:AQ68)</f>
        <v>-18133.8810705971</v>
      </c>
      <c r="H68" s="146" t="n">
        <f aca="false">-H54*$E$68</f>
        <v>-0</v>
      </c>
      <c r="I68" s="146" t="n">
        <f aca="false">-I54*$E$68</f>
        <v>-0</v>
      </c>
      <c r="J68" s="146" t="n">
        <f aca="false">-J54*$E$68</f>
        <v>-0</v>
      </c>
      <c r="K68" s="146" t="n">
        <f aca="false">-K54*$E$68</f>
        <v>-0</v>
      </c>
      <c r="L68" s="146" t="n">
        <f aca="false">-L54*$E$68</f>
        <v>-0</v>
      </c>
      <c r="M68" s="146" t="n">
        <f aca="false">-M54*$E$68</f>
        <v>-347.049769057233</v>
      </c>
      <c r="N68" s="146" t="n">
        <f aca="false">-N54*$E$68</f>
        <v>-545.152805631</v>
      </c>
      <c r="O68" s="146" t="n">
        <f aca="false">-O54*$E$68</f>
        <v>-548.952520686248</v>
      </c>
      <c r="P68" s="146" t="n">
        <f aca="false">-P54*$E$68</f>
        <v>-552.778719755431</v>
      </c>
      <c r="Q68" s="146" t="n">
        <f aca="false">-Q54*$E$68</f>
        <v>-556.631587432127</v>
      </c>
      <c r="R68" s="146" t="n">
        <f aca="false">-R54*$E$68</f>
        <v>-560.511309596529</v>
      </c>
      <c r="S68" s="146" t="n">
        <f aca="false">-S54*$E$68</f>
        <v>-564.418073424416</v>
      </c>
      <c r="T68" s="146" t="n">
        <f aca="false">-T54*$E$68</f>
        <v>-568.352067396185</v>
      </c>
      <c r="U68" s="146" t="n">
        <f aca="false">-U54*$E$68</f>
        <v>-572.313481305936</v>
      </c>
      <c r="V68" s="146" t="n">
        <f aca="false">-V54*$E$68</f>
        <v>-576.302506270638</v>
      </c>
      <c r="W68" s="146" t="n">
        <f aca="false">-W54*$E$68</f>
        <v>-580.319334739345</v>
      </c>
      <c r="X68" s="146" t="n">
        <f aca="false">-X54*$E$68</f>
        <v>-584.364160502478</v>
      </c>
      <c r="Y68" s="146" t="n">
        <f aca="false">-Y54*$E$68</f>
        <v>-588.43717870118</v>
      </c>
      <c r="Z68" s="146" t="n">
        <f aca="false">-Z54*$E$68</f>
        <v>-592.538585836727</v>
      </c>
      <c r="AA68" s="146" t="n">
        <f aca="false">-AA54*$E$68</f>
        <v>-596.668579780009</v>
      </c>
      <c r="AB68" s="146" t="n">
        <f aca="false">-AB54*$E$68</f>
        <v>-600.827359781076</v>
      </c>
      <c r="AC68" s="146" t="n">
        <f aca="false">-AC54*$E$68</f>
        <v>-605.01512647875</v>
      </c>
      <c r="AD68" s="146" t="n">
        <f aca="false">-AD54*$E$68</f>
        <v>-609.232081910307</v>
      </c>
      <c r="AE68" s="146" t="n">
        <f aca="false">-AE54*$E$68</f>
        <v>-613.478429521222</v>
      </c>
      <c r="AF68" s="146" t="n">
        <f aca="false">-AF54*$E$68</f>
        <v>-617.754374174985</v>
      </c>
      <c r="AG68" s="146" t="n">
        <f aca="false">-AG54*$E$68</f>
        <v>-622.060122162985</v>
      </c>
      <c r="AH68" s="146" t="n">
        <f aca="false">-AH54*$E$68</f>
        <v>-626.395881214461</v>
      </c>
      <c r="AI68" s="146" t="n">
        <f aca="false">-AI54*$E$68</f>
        <v>-630.761860506525</v>
      </c>
      <c r="AJ68" s="146" t="n">
        <f aca="false">-AJ54*$E$68</f>
        <v>-635.158270674256</v>
      </c>
      <c r="AK68" s="146" t="n">
        <f aca="false">-AK54*$E$68</f>
        <v>-639.585323820855</v>
      </c>
      <c r="AL68" s="146" t="n">
        <f aca="false">-AL54*$E$68</f>
        <v>-644.043233527887</v>
      </c>
      <c r="AM68" s="146" t="n">
        <f aca="false">-AM54*$E$68</f>
        <v>-648.532214865576</v>
      </c>
      <c r="AN68" s="146" t="n">
        <f aca="false">-AN54*$E$68</f>
        <v>-653.052484403189</v>
      </c>
      <c r="AO68" s="146" t="n">
        <f aca="false">-AO54*$E$68</f>
        <v>-657.604260219479</v>
      </c>
      <c r="AP68" s="146" t="n">
        <f aca="false">-AP54*$E$68</f>
        <v>-662.187761913209</v>
      </c>
      <c r="AQ68" s="146" t="n">
        <f aca="false">-AQ54*$E$68</f>
        <v>-333.401605306872</v>
      </c>
    </row>
    <row r="69" customFormat="false" ht="15" hidden="false" customHeight="false" outlineLevel="0" collapsed="false">
      <c r="C69" s="205" t="s">
        <v>1250</v>
      </c>
      <c r="D69" s="205" t="s">
        <v>125</v>
      </c>
      <c r="E69" s="277"/>
      <c r="F69" s="277"/>
      <c r="G69" s="277" t="n">
        <f aca="false">SUM(H69:AQ69)</f>
        <v>-274627.2570632</v>
      </c>
      <c r="H69" s="277" t="n">
        <f aca="false">SUM(H56:H68)</f>
        <v>0</v>
      </c>
      <c r="I69" s="277" t="n">
        <f aca="false">SUM(I56:I68)</f>
        <v>0</v>
      </c>
      <c r="J69" s="277" t="n">
        <f aca="false">SUM(J56:J68)</f>
        <v>0</v>
      </c>
      <c r="K69" s="277" t="n">
        <f aca="false">SUM(K56:K68)</f>
        <v>-205.403215633226</v>
      </c>
      <c r="L69" s="277" t="n">
        <f aca="false">SUM(L56:L68)</f>
        <v>-417.643902439025</v>
      </c>
      <c r="M69" s="277" t="n">
        <f aca="false">SUM(M56:M68)</f>
        <v>-3637.55475019558</v>
      </c>
      <c r="N69" s="277" t="n">
        <f aca="false">SUM(N56:N68)</f>
        <v>-6824.2868501735</v>
      </c>
      <c r="O69" s="277" t="n">
        <f aca="false">SUM(O56:O68)</f>
        <v>-6954.39835667293</v>
      </c>
      <c r="P69" s="277" t="n">
        <f aca="false">SUM(P56:P68)</f>
        <v>-7087.6573201692</v>
      </c>
      <c r="Q69" s="277" t="n">
        <f aca="false">SUM(Q56:Q68)</f>
        <v>-7224.13931257535</v>
      </c>
      <c r="R69" s="277" t="n">
        <f aca="false">SUM(R56:R68)</f>
        <v>-7363.92173998302</v>
      </c>
      <c r="S69" s="277" t="n">
        <f aca="false">SUM(S56:S68)</f>
        <v>-7507.08388734387</v>
      </c>
      <c r="T69" s="277" t="n">
        <f aca="false">SUM(T56:T68)</f>
        <v>-7653.70696424271</v>
      </c>
      <c r="U69" s="277" t="n">
        <f aca="false">SUM(U56:U68)</f>
        <v>-7803.87415178912</v>
      </c>
      <c r="V69" s="277" t="n">
        <f aca="false">SUM(V56:V68)</f>
        <v>-7957.67065065495</v>
      </c>
      <c r="W69" s="277" t="n">
        <f aca="false">SUM(W56:W68)</f>
        <v>-8115.18373028573</v>
      </c>
      <c r="X69" s="277" t="n">
        <f aca="false">SUM(X56:X68)</f>
        <v>-8276.50277931483</v>
      </c>
      <c r="Y69" s="277" t="n">
        <f aca="false">SUM(Y56:Y68)</f>
        <v>-8441.71935720969</v>
      </c>
      <c r="Z69" s="277" t="n">
        <f aca="false">SUM(Z56:Z68)</f>
        <v>-8610.92724718053</v>
      </c>
      <c r="AA69" s="277" t="n">
        <f aca="false">SUM(AA56:AA68)</f>
        <v>-8784.22251038222</v>
      </c>
      <c r="AB69" s="277" t="n">
        <f aca="false">SUM(AB56:AB68)</f>
        <v>-8961.70354144124</v>
      </c>
      <c r="AC69" s="277" t="n">
        <f aca="false">SUM(AC56:AC68)</f>
        <v>-9143.47112533995</v>
      </c>
      <c r="AD69" s="277" t="n">
        <f aca="false">SUM(AD56:AD68)</f>
        <v>-9329.62849569169</v>
      </c>
      <c r="AE69" s="277" t="n">
        <f aca="false">SUM(AE56:AE68)</f>
        <v>-9520.28139444057</v>
      </c>
      <c r="AF69" s="277" t="n">
        <f aca="false">SUM(AF56:AF68)</f>
        <v>-9715.53813302104</v>
      </c>
      <c r="AG69" s="277" t="n">
        <f aca="false">SUM(AG56:AG68)</f>
        <v>-9915.50965501284</v>
      </c>
      <c r="AH69" s="277" t="n">
        <f aca="false">SUM(AH56:AH68)</f>
        <v>-10120.3096003282</v>
      </c>
      <c r="AI69" s="277" t="n">
        <f aca="false">SUM(AI56:AI68)</f>
        <v>-10330.0543709688</v>
      </c>
      <c r="AJ69" s="277" t="n">
        <f aca="false">SUM(AJ56:AJ68)</f>
        <v>-10544.8631983904</v>
      </c>
      <c r="AK69" s="277" t="n">
        <f aca="false">SUM(AK56:AK68)</f>
        <v>-10764.8582125159</v>
      </c>
      <c r="AL69" s="277" t="n">
        <f aca="false">SUM(AL56:AL68)</f>
        <v>-10990.1645124357</v>
      </c>
      <c r="AM69" s="277" t="n">
        <f aca="false">SUM(AM56:AM68)</f>
        <v>-11220.9102388376</v>
      </c>
      <c r="AN69" s="277" t="n">
        <f aca="false">SUM(AN56:AN68)</f>
        <v>-11457.2266482085</v>
      </c>
      <c r="AO69" s="277" t="n">
        <f aca="false">SUM(AO56:AO68)</f>
        <v>-11699.2481888517</v>
      </c>
      <c r="AP69" s="277" t="n">
        <f aca="false">SUM(AP56:AP68)</f>
        <v>-11947.1125787631</v>
      </c>
      <c r="AQ69" s="277" t="n">
        <f aca="false">SUM(AQ56:AQ68)</f>
        <v>-6100.48044270666</v>
      </c>
    </row>
    <row r="70" customFormat="false" ht="15" hidden="false" customHeight="false" outlineLevel="0" collapsed="false">
      <c r="C70" s="205" t="s">
        <v>13</v>
      </c>
      <c r="D70" s="205" t="s">
        <v>125</v>
      </c>
      <c r="E70" s="277"/>
      <c r="F70" s="277"/>
      <c r="G70" s="277" t="n">
        <f aca="false">SUM(H70:AQ70)</f>
        <v>632066.796466656</v>
      </c>
      <c r="H70" s="277" t="n">
        <f aca="false">H54+H69</f>
        <v>0</v>
      </c>
      <c r="I70" s="277" t="n">
        <f aca="false">I54+I69</f>
        <v>0</v>
      </c>
      <c r="J70" s="277" t="n">
        <f aca="false">J54+J69</f>
        <v>0</v>
      </c>
      <c r="K70" s="277" t="n">
        <f aca="false">K54+K69</f>
        <v>-205.403215633226</v>
      </c>
      <c r="L70" s="277" t="n">
        <f aca="false">L54+L69</f>
        <v>-417.643902439025</v>
      </c>
      <c r="M70" s="277" t="n">
        <f aca="false">M54+M69</f>
        <v>13714.9337026661</v>
      </c>
      <c r="N70" s="277" t="n">
        <f aca="false">N54+N69</f>
        <v>20433.3534313765</v>
      </c>
      <c r="O70" s="277" t="n">
        <f aca="false">O54+O69</f>
        <v>20493.2276776395</v>
      </c>
      <c r="P70" s="277" t="n">
        <f aca="false">P54+P69</f>
        <v>20551.2786676024</v>
      </c>
      <c r="Q70" s="277" t="n">
        <f aca="false">Q54+Q69</f>
        <v>20607.440059031</v>
      </c>
      <c r="R70" s="277" t="n">
        <f aca="false">R54+R69</f>
        <v>20661.6437398434</v>
      </c>
      <c r="S70" s="277" t="n">
        <f aca="false">S54+S69</f>
        <v>20713.819783877</v>
      </c>
      <c r="T70" s="277" t="n">
        <f aca="false">T54+T69</f>
        <v>20763.8964055665</v>
      </c>
      <c r="U70" s="277" t="n">
        <f aca="false">U54+U69</f>
        <v>20811.7999135077</v>
      </c>
      <c r="V70" s="277" t="n">
        <f aca="false">V54+V69</f>
        <v>20857.454662877</v>
      </c>
      <c r="W70" s="277" t="n">
        <f aca="false">W54+W69</f>
        <v>20900.7830066815</v>
      </c>
      <c r="X70" s="277" t="n">
        <f aca="false">X54+X69</f>
        <v>20941.7052458091</v>
      </c>
      <c r="Y70" s="277" t="n">
        <f aca="false">Y54+Y69</f>
        <v>20980.1395778493</v>
      </c>
      <c r="Z70" s="277" t="n">
        <f aca="false">Z54+Z69</f>
        <v>21016.0020446558</v>
      </c>
      <c r="AA70" s="277" t="n">
        <f aca="false">AA54+AA69</f>
        <v>21049.2064786182</v>
      </c>
      <c r="AB70" s="277" t="n">
        <f aca="false">AB54+AB69</f>
        <v>21079.6644476126</v>
      </c>
      <c r="AC70" s="277" t="n">
        <f aca="false">AC54+AC69</f>
        <v>21107.2851985976</v>
      </c>
      <c r="AD70" s="277" t="n">
        <f aca="false">AD54+AD69</f>
        <v>21131.9755998237</v>
      </c>
      <c r="AE70" s="277" t="n">
        <f aca="false">AE54+AE69</f>
        <v>21153.6400816205</v>
      </c>
      <c r="AF70" s="277" t="n">
        <f aca="false">AF54+AF69</f>
        <v>21172.1805757282</v>
      </c>
      <c r="AG70" s="277" t="n">
        <f aca="false">AG54+AG69</f>
        <v>21187.4964531364</v>
      </c>
      <c r="AH70" s="277" t="n">
        <f aca="false">AH54+AH69</f>
        <v>21199.4844603948</v>
      </c>
      <c r="AI70" s="277" t="n">
        <f aca="false">AI54+AI69</f>
        <v>21208.0386543575</v>
      </c>
      <c r="AJ70" s="277" t="n">
        <f aca="false">AJ54+AJ69</f>
        <v>21213.0503353224</v>
      </c>
      <c r="AK70" s="277" t="n">
        <f aca="false">AK54+AK69</f>
        <v>21214.4079785268</v>
      </c>
      <c r="AL70" s="277" t="n">
        <f aca="false">AL54+AL69</f>
        <v>21211.9971639586</v>
      </c>
      <c r="AM70" s="277" t="n">
        <f aca="false">AM54+AM69</f>
        <v>21205.7005044412</v>
      </c>
      <c r="AN70" s="277" t="n">
        <f aca="false">AN54+AN69</f>
        <v>21195.3975719509</v>
      </c>
      <c r="AO70" s="277" t="n">
        <f aca="false">AO54+AO69</f>
        <v>21180.9648221222</v>
      </c>
      <c r="AP70" s="277" t="n">
        <f aca="false">AP54+AP69</f>
        <v>21162.2755168973</v>
      </c>
      <c r="AQ70" s="277" t="n">
        <f aca="false">AQ54+AQ69</f>
        <v>10569.599822637</v>
      </c>
    </row>
    <row r="71" customFormat="false" ht="15" hidden="false" customHeight="false" outlineLevel="0" collapsed="false">
      <c r="C71" s="0" t="s">
        <v>1251</v>
      </c>
      <c r="D71" s="0" t="s">
        <v>51</v>
      </c>
      <c r="E71" s="146"/>
      <c r="F71" s="146"/>
      <c r="G71" s="141" t="n">
        <f aca="false">IF(G54=0,"",G70/G54)</f>
        <v>0.697111439085713</v>
      </c>
      <c r="H71" s="141" t="str">
        <f aca="false">IF(H54=0,"",H70/H54)</f>
        <v/>
      </c>
      <c r="I71" s="141" t="str">
        <f aca="false">IF(I54=0,"",I70/I54)</f>
        <v/>
      </c>
      <c r="J71" s="141" t="str">
        <f aca="false">IF(J54=0,"",J70/J54)</f>
        <v/>
      </c>
      <c r="K71" s="141" t="str">
        <f aca="false">IF(K54=0,"",K70/K54)</f>
        <v/>
      </c>
      <c r="L71" s="141" t="str">
        <f aca="false">IF(L54=0,"",L70/L54)</f>
        <v/>
      </c>
      <c r="M71" s="141" t="n">
        <f aca="false">IF(M54=0,"",M70/M54)</f>
        <v>0.79037273183745</v>
      </c>
      <c r="N71" s="141" t="n">
        <f aca="false">IF(N54=0,"",N70/N54)</f>
        <v>0.749637650960099</v>
      </c>
      <c r="O71" s="141" t="n">
        <f aca="false">IF(O54=0,"",O70/O54)</f>
        <v>0.746630242339385</v>
      </c>
      <c r="P71" s="141" t="n">
        <f aca="false">IF(P54=0,"",P70/P54)</f>
        <v>0.743562584199876</v>
      </c>
      <c r="Q71" s="141" t="n">
        <f aca="false">IF(Q54=0,"",Q70/Q54)</f>
        <v>0.740433727597026</v>
      </c>
      <c r="R71" s="141" t="n">
        <f aca="false">IF(R54=0,"",R70/R54)</f>
        <v>0.737242706296728</v>
      </c>
      <c r="S71" s="141" t="n">
        <f aca="false">IF(S54=0,"",S70/S54)</f>
        <v>0.733988536483349</v>
      </c>
      <c r="T71" s="141" t="n">
        <f aca="false">IF(T54=0,"",T70/T54)</f>
        <v>0.73067021646259</v>
      </c>
      <c r="U71" s="141" t="n">
        <f aca="false">IF(U54=0,"",U70/U54)</f>
        <v>0.727286726359064</v>
      </c>
      <c r="V71" s="141" t="n">
        <f aca="false">IF(V54=0,"",V70/V54)</f>
        <v>0.723837027808519</v>
      </c>
      <c r="W71" s="141" t="n">
        <f aca="false">IF(W54=0,"",W70/W54)</f>
        <v>0.720320063644589</v>
      </c>
      <c r="X71" s="141" t="n">
        <f aca="false">IF(X54=0,"",X70/X54)</f>
        <v>0.716734757579996</v>
      </c>
      <c r="Y71" s="141" t="n">
        <f aca="false">IF(Y54=0,"",Y70/Y54)</f>
        <v>0.713080013882109</v>
      </c>
      <c r="Z71" s="141" t="n">
        <f aca="false">IF(Z54=0,"",Z70/Z54)</f>
        <v>0.70935471704274</v>
      </c>
      <c r="AA71" s="141" t="n">
        <f aca="false">IF(AA54=0,"",AA70/AA54)</f>
        <v>0.705557731442103</v>
      </c>
      <c r="AB71" s="141" t="n">
        <f aca="false">IF(AB54=0,"",AB70/AB54)</f>
        <v>0.701687901006818</v>
      </c>
      <c r="AC71" s="141" t="n">
        <f aca="false">IF(AC54=0,"",AC70/AC54)</f>
        <v>0.697744048861856</v>
      </c>
      <c r="AD71" s="141" t="n">
        <f aca="false">IF(AD54=0,"",AD70/AD54)</f>
        <v>0.693724976976336</v>
      </c>
      <c r="AE71" s="141" t="n">
        <f aca="false">IF(AE54=0,"",AE70/AE54)</f>
        <v>0.689629465803044</v>
      </c>
      <c r="AF71" s="141" t="n">
        <f aca="false">IF(AF54=0,"",AF70/AF54)</f>
        <v>0.685456273911579</v>
      </c>
      <c r="AG71" s="141" t="n">
        <f aca="false">IF(AG54=0,"",AG70/AG54)</f>
        <v>0.681204137615017</v>
      </c>
      <c r="AH71" s="141" t="n">
        <f aca="false">IF(AH54=0,"",AH70/AH54)</f>
        <v>0.676871770589969</v>
      </c>
      <c r="AI71" s="141" t="n">
        <f aca="false">IF(AI54=0,"",AI70/AI54)</f>
        <v>0.672457863489927</v>
      </c>
      <c r="AJ71" s="141" t="n">
        <f aca="false">IF(AJ54=0,"",AJ70/AJ54)</f>
        <v>0.667961083551775</v>
      </c>
      <c r="AK71" s="141" t="n">
        <f aca="false">IF(AK54=0,"",AK70/AK54)</f>
        <v>0.663380074195351</v>
      </c>
      <c r="AL71" s="141" t="n">
        <f aca="false">IF(AL54=0,"",AL70/AL54)</f>
        <v>0.658713454615936</v>
      </c>
      <c r="AM71" s="141" t="n">
        <f aca="false">IF(AM54=0,"",AM70/AM54)</f>
        <v>0.653959819369547</v>
      </c>
      <c r="AN71" s="141" t="n">
        <f aca="false">IF(AN54=0,"",AN70/AN54)</f>
        <v>0.649117737950907</v>
      </c>
      <c r="AO71" s="141" t="n">
        <f aca="false">IF(AO54=0,"",AO70/AO54)</f>
        <v>0.644185754363968</v>
      </c>
      <c r="AP71" s="141" t="n">
        <f aca="false">IF(AP54=0,"",AP70/AP54)</f>
        <v>0.639162386684852</v>
      </c>
      <c r="AQ71" s="141" t="n">
        <f aca="false">IF(AQ54=0,"",AQ70/AQ54)</f>
        <v>0.634046126617081</v>
      </c>
    </row>
    <row r="72" customFormat="false" ht="15" hidden="false" customHeight="false" outlineLevel="0" collapsed="false">
      <c r="C72" s="0" t="s">
        <v>1252</v>
      </c>
      <c r="D72" s="0" t="s">
        <v>44</v>
      </c>
      <c r="E72" s="146"/>
      <c r="F72" s="146"/>
      <c r="G72" s="158"/>
      <c r="H72" s="158" t="str">
        <f aca="false">IF(H8=1,-H69/H35,"")</f>
        <v/>
      </c>
      <c r="I72" s="158" t="str">
        <f aca="false">IF(I8=1,-I69/I35,"")</f>
        <v/>
      </c>
      <c r="J72" s="158" t="str">
        <f aca="false">IF(J8=1,-J69/J35,"")</f>
        <v/>
      </c>
      <c r="K72" s="158" t="str">
        <f aca="false">IF(K8=1,-K69/K35,"")</f>
        <v/>
      </c>
      <c r="L72" s="158" t="str">
        <f aca="false">IF(L8=1,-L69/L35,"")</f>
        <v/>
      </c>
      <c r="M72" s="158" t="str">
        <f aca="false">IF(M8=1,-M69/M35,"")</f>
        <v/>
      </c>
      <c r="N72" s="158" t="n">
        <f aca="false">IF(N8=1,-N69/N35,"")</f>
        <v>50.2155029446174</v>
      </c>
      <c r="O72" s="158" t="n">
        <f aca="false">IF(O8=1,-O69/O35,"")</f>
        <v>51.1729091734579</v>
      </c>
      <c r="P72" s="158" t="n">
        <f aca="false">IF(P8=1,-P69/P35,"")</f>
        <v>52.1534754979338</v>
      </c>
      <c r="Q72" s="158" t="n">
        <f aca="false">IF(Q8=1,-Q69/Q35,"")</f>
        <v>53.1577580027619</v>
      </c>
      <c r="R72" s="158" t="n">
        <f aca="false">IF(R8=1,-R69/R35,"")</f>
        <v>54.1863262691907</v>
      </c>
      <c r="S72" s="158" t="n">
        <f aca="false">IF(S8=1,-S69/S35,"")</f>
        <v>55.2397637037812</v>
      </c>
      <c r="T72" s="158" t="n">
        <f aca="false">IF(T8=1,-T69/T35,"")</f>
        <v>56.3186678752223</v>
      </c>
      <c r="U72" s="158" t="n">
        <f aca="false">IF(U8=1,-U69/U35,"")</f>
        <v>57.4236508593754</v>
      </c>
      <c r="V72" s="158" t="n">
        <f aca="false">IF(V8=1,-V69/V35,"")</f>
        <v>58.5553395927516</v>
      </c>
      <c r="W72" s="158" t="n">
        <f aca="false">IF(W8=1,-W69/W35,"")</f>
        <v>59.7143762346264</v>
      </c>
      <c r="X72" s="158" t="n">
        <f aca="false">IF(X8=1,-X69/X35,"")</f>
        <v>60.9014185380046</v>
      </c>
      <c r="Y72" s="158" t="n">
        <f aca="false">IF(Y8=1,-Y69/Y35,"")</f>
        <v>62.1171402296519</v>
      </c>
      <c r="Z72" s="158" t="n">
        <f aca="false">IF(Z8=1,-Z69/Z35,"")</f>
        <v>63.3622313994152</v>
      </c>
      <c r="AA72" s="158" t="n">
        <f aca="false">IF(AA8=1,-AA69/AA35,"")</f>
        <v>64.6373988990598</v>
      </c>
      <c r="AB72" s="158" t="n">
        <f aca="false">IF(AB8=1,-AB69/AB35,"")</f>
        <v>65.9433667508554</v>
      </c>
      <c r="AC72" s="158" t="n">
        <f aca="false">IF(AC8=1,-AC69/AC35,"")</f>
        <v>67.2808765661512</v>
      </c>
      <c r="AD72" s="158" t="n">
        <f aca="false">IF(AD8=1,-AD69/AD35,"")</f>
        <v>68.6506879741847</v>
      </c>
      <c r="AE72" s="158" t="n">
        <f aca="false">IF(AE8=1,-AE69/AE35,"")</f>
        <v>70.0535790613729</v>
      </c>
      <c r="AF72" s="158" t="n">
        <f aca="false">IF(AF8=1,-AF69/AF35,"")</f>
        <v>71.4903468213468</v>
      </c>
      <c r="AG72" s="158" t="n">
        <f aca="false">IF(AG8=1,-AG69/AG35,"")</f>
        <v>72.9618076159885</v>
      </c>
      <c r="AH72" s="158" t="n">
        <f aca="false">IF(AH8=1,-AH69/AH35,"")</f>
        <v>74.4687976477428</v>
      </c>
      <c r="AI72" s="158" t="n">
        <f aca="false">IF(AI8=1,-AI69/AI35,"")</f>
        <v>76.012173443479</v>
      </c>
      <c r="AJ72" s="158" t="n">
        <f aca="false">IF(AJ8=1,-AJ69/AJ35,"")</f>
        <v>77.5928123501871</v>
      </c>
      <c r="AK72" s="158" t="n">
        <f aca="false">IF(AK8=1,-AK69/AK35,"")</f>
        <v>79.2116130427958</v>
      </c>
      <c r="AL72" s="158" t="n">
        <f aca="false">IF(AL8=1,-AL69/AL35,"")</f>
        <v>80.869496044413</v>
      </c>
      <c r="AM72" s="158" t="n">
        <f aca="false">IF(AM8=1,-AM69/AM35,"")</f>
        <v>82.5674042592905</v>
      </c>
      <c r="AN72" s="158" t="n">
        <f aca="false">IF(AN8=1,-AN69/AN35,"")</f>
        <v>84.3063035188266</v>
      </c>
      <c r="AO72" s="158" t="n">
        <f aca="false">IF(AO8=1,-AO69/AO35,"")</f>
        <v>86.0871831409252</v>
      </c>
      <c r="AP72" s="158" t="n">
        <f aca="false">IF(AP8=1,-AP69/AP35,"")</f>
        <v>87.9110565030398</v>
      </c>
      <c r="AQ72" s="158" t="str">
        <f aca="false">IF(AQ8=1,-AQ69/AQ35,"")</f>
        <v/>
      </c>
    </row>
    <row r="73" customFormat="false" ht="15" hidden="false" customHeight="false" outlineLevel="0" collapsed="false">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row>
    <row r="74" customFormat="false" ht="15" hidden="false" customHeight="false" outlineLevel="0" collapsed="false">
      <c r="C74" s="136" t="s">
        <v>1253</v>
      </c>
      <c r="D74" s="136"/>
      <c r="E74" s="281" t="n">
        <f aca="false">Inputs!$E$220</f>
        <v>0.05</v>
      </c>
      <c r="F74" s="279" t="s">
        <v>1254</v>
      </c>
      <c r="G74" s="278"/>
      <c r="H74" s="278"/>
      <c r="I74" s="278"/>
      <c r="J74" s="278"/>
      <c r="K74" s="278"/>
      <c r="L74" s="278"/>
      <c r="M74" s="278"/>
      <c r="N74" s="278"/>
      <c r="O74" s="278"/>
      <c r="P74" s="278"/>
      <c r="Q74" s="278"/>
      <c r="R74" s="278"/>
      <c r="S74" s="278"/>
      <c r="T74" s="278"/>
      <c r="U74" s="278"/>
      <c r="V74" s="278"/>
      <c r="W74" s="278"/>
      <c r="X74" s="278"/>
      <c r="Y74" s="278"/>
      <c r="Z74" s="278"/>
      <c r="AA74" s="278"/>
      <c r="AB74" s="278"/>
      <c r="AC74" s="278"/>
      <c r="AD74" s="278"/>
      <c r="AE74" s="278"/>
      <c r="AF74" s="278"/>
      <c r="AG74" s="278"/>
      <c r="AH74" s="278"/>
      <c r="AI74" s="278"/>
      <c r="AJ74" s="278"/>
      <c r="AK74" s="278"/>
      <c r="AL74" s="278"/>
      <c r="AM74" s="278"/>
      <c r="AN74" s="278"/>
      <c r="AO74" s="278"/>
      <c r="AP74" s="278"/>
      <c r="AQ74" s="278"/>
    </row>
    <row r="75" customFormat="false" ht="15" hidden="false" customHeight="false" outlineLevel="0" collapsed="false">
      <c r="C75" s="0" t="s">
        <v>1255</v>
      </c>
      <c r="D75" s="0" t="s">
        <v>125</v>
      </c>
      <c r="E75" s="146" t="n">
        <f aca="false">Inputs!$E$219*-G30</f>
        <v>82393.6241465754</v>
      </c>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row>
    <row r="76" customFormat="false" ht="15" hidden="false" customHeight="false" outlineLevel="0" collapsed="false">
      <c r="C76" s="0" t="s">
        <v>1048</v>
      </c>
      <c r="D76" s="0" t="s">
        <v>125</v>
      </c>
      <c r="E76" s="146"/>
      <c r="F76" s="146"/>
      <c r="G76" s="146"/>
      <c r="H76" s="146" t="n">
        <f aca="false">G84</f>
        <v>0</v>
      </c>
      <c r="I76" s="146" t="n">
        <f aca="false">H84</f>
        <v>0</v>
      </c>
      <c r="J76" s="146" t="n">
        <f aca="false">I84</f>
        <v>0</v>
      </c>
      <c r="K76" s="146" t="n">
        <f aca="false">J84</f>
        <v>0</v>
      </c>
      <c r="L76" s="146" t="n">
        <f aca="false">K84</f>
        <v>21286.90070417</v>
      </c>
      <c r="M76" s="146" t="n">
        <f aca="false">L84</f>
        <v>64577.9781144984</v>
      </c>
      <c r="N76" s="146" t="n">
        <f aca="false">M84</f>
        <v>86869.1795643214</v>
      </c>
      <c r="O76" s="146" t="n">
        <f aca="false">N84</f>
        <v>82843.4630605726</v>
      </c>
      <c r="P76" s="146" t="n">
        <f aca="false">O84</f>
        <v>78616.4607316362</v>
      </c>
      <c r="Q76" s="146" t="n">
        <f aca="false">P84</f>
        <v>74178.1082862531</v>
      </c>
      <c r="R76" s="146" t="n">
        <f aca="false">Q84</f>
        <v>69517.8382186008</v>
      </c>
      <c r="S76" s="146" t="n">
        <f aca="false">R84</f>
        <v>64624.5546475659</v>
      </c>
      <c r="T76" s="146" t="n">
        <f aca="false">S84</f>
        <v>59486.6068979792</v>
      </c>
      <c r="U76" s="146" t="n">
        <f aca="false">T84</f>
        <v>54091.7617609132</v>
      </c>
      <c r="V76" s="146" t="n">
        <f aca="false">U84</f>
        <v>48427.1743669939</v>
      </c>
      <c r="W76" s="146" t="n">
        <f aca="false">V84</f>
        <v>42479.3576033787</v>
      </c>
      <c r="X76" s="146" t="n">
        <f aca="false">W84</f>
        <v>36234.1500015827</v>
      </c>
      <c r="Y76" s="146" t="n">
        <f aca="false">X84</f>
        <v>29676.6820196969</v>
      </c>
      <c r="Z76" s="146" t="n">
        <f aca="false">Y84</f>
        <v>22791.3406387167</v>
      </c>
      <c r="AA76" s="146" t="n">
        <f aca="false">Z84</f>
        <v>15561.7321886876</v>
      </c>
      <c r="AB76" s="146" t="n">
        <f aca="false">AA84</f>
        <v>7970.64331615706</v>
      </c>
      <c r="AC76" s="146" t="n">
        <f aca="false">AB84</f>
        <v>0</v>
      </c>
      <c r="AD76" s="146" t="n">
        <f aca="false">AC84</f>
        <v>0</v>
      </c>
      <c r="AE76" s="146" t="n">
        <f aca="false">AD84</f>
        <v>0</v>
      </c>
      <c r="AF76" s="146" t="n">
        <f aca="false">AE84</f>
        <v>0</v>
      </c>
      <c r="AG76" s="146" t="n">
        <f aca="false">AF84</f>
        <v>0</v>
      </c>
      <c r="AH76" s="146" t="n">
        <f aca="false">AG84</f>
        <v>0</v>
      </c>
      <c r="AI76" s="146" t="n">
        <f aca="false">AH84</f>
        <v>0</v>
      </c>
      <c r="AJ76" s="146" t="n">
        <f aca="false">AI84</f>
        <v>0</v>
      </c>
      <c r="AK76" s="146" t="n">
        <f aca="false">AJ84</f>
        <v>0</v>
      </c>
      <c r="AL76" s="146" t="n">
        <f aca="false">AK84</f>
        <v>0</v>
      </c>
      <c r="AM76" s="146" t="n">
        <f aca="false">AL84</f>
        <v>0</v>
      </c>
      <c r="AN76" s="146" t="n">
        <f aca="false">AM84</f>
        <v>0</v>
      </c>
      <c r="AO76" s="146" t="n">
        <f aca="false">AN84</f>
        <v>0</v>
      </c>
      <c r="AP76" s="146" t="n">
        <f aca="false">AO84</f>
        <v>0</v>
      </c>
      <c r="AQ76" s="146" t="n">
        <f aca="false">AP84</f>
        <v>0</v>
      </c>
    </row>
    <row r="77" customFormat="false" ht="15" hidden="false" customHeight="false" outlineLevel="0" collapsed="false">
      <c r="C77" s="0" t="s">
        <v>1256</v>
      </c>
      <c r="D77" s="0" t="s">
        <v>125</v>
      </c>
      <c r="E77" s="146"/>
      <c r="F77" s="146"/>
      <c r="G77" s="146" t="n">
        <f aca="false">SUM(H77:AQ77)</f>
        <v>82393.6241465754</v>
      </c>
      <c r="H77" s="146" t="n">
        <f aca="false">$E$75*H7+H369</f>
        <v>0</v>
      </c>
      <c r="I77" s="146" t="n">
        <f aca="false">$E$75*I7+I369</f>
        <v>0</v>
      </c>
      <c r="J77" s="146" t="n">
        <f aca="false">$E$75*J7+J369</f>
        <v>0</v>
      </c>
      <c r="K77" s="146" t="n">
        <f aca="false">$E$75*K7+K369</f>
        <v>20767.7080040683</v>
      </c>
      <c r="L77" s="146" t="n">
        <f aca="false">$E$75*L7+L369</f>
        <v>41196.8120732877</v>
      </c>
      <c r="M77" s="146" t="n">
        <f aca="false">$E$75*M7+M369</f>
        <v>20429.1040692194</v>
      </c>
      <c r="N77" s="146" t="n">
        <f aca="false">$E$75*N7+N369</f>
        <v>0</v>
      </c>
      <c r="O77" s="146" t="n">
        <f aca="false">$E$75*O7+O369</f>
        <v>0</v>
      </c>
      <c r="P77" s="146" t="n">
        <f aca="false">$E$75*P7+P369</f>
        <v>0</v>
      </c>
      <c r="Q77" s="146" t="n">
        <f aca="false">$E$75*Q7+Q369</f>
        <v>0</v>
      </c>
      <c r="R77" s="146" t="n">
        <f aca="false">$E$75*R7+R369</f>
        <v>0</v>
      </c>
      <c r="S77" s="146" t="n">
        <f aca="false">$E$75*S7+S369</f>
        <v>0</v>
      </c>
      <c r="T77" s="146" t="n">
        <f aca="false">$E$75*T7+T369</f>
        <v>0</v>
      </c>
      <c r="U77" s="146" t="n">
        <f aca="false">$E$75*U7+U369</f>
        <v>0</v>
      </c>
      <c r="V77" s="146" t="n">
        <f aca="false">$E$75*V7+V369</f>
        <v>0</v>
      </c>
      <c r="W77" s="146" t="n">
        <f aca="false">$E$75*W7+W369</f>
        <v>0</v>
      </c>
      <c r="X77" s="146" t="n">
        <f aca="false">$E$75*X7+X369</f>
        <v>0</v>
      </c>
      <c r="Y77" s="146" t="n">
        <f aca="false">$E$75*Y7+Y369</f>
        <v>0</v>
      </c>
      <c r="Z77" s="146" t="n">
        <f aca="false">$E$75*Z7+Z369</f>
        <v>0</v>
      </c>
      <c r="AA77" s="146" t="n">
        <f aca="false">$E$75*AA7+AA369</f>
        <v>0</v>
      </c>
      <c r="AB77" s="146" t="n">
        <f aca="false">$E$75*AB7+AB369</f>
        <v>0</v>
      </c>
      <c r="AC77" s="146" t="n">
        <f aca="false">$E$75*AC7+AC369</f>
        <v>0</v>
      </c>
      <c r="AD77" s="146" t="n">
        <f aca="false">$E$75*AD7+AD369</f>
        <v>0</v>
      </c>
      <c r="AE77" s="146" t="n">
        <f aca="false">$E$75*AE7+AE369</f>
        <v>0</v>
      </c>
      <c r="AF77" s="146" t="n">
        <f aca="false">$E$75*AF7+AF369</f>
        <v>0</v>
      </c>
      <c r="AG77" s="146" t="n">
        <f aca="false">$E$75*AG7+AG369</f>
        <v>0</v>
      </c>
      <c r="AH77" s="146" t="n">
        <f aca="false">$E$75*AH7+AH369</f>
        <v>0</v>
      </c>
      <c r="AI77" s="146" t="n">
        <f aca="false">$E$75*AI7+AI369</f>
        <v>0</v>
      </c>
      <c r="AJ77" s="146" t="n">
        <f aca="false">$E$75*AJ7+AJ369</f>
        <v>0</v>
      </c>
      <c r="AK77" s="146" t="n">
        <f aca="false">$E$75*AK7+AK369</f>
        <v>0</v>
      </c>
      <c r="AL77" s="146" t="n">
        <f aca="false">$E$75*AL7+AL369</f>
        <v>0</v>
      </c>
      <c r="AM77" s="146" t="n">
        <f aca="false">$E$75*AM7+AM369</f>
        <v>0</v>
      </c>
      <c r="AN77" s="146" t="n">
        <f aca="false">$E$75*AN7+AN369</f>
        <v>0</v>
      </c>
      <c r="AO77" s="146" t="n">
        <f aca="false">$E$75*AO7+AO369</f>
        <v>0</v>
      </c>
      <c r="AP77" s="146" t="n">
        <f aca="false">$E$75*AP7+AP369</f>
        <v>0</v>
      </c>
      <c r="AQ77" s="146" t="n">
        <f aca="false">$E$75*AQ7+AQ369</f>
        <v>0</v>
      </c>
    </row>
    <row r="78" customFormat="false" ht="15" hidden="false" customHeight="false" outlineLevel="0" collapsed="false">
      <c r="C78" s="0" t="s">
        <v>1257</v>
      </c>
      <c r="D78" s="0" t="s">
        <v>125</v>
      </c>
      <c r="E78" s="146"/>
      <c r="F78" s="146"/>
      <c r="G78" s="146" t="n">
        <f aca="false">SUM(H78:AQ78)</f>
        <v>4475.55541774605</v>
      </c>
      <c r="H78" s="146" t="n">
        <f aca="false">IF(H7&gt;0,(H76+H77/2)*$E$74*IF(H10&gt;0,H14/(H14+H10),1),0)</f>
        <v>0</v>
      </c>
      <c r="I78" s="146" t="n">
        <f aca="false">IF(I7&gt;0,(I76+I77/2)*$E$74*IF(I10&gt;0,I14/(I14+I10),1),0)</f>
        <v>0</v>
      </c>
      <c r="J78" s="146" t="n">
        <f aca="false">IF(J7&gt;0,(J76+J77/2)*$E$74*IF(J10&gt;0,J14/(J14+J10),1),0)</f>
        <v>0</v>
      </c>
      <c r="K78" s="146" t="n">
        <f aca="false">IF(K7&gt;0,(K76+K77/2)*$E$74*IF(K10&gt;0,K14/(K14+K10),1),0)</f>
        <v>519.192700101708</v>
      </c>
      <c r="L78" s="146" t="n">
        <f aca="false">IF(L7&gt;0,(L76+L77/2)*$E$74*IF(L10&gt;0,L14/(L14+L10),1),0)</f>
        <v>2094.26533704069</v>
      </c>
      <c r="M78" s="146" t="n">
        <f aca="false">IF(M7&gt;0,(M76+M77/2)*$E$74*IF(M10&gt;0,M14/(M14+M10),1),0)</f>
        <v>1862.09738060365</v>
      </c>
      <c r="N78" s="146" t="n">
        <f aca="false">IF(N7&gt;0,(N76+N77/2)*$E$74*IF(N10&gt;0,N14/(N14+N10),1),0)</f>
        <v>0</v>
      </c>
      <c r="O78" s="146" t="n">
        <f aca="false">IF(O7&gt;0,(O76+O77/2)*$E$74*IF(O10&gt;0,O14/(O14+O10),1),0)</f>
        <v>0</v>
      </c>
      <c r="P78" s="146" t="n">
        <f aca="false">IF(P7&gt;0,(P76+P77/2)*$E$74*IF(P10&gt;0,P14/(P14+P10),1),0)</f>
        <v>0</v>
      </c>
      <c r="Q78" s="146" t="n">
        <f aca="false">IF(Q7&gt;0,(Q76+Q77/2)*$E$74*IF(Q10&gt;0,Q14/(Q14+Q10),1),0)</f>
        <v>0</v>
      </c>
      <c r="R78" s="146" t="n">
        <f aca="false">IF(R7&gt;0,(R76+R77/2)*$E$74*IF(R10&gt;0,R14/(R14+R10),1),0)</f>
        <v>0</v>
      </c>
      <c r="S78" s="146" t="n">
        <f aca="false">IF(S7&gt;0,(S76+S77/2)*$E$74*IF(S10&gt;0,S14/(S14+S10),1),0)</f>
        <v>0</v>
      </c>
      <c r="T78" s="146" t="n">
        <f aca="false">IF(T7&gt;0,(T76+T77/2)*$E$74*IF(T10&gt;0,T14/(T14+T10),1),0)</f>
        <v>0</v>
      </c>
      <c r="U78" s="146" t="n">
        <f aca="false">IF(U7&gt;0,(U76+U77/2)*$E$74*IF(U10&gt;0,U14/(U14+U10),1),0)</f>
        <v>0</v>
      </c>
      <c r="V78" s="146" t="n">
        <f aca="false">IF(V7&gt;0,(V76+V77/2)*$E$74*IF(V10&gt;0,V14/(V14+V10),1),0)</f>
        <v>0</v>
      </c>
      <c r="W78" s="146" t="n">
        <f aca="false">IF(W7&gt;0,(W76+W77/2)*$E$74*IF(W10&gt;0,W14/(W14+W10),1),0)</f>
        <v>0</v>
      </c>
      <c r="X78" s="146" t="n">
        <f aca="false">IF(X7&gt;0,(X76+X77/2)*$E$74*IF(X10&gt;0,X14/(X14+X10),1),0)</f>
        <v>0</v>
      </c>
      <c r="Y78" s="146" t="n">
        <f aca="false">IF(Y7&gt;0,(Y76+Y77/2)*$E$74*IF(Y10&gt;0,Y14/(Y14+Y10),1),0)</f>
        <v>0</v>
      </c>
      <c r="Z78" s="146" t="n">
        <f aca="false">IF(Z7&gt;0,(Z76+Z77/2)*$E$74*IF(Z10&gt;0,Z14/(Z14+Z10),1),0)</f>
        <v>0</v>
      </c>
      <c r="AA78" s="146" t="n">
        <f aca="false">IF(AA7&gt;0,(AA76+AA77/2)*$E$74*IF(AA10&gt;0,AA14/(AA14+AA10),1),0)</f>
        <v>0</v>
      </c>
      <c r="AB78" s="146" t="n">
        <f aca="false">IF(AB7&gt;0,(AB76+AB77/2)*$E$74*IF(AB10&gt;0,AB14/(AB14+AB10),1),0)</f>
        <v>0</v>
      </c>
      <c r="AC78" s="146" t="n">
        <f aca="false">IF(AC7&gt;0,(AC76+AC77/2)*$E$74*IF(AC10&gt;0,AC14/(AC14+AC10),1),0)</f>
        <v>0</v>
      </c>
      <c r="AD78" s="146" t="n">
        <f aca="false">IF(AD7&gt;0,(AD76+AD77/2)*$E$74*IF(AD10&gt;0,AD14/(AD14+AD10),1),0)</f>
        <v>0</v>
      </c>
      <c r="AE78" s="146" t="n">
        <f aca="false">IF(AE7&gt;0,(AE76+AE77/2)*$E$74*IF(AE10&gt;0,AE14/(AE14+AE10),1),0)</f>
        <v>0</v>
      </c>
      <c r="AF78" s="146" t="n">
        <f aca="false">IF(AF7&gt;0,(AF76+AF77/2)*$E$74*IF(AF10&gt;0,AF14/(AF14+AF10),1),0)</f>
        <v>0</v>
      </c>
      <c r="AG78" s="146" t="n">
        <f aca="false">IF(AG7&gt;0,(AG76+AG77/2)*$E$74*IF(AG10&gt;0,AG14/(AG14+AG10),1),0)</f>
        <v>0</v>
      </c>
      <c r="AH78" s="146" t="n">
        <f aca="false">IF(AH7&gt;0,(AH76+AH77/2)*$E$74*IF(AH10&gt;0,AH14/(AH14+AH10),1),0)</f>
        <v>0</v>
      </c>
      <c r="AI78" s="146" t="n">
        <f aca="false">IF(AI7&gt;0,(AI76+AI77/2)*$E$74*IF(AI10&gt;0,AI14/(AI14+AI10),1),0)</f>
        <v>0</v>
      </c>
      <c r="AJ78" s="146" t="n">
        <f aca="false">IF(AJ7&gt;0,(AJ76+AJ77/2)*$E$74*IF(AJ10&gt;0,AJ14/(AJ14+AJ10),1),0)</f>
        <v>0</v>
      </c>
      <c r="AK78" s="146" t="n">
        <f aca="false">IF(AK7&gt;0,(AK76+AK77/2)*$E$74*IF(AK10&gt;0,AK14/(AK14+AK10),1),0)</f>
        <v>0</v>
      </c>
      <c r="AL78" s="146" t="n">
        <f aca="false">IF(AL7&gt;0,(AL76+AL77/2)*$E$74*IF(AL10&gt;0,AL14/(AL14+AL10),1),0)</f>
        <v>0</v>
      </c>
      <c r="AM78" s="146" t="n">
        <f aca="false">IF(AM7&gt;0,(AM76+AM77/2)*$E$74*IF(AM10&gt;0,AM14/(AM14+AM10),1),0)</f>
        <v>0</v>
      </c>
      <c r="AN78" s="146" t="n">
        <f aca="false">IF(AN7&gt;0,(AN76+AN77/2)*$E$74*IF(AN10&gt;0,AN14/(AN14+AN10),1),0)</f>
        <v>0</v>
      </c>
      <c r="AO78" s="146" t="n">
        <f aca="false">IF(AO7&gt;0,(AO76+AO77/2)*$E$74*IF(AO10&gt;0,AO14/(AO14+AO10),1),0)</f>
        <v>0</v>
      </c>
      <c r="AP78" s="146" t="n">
        <f aca="false">IF(AP7&gt;0,(AP76+AP77/2)*$E$74*IF(AP10&gt;0,AP14/(AP14+AP10),1),0)</f>
        <v>0</v>
      </c>
      <c r="AQ78" s="146" t="n">
        <f aca="false">IF(AQ7&gt;0,(AQ76+AQ77/2)*$E$74*IF(AQ10&gt;0,AQ14/(AQ14+AQ10),1),0)</f>
        <v>0</v>
      </c>
    </row>
    <row r="79" customFormat="false" ht="15" hidden="false" customHeight="false" outlineLevel="0" collapsed="false">
      <c r="C79" s="0" t="s">
        <v>1258</v>
      </c>
      <c r="D79" s="0" t="s">
        <v>125</v>
      </c>
      <c r="E79" s="153" t="n">
        <f aca="false">Inputs!$E$223</f>
        <v>1</v>
      </c>
      <c r="F79" s="146"/>
      <c r="G79" s="146" t="n">
        <f aca="false">SUM(H79:AQ79)</f>
        <v>4475.55541774605</v>
      </c>
      <c r="H79" s="146" t="n">
        <f aca="false">H78*$E$79</f>
        <v>0</v>
      </c>
      <c r="I79" s="146" t="n">
        <f aca="false">I78*$E$79</f>
        <v>0</v>
      </c>
      <c r="J79" s="146" t="n">
        <f aca="false">J78*$E$79</f>
        <v>0</v>
      </c>
      <c r="K79" s="146" t="n">
        <f aca="false">K78*$E$79</f>
        <v>519.192700101708</v>
      </c>
      <c r="L79" s="146" t="n">
        <f aca="false">L78*$E$79</f>
        <v>2094.26533704069</v>
      </c>
      <c r="M79" s="146" t="n">
        <f aca="false">M78*$E$79</f>
        <v>1862.09738060365</v>
      </c>
      <c r="N79" s="146" t="n">
        <f aca="false">N78*$E$79</f>
        <v>0</v>
      </c>
      <c r="O79" s="146" t="n">
        <f aca="false">O78*$E$79</f>
        <v>0</v>
      </c>
      <c r="P79" s="146" t="n">
        <f aca="false">P78*$E$79</f>
        <v>0</v>
      </c>
      <c r="Q79" s="146" t="n">
        <f aca="false">Q78*$E$79</f>
        <v>0</v>
      </c>
      <c r="R79" s="146" t="n">
        <f aca="false">R78*$E$79</f>
        <v>0</v>
      </c>
      <c r="S79" s="146" t="n">
        <f aca="false">S78*$E$79</f>
        <v>0</v>
      </c>
      <c r="T79" s="146" t="n">
        <f aca="false">T78*$E$79</f>
        <v>0</v>
      </c>
      <c r="U79" s="146" t="n">
        <f aca="false">U78*$E$79</f>
        <v>0</v>
      </c>
      <c r="V79" s="146" t="n">
        <f aca="false">V78*$E$79</f>
        <v>0</v>
      </c>
      <c r="W79" s="146" t="n">
        <f aca="false">W78*$E$79</f>
        <v>0</v>
      </c>
      <c r="X79" s="146" t="n">
        <f aca="false">X78*$E$79</f>
        <v>0</v>
      </c>
      <c r="Y79" s="146" t="n">
        <f aca="false">Y78*$E$79</f>
        <v>0</v>
      </c>
      <c r="Z79" s="146" t="n">
        <f aca="false">Z78*$E$79</f>
        <v>0</v>
      </c>
      <c r="AA79" s="146" t="n">
        <f aca="false">AA78*$E$79</f>
        <v>0</v>
      </c>
      <c r="AB79" s="146" t="n">
        <f aca="false">AB78*$E$79</f>
        <v>0</v>
      </c>
      <c r="AC79" s="146" t="n">
        <f aca="false">AC78*$E$79</f>
        <v>0</v>
      </c>
      <c r="AD79" s="146" t="n">
        <f aca="false">AD78*$E$79</f>
        <v>0</v>
      </c>
      <c r="AE79" s="146" t="n">
        <f aca="false">AE78*$E$79</f>
        <v>0</v>
      </c>
      <c r="AF79" s="146" t="n">
        <f aca="false">AF78*$E$79</f>
        <v>0</v>
      </c>
      <c r="AG79" s="146" t="n">
        <f aca="false">AG78*$E$79</f>
        <v>0</v>
      </c>
      <c r="AH79" s="146" t="n">
        <f aca="false">AH78*$E$79</f>
        <v>0</v>
      </c>
      <c r="AI79" s="146" t="n">
        <f aca="false">AI78*$E$79</f>
        <v>0</v>
      </c>
      <c r="AJ79" s="146" t="n">
        <f aca="false">AJ78*$E$79</f>
        <v>0</v>
      </c>
      <c r="AK79" s="146" t="n">
        <f aca="false">AK78*$E$79</f>
        <v>0</v>
      </c>
      <c r="AL79" s="146" t="n">
        <f aca="false">AL78*$E$79</f>
        <v>0</v>
      </c>
      <c r="AM79" s="146" t="n">
        <f aca="false">AM78*$E$79</f>
        <v>0</v>
      </c>
      <c r="AN79" s="146" t="n">
        <f aca="false">AN78*$E$79</f>
        <v>0</v>
      </c>
      <c r="AO79" s="146" t="n">
        <f aca="false">AO78*$E$79</f>
        <v>0</v>
      </c>
      <c r="AP79" s="146" t="n">
        <f aca="false">AP78*$E$79</f>
        <v>0</v>
      </c>
      <c r="AQ79" s="146" t="n">
        <f aca="false">AQ78*$E$79</f>
        <v>0</v>
      </c>
    </row>
    <row r="80" customFormat="false" ht="15" hidden="false" customHeight="false" outlineLevel="0" collapsed="false">
      <c r="C80" s="0" t="s">
        <v>1259</v>
      </c>
      <c r="D80" s="0" t="s">
        <v>125</v>
      </c>
      <c r="E80" s="146"/>
      <c r="F80" s="146"/>
      <c r="G80" s="146" t="n">
        <f aca="false">SUM(H80:AQ80)</f>
        <v>0</v>
      </c>
      <c r="H80" s="146" t="n">
        <f aca="false">H78*(1-$E$79)</f>
        <v>0</v>
      </c>
      <c r="I80" s="146" t="n">
        <f aca="false">I78*(1-$E$79)</f>
        <v>0</v>
      </c>
      <c r="J80" s="146" t="n">
        <f aca="false">J78*(1-$E$79)</f>
        <v>0</v>
      </c>
      <c r="K80" s="146" t="n">
        <f aca="false">K78*(1-$E$79)</f>
        <v>0</v>
      </c>
      <c r="L80" s="146" t="n">
        <f aca="false">L78*(1-$E$79)</f>
        <v>0</v>
      </c>
      <c r="M80" s="146" t="n">
        <f aca="false">M78*(1-$E$79)</f>
        <v>0</v>
      </c>
      <c r="N80" s="146" t="n">
        <f aca="false">N78*(1-$E$79)</f>
        <v>0</v>
      </c>
      <c r="O80" s="146" t="n">
        <f aca="false">O78*(1-$E$79)</f>
        <v>0</v>
      </c>
      <c r="P80" s="146" t="n">
        <f aca="false">P78*(1-$E$79)</f>
        <v>0</v>
      </c>
      <c r="Q80" s="146" t="n">
        <f aca="false">Q78*(1-$E$79)</f>
        <v>0</v>
      </c>
      <c r="R80" s="146" t="n">
        <f aca="false">R78*(1-$E$79)</f>
        <v>0</v>
      </c>
      <c r="S80" s="146" t="n">
        <f aca="false">S78*(1-$E$79)</f>
        <v>0</v>
      </c>
      <c r="T80" s="146" t="n">
        <f aca="false">T78*(1-$E$79)</f>
        <v>0</v>
      </c>
      <c r="U80" s="146" t="n">
        <f aca="false">U78*(1-$E$79)</f>
        <v>0</v>
      </c>
      <c r="V80" s="146" t="n">
        <f aca="false">V78*(1-$E$79)</f>
        <v>0</v>
      </c>
      <c r="W80" s="146" t="n">
        <f aca="false">W78*(1-$E$79)</f>
        <v>0</v>
      </c>
      <c r="X80" s="146" t="n">
        <f aca="false">X78*(1-$E$79)</f>
        <v>0</v>
      </c>
      <c r="Y80" s="146" t="n">
        <f aca="false">Y78*(1-$E$79)</f>
        <v>0</v>
      </c>
      <c r="Z80" s="146" t="n">
        <f aca="false">Z78*(1-$E$79)</f>
        <v>0</v>
      </c>
      <c r="AA80" s="146" t="n">
        <f aca="false">AA78*(1-$E$79)</f>
        <v>0</v>
      </c>
      <c r="AB80" s="146" t="n">
        <f aca="false">AB78*(1-$E$79)</f>
        <v>0</v>
      </c>
      <c r="AC80" s="146" t="n">
        <f aca="false">AC78*(1-$E$79)</f>
        <v>0</v>
      </c>
      <c r="AD80" s="146" t="n">
        <f aca="false">AD78*(1-$E$79)</f>
        <v>0</v>
      </c>
      <c r="AE80" s="146" t="n">
        <f aca="false">AE78*(1-$E$79)</f>
        <v>0</v>
      </c>
      <c r="AF80" s="146" t="n">
        <f aca="false">AF78*(1-$E$79)</f>
        <v>0</v>
      </c>
      <c r="AG80" s="146" t="n">
        <f aca="false">AG78*(1-$E$79)</f>
        <v>0</v>
      </c>
      <c r="AH80" s="146" t="n">
        <f aca="false">AH78*(1-$E$79)</f>
        <v>0</v>
      </c>
      <c r="AI80" s="146" t="n">
        <f aca="false">AI78*(1-$E$79)</f>
        <v>0</v>
      </c>
      <c r="AJ80" s="146" t="n">
        <f aca="false">AJ78*(1-$E$79)</f>
        <v>0</v>
      </c>
      <c r="AK80" s="146" t="n">
        <f aca="false">AK78*(1-$E$79)</f>
        <v>0</v>
      </c>
      <c r="AL80" s="146" t="n">
        <f aca="false">AL78*(1-$E$79)</f>
        <v>0</v>
      </c>
      <c r="AM80" s="146" t="n">
        <f aca="false">AM78*(1-$E$79)</f>
        <v>0</v>
      </c>
      <c r="AN80" s="146" t="n">
        <f aca="false">AN78*(1-$E$79)</f>
        <v>0</v>
      </c>
      <c r="AO80" s="146" t="n">
        <f aca="false">AO78*(1-$E$79)</f>
        <v>0</v>
      </c>
      <c r="AP80" s="146" t="n">
        <f aca="false">AP78*(1-$E$79)</f>
        <v>0</v>
      </c>
      <c r="AQ80" s="146" t="n">
        <f aca="false">AQ78*(1-$E$79)</f>
        <v>0</v>
      </c>
    </row>
    <row r="81" customFormat="false" ht="15" hidden="false" customHeight="false" outlineLevel="0" collapsed="false">
      <c r="C81" s="0" t="s">
        <v>1260</v>
      </c>
      <c r="D81" s="0" t="s">
        <v>125</v>
      </c>
      <c r="E81" s="146"/>
      <c r="F81" s="146"/>
      <c r="G81" s="146" t="n">
        <f aca="false">SUM(H81:AQ81)</f>
        <v>40840.1821542608</v>
      </c>
      <c r="H81" s="146" t="n">
        <f aca="false">IF(H10&gt;0,IF(H9=0,(H76+H77+H79)*H363*H10,H76*H363),0)</f>
        <v>0</v>
      </c>
      <c r="I81" s="146" t="n">
        <f aca="false">IF(I10&gt;0,IF(I9=0,(I76+I77+I79)*I363*I10,I76*I363),0)</f>
        <v>0</v>
      </c>
      <c r="J81" s="146" t="n">
        <f aca="false">IF(J10&gt;0,IF(J9=0,(J76+J77+J79)*J363*J10,J76*J363),0)</f>
        <v>0</v>
      </c>
      <c r="K81" s="146" t="n">
        <f aca="false">IF(K10&gt;0,IF(K9=0,(K76+K77+K79)*K363*K10,K76*K363),0)</f>
        <v>0</v>
      </c>
      <c r="L81" s="146" t="n">
        <f aca="false">IF(L10&gt;0,IF(L9=0,(L76+L77+L79)*L363*L10,L76*L363),0)</f>
        <v>0</v>
      </c>
      <c r="M81" s="146" t="n">
        <f aca="false">IF(M10&gt;0,IF(M9=0,(M76+M77+M79)*M363*M10,M76*M363),0)</f>
        <v>2171.72948910804</v>
      </c>
      <c r="N81" s="146" t="n">
        <f aca="false">IF(N10&gt;0,IF(N9=0,(N76+N77+N79)*N363*N10,N76*N363),0)</f>
        <v>4343.45897821607</v>
      </c>
      <c r="O81" s="146" t="n">
        <f aca="false">IF(O10&gt;0,IF(O9=0,(O76+O77+O79)*O363*O10,O76*O363),0)</f>
        <v>4142.17315302863</v>
      </c>
      <c r="P81" s="146" t="n">
        <f aca="false">IF(P10&gt;0,IF(P9=0,(P76+P77+P79)*P363*P10,P76*P363),0)</f>
        <v>3930.82303658181</v>
      </c>
      <c r="Q81" s="146" t="n">
        <f aca="false">IF(Q10&gt;0,IF(Q9=0,(Q76+Q77+Q79)*Q363*Q10,Q76*Q363),0)</f>
        <v>3708.90541431265</v>
      </c>
      <c r="R81" s="146" t="n">
        <f aca="false">IF(R10&gt;0,IF(R9=0,(R76+R77+R79)*R363*R10,R76*R363),0)</f>
        <v>3475.89191093004</v>
      </c>
      <c r="S81" s="146" t="n">
        <f aca="false">IF(S10&gt;0,IF(S9=0,(S76+S77+S79)*S363*S10,S76*S363),0)</f>
        <v>3231.22773237829</v>
      </c>
      <c r="T81" s="146" t="n">
        <f aca="false">IF(T10&gt;0,IF(T9=0,(T76+T77+T79)*T363*T10,T76*T363),0)</f>
        <v>2974.33034489896</v>
      </c>
      <c r="U81" s="146" t="n">
        <f aca="false">IF(U10&gt;0,IF(U9=0,(U76+U77+U79)*U363*U10,U76*U363),0)</f>
        <v>2704.58808804566</v>
      </c>
      <c r="V81" s="146" t="n">
        <f aca="false">IF(V10&gt;0,IF(V9=0,(V76+V77+V79)*V363*V10,V76*V363),0)</f>
        <v>2421.3587183497</v>
      </c>
      <c r="W81" s="146" t="n">
        <f aca="false">IF(W10&gt;0,IF(W9=0,(W76+W77+W79)*W363*W10,W76*W363),0)</f>
        <v>2123.96788016893</v>
      </c>
      <c r="X81" s="146" t="n">
        <f aca="false">IF(X10&gt;0,IF(X9=0,(X76+X77+X79)*X363*X10,X76*X363),0)</f>
        <v>1811.70750007913</v>
      </c>
      <c r="Y81" s="146" t="n">
        <f aca="false">IF(Y10&gt;0,IF(Y9=0,(Y76+Y77+Y79)*Y363*Y10,Y76*Y363),0)</f>
        <v>1483.83410098484</v>
      </c>
      <c r="Z81" s="146" t="n">
        <f aca="false">IF(Z10&gt;0,IF(Z9=0,(Z76+Z77+Z79)*Z363*Z10,Z76*Z363),0)</f>
        <v>1139.56703193584</v>
      </c>
      <c r="AA81" s="146" t="n">
        <f aca="false">IF(AA10&gt;0,IF(AA9=0,(AA76+AA77+AA79)*AA363*AA10,AA76*AA363),0)</f>
        <v>778.086609434382</v>
      </c>
      <c r="AB81" s="146" t="n">
        <f aca="false">IF(AB10&gt;0,IF(AB9=0,(AB76+AB77+AB79)*AB363*AB10,AB76*AB363),0)</f>
        <v>398.532165807853</v>
      </c>
      <c r="AC81" s="146" t="n">
        <f aca="false">IF(AC10&gt;0,IF(AC9=0,(AC76+AC77+AC79)*AC363*AC10,AC76*AC363),0)</f>
        <v>0</v>
      </c>
      <c r="AD81" s="146" t="n">
        <f aca="false">IF(AD10&gt;0,IF(AD9=0,(AD76+AD77+AD79)*AD363*AD10,AD76*AD363),0)</f>
        <v>0</v>
      </c>
      <c r="AE81" s="146" t="n">
        <f aca="false">IF(AE10&gt;0,IF(AE9=0,(AE76+AE77+AE79)*AE363*AE10,AE76*AE363),0)</f>
        <v>0</v>
      </c>
      <c r="AF81" s="146" t="n">
        <f aca="false">IF(AF10&gt;0,IF(AF9=0,(AF76+AF77+AF79)*AF363*AF10,AF76*AF363),0)</f>
        <v>0</v>
      </c>
      <c r="AG81" s="146" t="n">
        <f aca="false">IF(AG10&gt;0,IF(AG9=0,(AG76+AG77+AG79)*AG363*AG10,AG76*AG363),0)</f>
        <v>0</v>
      </c>
      <c r="AH81" s="146" t="n">
        <f aca="false">IF(AH10&gt;0,IF(AH9=0,(AH76+AH77+AH79)*AH363*AH10,AH76*AH363),0)</f>
        <v>0</v>
      </c>
      <c r="AI81" s="146" t="n">
        <f aca="false">IF(AI10&gt;0,IF(AI9=0,(AI76+AI77+AI79)*AI363*AI10,AI76*AI363),0)</f>
        <v>0</v>
      </c>
      <c r="AJ81" s="146" t="n">
        <f aca="false">IF(AJ10&gt;0,IF(AJ9=0,(AJ76+AJ77+AJ79)*AJ363*AJ10,AJ76*AJ363),0)</f>
        <v>0</v>
      </c>
      <c r="AK81" s="146" t="n">
        <f aca="false">IF(AK10&gt;0,IF(AK9=0,(AK76+AK77+AK79)*AK363*AK10,AK76*AK363),0)</f>
        <v>0</v>
      </c>
      <c r="AL81" s="146" t="n">
        <f aca="false">IF(AL10&gt;0,IF(AL9=0,(AL76+AL77+AL79)*AL363*AL10,AL76*AL363),0)</f>
        <v>0</v>
      </c>
      <c r="AM81" s="146" t="n">
        <f aca="false">IF(AM10&gt;0,IF(AM9=0,(AM76+AM77+AM79)*AM363*AM10,AM76*AM363),0)</f>
        <v>0</v>
      </c>
      <c r="AN81" s="146" t="n">
        <f aca="false">IF(AN10&gt;0,IF(AN9=0,(AN76+AN77+AN79)*AN363*AN10,AN76*AN363),0)</f>
        <v>0</v>
      </c>
      <c r="AO81" s="146" t="n">
        <f aca="false">IF(AO10&gt;0,IF(AO9=0,(AO76+AO77+AO79)*AO363*AO10,AO76*AO363),0)</f>
        <v>0</v>
      </c>
      <c r="AP81" s="146" t="n">
        <f aca="false">IF(AP10&gt;0,IF(AP9=0,(AP76+AP77+AP79)*AP363*AP10,AP76*AP363),0)</f>
        <v>0</v>
      </c>
      <c r="AQ81" s="146" t="n">
        <f aca="false">IF(AQ10&gt;0,IF(AQ9=0,(AQ76+AQ77+AQ79)*AQ363*AQ10,AQ76*AQ363),0)</f>
        <v>0</v>
      </c>
    </row>
    <row r="82" customFormat="false" ht="15" hidden="false" customHeight="false" outlineLevel="0" collapsed="false">
      <c r="C82" s="0" t="s">
        <v>1261</v>
      </c>
      <c r="D82" s="0" t="s">
        <v>125</v>
      </c>
      <c r="E82" s="146" t="n">
        <f aca="false">IF(G77+G79=0,0,PMT($E$74,Inputs!$E$222,-(G77+G79-$G$369)))</f>
        <v>8369.17548196495</v>
      </c>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46"/>
      <c r="AL82" s="146"/>
      <c r="AM82" s="146"/>
      <c r="AN82" s="146"/>
      <c r="AO82" s="146"/>
      <c r="AP82" s="146"/>
      <c r="AQ82" s="146"/>
    </row>
    <row r="83" customFormat="false" ht="15" hidden="false" customHeight="false" outlineLevel="0" collapsed="false">
      <c r="C83" s="0" t="s">
        <v>1262</v>
      </c>
      <c r="D83" s="0" t="s">
        <v>125</v>
      </c>
      <c r="E83" s="146"/>
      <c r="F83" s="146"/>
      <c r="G83" s="146" t="n">
        <f aca="false">SUM(H83:AQ83)</f>
        <v>86869.1795643214</v>
      </c>
      <c r="H83" s="146" t="n">
        <f aca="false">H364+H365</f>
        <v>0</v>
      </c>
      <c r="I83" s="146" t="n">
        <f aca="false">I364+I365</f>
        <v>0</v>
      </c>
      <c r="J83" s="146" t="n">
        <f aca="false">J364+J365</f>
        <v>0</v>
      </c>
      <c r="K83" s="146" t="n">
        <f aca="false">K364+K365</f>
        <v>0</v>
      </c>
      <c r="L83" s="146" t="n">
        <f aca="false">L364+L365</f>
        <v>0</v>
      </c>
      <c r="M83" s="146" t="n">
        <f aca="false">M364+M365</f>
        <v>0</v>
      </c>
      <c r="N83" s="146" t="n">
        <f aca="false">N364+N365</f>
        <v>4025.71650374888</v>
      </c>
      <c r="O83" s="146" t="n">
        <f aca="false">O364+O365</f>
        <v>4227.00232893632</v>
      </c>
      <c r="P83" s="146" t="n">
        <f aca="false">P364+P365</f>
        <v>4438.35244538314</v>
      </c>
      <c r="Q83" s="146" t="n">
        <f aca="false">Q364+Q365</f>
        <v>4660.2700676523</v>
      </c>
      <c r="R83" s="146" t="n">
        <f aca="false">R364+R365</f>
        <v>4893.28357103491</v>
      </c>
      <c r="S83" s="146" t="n">
        <f aca="false">S364+S365</f>
        <v>5137.94774958666</v>
      </c>
      <c r="T83" s="146" t="n">
        <f aca="false">T364+T365</f>
        <v>5394.84513706599</v>
      </c>
      <c r="U83" s="146" t="n">
        <f aca="false">U364+U365</f>
        <v>5664.58739391929</v>
      </c>
      <c r="V83" s="146" t="n">
        <f aca="false">V364+V365</f>
        <v>5947.81676361526</v>
      </c>
      <c r="W83" s="146" t="n">
        <f aca="false">W364+W365</f>
        <v>6245.20760179602</v>
      </c>
      <c r="X83" s="146" t="n">
        <f aca="false">X364+X365</f>
        <v>6557.46798188582</v>
      </c>
      <c r="Y83" s="146" t="n">
        <f aca="false">Y364+Y365</f>
        <v>6885.34138098011</v>
      </c>
      <c r="Z83" s="146" t="n">
        <f aca="false">Z364+Z365</f>
        <v>7229.60845002911</v>
      </c>
      <c r="AA83" s="146" t="n">
        <f aca="false">AA364+AA365</f>
        <v>7591.08887253057</v>
      </c>
      <c r="AB83" s="146" t="n">
        <f aca="false">AB364+AB365</f>
        <v>7970.64331615706</v>
      </c>
      <c r="AC83" s="146" t="n">
        <f aca="false">AC364+AC365</f>
        <v>0</v>
      </c>
      <c r="AD83" s="146" t="n">
        <f aca="false">AD364+AD365</f>
        <v>0</v>
      </c>
      <c r="AE83" s="146" t="n">
        <f aca="false">AE364+AE365</f>
        <v>0</v>
      </c>
      <c r="AF83" s="146" t="n">
        <f aca="false">AF364+AF365</f>
        <v>0</v>
      </c>
      <c r="AG83" s="146" t="n">
        <f aca="false">AG364+AG365</f>
        <v>0</v>
      </c>
      <c r="AH83" s="146" t="n">
        <f aca="false">AH364+AH365</f>
        <v>0</v>
      </c>
      <c r="AI83" s="146" t="n">
        <f aca="false">AI364+AI365</f>
        <v>0</v>
      </c>
      <c r="AJ83" s="146" t="n">
        <f aca="false">AJ364+AJ365</f>
        <v>0</v>
      </c>
      <c r="AK83" s="146" t="n">
        <f aca="false">AK364+AK365</f>
        <v>0</v>
      </c>
      <c r="AL83" s="146" t="n">
        <f aca="false">AL364+AL365</f>
        <v>0</v>
      </c>
      <c r="AM83" s="146" t="n">
        <f aca="false">AM364+AM365</f>
        <v>0</v>
      </c>
      <c r="AN83" s="146" t="n">
        <f aca="false">AN364+AN365</f>
        <v>0</v>
      </c>
      <c r="AO83" s="146" t="n">
        <f aca="false">AO364+AO365</f>
        <v>0</v>
      </c>
      <c r="AP83" s="146" t="n">
        <f aca="false">AP364+AP365</f>
        <v>0</v>
      </c>
      <c r="AQ83" s="146" t="n">
        <f aca="false">AQ364+AQ365</f>
        <v>0</v>
      </c>
    </row>
    <row r="84" customFormat="false" ht="15" hidden="false" customHeight="false" outlineLevel="0" collapsed="false">
      <c r="C84" s="205" t="s">
        <v>1050</v>
      </c>
      <c r="D84" s="205" t="s">
        <v>125</v>
      </c>
      <c r="E84" s="277"/>
      <c r="F84" s="277"/>
      <c r="G84" s="277" t="n">
        <v>0</v>
      </c>
      <c r="H84" s="277" t="n">
        <f aca="false">H76+H77+H79-H83-H87</f>
        <v>0</v>
      </c>
      <c r="I84" s="277" t="n">
        <f aca="false">I76+I77+I79-I83-I87</f>
        <v>0</v>
      </c>
      <c r="J84" s="277" t="n">
        <f aca="false">J76+J77+J79-J83-J87</f>
        <v>0</v>
      </c>
      <c r="K84" s="277" t="n">
        <f aca="false">K76+K77+K79-K83-K87</f>
        <v>21286.90070417</v>
      </c>
      <c r="L84" s="277" t="n">
        <f aca="false">L76+L77+L79-L83-L87</f>
        <v>64577.9781144984</v>
      </c>
      <c r="M84" s="277" t="n">
        <f aca="false">M76+M77+M79-M83-M87</f>
        <v>86869.1795643214</v>
      </c>
      <c r="N84" s="277" t="n">
        <f aca="false">N76+N77+N79-N83-N87</f>
        <v>82843.4630605726</v>
      </c>
      <c r="O84" s="277" t="n">
        <f aca="false">O76+O77+O79-O83-O87</f>
        <v>78616.4607316362</v>
      </c>
      <c r="P84" s="277" t="n">
        <f aca="false">P76+P77+P79-P83-P87</f>
        <v>74178.1082862531</v>
      </c>
      <c r="Q84" s="277" t="n">
        <f aca="false">Q76+Q77+Q79-Q83-Q87</f>
        <v>69517.8382186008</v>
      </c>
      <c r="R84" s="277" t="n">
        <f aca="false">R76+R77+R79-R83-R87</f>
        <v>64624.5546475659</v>
      </c>
      <c r="S84" s="277" t="n">
        <f aca="false">S76+S77+S79-S83-S87</f>
        <v>59486.6068979792</v>
      </c>
      <c r="T84" s="277" t="n">
        <f aca="false">T76+T77+T79-T83-T87</f>
        <v>54091.7617609132</v>
      </c>
      <c r="U84" s="277" t="n">
        <f aca="false">U76+U77+U79-U83-U87</f>
        <v>48427.1743669939</v>
      </c>
      <c r="V84" s="277" t="n">
        <f aca="false">V76+V77+V79-V83-V87</f>
        <v>42479.3576033787</v>
      </c>
      <c r="W84" s="277" t="n">
        <f aca="false">W76+W77+W79-W83-W87</f>
        <v>36234.1500015827</v>
      </c>
      <c r="X84" s="277" t="n">
        <f aca="false">X76+X77+X79-X83-X87</f>
        <v>29676.6820196969</v>
      </c>
      <c r="Y84" s="277" t="n">
        <f aca="false">Y76+Y77+Y79-Y83-Y87</f>
        <v>22791.3406387167</v>
      </c>
      <c r="Z84" s="277" t="n">
        <f aca="false">Z76+Z77+Z79-Z83-Z87</f>
        <v>15561.7321886876</v>
      </c>
      <c r="AA84" s="277" t="n">
        <f aca="false">AA76+AA77+AA79-AA83-AA87</f>
        <v>7970.64331615706</v>
      </c>
      <c r="AB84" s="277" t="n">
        <f aca="false">AB76+AB77+AB79-AB83-AB87</f>
        <v>0</v>
      </c>
      <c r="AC84" s="277" t="n">
        <f aca="false">AC76+AC77+AC79-AC83-AC87</f>
        <v>0</v>
      </c>
      <c r="AD84" s="277" t="n">
        <f aca="false">AD76+AD77+AD79-AD83-AD87</f>
        <v>0</v>
      </c>
      <c r="AE84" s="277" t="n">
        <f aca="false">AE76+AE77+AE79-AE83-AE87</f>
        <v>0</v>
      </c>
      <c r="AF84" s="277" t="n">
        <f aca="false">AF76+AF77+AF79-AF83-AF87</f>
        <v>0</v>
      </c>
      <c r="AG84" s="277" t="n">
        <f aca="false">AG76+AG77+AG79-AG83-AG87</f>
        <v>0</v>
      </c>
      <c r="AH84" s="277" t="n">
        <f aca="false">AH76+AH77+AH79-AH83-AH87</f>
        <v>0</v>
      </c>
      <c r="AI84" s="277" t="n">
        <f aca="false">AI76+AI77+AI79-AI83-AI87</f>
        <v>0</v>
      </c>
      <c r="AJ84" s="277" t="n">
        <f aca="false">AJ76+AJ77+AJ79-AJ83-AJ87</f>
        <v>0</v>
      </c>
      <c r="AK84" s="277" t="n">
        <f aca="false">AK76+AK77+AK79-AK83-AK87</f>
        <v>0</v>
      </c>
      <c r="AL84" s="277" t="n">
        <f aca="false">AL76+AL77+AL79-AL83-AL87</f>
        <v>0</v>
      </c>
      <c r="AM84" s="277" t="n">
        <f aca="false">AM76+AM77+AM79-AM83-AM87</f>
        <v>0</v>
      </c>
      <c r="AN84" s="277" t="n">
        <f aca="false">AN76+AN77+AN79-AN83-AN87</f>
        <v>0</v>
      </c>
      <c r="AO84" s="277" t="n">
        <f aca="false">AO76+AO77+AO79-AO83-AO87</f>
        <v>0</v>
      </c>
      <c r="AP84" s="277" t="n">
        <f aca="false">AP76+AP77+AP79-AP83-AP87</f>
        <v>0</v>
      </c>
      <c r="AQ84" s="277" t="n">
        <f aca="false">AQ76+AQ77+AQ79-AQ83-AQ87</f>
        <v>0</v>
      </c>
    </row>
    <row r="85" customFormat="false" ht="15" hidden="false" customHeight="false" outlineLevel="0" collapsed="false">
      <c r="C85" s="0" t="s">
        <v>1263</v>
      </c>
      <c r="D85" s="0" t="s">
        <v>125</v>
      </c>
      <c r="E85" s="141" t="n">
        <f aca="false">Inputs!$E$221</f>
        <v>0.0175</v>
      </c>
      <c r="F85" s="146"/>
      <c r="G85" s="146" t="n">
        <f aca="false">SUM(H85:AQ85)</f>
        <v>-2167.09440656277</v>
      </c>
      <c r="H85" s="146" t="n">
        <f aca="false">-IF(AND(H77&gt;0,H76=0),$E$75*$E$85,0)-MAX(0,$E$75-H76-H77/2)*Inputs!$E$224*H14+H368</f>
        <v>-0</v>
      </c>
      <c r="I85" s="146" t="n">
        <f aca="false">-IF(AND(I77&gt;0,I76=0),$E$75*$E$85,0)-MAX(0,$E$75-I76-I77/2)*Inputs!$E$224*I14+I368</f>
        <v>-0</v>
      </c>
      <c r="J85" s="146" t="n">
        <f aca="false">-IF(AND(J77&gt;0,J76=0),$E$75*$E$85,0)-MAX(0,$E$75-J76-J77/2)*Inputs!$E$224*J14+J368</f>
        <v>-0</v>
      </c>
      <c r="K85" s="146" t="n">
        <f aca="false">-IF(AND(K77&gt;0,K76=0),$E$75*$E$85,0)-MAX(0,$E$75-K76-K77/2)*Inputs!$E$224*K14+K368</f>
        <v>-1768.59576327565</v>
      </c>
      <c r="L85" s="146" t="n">
        <f aca="false">-IF(AND(L77&gt;0,L76=0),$E$75*$E$85,0)-MAX(0,$E$75-L76-L77/2)*Inputs!$E$224*L14+L368</f>
        <v>-364.574856651854</v>
      </c>
      <c r="M85" s="146" t="n">
        <f aca="false">-IF(AND(M77&gt;0,M76=0),$E$75*$E$85,0)-MAX(0,$E$75-M76-M77/2)*Inputs!$E$224*M14+M368</f>
        <v>-33.9237866352718</v>
      </c>
      <c r="N85" s="146" t="n">
        <f aca="false">-IF(AND(N77&gt;0,N76=0),$E$75*$E$85,0)-MAX(0,$E$75-N76-N77/2)*Inputs!$E$224*N14+N368</f>
        <v>-0</v>
      </c>
      <c r="O85" s="146" t="n">
        <f aca="false">-IF(AND(O77&gt;0,O76=0),$E$75*$E$85,0)-MAX(0,$E$75-O76-O77/2)*Inputs!$E$224*O14+O368</f>
        <v>-0</v>
      </c>
      <c r="P85" s="146" t="n">
        <f aca="false">-IF(AND(P77&gt;0,P76=0),$E$75*$E$85,0)-MAX(0,$E$75-P76-P77/2)*Inputs!$E$224*P14+P368</f>
        <v>-0</v>
      </c>
      <c r="Q85" s="146" t="n">
        <f aca="false">-IF(AND(Q77&gt;0,Q76=0),$E$75*$E$85,0)-MAX(0,$E$75-Q76-Q77/2)*Inputs!$E$224*Q14+Q368</f>
        <v>-0</v>
      </c>
      <c r="R85" s="146" t="n">
        <f aca="false">-IF(AND(R77&gt;0,R76=0),$E$75*$E$85,0)-MAX(0,$E$75-R76-R77/2)*Inputs!$E$224*R14+R368</f>
        <v>-0</v>
      </c>
      <c r="S85" s="146" t="n">
        <f aca="false">-IF(AND(S77&gt;0,S76=0),$E$75*$E$85,0)-MAX(0,$E$75-S76-S77/2)*Inputs!$E$224*S14+S368</f>
        <v>-0</v>
      </c>
      <c r="T85" s="146" t="n">
        <f aca="false">-IF(AND(T77&gt;0,T76=0),$E$75*$E$85,0)-MAX(0,$E$75-T76-T77/2)*Inputs!$E$224*T14+T368</f>
        <v>-0</v>
      </c>
      <c r="U85" s="146" t="n">
        <f aca="false">-IF(AND(U77&gt;0,U76=0),$E$75*$E$85,0)-MAX(0,$E$75-U76-U77/2)*Inputs!$E$224*U14+U368</f>
        <v>-0</v>
      </c>
      <c r="V85" s="146" t="n">
        <f aca="false">-IF(AND(V77&gt;0,V76=0),$E$75*$E$85,0)-MAX(0,$E$75-V76-V77/2)*Inputs!$E$224*V14+V368</f>
        <v>-0</v>
      </c>
      <c r="W85" s="146" t="n">
        <f aca="false">-IF(AND(W77&gt;0,W76=0),$E$75*$E$85,0)-MAX(0,$E$75-W76-W77/2)*Inputs!$E$224*W14+W368</f>
        <v>-0</v>
      </c>
      <c r="X85" s="146" t="n">
        <f aca="false">-IF(AND(X77&gt;0,X76=0),$E$75*$E$85,0)-MAX(0,$E$75-X76-X77/2)*Inputs!$E$224*X14+X368</f>
        <v>-0</v>
      </c>
      <c r="Y85" s="146" t="n">
        <f aca="false">-IF(AND(Y77&gt;0,Y76=0),$E$75*$E$85,0)-MAX(0,$E$75-Y76-Y77/2)*Inputs!$E$224*Y14+Y368</f>
        <v>-0</v>
      </c>
      <c r="Z85" s="146" t="n">
        <f aca="false">-IF(AND(Z77&gt;0,Z76=0),$E$75*$E$85,0)-MAX(0,$E$75-Z76-Z77/2)*Inputs!$E$224*Z14+Z368</f>
        <v>-0</v>
      </c>
      <c r="AA85" s="146" t="n">
        <f aca="false">-IF(AND(AA77&gt;0,AA76=0),$E$75*$E$85,0)-MAX(0,$E$75-AA76-AA77/2)*Inputs!$E$224*AA14+AA368</f>
        <v>-0</v>
      </c>
      <c r="AB85" s="146" t="n">
        <f aca="false">-IF(AND(AB77&gt;0,AB76=0),$E$75*$E$85,0)-MAX(0,$E$75-AB76-AB77/2)*Inputs!$E$224*AB14+AB368</f>
        <v>-0</v>
      </c>
      <c r="AC85" s="146" t="n">
        <f aca="false">-IF(AND(AC77&gt;0,AC76=0),$E$75*$E$85,0)-MAX(0,$E$75-AC76-AC77/2)*Inputs!$E$224*AC14+AC368</f>
        <v>-0</v>
      </c>
      <c r="AD85" s="146" t="n">
        <f aca="false">-IF(AND(AD77&gt;0,AD76=0),$E$75*$E$85,0)-MAX(0,$E$75-AD76-AD77/2)*Inputs!$E$224*AD14+AD368</f>
        <v>-0</v>
      </c>
      <c r="AE85" s="146" t="n">
        <f aca="false">-IF(AND(AE77&gt;0,AE76=0),$E$75*$E$85,0)-MAX(0,$E$75-AE76-AE77/2)*Inputs!$E$224*AE14+AE368</f>
        <v>-0</v>
      </c>
      <c r="AF85" s="146" t="n">
        <f aca="false">-IF(AND(AF77&gt;0,AF76=0),$E$75*$E$85,0)-MAX(0,$E$75-AF76-AF77/2)*Inputs!$E$224*AF14+AF368</f>
        <v>-0</v>
      </c>
      <c r="AG85" s="146" t="n">
        <f aca="false">-IF(AND(AG77&gt;0,AG76=0),$E$75*$E$85,0)-MAX(0,$E$75-AG76-AG77/2)*Inputs!$E$224*AG14+AG368</f>
        <v>-0</v>
      </c>
      <c r="AH85" s="146" t="n">
        <f aca="false">-IF(AND(AH77&gt;0,AH76=0),$E$75*$E$85,0)-MAX(0,$E$75-AH76-AH77/2)*Inputs!$E$224*AH14+AH368</f>
        <v>-0</v>
      </c>
      <c r="AI85" s="146" t="n">
        <f aca="false">-IF(AND(AI77&gt;0,AI76=0),$E$75*$E$85,0)-MAX(0,$E$75-AI76-AI77/2)*Inputs!$E$224*AI14+AI368</f>
        <v>-0</v>
      </c>
      <c r="AJ85" s="146" t="n">
        <f aca="false">-IF(AND(AJ77&gt;0,AJ76=0),$E$75*$E$85,0)-MAX(0,$E$75-AJ76-AJ77/2)*Inputs!$E$224*AJ14+AJ368</f>
        <v>-0</v>
      </c>
      <c r="AK85" s="146" t="n">
        <f aca="false">-IF(AND(AK77&gt;0,AK76=0),$E$75*$E$85,0)-MAX(0,$E$75-AK76-AK77/2)*Inputs!$E$224*AK14+AK368</f>
        <v>-0</v>
      </c>
      <c r="AL85" s="146" t="n">
        <f aca="false">-IF(AND(AL77&gt;0,AL76=0),$E$75*$E$85,0)-MAX(0,$E$75-AL76-AL77/2)*Inputs!$E$224*AL14+AL368</f>
        <v>-0</v>
      </c>
      <c r="AM85" s="146" t="n">
        <f aca="false">-IF(AND(AM77&gt;0,AM76=0),$E$75*$E$85,0)-MAX(0,$E$75-AM76-AM77/2)*Inputs!$E$224*AM14+AM368</f>
        <v>-0</v>
      </c>
      <c r="AN85" s="146" t="n">
        <f aca="false">-IF(AND(AN77&gt;0,AN76=0),$E$75*$E$85,0)-MAX(0,$E$75-AN76-AN77/2)*Inputs!$E$224*AN14+AN368</f>
        <v>-0</v>
      </c>
      <c r="AO85" s="146" t="n">
        <f aca="false">-IF(AND(AO77&gt;0,AO76=0),$E$75*$E$85,0)-MAX(0,$E$75-AO76-AO77/2)*Inputs!$E$224*AO14+AO368</f>
        <v>-0</v>
      </c>
      <c r="AP85" s="146" t="n">
        <f aca="false">-IF(AND(AP77&gt;0,AP76=0),$E$75*$E$85,0)-MAX(0,$E$75-AP76-AP77/2)*Inputs!$E$224*AP14+AP368</f>
        <v>-0</v>
      </c>
      <c r="AQ85" s="146" t="n">
        <f aca="false">-IF(AND(AQ77&gt;0,AQ76=0),$E$75*$E$85,0)-MAX(0,$E$75-AQ76-AQ77/2)*Inputs!$E$224*AQ14+AQ368</f>
        <v>-0</v>
      </c>
    </row>
    <row r="86" customFormat="false" ht="15" hidden="false" customHeight="false" outlineLevel="0" collapsed="false">
      <c r="C86" s="205" t="s">
        <v>1264</v>
      </c>
      <c r="D86" s="205" t="s">
        <v>125</v>
      </c>
      <c r="E86" s="277"/>
      <c r="F86" s="277"/>
      <c r="G86" s="277" t="n">
        <f aca="false">SUM(H86:AQ86)</f>
        <v>-127709.361718582</v>
      </c>
      <c r="H86" s="277" t="n">
        <f aca="false">-(H81+H83)</f>
        <v>-0</v>
      </c>
      <c r="I86" s="277" t="n">
        <f aca="false">-(I81+I83)</f>
        <v>-0</v>
      </c>
      <c r="J86" s="277" t="n">
        <f aca="false">-(J81+J83)</f>
        <v>-0</v>
      </c>
      <c r="K86" s="277" t="n">
        <f aca="false">-(K81+K83)</f>
        <v>-0</v>
      </c>
      <c r="L86" s="277" t="n">
        <f aca="false">-(L81+L83)</f>
        <v>-0</v>
      </c>
      <c r="M86" s="277" t="n">
        <f aca="false">-(M81+M83)</f>
        <v>-2171.72948910804</v>
      </c>
      <c r="N86" s="277" t="n">
        <f aca="false">-(N81+N83)</f>
        <v>-8369.17548196495</v>
      </c>
      <c r="O86" s="277" t="n">
        <f aca="false">-(O81+O83)</f>
        <v>-8369.17548196495</v>
      </c>
      <c r="P86" s="277" t="n">
        <f aca="false">-(P81+P83)</f>
        <v>-8369.17548196495</v>
      </c>
      <c r="Q86" s="277" t="n">
        <f aca="false">-(Q81+Q83)</f>
        <v>-8369.17548196495</v>
      </c>
      <c r="R86" s="277" t="n">
        <f aca="false">-(R81+R83)</f>
        <v>-8369.17548196495</v>
      </c>
      <c r="S86" s="277" t="n">
        <f aca="false">-(S81+S83)</f>
        <v>-8369.17548196495</v>
      </c>
      <c r="T86" s="277" t="n">
        <f aca="false">-(T81+T83)</f>
        <v>-8369.17548196495</v>
      </c>
      <c r="U86" s="277" t="n">
        <f aca="false">-(U81+U83)</f>
        <v>-8369.17548196495</v>
      </c>
      <c r="V86" s="277" t="n">
        <f aca="false">-(V81+V83)</f>
        <v>-8369.17548196495</v>
      </c>
      <c r="W86" s="277" t="n">
        <f aca="false">-(W81+W83)</f>
        <v>-8369.17548196495</v>
      </c>
      <c r="X86" s="277" t="n">
        <f aca="false">-(X81+X83)</f>
        <v>-8369.17548196495</v>
      </c>
      <c r="Y86" s="277" t="n">
        <f aca="false">-(Y81+Y83)</f>
        <v>-8369.17548196495</v>
      </c>
      <c r="Z86" s="277" t="n">
        <f aca="false">-(Z81+Z83)</f>
        <v>-8369.17548196495</v>
      </c>
      <c r="AA86" s="277" t="n">
        <f aca="false">-(AA81+AA83)</f>
        <v>-8369.17548196495</v>
      </c>
      <c r="AB86" s="277" t="n">
        <f aca="false">-(AB81+AB83)</f>
        <v>-8369.17548196491</v>
      </c>
      <c r="AC86" s="277" t="n">
        <f aca="false">-(AC81+AC83)</f>
        <v>-0</v>
      </c>
      <c r="AD86" s="277" t="n">
        <f aca="false">-(AD81+AD83)</f>
        <v>-0</v>
      </c>
      <c r="AE86" s="277" t="n">
        <f aca="false">-(AE81+AE83)</f>
        <v>-0</v>
      </c>
      <c r="AF86" s="277" t="n">
        <f aca="false">-(AF81+AF83)</f>
        <v>-0</v>
      </c>
      <c r="AG86" s="277" t="n">
        <f aca="false">-(AG81+AG83)</f>
        <v>-0</v>
      </c>
      <c r="AH86" s="277" t="n">
        <f aca="false">-(AH81+AH83)</f>
        <v>-0</v>
      </c>
      <c r="AI86" s="277" t="n">
        <f aca="false">-(AI81+AI83)</f>
        <v>-0</v>
      </c>
      <c r="AJ86" s="277" t="n">
        <f aca="false">-(AJ81+AJ83)</f>
        <v>-0</v>
      </c>
      <c r="AK86" s="277" t="n">
        <f aca="false">-(AK81+AK83)</f>
        <v>-0</v>
      </c>
      <c r="AL86" s="277" t="n">
        <f aca="false">-(AL81+AL83)</f>
        <v>-0</v>
      </c>
      <c r="AM86" s="277" t="n">
        <f aca="false">-(AM81+AM83)</f>
        <v>-0</v>
      </c>
      <c r="AN86" s="277" t="n">
        <f aca="false">-(AN81+AN83)</f>
        <v>-0</v>
      </c>
      <c r="AO86" s="277" t="n">
        <f aca="false">-(AO81+AO83)</f>
        <v>-0</v>
      </c>
      <c r="AP86" s="277" t="n">
        <f aca="false">-(AP81+AP83)</f>
        <v>-0</v>
      </c>
      <c r="AQ86" s="277" t="n">
        <f aca="false">-(AQ81+AQ83)</f>
        <v>-0</v>
      </c>
    </row>
    <row r="87" customFormat="false" ht="15" hidden="false" customHeight="false" outlineLevel="0" collapsed="false">
      <c r="C87" s="0" t="s">
        <v>1265</v>
      </c>
      <c r="D87" s="0" t="s">
        <v>125</v>
      </c>
      <c r="E87" s="146"/>
      <c r="F87" s="146"/>
      <c r="G87" s="146" t="n">
        <f aca="false">SUM(H87:AQ87)</f>
        <v>0</v>
      </c>
      <c r="H87" s="146" t="n">
        <f aca="false">H366+H367</f>
        <v>0</v>
      </c>
      <c r="I87" s="146" t="n">
        <f aca="false">I366+I367</f>
        <v>0</v>
      </c>
      <c r="J87" s="146" t="n">
        <f aca="false">J366+J367</f>
        <v>0</v>
      </c>
      <c r="K87" s="146" t="n">
        <f aca="false">K366+K367</f>
        <v>0</v>
      </c>
      <c r="L87" s="146" t="n">
        <f aca="false">L366+L367</f>
        <v>0</v>
      </c>
      <c r="M87" s="146" t="n">
        <f aca="false">M366+M367</f>
        <v>0</v>
      </c>
      <c r="N87" s="146" t="n">
        <f aca="false">N366+N367</f>
        <v>0</v>
      </c>
      <c r="O87" s="146" t="n">
        <f aca="false">O366+O367</f>
        <v>0</v>
      </c>
      <c r="P87" s="146" t="n">
        <f aca="false">P366+P367</f>
        <v>0</v>
      </c>
      <c r="Q87" s="146" t="n">
        <f aca="false">Q366+Q367</f>
        <v>0</v>
      </c>
      <c r="R87" s="146" t="n">
        <f aca="false">R366+R367</f>
        <v>0</v>
      </c>
      <c r="S87" s="146" t="n">
        <f aca="false">S366+S367</f>
        <v>0</v>
      </c>
      <c r="T87" s="146" t="n">
        <f aca="false">T366+T367</f>
        <v>0</v>
      </c>
      <c r="U87" s="146" t="n">
        <f aca="false">U366+U367</f>
        <v>0</v>
      </c>
      <c r="V87" s="146" t="n">
        <f aca="false">V366+V367</f>
        <v>0</v>
      </c>
      <c r="W87" s="146" t="n">
        <f aca="false">W366+W367</f>
        <v>0</v>
      </c>
      <c r="X87" s="146" t="n">
        <f aca="false">X366+X367</f>
        <v>0</v>
      </c>
      <c r="Y87" s="146" t="n">
        <f aca="false">Y366+Y367</f>
        <v>0</v>
      </c>
      <c r="Z87" s="146" t="n">
        <f aca="false">Z366+Z367</f>
        <v>0</v>
      </c>
      <c r="AA87" s="146" t="n">
        <f aca="false">AA366+AA367</f>
        <v>0</v>
      </c>
      <c r="AB87" s="146" t="n">
        <f aca="false">AB366+AB367</f>
        <v>0</v>
      </c>
      <c r="AC87" s="146" t="n">
        <f aca="false">AC366+AC367</f>
        <v>0</v>
      </c>
      <c r="AD87" s="146" t="n">
        <f aca="false">AD366+AD367</f>
        <v>0</v>
      </c>
      <c r="AE87" s="146" t="n">
        <f aca="false">AE366+AE367</f>
        <v>0</v>
      </c>
      <c r="AF87" s="146" t="n">
        <f aca="false">AF366+AF367</f>
        <v>0</v>
      </c>
      <c r="AG87" s="146" t="n">
        <f aca="false">AG366+AG367</f>
        <v>0</v>
      </c>
      <c r="AH87" s="146" t="n">
        <f aca="false">AH366+AH367</f>
        <v>0</v>
      </c>
      <c r="AI87" s="146" t="n">
        <f aca="false">AI366+AI367</f>
        <v>0</v>
      </c>
      <c r="AJ87" s="146" t="n">
        <f aca="false">AJ366+AJ367</f>
        <v>0</v>
      </c>
      <c r="AK87" s="146" t="n">
        <f aca="false">AK366+AK367</f>
        <v>0</v>
      </c>
      <c r="AL87" s="146" t="n">
        <f aca="false">AL366+AL367</f>
        <v>0</v>
      </c>
      <c r="AM87" s="146" t="n">
        <f aca="false">AM366+AM367</f>
        <v>0</v>
      </c>
      <c r="AN87" s="146" t="n">
        <f aca="false">AN366+AN367</f>
        <v>0</v>
      </c>
      <c r="AO87" s="146" t="n">
        <f aca="false">AO366+AO367</f>
        <v>0</v>
      </c>
      <c r="AP87" s="146" t="n">
        <f aca="false">AP366+AP367</f>
        <v>0</v>
      </c>
      <c r="AQ87" s="146" t="n">
        <f aca="false">AQ366+AQ367</f>
        <v>0</v>
      </c>
    </row>
    <row r="88" customFormat="false" ht="15" hidden="false" customHeight="false" outlineLevel="0" collapsed="false">
      <c r="C88" s="0" t="s">
        <v>1266</v>
      </c>
      <c r="D88" s="0" t="s">
        <v>125</v>
      </c>
      <c r="E88" s="146"/>
      <c r="F88" s="146"/>
      <c r="G88" s="146"/>
      <c r="H88" s="146" t="n">
        <f aca="false">IF(AND(H$10&gt;0,H$9+1&lt;=Inputs!$E$222),Inputs!$E$270/12*MIN($E$82,(H76+H77+H79-H83)*(1+$E$74)),0)</f>
        <v>0</v>
      </c>
      <c r="I88" s="146" t="n">
        <f aca="false">IF(AND(I$10&gt;0,I$9+1&lt;=Inputs!$E$222),Inputs!$E$270/12*MIN($E$82,(I76+I77+I79-I83)*(1+$E$74)),0)</f>
        <v>0</v>
      </c>
      <c r="J88" s="146" t="n">
        <f aca="false">IF(AND(J$10&gt;0,J$9+1&lt;=Inputs!$E$222),Inputs!$E$270/12*MIN($E$82,(J76+J77+J79-J83)*(1+$E$74)),0)</f>
        <v>0</v>
      </c>
      <c r="K88" s="146" t="n">
        <f aca="false">IF(AND(K$10&gt;0,K$9+1&lt;=Inputs!$E$222),Inputs!$E$270/12*MIN($E$82,(K76+K77+K79-K83)*(1+$E$74)),0)</f>
        <v>0</v>
      </c>
      <c r="L88" s="146" t="n">
        <f aca="false">IF(AND(L$10&gt;0,L$9+1&lt;=Inputs!$E$222),Inputs!$E$270/12*MIN($E$82,(L76+L77+L79-L83)*(1+$E$74)),0)</f>
        <v>0</v>
      </c>
      <c r="M88" s="146" t="n">
        <f aca="false">IF(AND(M$10&gt;0,M$9+1&lt;=Inputs!$E$222),Inputs!$E$270/12*MIN($E$82,(M76+M77+M79-M83)*(1+$E$74)),0)</f>
        <v>0</v>
      </c>
      <c r="N88" s="146" t="n">
        <f aca="false">IF(AND(N$10&gt;0,N$9+1&lt;=Inputs!$E$222),Inputs!$E$270/12*MIN($E$82,(N76+N77+N79-N83)*(1+$E$74)),0)</f>
        <v>0</v>
      </c>
      <c r="O88" s="146" t="n">
        <f aca="false">IF(AND(O$10&gt;0,O$9+1&lt;=Inputs!$E$222),Inputs!$E$270/12*MIN($E$82,(O76+O77+O79-O83)*(1+$E$74)),0)</f>
        <v>0</v>
      </c>
      <c r="P88" s="146" t="n">
        <f aca="false">IF(AND(P$10&gt;0,P$9+1&lt;=Inputs!$E$222),Inputs!$E$270/12*MIN($E$82,(P76+P77+P79-P83)*(1+$E$74)),0)</f>
        <v>0</v>
      </c>
      <c r="Q88" s="146" t="n">
        <f aca="false">IF(AND(Q$10&gt;0,Q$9+1&lt;=Inputs!$E$222),Inputs!$E$270/12*MIN($E$82,(Q76+Q77+Q79-Q83)*(1+$E$74)),0)</f>
        <v>0</v>
      </c>
      <c r="R88" s="146" t="n">
        <f aca="false">IF(AND(R$10&gt;0,R$9+1&lt;=Inputs!$E$222),Inputs!$E$270/12*MIN($E$82,(R76+R77+R79-R83)*(1+$E$74)),0)</f>
        <v>0</v>
      </c>
      <c r="S88" s="146" t="n">
        <f aca="false">IF(AND(S$10&gt;0,S$9+1&lt;=Inputs!$E$222),Inputs!$E$270/12*MIN($E$82,(S76+S77+S79-S83)*(1+$E$74)),0)</f>
        <v>0</v>
      </c>
      <c r="T88" s="146" t="n">
        <f aca="false">IF(AND(T$10&gt;0,T$9+1&lt;=Inputs!$E$222),Inputs!$E$270/12*MIN($E$82,(T76+T77+T79-T83)*(1+$E$74)),0)</f>
        <v>0</v>
      </c>
      <c r="U88" s="146" t="n">
        <f aca="false">IF(AND(U$10&gt;0,U$9+1&lt;=Inputs!$E$222),Inputs!$E$270/12*MIN($E$82,(U76+U77+U79-U83)*(1+$E$74)),0)</f>
        <v>0</v>
      </c>
      <c r="V88" s="146" t="n">
        <f aca="false">IF(AND(V$10&gt;0,V$9+1&lt;=Inputs!$E$222),Inputs!$E$270/12*MIN($E$82,(V76+V77+V79-V83)*(1+$E$74)),0)</f>
        <v>0</v>
      </c>
      <c r="W88" s="146" t="n">
        <f aca="false">IF(AND(W$10&gt;0,W$9+1&lt;=Inputs!$E$222),Inputs!$E$270/12*MIN($E$82,(W76+W77+W79-W83)*(1+$E$74)),0)</f>
        <v>0</v>
      </c>
      <c r="X88" s="146" t="n">
        <f aca="false">IF(AND(X$10&gt;0,X$9+1&lt;=Inputs!$E$222),Inputs!$E$270/12*MIN($E$82,(X76+X77+X79-X83)*(1+$E$74)),0)</f>
        <v>0</v>
      </c>
      <c r="Y88" s="146" t="n">
        <f aca="false">IF(AND(Y$10&gt;0,Y$9+1&lt;=Inputs!$E$222),Inputs!$E$270/12*MIN($E$82,(Y76+Y77+Y79-Y83)*(1+$E$74)),0)</f>
        <v>0</v>
      </c>
      <c r="Z88" s="146" t="n">
        <f aca="false">IF(AND(Z$10&gt;0,Z$9+1&lt;=Inputs!$E$222),Inputs!$E$270/12*MIN($E$82,(Z76+Z77+Z79-Z83)*(1+$E$74)),0)</f>
        <v>0</v>
      </c>
      <c r="AA88" s="146" t="n">
        <f aca="false">IF(AND(AA$10&gt;0,AA$9+1&lt;=Inputs!$E$222),Inputs!$E$270/12*MIN($E$82,(AA76+AA77+AA79-AA83)*(1+$E$74)),0)</f>
        <v>0</v>
      </c>
      <c r="AB88" s="146" t="n">
        <f aca="false">IF(AND(AB$10&gt;0,AB$9+1&lt;=Inputs!$E$222),Inputs!$E$270/12*MIN($E$82,(AB76+AB77+AB79-AB83)*(1+$E$74)),0)</f>
        <v>0</v>
      </c>
      <c r="AC88" s="146" t="n">
        <f aca="false">IF(AND(AC$10&gt;0,AC$9+1&lt;=Inputs!$E$222),Inputs!$E$270/12*MIN($E$82,(AC76+AC77+AC79-AC83)*(1+$E$74)),0)</f>
        <v>0</v>
      </c>
      <c r="AD88" s="146" t="n">
        <f aca="false">IF(AND(AD$10&gt;0,AD$9+1&lt;=Inputs!$E$222),Inputs!$E$270/12*MIN($E$82,(AD76+AD77+AD79-AD83)*(1+$E$74)),0)</f>
        <v>0</v>
      </c>
      <c r="AE88" s="146" t="n">
        <f aca="false">IF(AND(AE$10&gt;0,AE$9+1&lt;=Inputs!$E$222),Inputs!$E$270/12*MIN($E$82,(AE76+AE77+AE79-AE83)*(1+$E$74)),0)</f>
        <v>0</v>
      </c>
      <c r="AF88" s="146" t="n">
        <f aca="false">IF(AND(AF$10&gt;0,AF$9+1&lt;=Inputs!$E$222),Inputs!$E$270/12*MIN($E$82,(AF76+AF77+AF79-AF83)*(1+$E$74)),0)</f>
        <v>0</v>
      </c>
      <c r="AG88" s="146" t="n">
        <f aca="false">IF(AND(AG$10&gt;0,AG$9+1&lt;=Inputs!$E$222),Inputs!$E$270/12*MIN($E$82,(AG76+AG77+AG79-AG83)*(1+$E$74)),0)</f>
        <v>0</v>
      </c>
      <c r="AH88" s="146" t="n">
        <f aca="false">IF(AND(AH$10&gt;0,AH$9+1&lt;=Inputs!$E$222),Inputs!$E$270/12*MIN($E$82,(AH76+AH77+AH79-AH83)*(1+$E$74)),0)</f>
        <v>0</v>
      </c>
      <c r="AI88" s="146" t="n">
        <f aca="false">IF(AND(AI$10&gt;0,AI$9+1&lt;=Inputs!$E$222),Inputs!$E$270/12*MIN($E$82,(AI76+AI77+AI79-AI83)*(1+$E$74)),0)</f>
        <v>0</v>
      </c>
      <c r="AJ88" s="146" t="n">
        <f aca="false">IF(AND(AJ$10&gt;0,AJ$9+1&lt;=Inputs!$E$222),Inputs!$E$270/12*MIN($E$82,(AJ76+AJ77+AJ79-AJ83)*(1+$E$74)),0)</f>
        <v>0</v>
      </c>
      <c r="AK88" s="146" t="n">
        <f aca="false">IF(AND(AK$10&gt;0,AK$9+1&lt;=Inputs!$E$222),Inputs!$E$270/12*MIN($E$82,(AK76+AK77+AK79-AK83)*(1+$E$74)),0)</f>
        <v>0</v>
      </c>
      <c r="AL88" s="146" t="n">
        <f aca="false">IF(AND(AL$10&gt;0,AL$9+1&lt;=Inputs!$E$222),Inputs!$E$270/12*MIN($E$82,(AL76+AL77+AL79-AL83)*(1+$E$74)),0)</f>
        <v>0</v>
      </c>
      <c r="AM88" s="146" t="n">
        <f aca="false">IF(AND(AM$10&gt;0,AM$9+1&lt;=Inputs!$E$222),Inputs!$E$270/12*MIN($E$82,(AM76+AM77+AM79-AM83)*(1+$E$74)),0)</f>
        <v>0</v>
      </c>
      <c r="AN88" s="146" t="n">
        <f aca="false">IF(AND(AN$10&gt;0,AN$9+1&lt;=Inputs!$E$222),Inputs!$E$270/12*MIN($E$82,(AN76+AN77+AN79-AN83)*(1+$E$74)),0)</f>
        <v>0</v>
      </c>
      <c r="AO88" s="146" t="n">
        <f aca="false">IF(AND(AO$10&gt;0,AO$9+1&lt;=Inputs!$E$222),Inputs!$E$270/12*MIN($E$82,(AO76+AO77+AO79-AO83)*(1+$E$74)),0)</f>
        <v>0</v>
      </c>
      <c r="AP88" s="146" t="n">
        <f aca="false">IF(AND(AP$10&gt;0,AP$9+1&lt;=Inputs!$E$222),Inputs!$E$270/12*MIN($E$82,(AP76+AP77+AP79-AP83)*(1+$E$74)),0)</f>
        <v>0</v>
      </c>
      <c r="AQ88" s="146" t="n">
        <f aca="false">IF(AND(AQ$10&gt;0,AQ$9+1&lt;=Inputs!$E$222),Inputs!$E$270/12*MIN($E$82,(AQ76+AQ77+AQ79-AQ83)*(1+$E$74)),0)</f>
        <v>0</v>
      </c>
    </row>
    <row r="89" customFormat="false" ht="15" hidden="false" customHeight="false" outlineLevel="0" collapsed="false">
      <c r="C89" s="0" t="s">
        <v>1267</v>
      </c>
      <c r="D89" s="0" t="s">
        <v>125</v>
      </c>
      <c r="E89" s="146"/>
      <c r="F89" s="146"/>
      <c r="G89" s="146" t="n">
        <f aca="false">SUM(H89:AQ89)</f>
        <v>0</v>
      </c>
      <c r="H89" s="146" t="n">
        <f aca="false">-H88</f>
        <v>-0</v>
      </c>
      <c r="I89" s="146" t="n">
        <f aca="false">-(I88-H88)</f>
        <v>-0</v>
      </c>
      <c r="J89" s="146" t="n">
        <f aca="false">-(J88-I88)</f>
        <v>-0</v>
      </c>
      <c r="K89" s="146" t="n">
        <f aca="false">-(K88-J88)</f>
        <v>-0</v>
      </c>
      <c r="L89" s="146" t="n">
        <f aca="false">-(L88-K88)</f>
        <v>-0</v>
      </c>
      <c r="M89" s="146" t="n">
        <f aca="false">-(M88-L88)</f>
        <v>-0</v>
      </c>
      <c r="N89" s="146" t="n">
        <f aca="false">-(N88-M88)</f>
        <v>-0</v>
      </c>
      <c r="O89" s="146" t="n">
        <f aca="false">-(O88-N88)</f>
        <v>-0</v>
      </c>
      <c r="P89" s="146" t="n">
        <f aca="false">-(P88-O88)</f>
        <v>-0</v>
      </c>
      <c r="Q89" s="146" t="n">
        <f aca="false">-(Q88-P88)</f>
        <v>-0</v>
      </c>
      <c r="R89" s="146" t="n">
        <f aca="false">-(R88-Q88)</f>
        <v>-0</v>
      </c>
      <c r="S89" s="146" t="n">
        <f aca="false">-(S88-R88)</f>
        <v>-0</v>
      </c>
      <c r="T89" s="146" t="n">
        <f aca="false">-(T88-S88)</f>
        <v>-0</v>
      </c>
      <c r="U89" s="146" t="n">
        <f aca="false">-(U88-T88)</f>
        <v>-0</v>
      </c>
      <c r="V89" s="146" t="n">
        <f aca="false">-(V88-U88)</f>
        <v>-0</v>
      </c>
      <c r="W89" s="146" t="n">
        <f aca="false">-(W88-V88)</f>
        <v>-0</v>
      </c>
      <c r="X89" s="146" t="n">
        <f aca="false">-(X88-W88)</f>
        <v>-0</v>
      </c>
      <c r="Y89" s="146" t="n">
        <f aca="false">-(Y88-X88)</f>
        <v>-0</v>
      </c>
      <c r="Z89" s="146" t="n">
        <f aca="false">-(Z88-Y88)</f>
        <v>-0</v>
      </c>
      <c r="AA89" s="146" t="n">
        <f aca="false">-(AA88-Z88)</f>
        <v>-0</v>
      </c>
      <c r="AB89" s="146" t="n">
        <f aca="false">-(AB88-AA88)</f>
        <v>-0</v>
      </c>
      <c r="AC89" s="146" t="n">
        <f aca="false">-(AC88-AB88)</f>
        <v>-0</v>
      </c>
      <c r="AD89" s="146" t="n">
        <f aca="false">-(AD88-AC88)</f>
        <v>-0</v>
      </c>
      <c r="AE89" s="146" t="n">
        <f aca="false">-(AE88-AD88)</f>
        <v>-0</v>
      </c>
      <c r="AF89" s="146" t="n">
        <f aca="false">-(AF88-AE88)</f>
        <v>-0</v>
      </c>
      <c r="AG89" s="146" t="n">
        <f aca="false">-(AG88-AF88)</f>
        <v>-0</v>
      </c>
      <c r="AH89" s="146" t="n">
        <f aca="false">-(AH88-AG88)</f>
        <v>-0</v>
      </c>
      <c r="AI89" s="146" t="n">
        <f aca="false">-(AI88-AH88)</f>
        <v>-0</v>
      </c>
      <c r="AJ89" s="146" t="n">
        <f aca="false">-(AJ88-AI88)</f>
        <v>-0</v>
      </c>
      <c r="AK89" s="146" t="n">
        <f aca="false">-(AK88-AJ88)</f>
        <v>-0</v>
      </c>
      <c r="AL89" s="146" t="n">
        <f aca="false">-(AL88-AK88)</f>
        <v>-0</v>
      </c>
      <c r="AM89" s="146" t="n">
        <f aca="false">-(AM88-AL88)</f>
        <v>-0</v>
      </c>
      <c r="AN89" s="146" t="n">
        <f aca="false">-(AN88-AM88)</f>
        <v>-0</v>
      </c>
      <c r="AO89" s="146" t="n">
        <f aca="false">-(AO88-AN88)</f>
        <v>-0</v>
      </c>
      <c r="AP89" s="146" t="n">
        <f aca="false">-(AP88-AO88)</f>
        <v>-0</v>
      </c>
      <c r="AQ89" s="146" t="n">
        <f aca="false">-(AQ88-AP88)</f>
        <v>-0</v>
      </c>
    </row>
    <row r="90" customFormat="false" ht="15" hidden="false" customHeight="false" outlineLevel="0" collapsed="false">
      <c r="C90" s="0" t="s">
        <v>1268</v>
      </c>
      <c r="D90" s="0" t="s">
        <v>51</v>
      </c>
      <c r="E90" s="146"/>
      <c r="F90" s="146"/>
      <c r="G90" s="146" t="n">
        <f aca="false">SUM(H90:AQ90)</f>
        <v>20</v>
      </c>
      <c r="H90" s="146" t="n">
        <f aca="false">IF(H10=0,0,IF(H9=0,H10,IF(H9&lt;$E$92,1,IF(H9=$E$92,1-SUMIFS($H$10:$AQ$10,$H$9:$AQ$9,0),0))))</f>
        <v>0</v>
      </c>
      <c r="I90" s="146" t="n">
        <f aca="false">IF(I10=0,0,IF(I9=0,I10,IF(I9&lt;$E$92,1,IF(I9=$E$92,1-SUMIFS($H$10:$AQ$10,$H$9:$AQ$9,0),0))))</f>
        <v>0</v>
      </c>
      <c r="J90" s="146" t="n">
        <f aca="false">IF(J10=0,0,IF(J9=0,J10,IF(J9&lt;$E$92,1,IF(J9=$E$92,1-SUMIFS($H$10:$AQ$10,$H$9:$AQ$9,0),0))))</f>
        <v>0</v>
      </c>
      <c r="K90" s="146" t="n">
        <f aca="false">IF(K10=0,0,IF(K9=0,K10,IF(K9&lt;$E$92,1,IF(K9=$E$92,1-SUMIFS($H$10:$AQ$10,$H$9:$AQ$9,0),0))))</f>
        <v>0</v>
      </c>
      <c r="L90" s="146" t="n">
        <f aca="false">IF(L10=0,0,IF(L9=0,L10,IF(L9&lt;$E$92,1,IF(L9=$E$92,1-SUMIFS($H$10:$AQ$10,$H$9:$AQ$9,0),0))))</f>
        <v>0</v>
      </c>
      <c r="M90" s="146" t="n">
        <f aca="false">IF(M10=0,0,IF(M9=0,M10,IF(M9&lt;$E$92,1,IF(M9=$E$92,1-SUMIFS($H$10:$AQ$10,$H$9:$AQ$9,0),0))))</f>
        <v>0.5</v>
      </c>
      <c r="N90" s="146" t="n">
        <f aca="false">IF(N10=0,0,IF(N9=0,N10,IF(N9&lt;$E$92,1,IF(N9=$E$92,1-SUMIFS($H$10:$AQ$10,$H$9:$AQ$9,0),0))))</f>
        <v>1</v>
      </c>
      <c r="O90" s="146" t="n">
        <f aca="false">IF(O10=0,0,IF(O9=0,O10,IF(O9&lt;$E$92,1,IF(O9=$E$92,1-SUMIFS($H$10:$AQ$10,$H$9:$AQ$9,0),0))))</f>
        <v>1</v>
      </c>
      <c r="P90" s="146" t="n">
        <f aca="false">IF(P10=0,0,IF(P9=0,P10,IF(P9&lt;$E$92,1,IF(P9=$E$92,1-SUMIFS($H$10:$AQ$10,$H$9:$AQ$9,0),0))))</f>
        <v>1</v>
      </c>
      <c r="Q90" s="146" t="n">
        <f aca="false">IF(Q10=0,0,IF(Q9=0,Q10,IF(Q9&lt;$E$92,1,IF(Q9=$E$92,1-SUMIFS($H$10:$AQ$10,$H$9:$AQ$9,0),0))))</f>
        <v>1</v>
      </c>
      <c r="R90" s="146" t="n">
        <f aca="false">IF(R10=0,0,IF(R9=0,R10,IF(R9&lt;$E$92,1,IF(R9=$E$92,1-SUMIFS($H$10:$AQ$10,$H$9:$AQ$9,0),0))))</f>
        <v>1</v>
      </c>
      <c r="S90" s="146" t="n">
        <f aca="false">IF(S10=0,0,IF(S9=0,S10,IF(S9&lt;$E$92,1,IF(S9=$E$92,1-SUMIFS($H$10:$AQ$10,$H$9:$AQ$9,0),0))))</f>
        <v>1</v>
      </c>
      <c r="T90" s="146" t="n">
        <f aca="false">IF(T10=0,0,IF(T9=0,T10,IF(T9&lt;$E$92,1,IF(T9=$E$92,1-SUMIFS($H$10:$AQ$10,$H$9:$AQ$9,0),0))))</f>
        <v>1</v>
      </c>
      <c r="U90" s="146" t="n">
        <f aca="false">IF(U10=0,0,IF(U9=0,U10,IF(U9&lt;$E$92,1,IF(U9=$E$92,1-SUMIFS($H$10:$AQ$10,$H$9:$AQ$9,0),0))))</f>
        <v>1</v>
      </c>
      <c r="V90" s="146" t="n">
        <f aca="false">IF(V10=0,0,IF(V9=0,V10,IF(V9&lt;$E$92,1,IF(V9=$E$92,1-SUMIFS($H$10:$AQ$10,$H$9:$AQ$9,0),0))))</f>
        <v>1</v>
      </c>
      <c r="W90" s="146" t="n">
        <f aca="false">IF(W10=0,0,IF(W9=0,W10,IF(W9&lt;$E$92,1,IF(W9=$E$92,1-SUMIFS($H$10:$AQ$10,$H$9:$AQ$9,0),0))))</f>
        <v>1</v>
      </c>
      <c r="X90" s="146" t="n">
        <f aca="false">IF(X10=0,0,IF(X9=0,X10,IF(X9&lt;$E$92,1,IF(X9=$E$92,1-SUMIFS($H$10:$AQ$10,$H$9:$AQ$9,0),0))))</f>
        <v>1</v>
      </c>
      <c r="Y90" s="146" t="n">
        <f aca="false">IF(Y10=0,0,IF(Y9=0,Y10,IF(Y9&lt;$E$92,1,IF(Y9=$E$92,1-SUMIFS($H$10:$AQ$10,$H$9:$AQ$9,0),0))))</f>
        <v>1</v>
      </c>
      <c r="Z90" s="146" t="n">
        <f aca="false">IF(Z10=0,0,IF(Z9=0,Z10,IF(Z9&lt;$E$92,1,IF(Z9=$E$92,1-SUMIFS($H$10:$AQ$10,$H$9:$AQ$9,0),0))))</f>
        <v>1</v>
      </c>
      <c r="AA90" s="146" t="n">
        <f aca="false">IF(AA10=0,0,IF(AA9=0,AA10,IF(AA9&lt;$E$92,1,IF(AA9=$E$92,1-SUMIFS($H$10:$AQ$10,$H$9:$AQ$9,0),0))))</f>
        <v>1</v>
      </c>
      <c r="AB90" s="146" t="n">
        <f aca="false">IF(AB10=0,0,IF(AB9=0,AB10,IF(AB9&lt;$E$92,1,IF(AB9=$E$92,1-SUMIFS($H$10:$AQ$10,$H$9:$AQ$9,0),0))))</f>
        <v>1</v>
      </c>
      <c r="AC90" s="146" t="n">
        <f aca="false">IF(AC10=0,0,IF(AC9=0,AC10,IF(AC9&lt;$E$92,1,IF(AC9=$E$92,1-SUMIFS($H$10:$AQ$10,$H$9:$AQ$9,0),0))))</f>
        <v>1</v>
      </c>
      <c r="AD90" s="146" t="n">
        <f aca="false">IF(AD10=0,0,IF(AD9=0,AD10,IF(AD9&lt;$E$92,1,IF(AD9=$E$92,1-SUMIFS($H$10:$AQ$10,$H$9:$AQ$9,0),0))))</f>
        <v>1</v>
      </c>
      <c r="AE90" s="146" t="n">
        <f aca="false">IF(AE10=0,0,IF(AE9=0,AE10,IF(AE9&lt;$E$92,1,IF(AE9=$E$92,1-SUMIFS($H$10:$AQ$10,$H$9:$AQ$9,0),0))))</f>
        <v>1</v>
      </c>
      <c r="AF90" s="146" t="n">
        <f aca="false">IF(AF10=0,0,IF(AF9=0,AF10,IF(AF9&lt;$E$92,1,IF(AF9=$E$92,1-SUMIFS($H$10:$AQ$10,$H$9:$AQ$9,0),0))))</f>
        <v>1</v>
      </c>
      <c r="AG90" s="146" t="n">
        <f aca="false">IF(AG10=0,0,IF(AG9=0,AG10,IF(AG9&lt;$E$92,1,IF(AG9=$E$92,1-SUMIFS($H$10:$AQ$10,$H$9:$AQ$9,0),0))))</f>
        <v>0.5</v>
      </c>
      <c r="AH90" s="146" t="n">
        <f aca="false">IF(AH10=0,0,IF(AH9=0,AH10,IF(AH9&lt;$E$92,1,IF(AH9=$E$92,1-SUMIFS($H$10:$AQ$10,$H$9:$AQ$9,0),0))))</f>
        <v>0</v>
      </c>
      <c r="AI90" s="146" t="n">
        <f aca="false">IF(AI10=0,0,IF(AI9=0,AI10,IF(AI9&lt;$E$92,1,IF(AI9=$E$92,1-SUMIFS($H$10:$AQ$10,$H$9:$AQ$9,0),0))))</f>
        <v>0</v>
      </c>
      <c r="AJ90" s="146" t="n">
        <f aca="false">IF(AJ10=0,0,IF(AJ9=0,AJ10,IF(AJ9&lt;$E$92,1,IF(AJ9=$E$92,1-SUMIFS($H$10:$AQ$10,$H$9:$AQ$9,0),0))))</f>
        <v>0</v>
      </c>
      <c r="AK90" s="146" t="n">
        <f aca="false">IF(AK10=0,0,IF(AK9=0,AK10,IF(AK9&lt;$E$92,1,IF(AK9=$E$92,1-SUMIFS($H$10:$AQ$10,$H$9:$AQ$9,0),0))))</f>
        <v>0</v>
      </c>
      <c r="AL90" s="146" t="n">
        <f aca="false">IF(AL10=0,0,IF(AL9=0,AL10,IF(AL9&lt;$E$92,1,IF(AL9=$E$92,1-SUMIFS($H$10:$AQ$10,$H$9:$AQ$9,0),0))))</f>
        <v>0</v>
      </c>
      <c r="AM90" s="146" t="n">
        <f aca="false">IF(AM10=0,0,IF(AM9=0,AM10,IF(AM9&lt;$E$92,1,IF(AM9=$E$92,1-SUMIFS($H$10:$AQ$10,$H$9:$AQ$9,0),0))))</f>
        <v>0</v>
      </c>
      <c r="AN90" s="146" t="n">
        <f aca="false">IF(AN10=0,0,IF(AN9=0,AN10,IF(AN9&lt;$E$92,1,IF(AN9=$E$92,1-SUMIFS($H$10:$AQ$10,$H$9:$AQ$9,0),0))))</f>
        <v>0</v>
      </c>
      <c r="AO90" s="146" t="n">
        <f aca="false">IF(AO10=0,0,IF(AO9=0,AO10,IF(AO9&lt;$E$92,1,IF(AO9=$E$92,1-SUMIFS($H$10:$AQ$10,$H$9:$AQ$9,0),0))))</f>
        <v>0</v>
      </c>
      <c r="AP90" s="146" t="n">
        <f aca="false">IF(AP10=0,0,IF(AP9=0,AP10,IF(AP9&lt;$E$92,1,IF(AP9=$E$92,1-SUMIFS($H$10:$AQ$10,$H$9:$AQ$9,0),0))))</f>
        <v>0</v>
      </c>
      <c r="AQ90" s="146" t="n">
        <f aca="false">IF(AQ10=0,0,IF(AQ9=0,AQ10,IF(AQ9&lt;$E$92,1,IF(AQ9=$E$92,1-SUMIFS($H$10:$AQ$10,$H$9:$AQ$9,0),0))))</f>
        <v>0</v>
      </c>
    </row>
    <row r="91" customFormat="false" ht="15" hidden="false" customHeight="false" outlineLevel="0" collapsed="false">
      <c r="C91" s="136" t="s">
        <v>1269</v>
      </c>
      <c r="D91" s="136"/>
      <c r="E91" s="280" t="n">
        <f aca="false">Inputs!$E$12</f>
        <v>0.15</v>
      </c>
      <c r="F91" s="279" t="s">
        <v>1270</v>
      </c>
      <c r="G91" s="278"/>
      <c r="H91" s="278"/>
      <c r="I91" s="278"/>
      <c r="J91" s="278"/>
      <c r="K91" s="278"/>
      <c r="L91" s="278"/>
      <c r="M91" s="278"/>
      <c r="N91" s="278"/>
      <c r="O91" s="278"/>
      <c r="P91" s="278"/>
      <c r="Q91" s="278"/>
      <c r="R91" s="278"/>
      <c r="S91" s="278"/>
      <c r="T91" s="278"/>
      <c r="U91" s="278"/>
      <c r="V91" s="278"/>
      <c r="W91" s="278"/>
      <c r="X91" s="278"/>
      <c r="Y91" s="278"/>
      <c r="Z91" s="278"/>
      <c r="AA91" s="278"/>
      <c r="AB91" s="278"/>
      <c r="AC91" s="278"/>
      <c r="AD91" s="278"/>
      <c r="AE91" s="278"/>
      <c r="AF91" s="278"/>
      <c r="AG91" s="278"/>
      <c r="AH91" s="278"/>
      <c r="AI91" s="278"/>
      <c r="AJ91" s="278"/>
      <c r="AK91" s="278"/>
      <c r="AL91" s="278"/>
      <c r="AM91" s="278"/>
      <c r="AN91" s="278"/>
      <c r="AO91" s="278"/>
      <c r="AP91" s="278"/>
      <c r="AQ91" s="278"/>
    </row>
    <row r="92" customFormat="false" ht="15" hidden="false" customHeight="false" outlineLevel="0" collapsed="false">
      <c r="C92" s="0" t="s">
        <v>1271</v>
      </c>
      <c r="D92" s="0" t="s">
        <v>125</v>
      </c>
      <c r="E92" s="153" t="n">
        <f aca="false">Inputs!$E$215</f>
        <v>20</v>
      </c>
      <c r="F92" s="146"/>
      <c r="G92" s="146" t="n">
        <f aca="false">SUM(H92:AQ92)</f>
        <v>170495.680423226</v>
      </c>
      <c r="H92" s="146" t="n">
        <f aca="false">(-$G$30+$G$79+Deposits!$P$11*Deposits!$M$11*$E$15)/$E$92*H90</f>
        <v>0</v>
      </c>
      <c r="I92" s="146" t="n">
        <f aca="false">(-$G$30+$G$79+Deposits!$P$11*Deposits!$M$11*$E$15)/$E$92*I90</f>
        <v>0</v>
      </c>
      <c r="J92" s="146" t="n">
        <f aca="false">(-$G$30+$G$79+Deposits!$P$11*Deposits!$M$11*$E$15)/$E$92*J90</f>
        <v>0</v>
      </c>
      <c r="K92" s="146" t="n">
        <f aca="false">(-$G$30+$G$79+Deposits!$P$11*Deposits!$M$11*$E$15)/$E$92*K90</f>
        <v>0</v>
      </c>
      <c r="L92" s="146" t="n">
        <f aca="false">(-$G$30+$G$79+Deposits!$P$11*Deposits!$M$11*$E$15)/$E$92*L90</f>
        <v>0</v>
      </c>
      <c r="M92" s="146" t="n">
        <f aca="false">(-$G$30+$G$79+Deposits!$P$11*Deposits!$M$11*$E$15)/$E$92*M90</f>
        <v>4262.39201058064</v>
      </c>
      <c r="N92" s="146" t="n">
        <f aca="false">(-$G$30+$G$79+Deposits!$P$11*Deposits!$M$11*$E$15)/$E$92*N90</f>
        <v>8524.78402116128</v>
      </c>
      <c r="O92" s="146" t="n">
        <f aca="false">(-$G$30+$G$79+Deposits!$P$11*Deposits!$M$11*$E$15)/$E$92*O90</f>
        <v>8524.78402116128</v>
      </c>
      <c r="P92" s="146" t="n">
        <f aca="false">(-$G$30+$G$79+Deposits!$P$11*Deposits!$M$11*$E$15)/$E$92*P90</f>
        <v>8524.78402116128</v>
      </c>
      <c r="Q92" s="146" t="n">
        <f aca="false">(-$G$30+$G$79+Deposits!$P$11*Deposits!$M$11*$E$15)/$E$92*Q90</f>
        <v>8524.78402116128</v>
      </c>
      <c r="R92" s="146" t="n">
        <f aca="false">(-$G$30+$G$79+Deposits!$P$11*Deposits!$M$11*$E$15)/$E$92*R90</f>
        <v>8524.78402116128</v>
      </c>
      <c r="S92" s="146" t="n">
        <f aca="false">(-$G$30+$G$79+Deposits!$P$11*Deposits!$M$11*$E$15)/$E$92*S90</f>
        <v>8524.78402116128</v>
      </c>
      <c r="T92" s="146" t="n">
        <f aca="false">(-$G$30+$G$79+Deposits!$P$11*Deposits!$M$11*$E$15)/$E$92*T90</f>
        <v>8524.78402116128</v>
      </c>
      <c r="U92" s="146" t="n">
        <f aca="false">(-$G$30+$G$79+Deposits!$P$11*Deposits!$M$11*$E$15)/$E$92*U90</f>
        <v>8524.78402116128</v>
      </c>
      <c r="V92" s="146" t="n">
        <f aca="false">(-$G$30+$G$79+Deposits!$P$11*Deposits!$M$11*$E$15)/$E$92*V90</f>
        <v>8524.78402116128</v>
      </c>
      <c r="W92" s="146" t="n">
        <f aca="false">(-$G$30+$G$79+Deposits!$P$11*Deposits!$M$11*$E$15)/$E$92*W90</f>
        <v>8524.78402116128</v>
      </c>
      <c r="X92" s="146" t="n">
        <f aca="false">(-$G$30+$G$79+Deposits!$P$11*Deposits!$M$11*$E$15)/$E$92*X90</f>
        <v>8524.78402116128</v>
      </c>
      <c r="Y92" s="146" t="n">
        <f aca="false">(-$G$30+$G$79+Deposits!$P$11*Deposits!$M$11*$E$15)/$E$92*Y90</f>
        <v>8524.78402116128</v>
      </c>
      <c r="Z92" s="146" t="n">
        <f aca="false">(-$G$30+$G$79+Deposits!$P$11*Deposits!$M$11*$E$15)/$E$92*Z90</f>
        <v>8524.78402116128</v>
      </c>
      <c r="AA92" s="146" t="n">
        <f aca="false">(-$G$30+$G$79+Deposits!$P$11*Deposits!$M$11*$E$15)/$E$92*AA90</f>
        <v>8524.78402116128</v>
      </c>
      <c r="AB92" s="146" t="n">
        <f aca="false">(-$G$30+$G$79+Deposits!$P$11*Deposits!$M$11*$E$15)/$E$92*AB90</f>
        <v>8524.78402116128</v>
      </c>
      <c r="AC92" s="146" t="n">
        <f aca="false">(-$G$30+$G$79+Deposits!$P$11*Deposits!$M$11*$E$15)/$E$92*AC90</f>
        <v>8524.78402116128</v>
      </c>
      <c r="AD92" s="146" t="n">
        <f aca="false">(-$G$30+$G$79+Deposits!$P$11*Deposits!$M$11*$E$15)/$E$92*AD90</f>
        <v>8524.78402116128</v>
      </c>
      <c r="AE92" s="146" t="n">
        <f aca="false">(-$G$30+$G$79+Deposits!$P$11*Deposits!$M$11*$E$15)/$E$92*AE90</f>
        <v>8524.78402116128</v>
      </c>
      <c r="AF92" s="146" t="n">
        <f aca="false">(-$G$30+$G$79+Deposits!$P$11*Deposits!$M$11*$E$15)/$E$92*AF90</f>
        <v>8524.78402116128</v>
      </c>
      <c r="AG92" s="146" t="n">
        <f aca="false">(-$G$30+$G$79+Deposits!$P$11*Deposits!$M$11*$E$15)/$E$92*AG90</f>
        <v>4262.39201058064</v>
      </c>
      <c r="AH92" s="146" t="n">
        <f aca="false">(-$G$30+$G$79+Deposits!$P$11*Deposits!$M$11*$E$15)/$E$92*AH90</f>
        <v>0</v>
      </c>
      <c r="AI92" s="146" t="n">
        <f aca="false">(-$G$30+$G$79+Deposits!$P$11*Deposits!$M$11*$E$15)/$E$92*AI90</f>
        <v>0</v>
      </c>
      <c r="AJ92" s="146" t="n">
        <f aca="false">(-$G$30+$G$79+Deposits!$P$11*Deposits!$M$11*$E$15)/$E$92*AJ90</f>
        <v>0</v>
      </c>
      <c r="AK92" s="146" t="n">
        <f aca="false">(-$G$30+$G$79+Deposits!$P$11*Deposits!$M$11*$E$15)/$E$92*AK90</f>
        <v>0</v>
      </c>
      <c r="AL92" s="146" t="n">
        <f aca="false">(-$G$30+$G$79+Deposits!$P$11*Deposits!$M$11*$E$15)/$E$92*AL90</f>
        <v>0</v>
      </c>
      <c r="AM92" s="146" t="n">
        <f aca="false">(-$G$30+$G$79+Deposits!$P$11*Deposits!$M$11*$E$15)/$E$92*AM90</f>
        <v>0</v>
      </c>
      <c r="AN92" s="146" t="n">
        <f aca="false">(-$G$30+$G$79+Deposits!$P$11*Deposits!$M$11*$E$15)/$E$92*AN90</f>
        <v>0</v>
      </c>
      <c r="AO92" s="146" t="n">
        <f aca="false">(-$G$30+$G$79+Deposits!$P$11*Deposits!$M$11*$E$15)/$E$92*AO90</f>
        <v>0</v>
      </c>
      <c r="AP92" s="146" t="n">
        <f aca="false">(-$G$30+$G$79+Deposits!$P$11*Deposits!$M$11*$E$15)/$E$92*AP90</f>
        <v>0</v>
      </c>
      <c r="AQ92" s="146" t="n">
        <f aca="false">(-$G$30+$G$79+Deposits!$P$11*Deposits!$M$11*$E$15)/$E$92*AQ90</f>
        <v>0</v>
      </c>
    </row>
    <row r="93" customFormat="false" ht="15" hidden="false" customHeight="false" outlineLevel="0" collapsed="false">
      <c r="C93" s="0" t="s">
        <v>1272</v>
      </c>
      <c r="D93" s="0" t="s">
        <v>125</v>
      </c>
      <c r="E93" s="146"/>
      <c r="F93" s="146"/>
      <c r="G93" s="146" t="n">
        <f aca="false">SUM(H93:AQ93)</f>
        <v>417019.916521732</v>
      </c>
      <c r="H93" s="146" t="n">
        <f aca="false">H70-H92-H81+H85+H16</f>
        <v>-88.6216216216216</v>
      </c>
      <c r="I93" s="146" t="n">
        <f aca="false">I70-I92-I81+I85+I16</f>
        <v>-428.165540540541</v>
      </c>
      <c r="J93" s="146" t="n">
        <f aca="false">J70-J92-J81+J85+J16</f>
        <v>-876.865528442527</v>
      </c>
      <c r="K93" s="146" t="n">
        <f aca="false">K70-K92-K81+K85+K16</f>
        <v>-2124.26924917914</v>
      </c>
      <c r="L93" s="146" t="n">
        <f aca="false">L70-L92-L81+L85+L16</f>
        <v>-782.218759090878</v>
      </c>
      <c r="M93" s="146" t="n">
        <f aca="false">M70-M92-M81+M85+M16</f>
        <v>7246.88841634213</v>
      </c>
      <c r="N93" s="146" t="n">
        <f aca="false">N70-N92-N81+N85+N16</f>
        <v>7565.11043199915</v>
      </c>
      <c r="O93" s="146" t="n">
        <f aca="false">O70-O92-O81+O85+O16</f>
        <v>7826.27050344957</v>
      </c>
      <c r="P93" s="146" t="n">
        <f aca="false">P70-P92-P81+P85+P16</f>
        <v>8095.67160985929</v>
      </c>
      <c r="Q93" s="146" t="n">
        <f aca="false">Q70-Q92-Q81+Q85+Q16</f>
        <v>8373.75062355705</v>
      </c>
      <c r="R93" s="146" t="n">
        <f aca="false">R70-R92-R81+R85+R16</f>
        <v>8660.96780775209</v>
      </c>
      <c r="S93" s="146" t="n">
        <f aca="false">S70-S92-S81+S85+S16</f>
        <v>8957.80803033738</v>
      </c>
      <c r="T93" s="146" t="n">
        <f aca="false">T70-T92-T81+T85+T16</f>
        <v>9264.78203950629</v>
      </c>
      <c r="U93" s="146" t="n">
        <f aca="false">U70-U92-U81+U85+U16</f>
        <v>9582.42780430074</v>
      </c>
      <c r="V93" s="146" t="n">
        <f aca="false">V70-V92-V81+V85+V16</f>
        <v>9911.31192336599</v>
      </c>
      <c r="W93" s="146" t="n">
        <f aca="false">W70-W92-W81+W85+W16</f>
        <v>10252.0311053513</v>
      </c>
      <c r="X93" s="146" t="n">
        <f aca="false">X70-X92-X81+X85+X16</f>
        <v>10605.2137245687</v>
      </c>
      <c r="Y93" s="146" t="n">
        <f aca="false">Y70-Y92-Y81+Y85+Y16</f>
        <v>10971.5214557032</v>
      </c>
      <c r="Z93" s="146" t="n">
        <f aca="false">Z70-Z92-Z81+Z85+Z16</f>
        <v>11351.6509915587</v>
      </c>
      <c r="AA93" s="146" t="n">
        <f aca="false">AA70-AA92-AA81+AA85+AA16</f>
        <v>11746.3358480226</v>
      </c>
      <c r="AB93" s="146" t="n">
        <f aca="false">AB70-AB92-AB81+AB85+AB16</f>
        <v>12156.3482606434</v>
      </c>
      <c r="AC93" s="146" t="n">
        <f aca="false">AC70-AC92-AC81+AC85+AC16</f>
        <v>12582.5011774363</v>
      </c>
      <c r="AD93" s="146" t="n">
        <f aca="false">AD70-AD92-AD81+AD85+AD16</f>
        <v>12607.1915786624</v>
      </c>
      <c r="AE93" s="146" t="n">
        <f aca="false">AE70-AE92-AE81+AE85+AE16</f>
        <v>12628.8560604592</v>
      </c>
      <c r="AF93" s="146" t="n">
        <f aca="false">AF70-AF92-AF81+AF85+AF16</f>
        <v>12647.3965545669</v>
      </c>
      <c r="AG93" s="146" t="n">
        <f aca="false">AG70-AG92-AG81+AG85+AG16</f>
        <v>16925.1044425558</v>
      </c>
      <c r="AH93" s="146" t="n">
        <f aca="false">AH70-AH92-AH81+AH85+AH16</f>
        <v>21199.4844603948</v>
      </c>
      <c r="AI93" s="146" t="n">
        <f aca="false">AI70-AI92-AI81+AI85+AI16</f>
        <v>21208.0386543575</v>
      </c>
      <c r="AJ93" s="146" t="n">
        <f aca="false">AJ70-AJ92-AJ81+AJ85+AJ16</f>
        <v>21213.0503353224</v>
      </c>
      <c r="AK93" s="146" t="n">
        <f aca="false">AK70-AK92-AK81+AK85+AK16</f>
        <v>21214.4079785268</v>
      </c>
      <c r="AL93" s="146" t="n">
        <f aca="false">AL70-AL92-AL81+AL85+AL16</f>
        <v>21211.9971639586</v>
      </c>
      <c r="AM93" s="146" t="n">
        <f aca="false">AM70-AM92-AM81+AM85+AM16</f>
        <v>21205.7005044412</v>
      </c>
      <c r="AN93" s="146" t="n">
        <f aca="false">AN70-AN92-AN81+AN85+AN16</f>
        <v>21195.3975719509</v>
      </c>
      <c r="AO93" s="146" t="n">
        <f aca="false">AO70-AO92-AO81+AO85+AO16</f>
        <v>21180.9648221222</v>
      </c>
      <c r="AP93" s="146" t="n">
        <f aca="false">AP70-AP92-AP81+AP85+AP16</f>
        <v>21162.2755168973</v>
      </c>
      <c r="AQ93" s="146" t="n">
        <f aca="false">AQ70-AQ92-AQ81+AQ85+AQ16</f>
        <v>10569.599822637</v>
      </c>
    </row>
    <row r="94" customFormat="false" ht="15" hidden="false" customHeight="false" outlineLevel="0" collapsed="false">
      <c r="C94" s="0" t="s">
        <v>1273</v>
      </c>
      <c r="D94" s="0" t="s">
        <v>125</v>
      </c>
      <c r="E94" s="146"/>
      <c r="F94" s="146"/>
      <c r="G94" s="146"/>
      <c r="H94" s="146" t="n">
        <f aca="false">G96</f>
        <v>0</v>
      </c>
      <c r="I94" s="146" t="n">
        <f aca="false">H96</f>
        <v>88.6216216216216</v>
      </c>
      <c r="J94" s="146" t="n">
        <f aca="false">I96</f>
        <v>516.787162162162</v>
      </c>
      <c r="K94" s="146" t="n">
        <f aca="false">J96</f>
        <v>1393.65269060469</v>
      </c>
      <c r="L94" s="146" t="n">
        <f aca="false">K96</f>
        <v>3517.92193978383</v>
      </c>
      <c r="M94" s="146" t="n">
        <f aca="false">L96</f>
        <v>4300.14069887471</v>
      </c>
      <c r="N94" s="146" t="n">
        <f aca="false">M96</f>
        <v>676.696490703645</v>
      </c>
      <c r="O94" s="146" t="n">
        <f aca="false">N96</f>
        <v>0</v>
      </c>
      <c r="P94" s="146" t="n">
        <f aca="false">O96</f>
        <v>0</v>
      </c>
      <c r="Q94" s="146" t="n">
        <f aca="false">P96</f>
        <v>0</v>
      </c>
      <c r="R94" s="146" t="n">
        <f aca="false">Q96</f>
        <v>0</v>
      </c>
      <c r="S94" s="146" t="n">
        <f aca="false">R96</f>
        <v>0</v>
      </c>
      <c r="T94" s="146" t="n">
        <f aca="false">S96</f>
        <v>0</v>
      </c>
      <c r="U94" s="146" t="n">
        <f aca="false">T96</f>
        <v>0</v>
      </c>
      <c r="V94" s="146" t="n">
        <f aca="false">U96</f>
        <v>0</v>
      </c>
      <c r="W94" s="146" t="n">
        <f aca="false">V96</f>
        <v>0</v>
      </c>
      <c r="X94" s="146" t="n">
        <f aca="false">W96</f>
        <v>0</v>
      </c>
      <c r="Y94" s="146" t="n">
        <f aca="false">X96</f>
        <v>0</v>
      </c>
      <c r="Z94" s="146" t="n">
        <f aca="false">Y96</f>
        <v>0</v>
      </c>
      <c r="AA94" s="146" t="n">
        <f aca="false">Z96</f>
        <v>0</v>
      </c>
      <c r="AB94" s="146" t="n">
        <f aca="false">AA96</f>
        <v>0</v>
      </c>
      <c r="AC94" s="146" t="n">
        <f aca="false">AB96</f>
        <v>0</v>
      </c>
      <c r="AD94" s="146" t="n">
        <f aca="false">AC96</f>
        <v>0</v>
      </c>
      <c r="AE94" s="146" t="n">
        <f aca="false">AD96</f>
        <v>0</v>
      </c>
      <c r="AF94" s="146" t="n">
        <f aca="false">AE96</f>
        <v>0</v>
      </c>
      <c r="AG94" s="146" t="n">
        <f aca="false">AF96</f>
        <v>0</v>
      </c>
      <c r="AH94" s="146" t="n">
        <f aca="false">AG96</f>
        <v>0</v>
      </c>
      <c r="AI94" s="146" t="n">
        <f aca="false">AH96</f>
        <v>0</v>
      </c>
      <c r="AJ94" s="146" t="n">
        <f aca="false">AI96</f>
        <v>0</v>
      </c>
      <c r="AK94" s="146" t="n">
        <f aca="false">AJ96</f>
        <v>0</v>
      </c>
      <c r="AL94" s="146" t="n">
        <f aca="false">AK96</f>
        <v>0</v>
      </c>
      <c r="AM94" s="146" t="n">
        <f aca="false">AL96</f>
        <v>0</v>
      </c>
      <c r="AN94" s="146" t="n">
        <f aca="false">AM96</f>
        <v>0</v>
      </c>
      <c r="AO94" s="146" t="n">
        <f aca="false">AN96</f>
        <v>0</v>
      </c>
      <c r="AP94" s="146" t="n">
        <f aca="false">AO96</f>
        <v>0</v>
      </c>
      <c r="AQ94" s="146" t="n">
        <f aca="false">AP96</f>
        <v>0</v>
      </c>
    </row>
    <row r="95" customFormat="false" ht="15" hidden="false" customHeight="false" outlineLevel="0" collapsed="false">
      <c r="C95" s="0" t="s">
        <v>1274</v>
      </c>
      <c r="D95" s="0" t="s">
        <v>125</v>
      </c>
      <c r="E95" s="65" t="n">
        <f aca="false">Inputs!$E$216</f>
        <v>0.5</v>
      </c>
      <c r="F95" s="146"/>
      <c r="G95" s="146" t="n">
        <f aca="false">SUM(H95:AQ95)</f>
        <v>4300.14069887471</v>
      </c>
      <c r="H95" s="146" t="n">
        <f aca="false">MIN(H94,MAX(H93,0)*$E$95)</f>
        <v>0</v>
      </c>
      <c r="I95" s="146" t="n">
        <f aca="false">MIN(I94,MAX(I93,0)*$E$95)</f>
        <v>0</v>
      </c>
      <c r="J95" s="146" t="n">
        <f aca="false">MIN(J94,MAX(J93,0)*$E$95)</f>
        <v>0</v>
      </c>
      <c r="K95" s="146" t="n">
        <f aca="false">MIN(K94,MAX(K93,0)*$E$95)</f>
        <v>0</v>
      </c>
      <c r="L95" s="146" t="n">
        <f aca="false">MIN(L94,MAX(L93,0)*$E$95)</f>
        <v>0</v>
      </c>
      <c r="M95" s="146" t="n">
        <f aca="false">MIN(M94,MAX(M93,0)*$E$95)</f>
        <v>3623.44420817106</v>
      </c>
      <c r="N95" s="146" t="n">
        <f aca="false">MIN(N94,MAX(N93,0)*$E$95)</f>
        <v>676.696490703645</v>
      </c>
      <c r="O95" s="146" t="n">
        <f aca="false">MIN(O94,MAX(O93,0)*$E$95)</f>
        <v>0</v>
      </c>
      <c r="P95" s="146" t="n">
        <f aca="false">MIN(P94,MAX(P93,0)*$E$95)</f>
        <v>0</v>
      </c>
      <c r="Q95" s="146" t="n">
        <f aca="false">MIN(Q94,MAX(Q93,0)*$E$95)</f>
        <v>0</v>
      </c>
      <c r="R95" s="146" t="n">
        <f aca="false">MIN(R94,MAX(R93,0)*$E$95)</f>
        <v>0</v>
      </c>
      <c r="S95" s="146" t="n">
        <f aca="false">MIN(S94,MAX(S93,0)*$E$95)</f>
        <v>0</v>
      </c>
      <c r="T95" s="146" t="n">
        <f aca="false">MIN(T94,MAX(T93,0)*$E$95)</f>
        <v>0</v>
      </c>
      <c r="U95" s="146" t="n">
        <f aca="false">MIN(U94,MAX(U93,0)*$E$95)</f>
        <v>0</v>
      </c>
      <c r="V95" s="146" t="n">
        <f aca="false">MIN(V94,MAX(V93,0)*$E$95)</f>
        <v>0</v>
      </c>
      <c r="W95" s="146" t="n">
        <f aca="false">MIN(W94,MAX(W93,0)*$E$95)</f>
        <v>0</v>
      </c>
      <c r="X95" s="146" t="n">
        <f aca="false">MIN(X94,MAX(X93,0)*$E$95)</f>
        <v>0</v>
      </c>
      <c r="Y95" s="146" t="n">
        <f aca="false">MIN(Y94,MAX(Y93,0)*$E$95)</f>
        <v>0</v>
      </c>
      <c r="Z95" s="146" t="n">
        <f aca="false">MIN(Z94,MAX(Z93,0)*$E$95)</f>
        <v>0</v>
      </c>
      <c r="AA95" s="146" t="n">
        <f aca="false">MIN(AA94,MAX(AA93,0)*$E$95)</f>
        <v>0</v>
      </c>
      <c r="AB95" s="146" t="n">
        <f aca="false">MIN(AB94,MAX(AB93,0)*$E$95)</f>
        <v>0</v>
      </c>
      <c r="AC95" s="146" t="n">
        <f aca="false">MIN(AC94,MAX(AC93,0)*$E$95)</f>
        <v>0</v>
      </c>
      <c r="AD95" s="146" t="n">
        <f aca="false">MIN(AD94,MAX(AD93,0)*$E$95)</f>
        <v>0</v>
      </c>
      <c r="AE95" s="146" t="n">
        <f aca="false">MIN(AE94,MAX(AE93,0)*$E$95)</f>
        <v>0</v>
      </c>
      <c r="AF95" s="146" t="n">
        <f aca="false">MIN(AF94,MAX(AF93,0)*$E$95)</f>
        <v>0</v>
      </c>
      <c r="AG95" s="146" t="n">
        <f aca="false">MIN(AG94,MAX(AG93,0)*$E$95)</f>
        <v>0</v>
      </c>
      <c r="AH95" s="146" t="n">
        <f aca="false">MIN(AH94,MAX(AH93,0)*$E$95)</f>
        <v>0</v>
      </c>
      <c r="AI95" s="146" t="n">
        <f aca="false">MIN(AI94,MAX(AI93,0)*$E$95)</f>
        <v>0</v>
      </c>
      <c r="AJ95" s="146" t="n">
        <f aca="false">MIN(AJ94,MAX(AJ93,0)*$E$95)</f>
        <v>0</v>
      </c>
      <c r="AK95" s="146" t="n">
        <f aca="false">MIN(AK94,MAX(AK93,0)*$E$95)</f>
        <v>0</v>
      </c>
      <c r="AL95" s="146" t="n">
        <f aca="false">MIN(AL94,MAX(AL93,0)*$E$95)</f>
        <v>0</v>
      </c>
      <c r="AM95" s="146" t="n">
        <f aca="false">MIN(AM94,MAX(AM93,0)*$E$95)</f>
        <v>0</v>
      </c>
      <c r="AN95" s="146" t="n">
        <f aca="false">MIN(AN94,MAX(AN93,0)*$E$95)</f>
        <v>0</v>
      </c>
      <c r="AO95" s="146" t="n">
        <f aca="false">MIN(AO94,MAX(AO93,0)*$E$95)</f>
        <v>0</v>
      </c>
      <c r="AP95" s="146" t="n">
        <f aca="false">MIN(AP94,MAX(AP93,0)*$E$95)</f>
        <v>0</v>
      </c>
      <c r="AQ95" s="146" t="n">
        <f aca="false">MIN(AQ94,MAX(AQ93,0)*$E$95)</f>
        <v>0</v>
      </c>
    </row>
    <row r="96" customFormat="false" ht="15" hidden="false" customHeight="false" outlineLevel="0" collapsed="false">
      <c r="C96" s="0" t="s">
        <v>1275</v>
      </c>
      <c r="D96" s="0" t="s">
        <v>125</v>
      </c>
      <c r="E96" s="146"/>
      <c r="F96" s="146"/>
      <c r="G96" s="146" t="n">
        <v>0</v>
      </c>
      <c r="H96" s="146" t="n">
        <f aca="false">H94+MAX(-H93,0)-H95</f>
        <v>88.6216216216216</v>
      </c>
      <c r="I96" s="146" t="n">
        <f aca="false">I94+MAX(-I93,0)-I95</f>
        <v>516.787162162162</v>
      </c>
      <c r="J96" s="146" t="n">
        <f aca="false">J94+MAX(-J93,0)-J95</f>
        <v>1393.65269060469</v>
      </c>
      <c r="K96" s="146" t="n">
        <f aca="false">K94+MAX(-K93,0)-K95</f>
        <v>3517.92193978383</v>
      </c>
      <c r="L96" s="146" t="n">
        <f aca="false">L94+MAX(-L93,0)-L95</f>
        <v>4300.14069887471</v>
      </c>
      <c r="M96" s="146" t="n">
        <f aca="false">M94+MAX(-M93,0)-M95</f>
        <v>676.696490703645</v>
      </c>
      <c r="N96" s="146" t="n">
        <f aca="false">N94+MAX(-N93,0)-N95</f>
        <v>0</v>
      </c>
      <c r="O96" s="146" t="n">
        <f aca="false">O94+MAX(-O93,0)-O95</f>
        <v>0</v>
      </c>
      <c r="P96" s="146" t="n">
        <f aca="false">P94+MAX(-P93,0)-P95</f>
        <v>0</v>
      </c>
      <c r="Q96" s="146" t="n">
        <f aca="false">Q94+MAX(-Q93,0)-Q95</f>
        <v>0</v>
      </c>
      <c r="R96" s="146" t="n">
        <f aca="false">R94+MAX(-R93,0)-R95</f>
        <v>0</v>
      </c>
      <c r="S96" s="146" t="n">
        <f aca="false">S94+MAX(-S93,0)-S95</f>
        <v>0</v>
      </c>
      <c r="T96" s="146" t="n">
        <f aca="false">T94+MAX(-T93,0)-T95</f>
        <v>0</v>
      </c>
      <c r="U96" s="146" t="n">
        <f aca="false">U94+MAX(-U93,0)-U95</f>
        <v>0</v>
      </c>
      <c r="V96" s="146" t="n">
        <f aca="false">V94+MAX(-V93,0)-V95</f>
        <v>0</v>
      </c>
      <c r="W96" s="146" t="n">
        <f aca="false">W94+MAX(-W93,0)-W95</f>
        <v>0</v>
      </c>
      <c r="X96" s="146" t="n">
        <f aca="false">X94+MAX(-X93,0)-X95</f>
        <v>0</v>
      </c>
      <c r="Y96" s="146" t="n">
        <f aca="false">Y94+MAX(-Y93,0)-Y95</f>
        <v>0</v>
      </c>
      <c r="Z96" s="146" t="n">
        <f aca="false">Z94+MAX(-Z93,0)-Z95</f>
        <v>0</v>
      </c>
      <c r="AA96" s="146" t="n">
        <f aca="false">AA94+MAX(-AA93,0)-AA95</f>
        <v>0</v>
      </c>
      <c r="AB96" s="146" t="n">
        <f aca="false">AB94+MAX(-AB93,0)-AB95</f>
        <v>0</v>
      </c>
      <c r="AC96" s="146" t="n">
        <f aca="false">AC94+MAX(-AC93,0)-AC95</f>
        <v>0</v>
      </c>
      <c r="AD96" s="146" t="n">
        <f aca="false">AD94+MAX(-AD93,0)-AD95</f>
        <v>0</v>
      </c>
      <c r="AE96" s="146" t="n">
        <f aca="false">AE94+MAX(-AE93,0)-AE95</f>
        <v>0</v>
      </c>
      <c r="AF96" s="146" t="n">
        <f aca="false">AF94+MAX(-AF93,0)-AF95</f>
        <v>0</v>
      </c>
      <c r="AG96" s="146" t="n">
        <f aca="false">AG94+MAX(-AG93,0)-AG95</f>
        <v>0</v>
      </c>
      <c r="AH96" s="146" t="n">
        <f aca="false">AH94+MAX(-AH93,0)-AH95</f>
        <v>0</v>
      </c>
      <c r="AI96" s="146" t="n">
        <f aca="false">AI94+MAX(-AI93,0)-AI95</f>
        <v>0</v>
      </c>
      <c r="AJ96" s="146" t="n">
        <f aca="false">AJ94+MAX(-AJ93,0)-AJ95</f>
        <v>0</v>
      </c>
      <c r="AK96" s="146" t="n">
        <f aca="false">AK94+MAX(-AK93,0)-AK95</f>
        <v>0</v>
      </c>
      <c r="AL96" s="146" t="n">
        <f aca="false">AL94+MAX(-AL93,0)-AL95</f>
        <v>0</v>
      </c>
      <c r="AM96" s="146" t="n">
        <f aca="false">AM94+MAX(-AM93,0)-AM95</f>
        <v>0</v>
      </c>
      <c r="AN96" s="146" t="n">
        <f aca="false">AN94+MAX(-AN93,0)-AN95</f>
        <v>0</v>
      </c>
      <c r="AO96" s="146" t="n">
        <f aca="false">AO94+MAX(-AO93,0)-AO95</f>
        <v>0</v>
      </c>
      <c r="AP96" s="146" t="n">
        <f aca="false">AP94+MAX(-AP93,0)-AP95</f>
        <v>0</v>
      </c>
      <c r="AQ96" s="146" t="n">
        <f aca="false">AQ94+MAX(-AQ93,0)-AQ95</f>
        <v>0</v>
      </c>
    </row>
    <row r="97" customFormat="false" ht="15" hidden="false" customHeight="false" outlineLevel="0" collapsed="false">
      <c r="C97" s="0" t="s">
        <v>1276</v>
      </c>
      <c r="D97" s="0" t="s">
        <v>125</v>
      </c>
      <c r="E97" s="146"/>
      <c r="F97" s="146"/>
      <c r="G97" s="146" t="n">
        <f aca="false">SUM(H97:AQ97)</f>
        <v>417019.916521732</v>
      </c>
      <c r="H97" s="146" t="n">
        <f aca="false">MAX(H93,0)-H95</f>
        <v>0</v>
      </c>
      <c r="I97" s="146" t="n">
        <f aca="false">MAX(I93,0)-I95</f>
        <v>0</v>
      </c>
      <c r="J97" s="146" t="n">
        <f aca="false">MAX(J93,0)-J95</f>
        <v>0</v>
      </c>
      <c r="K97" s="146" t="n">
        <f aca="false">MAX(K93,0)-K95</f>
        <v>0</v>
      </c>
      <c r="L97" s="146" t="n">
        <f aca="false">MAX(L93,0)-L95</f>
        <v>0</v>
      </c>
      <c r="M97" s="146" t="n">
        <f aca="false">MAX(M93,0)-M95</f>
        <v>3623.44420817106</v>
      </c>
      <c r="N97" s="146" t="n">
        <f aca="false">MAX(N93,0)-N95</f>
        <v>6888.41394129551</v>
      </c>
      <c r="O97" s="146" t="n">
        <f aca="false">MAX(O93,0)-O95</f>
        <v>7826.27050344957</v>
      </c>
      <c r="P97" s="146" t="n">
        <f aca="false">MAX(P93,0)-P95</f>
        <v>8095.67160985929</v>
      </c>
      <c r="Q97" s="146" t="n">
        <f aca="false">MAX(Q93,0)-Q95</f>
        <v>8373.75062355705</v>
      </c>
      <c r="R97" s="146" t="n">
        <f aca="false">MAX(R93,0)-R95</f>
        <v>8660.96780775209</v>
      </c>
      <c r="S97" s="146" t="n">
        <f aca="false">MAX(S93,0)-S95</f>
        <v>8957.80803033738</v>
      </c>
      <c r="T97" s="146" t="n">
        <f aca="false">MAX(T93,0)-T95</f>
        <v>9264.78203950629</v>
      </c>
      <c r="U97" s="146" t="n">
        <f aca="false">MAX(U93,0)-U95</f>
        <v>9582.42780430074</v>
      </c>
      <c r="V97" s="146" t="n">
        <f aca="false">MAX(V93,0)-V95</f>
        <v>9911.31192336599</v>
      </c>
      <c r="W97" s="146" t="n">
        <f aca="false">MAX(W93,0)-W95</f>
        <v>10252.0311053513</v>
      </c>
      <c r="X97" s="146" t="n">
        <f aca="false">MAX(X93,0)-X95</f>
        <v>10605.2137245687</v>
      </c>
      <c r="Y97" s="146" t="n">
        <f aca="false">MAX(Y93,0)-Y95</f>
        <v>10971.5214557032</v>
      </c>
      <c r="Z97" s="146" t="n">
        <f aca="false">MAX(Z93,0)-Z95</f>
        <v>11351.6509915587</v>
      </c>
      <c r="AA97" s="146" t="n">
        <f aca="false">MAX(AA93,0)-AA95</f>
        <v>11746.3358480226</v>
      </c>
      <c r="AB97" s="146" t="n">
        <f aca="false">MAX(AB93,0)-AB95</f>
        <v>12156.3482606434</v>
      </c>
      <c r="AC97" s="146" t="n">
        <f aca="false">MAX(AC93,0)-AC95</f>
        <v>12582.5011774363</v>
      </c>
      <c r="AD97" s="146" t="n">
        <f aca="false">MAX(AD93,0)-AD95</f>
        <v>12607.1915786624</v>
      </c>
      <c r="AE97" s="146" t="n">
        <f aca="false">MAX(AE93,0)-AE95</f>
        <v>12628.8560604592</v>
      </c>
      <c r="AF97" s="146" t="n">
        <f aca="false">MAX(AF93,0)-AF95</f>
        <v>12647.3965545669</v>
      </c>
      <c r="AG97" s="146" t="n">
        <f aca="false">MAX(AG93,0)-AG95</f>
        <v>16925.1044425558</v>
      </c>
      <c r="AH97" s="146" t="n">
        <f aca="false">MAX(AH93,0)-AH95</f>
        <v>21199.4844603948</v>
      </c>
      <c r="AI97" s="146" t="n">
        <f aca="false">MAX(AI93,0)-AI95</f>
        <v>21208.0386543575</v>
      </c>
      <c r="AJ97" s="146" t="n">
        <f aca="false">MAX(AJ93,0)-AJ95</f>
        <v>21213.0503353224</v>
      </c>
      <c r="AK97" s="146" t="n">
        <f aca="false">MAX(AK93,0)-AK95</f>
        <v>21214.4079785268</v>
      </c>
      <c r="AL97" s="146" t="n">
        <f aca="false">MAX(AL93,0)-AL95</f>
        <v>21211.9971639586</v>
      </c>
      <c r="AM97" s="146" t="n">
        <f aca="false">MAX(AM93,0)-AM95</f>
        <v>21205.7005044412</v>
      </c>
      <c r="AN97" s="146" t="n">
        <f aca="false">MAX(AN93,0)-AN95</f>
        <v>21195.3975719509</v>
      </c>
      <c r="AO97" s="146" t="n">
        <f aca="false">MAX(AO93,0)-AO95</f>
        <v>21180.9648221222</v>
      </c>
      <c r="AP97" s="146" t="n">
        <f aca="false">MAX(AP93,0)-AP95</f>
        <v>21162.2755168973</v>
      </c>
      <c r="AQ97" s="146" t="n">
        <f aca="false">MAX(AQ93,0)-AQ95</f>
        <v>10569.599822637</v>
      </c>
    </row>
    <row r="98" customFormat="false" ht="15" hidden="false" customHeight="false" outlineLevel="0" collapsed="false">
      <c r="C98" s="0" t="s">
        <v>1277</v>
      </c>
      <c r="D98" s="0" t="s">
        <v>125</v>
      </c>
      <c r="E98" s="146"/>
      <c r="F98" s="146"/>
      <c r="G98" s="146" t="n">
        <f aca="false">SUM(H98:AQ98)</f>
        <v>-62552.9874782598</v>
      </c>
      <c r="H98" s="146" t="n">
        <f aca="false">-H97*$E$91</f>
        <v>-0</v>
      </c>
      <c r="I98" s="146" t="n">
        <f aca="false">-I97*$E$91</f>
        <v>-0</v>
      </c>
      <c r="J98" s="146" t="n">
        <f aca="false">-J97*$E$91</f>
        <v>-0</v>
      </c>
      <c r="K98" s="146" t="n">
        <f aca="false">-K97*$E$91</f>
        <v>-0</v>
      </c>
      <c r="L98" s="146" t="n">
        <f aca="false">-L97*$E$91</f>
        <v>-0</v>
      </c>
      <c r="M98" s="146" t="n">
        <f aca="false">-M97*$E$91</f>
        <v>-543.516631225659</v>
      </c>
      <c r="N98" s="146" t="n">
        <f aca="false">-N97*$E$91</f>
        <v>-1033.26209119433</v>
      </c>
      <c r="O98" s="146" t="n">
        <f aca="false">-O97*$E$91</f>
        <v>-1173.94057551744</v>
      </c>
      <c r="P98" s="146" t="n">
        <f aca="false">-P97*$E$91</f>
        <v>-1214.35074147889</v>
      </c>
      <c r="Q98" s="146" t="n">
        <f aca="false">-Q97*$E$91</f>
        <v>-1256.06259353356</v>
      </c>
      <c r="R98" s="146" t="n">
        <f aca="false">-R97*$E$91</f>
        <v>-1299.14517116281</v>
      </c>
      <c r="S98" s="146" t="n">
        <f aca="false">-S97*$E$91</f>
        <v>-1343.67120455061</v>
      </c>
      <c r="T98" s="146" t="n">
        <f aca="false">-T97*$E$91</f>
        <v>-1389.71730592594</v>
      </c>
      <c r="U98" s="146" t="n">
        <f aca="false">-U97*$E$91</f>
        <v>-1437.36417064511</v>
      </c>
      <c r="V98" s="146" t="n">
        <f aca="false">-V97*$E$91</f>
        <v>-1486.6967885049</v>
      </c>
      <c r="W98" s="146" t="n">
        <f aca="false">-W97*$E$91</f>
        <v>-1537.80466580269</v>
      </c>
      <c r="X98" s="146" t="n">
        <f aca="false">-X97*$E$91</f>
        <v>-1590.7820586853</v>
      </c>
      <c r="Y98" s="146" t="n">
        <f aca="false">-Y97*$E$91</f>
        <v>-1645.72821835548</v>
      </c>
      <c r="Z98" s="146" t="n">
        <f aca="false">-Z97*$E$91</f>
        <v>-1702.74764873381</v>
      </c>
      <c r="AA98" s="146" t="n">
        <f aca="false">-AA97*$E$91</f>
        <v>-1761.95037720339</v>
      </c>
      <c r="AB98" s="146" t="n">
        <f aca="false">-AB97*$E$91</f>
        <v>-1823.45223909651</v>
      </c>
      <c r="AC98" s="146" t="n">
        <f aca="false">-AC97*$E$91</f>
        <v>-1887.37517661544</v>
      </c>
      <c r="AD98" s="146" t="n">
        <f aca="false">-AD97*$E$91</f>
        <v>-1891.07873679936</v>
      </c>
      <c r="AE98" s="146" t="n">
        <f aca="false">-AE97*$E$91</f>
        <v>-1894.32840906889</v>
      </c>
      <c r="AF98" s="146" t="n">
        <f aca="false">-AF97*$E$91</f>
        <v>-1897.10948318504</v>
      </c>
      <c r="AG98" s="146" t="n">
        <f aca="false">-AG97*$E$91</f>
        <v>-2538.76566638336</v>
      </c>
      <c r="AH98" s="146" t="n">
        <f aca="false">-AH97*$E$91</f>
        <v>-3179.92266905922</v>
      </c>
      <c r="AI98" s="146" t="n">
        <f aca="false">-AI97*$E$91</f>
        <v>-3181.20579815362</v>
      </c>
      <c r="AJ98" s="146" t="n">
        <f aca="false">-AJ97*$E$91</f>
        <v>-3181.95755029835</v>
      </c>
      <c r="AK98" s="146" t="n">
        <f aca="false">-AK97*$E$91</f>
        <v>-3182.16119677902</v>
      </c>
      <c r="AL98" s="146" t="n">
        <f aca="false">-AL97*$E$91</f>
        <v>-3181.79957459379</v>
      </c>
      <c r="AM98" s="146" t="n">
        <f aca="false">-AM97*$E$91</f>
        <v>-3180.85507566618</v>
      </c>
      <c r="AN98" s="146" t="n">
        <f aca="false">-AN97*$E$91</f>
        <v>-3179.30963579264</v>
      </c>
      <c r="AO98" s="146" t="n">
        <f aca="false">-AO97*$E$91</f>
        <v>-3177.14472331833</v>
      </c>
      <c r="AP98" s="146" t="n">
        <f aca="false">-AP97*$E$91</f>
        <v>-3174.3413275346</v>
      </c>
      <c r="AQ98" s="146" t="n">
        <f aca="false">-AQ97*$E$91</f>
        <v>-1585.43997339554</v>
      </c>
    </row>
    <row r="99" customFormat="false" ht="15" hidden="false" customHeight="false" outlineLevel="0" collapsed="false">
      <c r="C99" s="0" t="s">
        <v>1278</v>
      </c>
      <c r="D99" s="0" t="s">
        <v>125</v>
      </c>
      <c r="E99" s="141" t="n">
        <f aca="false">Inputs!$E$199*Inputs!$E$200</f>
        <v>0</v>
      </c>
      <c r="F99" s="146"/>
      <c r="G99" s="146" t="n">
        <f aca="false">SUM(H99:AQ99)</f>
        <v>0</v>
      </c>
      <c r="H99" s="146" t="n">
        <f aca="false">-MAX(H93,0)*$E$99</f>
        <v>-0</v>
      </c>
      <c r="I99" s="146" t="n">
        <f aca="false">-MAX(I93,0)*$E$99</f>
        <v>-0</v>
      </c>
      <c r="J99" s="146" t="n">
        <f aca="false">-MAX(J93,0)*$E$99</f>
        <v>-0</v>
      </c>
      <c r="K99" s="146" t="n">
        <f aca="false">-MAX(K93,0)*$E$99</f>
        <v>-0</v>
      </c>
      <c r="L99" s="146" t="n">
        <f aca="false">-MAX(L93,0)*$E$99</f>
        <v>-0</v>
      </c>
      <c r="M99" s="146" t="n">
        <f aca="false">-MAX(M93,0)*$E$99</f>
        <v>-0</v>
      </c>
      <c r="N99" s="146" t="n">
        <f aca="false">-MAX(N93,0)*$E$99</f>
        <v>-0</v>
      </c>
      <c r="O99" s="146" t="n">
        <f aca="false">-MAX(O93,0)*$E$99</f>
        <v>-0</v>
      </c>
      <c r="P99" s="146" t="n">
        <f aca="false">-MAX(P93,0)*$E$99</f>
        <v>-0</v>
      </c>
      <c r="Q99" s="146" t="n">
        <f aca="false">-MAX(Q93,0)*$E$99</f>
        <v>-0</v>
      </c>
      <c r="R99" s="146" t="n">
        <f aca="false">-MAX(R93,0)*$E$99</f>
        <v>-0</v>
      </c>
      <c r="S99" s="146" t="n">
        <f aca="false">-MAX(S93,0)*$E$99</f>
        <v>-0</v>
      </c>
      <c r="T99" s="146" t="n">
        <f aca="false">-MAX(T93,0)*$E$99</f>
        <v>-0</v>
      </c>
      <c r="U99" s="146" t="n">
        <f aca="false">-MAX(U93,0)*$E$99</f>
        <v>-0</v>
      </c>
      <c r="V99" s="146" t="n">
        <f aca="false">-MAX(V93,0)*$E$99</f>
        <v>-0</v>
      </c>
      <c r="W99" s="146" t="n">
        <f aca="false">-MAX(W93,0)*$E$99</f>
        <v>-0</v>
      </c>
      <c r="X99" s="146" t="n">
        <f aca="false">-MAX(X93,0)*$E$99</f>
        <v>-0</v>
      </c>
      <c r="Y99" s="146" t="n">
        <f aca="false">-MAX(Y93,0)*$E$99</f>
        <v>-0</v>
      </c>
      <c r="Z99" s="146" t="n">
        <f aca="false">-MAX(Z93,0)*$E$99</f>
        <v>-0</v>
      </c>
      <c r="AA99" s="146" t="n">
        <f aca="false">-MAX(AA93,0)*$E$99</f>
        <v>-0</v>
      </c>
      <c r="AB99" s="146" t="n">
        <f aca="false">-MAX(AB93,0)*$E$99</f>
        <v>-0</v>
      </c>
      <c r="AC99" s="146" t="n">
        <f aca="false">-MAX(AC93,0)*$E$99</f>
        <v>-0</v>
      </c>
      <c r="AD99" s="146" t="n">
        <f aca="false">-MAX(AD93,0)*$E$99</f>
        <v>-0</v>
      </c>
      <c r="AE99" s="146" t="n">
        <f aca="false">-MAX(AE93,0)*$E$99</f>
        <v>-0</v>
      </c>
      <c r="AF99" s="146" t="n">
        <f aca="false">-MAX(AF93,0)*$E$99</f>
        <v>-0</v>
      </c>
      <c r="AG99" s="146" t="n">
        <f aca="false">-MAX(AG93,0)*$E$99</f>
        <v>-0</v>
      </c>
      <c r="AH99" s="146" t="n">
        <f aca="false">-MAX(AH93,0)*$E$99</f>
        <v>-0</v>
      </c>
      <c r="AI99" s="146" t="n">
        <f aca="false">-MAX(AI93,0)*$E$99</f>
        <v>-0</v>
      </c>
      <c r="AJ99" s="146" t="n">
        <f aca="false">-MAX(AJ93,0)*$E$99</f>
        <v>-0</v>
      </c>
      <c r="AK99" s="146" t="n">
        <f aca="false">-MAX(AK93,0)*$E$99</f>
        <v>-0</v>
      </c>
      <c r="AL99" s="146" t="n">
        <f aca="false">-MAX(AL93,0)*$E$99</f>
        <v>-0</v>
      </c>
      <c r="AM99" s="146" t="n">
        <f aca="false">-MAX(AM93,0)*$E$99</f>
        <v>-0</v>
      </c>
      <c r="AN99" s="146" t="n">
        <f aca="false">-MAX(AN93,0)*$E$99</f>
        <v>-0</v>
      </c>
      <c r="AO99" s="146" t="n">
        <f aca="false">-MAX(AO93,0)*$E$99</f>
        <v>-0</v>
      </c>
      <c r="AP99" s="146" t="n">
        <f aca="false">-MAX(AP93,0)*$E$99</f>
        <v>-0</v>
      </c>
      <c r="AQ99" s="146" t="n">
        <f aca="false">-MAX(AQ93,0)*$E$99</f>
        <v>-0</v>
      </c>
    </row>
    <row r="100" customFormat="false" ht="15" hidden="false" customHeight="false" outlineLevel="0" collapsed="false">
      <c r="C100" s="205" t="s">
        <v>1279</v>
      </c>
      <c r="D100" s="205" t="s">
        <v>125</v>
      </c>
      <c r="E100" s="277"/>
      <c r="F100" s="277"/>
      <c r="G100" s="277" t="n">
        <f aca="false">SUM(H100:AQ100)</f>
        <v>-62552.9874782598</v>
      </c>
      <c r="H100" s="277" t="n">
        <f aca="false">H98+H99</f>
        <v>-0</v>
      </c>
      <c r="I100" s="277" t="n">
        <f aca="false">I98+I99</f>
        <v>-0</v>
      </c>
      <c r="J100" s="277" t="n">
        <f aca="false">J98+J99</f>
        <v>-0</v>
      </c>
      <c r="K100" s="277" t="n">
        <f aca="false">K98+K99</f>
        <v>-0</v>
      </c>
      <c r="L100" s="277" t="n">
        <f aca="false">L98+L99</f>
        <v>-0</v>
      </c>
      <c r="M100" s="277" t="n">
        <f aca="false">M98+M99</f>
        <v>-543.516631225659</v>
      </c>
      <c r="N100" s="277" t="n">
        <f aca="false">N98+N99</f>
        <v>-1033.26209119433</v>
      </c>
      <c r="O100" s="277" t="n">
        <f aca="false">O98+O99</f>
        <v>-1173.94057551744</v>
      </c>
      <c r="P100" s="277" t="n">
        <f aca="false">P98+P99</f>
        <v>-1214.35074147889</v>
      </c>
      <c r="Q100" s="277" t="n">
        <f aca="false">Q98+Q99</f>
        <v>-1256.06259353356</v>
      </c>
      <c r="R100" s="277" t="n">
        <f aca="false">R98+R99</f>
        <v>-1299.14517116281</v>
      </c>
      <c r="S100" s="277" t="n">
        <f aca="false">S98+S99</f>
        <v>-1343.67120455061</v>
      </c>
      <c r="T100" s="277" t="n">
        <f aca="false">T98+T99</f>
        <v>-1389.71730592594</v>
      </c>
      <c r="U100" s="277" t="n">
        <f aca="false">U98+U99</f>
        <v>-1437.36417064511</v>
      </c>
      <c r="V100" s="277" t="n">
        <f aca="false">V98+V99</f>
        <v>-1486.6967885049</v>
      </c>
      <c r="W100" s="277" t="n">
        <f aca="false">W98+W99</f>
        <v>-1537.80466580269</v>
      </c>
      <c r="X100" s="277" t="n">
        <f aca="false">X98+X99</f>
        <v>-1590.7820586853</v>
      </c>
      <c r="Y100" s="277" t="n">
        <f aca="false">Y98+Y99</f>
        <v>-1645.72821835548</v>
      </c>
      <c r="Z100" s="277" t="n">
        <f aca="false">Z98+Z99</f>
        <v>-1702.74764873381</v>
      </c>
      <c r="AA100" s="277" t="n">
        <f aca="false">AA98+AA99</f>
        <v>-1761.95037720339</v>
      </c>
      <c r="AB100" s="277" t="n">
        <f aca="false">AB98+AB99</f>
        <v>-1823.45223909651</v>
      </c>
      <c r="AC100" s="277" t="n">
        <f aca="false">AC98+AC99</f>
        <v>-1887.37517661544</v>
      </c>
      <c r="AD100" s="277" t="n">
        <f aca="false">AD98+AD99</f>
        <v>-1891.07873679936</v>
      </c>
      <c r="AE100" s="277" t="n">
        <f aca="false">AE98+AE99</f>
        <v>-1894.32840906889</v>
      </c>
      <c r="AF100" s="277" t="n">
        <f aca="false">AF98+AF99</f>
        <v>-1897.10948318504</v>
      </c>
      <c r="AG100" s="277" t="n">
        <f aca="false">AG98+AG99</f>
        <v>-2538.76566638336</v>
      </c>
      <c r="AH100" s="277" t="n">
        <f aca="false">AH98+AH99</f>
        <v>-3179.92266905922</v>
      </c>
      <c r="AI100" s="277" t="n">
        <f aca="false">AI98+AI99</f>
        <v>-3181.20579815362</v>
      </c>
      <c r="AJ100" s="277" t="n">
        <f aca="false">AJ98+AJ99</f>
        <v>-3181.95755029835</v>
      </c>
      <c r="AK100" s="277" t="n">
        <f aca="false">AK98+AK99</f>
        <v>-3182.16119677902</v>
      </c>
      <c r="AL100" s="277" t="n">
        <f aca="false">AL98+AL99</f>
        <v>-3181.79957459379</v>
      </c>
      <c r="AM100" s="277" t="n">
        <f aca="false">AM98+AM99</f>
        <v>-3180.85507566618</v>
      </c>
      <c r="AN100" s="277" t="n">
        <f aca="false">AN98+AN99</f>
        <v>-3179.30963579264</v>
      </c>
      <c r="AO100" s="277" t="n">
        <f aca="false">AO98+AO99</f>
        <v>-3177.14472331833</v>
      </c>
      <c r="AP100" s="277" t="n">
        <f aca="false">AP98+AP99</f>
        <v>-3174.3413275346</v>
      </c>
      <c r="AQ100" s="277" t="n">
        <f aca="false">AQ98+AQ99</f>
        <v>-1585.43997339554</v>
      </c>
    </row>
    <row r="101" customFormat="false" ht="15" hidden="false" customHeight="false" outlineLevel="0" collapsed="false">
      <c r="C101" s="0" t="s">
        <v>1280</v>
      </c>
      <c r="D101" s="0" t="s">
        <v>125</v>
      </c>
      <c r="E101" s="146"/>
      <c r="F101" s="146"/>
      <c r="G101" s="146" t="n">
        <f aca="false">SUM(H101:AQ101)</f>
        <v>-69329.1244742254</v>
      </c>
      <c r="H101" s="146" t="n">
        <f aca="false">-MAX(H70-H92,0)*($E$91+$E$99)</f>
        <v>-0</v>
      </c>
      <c r="I101" s="146" t="n">
        <f aca="false">-MAX(I70-I92,0)*($E$91+$E$99)</f>
        <v>-0</v>
      </c>
      <c r="J101" s="146" t="n">
        <f aca="false">-MAX(J70-J92,0)*($E$91+$E$99)</f>
        <v>-0</v>
      </c>
      <c r="K101" s="146" t="n">
        <f aca="false">-MAX(K70-K92,0)*($E$91+$E$99)</f>
        <v>-0</v>
      </c>
      <c r="L101" s="146" t="n">
        <f aca="false">-MAX(L70-L92,0)*($E$91+$E$99)</f>
        <v>-0</v>
      </c>
      <c r="M101" s="146" t="n">
        <f aca="false">-MAX(M70-M92,0)*($E$91+$E$99)</f>
        <v>-1417.88125381282</v>
      </c>
      <c r="N101" s="146" t="n">
        <f aca="false">-MAX(N70-N92,0)*($E$91+$E$99)</f>
        <v>-1786.28541153228</v>
      </c>
      <c r="O101" s="146" t="n">
        <f aca="false">-MAX(O70-O92,0)*($E$91+$E$99)</f>
        <v>-1795.26654847173</v>
      </c>
      <c r="P101" s="146" t="n">
        <f aca="false">-MAX(P70-P92,0)*($E$91+$E$99)</f>
        <v>-1803.97419696616</v>
      </c>
      <c r="Q101" s="146" t="n">
        <f aca="false">-MAX(Q70-Q92,0)*($E$91+$E$99)</f>
        <v>-1812.39840568046</v>
      </c>
      <c r="R101" s="146" t="n">
        <f aca="false">-MAX(R70-R92,0)*($E$91+$E$99)</f>
        <v>-1820.52895780232</v>
      </c>
      <c r="S101" s="146" t="n">
        <f aca="false">-MAX(S70-S92,0)*($E$91+$E$99)</f>
        <v>-1828.35536440735</v>
      </c>
      <c r="T101" s="146" t="n">
        <f aca="false">-MAX(T70-T92,0)*($E$91+$E$99)</f>
        <v>-1835.86685766079</v>
      </c>
      <c r="U101" s="146" t="n">
        <f aca="false">-MAX(U70-U92,0)*($E$91+$E$99)</f>
        <v>-1843.05238385196</v>
      </c>
      <c r="V101" s="146" t="n">
        <f aca="false">-MAX(V70-V92,0)*($E$91+$E$99)</f>
        <v>-1849.90059625735</v>
      </c>
      <c r="W101" s="146" t="n">
        <f aca="false">-MAX(W70-W92,0)*($E$91+$E$99)</f>
        <v>-1856.39984782803</v>
      </c>
      <c r="X101" s="146" t="n">
        <f aca="false">-MAX(X70-X92,0)*($E$91+$E$99)</f>
        <v>-1862.53818369717</v>
      </c>
      <c r="Y101" s="146" t="n">
        <f aca="false">-MAX(Y70-Y92,0)*($E$91+$E$99)</f>
        <v>-1868.30333350321</v>
      </c>
      <c r="Z101" s="146" t="n">
        <f aca="false">-MAX(Z70-Z92,0)*($E$91+$E$99)</f>
        <v>-1873.68270352419</v>
      </c>
      <c r="AA101" s="146" t="n">
        <f aca="false">-MAX(AA70-AA92,0)*($E$91+$E$99)</f>
        <v>-1878.66336861855</v>
      </c>
      <c r="AB101" s="146" t="n">
        <f aca="false">-MAX(AB70-AB92,0)*($E$91+$E$99)</f>
        <v>-1883.23206396769</v>
      </c>
      <c r="AC101" s="146" t="n">
        <f aca="false">-MAX(AC70-AC92,0)*($E$91+$E$99)</f>
        <v>-1887.37517661544</v>
      </c>
      <c r="AD101" s="146" t="n">
        <f aca="false">-MAX(AD70-AD92,0)*($E$91+$E$99)</f>
        <v>-1891.07873679936</v>
      </c>
      <c r="AE101" s="146" t="n">
        <f aca="false">-MAX(AE70-AE92,0)*($E$91+$E$99)</f>
        <v>-1894.32840906889</v>
      </c>
      <c r="AF101" s="146" t="n">
        <f aca="false">-MAX(AF70-AF92,0)*($E$91+$E$99)</f>
        <v>-1897.10948318504</v>
      </c>
      <c r="AG101" s="146" t="n">
        <f aca="false">-MAX(AG70-AG92,0)*($E$91+$E$99)</f>
        <v>-2538.76566638336</v>
      </c>
      <c r="AH101" s="146" t="n">
        <f aca="false">-MAX(AH70-AH92,0)*($E$91+$E$99)</f>
        <v>-3179.92266905922</v>
      </c>
      <c r="AI101" s="146" t="n">
        <f aca="false">-MAX(AI70-AI92,0)*($E$91+$E$99)</f>
        <v>-3181.20579815362</v>
      </c>
      <c r="AJ101" s="146" t="n">
        <f aca="false">-MAX(AJ70-AJ92,0)*($E$91+$E$99)</f>
        <v>-3181.95755029835</v>
      </c>
      <c r="AK101" s="146" t="n">
        <f aca="false">-MAX(AK70-AK92,0)*($E$91+$E$99)</f>
        <v>-3182.16119677902</v>
      </c>
      <c r="AL101" s="146" t="n">
        <f aca="false">-MAX(AL70-AL92,0)*($E$91+$E$99)</f>
        <v>-3181.79957459379</v>
      </c>
      <c r="AM101" s="146" t="n">
        <f aca="false">-MAX(AM70-AM92,0)*($E$91+$E$99)</f>
        <v>-3180.85507566618</v>
      </c>
      <c r="AN101" s="146" t="n">
        <f aca="false">-MAX(AN70-AN92,0)*($E$91+$E$99)</f>
        <v>-3179.30963579264</v>
      </c>
      <c r="AO101" s="146" t="n">
        <f aca="false">-MAX(AO70-AO92,0)*($E$91+$E$99)</f>
        <v>-3177.14472331833</v>
      </c>
      <c r="AP101" s="146" t="n">
        <f aca="false">-MAX(AP70-AP92,0)*($E$91+$E$99)</f>
        <v>-3174.3413275346</v>
      </c>
      <c r="AQ101" s="146" t="n">
        <f aca="false">-MAX(AQ70-AQ92,0)*($E$91+$E$99)</f>
        <v>-1585.43997339554</v>
      </c>
    </row>
    <row r="102" customFormat="false" ht="15" hidden="false" customHeight="false" outlineLevel="0" collapsed="false">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46"/>
      <c r="AL102" s="146"/>
      <c r="AM102" s="146"/>
      <c r="AN102" s="146"/>
      <c r="AO102" s="146"/>
      <c r="AP102" s="146"/>
      <c r="AQ102" s="146"/>
    </row>
    <row r="103" customFormat="false" ht="15" hidden="false" customHeight="false" outlineLevel="0" collapsed="false">
      <c r="C103" s="136" t="s">
        <v>1281</v>
      </c>
      <c r="D103" s="136"/>
      <c r="E103" s="278"/>
      <c r="F103" s="278"/>
      <c r="G103" s="278"/>
      <c r="H103" s="278"/>
      <c r="I103" s="278"/>
      <c r="J103" s="278"/>
      <c r="K103" s="278"/>
      <c r="L103" s="278"/>
      <c r="M103" s="278"/>
      <c r="N103" s="278"/>
      <c r="O103" s="278"/>
      <c r="P103" s="278"/>
      <c r="Q103" s="278"/>
      <c r="R103" s="278"/>
      <c r="S103" s="278"/>
      <c r="T103" s="278"/>
      <c r="U103" s="278"/>
      <c r="V103" s="278"/>
      <c r="W103" s="278"/>
      <c r="X103" s="278"/>
      <c r="Y103" s="278"/>
      <c r="Z103" s="278"/>
      <c r="AA103" s="278"/>
      <c r="AB103" s="278"/>
      <c r="AC103" s="278"/>
      <c r="AD103" s="278"/>
      <c r="AE103" s="278"/>
      <c r="AF103" s="278"/>
      <c r="AG103" s="278"/>
      <c r="AH103" s="278"/>
      <c r="AI103" s="278"/>
      <c r="AJ103" s="278"/>
      <c r="AK103" s="278"/>
      <c r="AL103" s="278"/>
      <c r="AM103" s="278"/>
      <c r="AN103" s="278"/>
      <c r="AO103" s="278"/>
      <c r="AP103" s="278"/>
      <c r="AQ103" s="278"/>
    </row>
    <row r="104" customFormat="false" ht="15" hidden="false" customHeight="false" outlineLevel="0" collapsed="false">
      <c r="C104" s="0" t="s">
        <v>1282</v>
      </c>
      <c r="D104" s="0" t="s">
        <v>125</v>
      </c>
      <c r="E104" s="146"/>
      <c r="F104" s="146"/>
      <c r="G104" s="146" t="n">
        <f aca="false">SUM(H104:AQ104)</f>
        <v>-10100.2844738237</v>
      </c>
      <c r="H104" s="146" t="n">
        <f aca="false">H24</f>
        <v>-1570.61764901888</v>
      </c>
      <c r="I104" s="146" t="n">
        <f aca="false">I24</f>
        <v>-778.738143280267</v>
      </c>
      <c r="J104" s="146" t="n">
        <f aca="false">J24</f>
        <v>-1227.43813118225</v>
      </c>
      <c r="K104" s="146" t="n">
        <f aca="false">K24</f>
        <v>-5999.07235555905</v>
      </c>
      <c r="L104" s="146" t="n">
        <f aca="false">L24</f>
        <v>-350.572602739726</v>
      </c>
      <c r="M104" s="146" t="n">
        <f aca="false">M24</f>
        <v>-173.845592043535</v>
      </c>
      <c r="N104" s="146" t="n">
        <f aca="false">N24</f>
        <v>0</v>
      </c>
      <c r="O104" s="146" t="n">
        <f aca="false">O24</f>
        <v>0</v>
      </c>
      <c r="P104" s="146" t="n">
        <f aca="false">P24</f>
        <v>0</v>
      </c>
      <c r="Q104" s="146" t="n">
        <f aca="false">Q24</f>
        <v>0</v>
      </c>
      <c r="R104" s="146" t="n">
        <f aca="false">R24</f>
        <v>0</v>
      </c>
      <c r="S104" s="146" t="n">
        <f aca="false">S24</f>
        <v>0</v>
      </c>
      <c r="T104" s="146" t="n">
        <f aca="false">T24</f>
        <v>0</v>
      </c>
      <c r="U104" s="146" t="n">
        <f aca="false">U24</f>
        <v>0</v>
      </c>
      <c r="V104" s="146" t="n">
        <f aca="false">V24</f>
        <v>0</v>
      </c>
      <c r="W104" s="146" t="n">
        <f aca="false">W24</f>
        <v>0</v>
      </c>
      <c r="X104" s="146" t="n">
        <f aca="false">X24</f>
        <v>0</v>
      </c>
      <c r="Y104" s="146" t="n">
        <f aca="false">Y24</f>
        <v>0</v>
      </c>
      <c r="Z104" s="146" t="n">
        <f aca="false">Z24</f>
        <v>0</v>
      </c>
      <c r="AA104" s="146" t="n">
        <f aca="false">AA24</f>
        <v>0</v>
      </c>
      <c r="AB104" s="146" t="n">
        <f aca="false">AB24</f>
        <v>0</v>
      </c>
      <c r="AC104" s="146" t="n">
        <f aca="false">AC24</f>
        <v>0</v>
      </c>
      <c r="AD104" s="146" t="n">
        <f aca="false">AD24</f>
        <v>0</v>
      </c>
      <c r="AE104" s="146" t="n">
        <f aca="false">AE24</f>
        <v>0</v>
      </c>
      <c r="AF104" s="146" t="n">
        <f aca="false">AF24</f>
        <v>0</v>
      </c>
      <c r="AG104" s="146" t="n">
        <f aca="false">AG24</f>
        <v>0</v>
      </c>
      <c r="AH104" s="146" t="n">
        <f aca="false">AH24</f>
        <v>0</v>
      </c>
      <c r="AI104" s="146" t="n">
        <f aca="false">AI24</f>
        <v>0</v>
      </c>
      <c r="AJ104" s="146" t="n">
        <f aca="false">AJ24</f>
        <v>0</v>
      </c>
      <c r="AK104" s="146" t="n">
        <f aca="false">AK24</f>
        <v>0</v>
      </c>
      <c r="AL104" s="146" t="n">
        <f aca="false">AL24</f>
        <v>0</v>
      </c>
      <c r="AM104" s="146" t="n">
        <f aca="false">AM24</f>
        <v>0</v>
      </c>
      <c r="AN104" s="146" t="n">
        <f aca="false">AN24</f>
        <v>0</v>
      </c>
      <c r="AO104" s="146" t="n">
        <f aca="false">AO24</f>
        <v>0</v>
      </c>
      <c r="AP104" s="146" t="n">
        <f aca="false">AP24</f>
        <v>0</v>
      </c>
      <c r="AQ104" s="146" t="n">
        <f aca="false">AQ24</f>
        <v>0</v>
      </c>
    </row>
    <row r="105" customFormat="false" ht="15" hidden="false" customHeight="false" outlineLevel="0" collapsed="false">
      <c r="C105" s="0" t="s">
        <v>1283</v>
      </c>
      <c r="D105" s="0" t="s">
        <v>125</v>
      </c>
      <c r="E105" s="146"/>
      <c r="F105" s="146"/>
      <c r="G105" s="146" t="n">
        <f aca="false">SUM(H105:AQ105)</f>
        <v>-164787.248293151</v>
      </c>
      <c r="H105" s="146" t="n">
        <f aca="false">H30</f>
        <v>-0</v>
      </c>
      <c r="I105" s="146" t="n">
        <f aca="false">I30</f>
        <v>-0</v>
      </c>
      <c r="J105" s="146" t="n">
        <f aca="false">J30</f>
        <v>-0</v>
      </c>
      <c r="K105" s="146" t="n">
        <f aca="false">K30</f>
        <v>-54847.3758958904</v>
      </c>
      <c r="L105" s="146" t="n">
        <f aca="false">L30</f>
        <v>-70152.1125</v>
      </c>
      <c r="M105" s="146" t="n">
        <f aca="false">M30</f>
        <v>-39787.7598972603</v>
      </c>
      <c r="N105" s="146" t="n">
        <f aca="false">N30</f>
        <v>-0</v>
      </c>
      <c r="O105" s="146" t="n">
        <f aca="false">O30</f>
        <v>-0</v>
      </c>
      <c r="P105" s="146" t="n">
        <f aca="false">P30</f>
        <v>-0</v>
      </c>
      <c r="Q105" s="146" t="n">
        <f aca="false">Q30</f>
        <v>-0</v>
      </c>
      <c r="R105" s="146" t="n">
        <f aca="false">R30</f>
        <v>-0</v>
      </c>
      <c r="S105" s="146" t="n">
        <f aca="false">S30</f>
        <v>-0</v>
      </c>
      <c r="T105" s="146" t="n">
        <f aca="false">T30</f>
        <v>-0</v>
      </c>
      <c r="U105" s="146" t="n">
        <f aca="false">U30</f>
        <v>-0</v>
      </c>
      <c r="V105" s="146" t="n">
        <f aca="false">V30</f>
        <v>-0</v>
      </c>
      <c r="W105" s="146" t="n">
        <f aca="false">W30</f>
        <v>-0</v>
      </c>
      <c r="X105" s="146" t="n">
        <f aca="false">X30</f>
        <v>-0</v>
      </c>
      <c r="Y105" s="146" t="n">
        <f aca="false">Y30</f>
        <v>-0</v>
      </c>
      <c r="Z105" s="146" t="n">
        <f aca="false">Z30</f>
        <v>-0</v>
      </c>
      <c r="AA105" s="146" t="n">
        <f aca="false">AA30</f>
        <v>-0</v>
      </c>
      <c r="AB105" s="146" t="n">
        <f aca="false">AB30</f>
        <v>-0</v>
      </c>
      <c r="AC105" s="146" t="n">
        <f aca="false">AC30</f>
        <v>-0</v>
      </c>
      <c r="AD105" s="146" t="n">
        <f aca="false">AD30</f>
        <v>-0</v>
      </c>
      <c r="AE105" s="146" t="n">
        <f aca="false">AE30</f>
        <v>-0</v>
      </c>
      <c r="AF105" s="146" t="n">
        <f aca="false">AF30</f>
        <v>-0</v>
      </c>
      <c r="AG105" s="146" t="n">
        <f aca="false">AG30</f>
        <v>-0</v>
      </c>
      <c r="AH105" s="146" t="n">
        <f aca="false">AH30</f>
        <v>-0</v>
      </c>
      <c r="AI105" s="146" t="n">
        <f aca="false">AI30</f>
        <v>-0</v>
      </c>
      <c r="AJ105" s="146" t="n">
        <f aca="false">AJ30</f>
        <v>-0</v>
      </c>
      <c r="AK105" s="146" t="n">
        <f aca="false">AK30</f>
        <v>-0</v>
      </c>
      <c r="AL105" s="146" t="n">
        <f aca="false">AL30</f>
        <v>-0</v>
      </c>
      <c r="AM105" s="146" t="n">
        <f aca="false">AM30</f>
        <v>-0</v>
      </c>
      <c r="AN105" s="146" t="n">
        <f aca="false">AN30</f>
        <v>-0</v>
      </c>
      <c r="AO105" s="146" t="n">
        <f aca="false">AO30</f>
        <v>-0</v>
      </c>
      <c r="AP105" s="146" t="n">
        <f aca="false">AP30</f>
        <v>-0</v>
      </c>
      <c r="AQ105" s="146" t="n">
        <f aca="false">AQ30</f>
        <v>-0</v>
      </c>
    </row>
    <row r="106" customFormat="false" ht="15" hidden="false" customHeight="false" outlineLevel="0" collapsed="false">
      <c r="C106" s="0" t="s">
        <v>13</v>
      </c>
      <c r="D106" s="0" t="s">
        <v>125</v>
      </c>
      <c r="E106" s="146"/>
      <c r="F106" s="146"/>
      <c r="G106" s="146" t="n">
        <f aca="false">SUM(H106:AQ106)</f>
        <v>632066.796466656</v>
      </c>
      <c r="H106" s="146" t="n">
        <f aca="false">H70</f>
        <v>0</v>
      </c>
      <c r="I106" s="146" t="n">
        <f aca="false">I70</f>
        <v>0</v>
      </c>
      <c r="J106" s="146" t="n">
        <f aca="false">J70</f>
        <v>0</v>
      </c>
      <c r="K106" s="146" t="n">
        <f aca="false">K70</f>
        <v>-205.403215633226</v>
      </c>
      <c r="L106" s="146" t="n">
        <f aca="false">L70</f>
        <v>-417.643902439025</v>
      </c>
      <c r="M106" s="146" t="n">
        <f aca="false">M70</f>
        <v>13714.9337026661</v>
      </c>
      <c r="N106" s="146" t="n">
        <f aca="false">N70</f>
        <v>20433.3534313765</v>
      </c>
      <c r="O106" s="146" t="n">
        <f aca="false">O70</f>
        <v>20493.2276776395</v>
      </c>
      <c r="P106" s="146" t="n">
        <f aca="false">P70</f>
        <v>20551.2786676024</v>
      </c>
      <c r="Q106" s="146" t="n">
        <f aca="false">Q70</f>
        <v>20607.440059031</v>
      </c>
      <c r="R106" s="146" t="n">
        <f aca="false">R70</f>
        <v>20661.6437398434</v>
      </c>
      <c r="S106" s="146" t="n">
        <f aca="false">S70</f>
        <v>20713.819783877</v>
      </c>
      <c r="T106" s="146" t="n">
        <f aca="false">T70</f>
        <v>20763.8964055665</v>
      </c>
      <c r="U106" s="146" t="n">
        <f aca="false">U70</f>
        <v>20811.7999135077</v>
      </c>
      <c r="V106" s="146" t="n">
        <f aca="false">V70</f>
        <v>20857.454662877</v>
      </c>
      <c r="W106" s="146" t="n">
        <f aca="false">W70</f>
        <v>20900.7830066815</v>
      </c>
      <c r="X106" s="146" t="n">
        <f aca="false">X70</f>
        <v>20941.7052458091</v>
      </c>
      <c r="Y106" s="146" t="n">
        <f aca="false">Y70</f>
        <v>20980.1395778493</v>
      </c>
      <c r="Z106" s="146" t="n">
        <f aca="false">Z70</f>
        <v>21016.0020446558</v>
      </c>
      <c r="AA106" s="146" t="n">
        <f aca="false">AA70</f>
        <v>21049.2064786182</v>
      </c>
      <c r="AB106" s="146" t="n">
        <f aca="false">AB70</f>
        <v>21079.6644476126</v>
      </c>
      <c r="AC106" s="146" t="n">
        <f aca="false">AC70</f>
        <v>21107.2851985976</v>
      </c>
      <c r="AD106" s="146" t="n">
        <f aca="false">AD70</f>
        <v>21131.9755998237</v>
      </c>
      <c r="AE106" s="146" t="n">
        <f aca="false">AE70</f>
        <v>21153.6400816205</v>
      </c>
      <c r="AF106" s="146" t="n">
        <f aca="false">AF70</f>
        <v>21172.1805757282</v>
      </c>
      <c r="AG106" s="146" t="n">
        <f aca="false">AG70</f>
        <v>21187.4964531364</v>
      </c>
      <c r="AH106" s="146" t="n">
        <f aca="false">AH70</f>
        <v>21199.4844603948</v>
      </c>
      <c r="AI106" s="146" t="n">
        <f aca="false">AI70</f>
        <v>21208.0386543575</v>
      </c>
      <c r="AJ106" s="146" t="n">
        <f aca="false">AJ70</f>
        <v>21213.0503353224</v>
      </c>
      <c r="AK106" s="146" t="n">
        <f aca="false">AK70</f>
        <v>21214.4079785268</v>
      </c>
      <c r="AL106" s="146" t="n">
        <f aca="false">AL70</f>
        <v>21211.9971639586</v>
      </c>
      <c r="AM106" s="146" t="n">
        <f aca="false">AM70</f>
        <v>21205.7005044412</v>
      </c>
      <c r="AN106" s="146" t="n">
        <f aca="false">AN70</f>
        <v>21195.3975719509</v>
      </c>
      <c r="AO106" s="146" t="n">
        <f aca="false">AO70</f>
        <v>21180.9648221222</v>
      </c>
      <c r="AP106" s="146" t="n">
        <f aca="false">AP70</f>
        <v>21162.2755168973</v>
      </c>
      <c r="AQ106" s="146" t="n">
        <f aca="false">AQ70</f>
        <v>10569.599822637</v>
      </c>
    </row>
    <row r="107" customFormat="false" ht="15" hidden="false" customHeight="false" outlineLevel="0" collapsed="false">
      <c r="C107" s="0" t="s">
        <v>1284</v>
      </c>
      <c r="D107" s="0" t="s">
        <v>125</v>
      </c>
      <c r="E107" s="146" t="n">
        <f aca="false">Inputs!$E$177</f>
        <v>30</v>
      </c>
      <c r="F107" s="146"/>
      <c r="G107" s="146" t="n">
        <f aca="false">SUM(H107:AQ107)</f>
        <v>-4077</v>
      </c>
      <c r="H107" s="146" t="n">
        <f aca="false">-$E$107*$E$35*H11</f>
        <v>-0</v>
      </c>
      <c r="I107" s="146" t="n">
        <f aca="false">-$E$107*$E$35*I11</f>
        <v>-0</v>
      </c>
      <c r="J107" s="146" t="n">
        <f aca="false">-$E$107*$E$35*J11</f>
        <v>-0</v>
      </c>
      <c r="K107" s="146" t="n">
        <f aca="false">-$E$107*$E$35*K11</f>
        <v>-0</v>
      </c>
      <c r="L107" s="146" t="n">
        <f aca="false">-$E$107*$E$35*L11</f>
        <v>-0</v>
      </c>
      <c r="M107" s="146" t="n">
        <f aca="false">-$E$107*$E$35*M11</f>
        <v>-0</v>
      </c>
      <c r="N107" s="146" t="n">
        <f aca="false">-$E$107*$E$35*N11</f>
        <v>-0</v>
      </c>
      <c r="O107" s="146" t="n">
        <f aca="false">-$E$107*$E$35*O11</f>
        <v>-0</v>
      </c>
      <c r="P107" s="146" t="n">
        <f aca="false">-$E$107*$E$35*P11</f>
        <v>-0</v>
      </c>
      <c r="Q107" s="146" t="n">
        <f aca="false">-$E$107*$E$35*Q11</f>
        <v>-0</v>
      </c>
      <c r="R107" s="146" t="n">
        <f aca="false">-$E$107*$E$35*R11</f>
        <v>-0</v>
      </c>
      <c r="S107" s="146" t="n">
        <f aca="false">-$E$107*$E$35*S11</f>
        <v>-0</v>
      </c>
      <c r="T107" s="146" t="n">
        <f aca="false">-$E$107*$E$35*T11</f>
        <v>-0</v>
      </c>
      <c r="U107" s="146" t="n">
        <f aca="false">-$E$107*$E$35*U11</f>
        <v>-0</v>
      </c>
      <c r="V107" s="146" t="n">
        <f aca="false">-$E$107*$E$35*V11</f>
        <v>-0</v>
      </c>
      <c r="W107" s="146" t="n">
        <f aca="false">-$E$107*$E$35*W11</f>
        <v>-0</v>
      </c>
      <c r="X107" s="146" t="n">
        <f aca="false">-$E$107*$E$35*X11</f>
        <v>-0</v>
      </c>
      <c r="Y107" s="146" t="n">
        <f aca="false">-$E$107*$E$35*Y11</f>
        <v>-0</v>
      </c>
      <c r="Z107" s="146" t="n">
        <f aca="false">-$E$107*$E$35*Z11</f>
        <v>-0</v>
      </c>
      <c r="AA107" s="146" t="n">
        <f aca="false">-$E$107*$E$35*AA11</f>
        <v>-0</v>
      </c>
      <c r="AB107" s="146" t="n">
        <f aca="false">-$E$107*$E$35*AB11</f>
        <v>-0</v>
      </c>
      <c r="AC107" s="146" t="n">
        <f aca="false">-$E$107*$E$35*AC11</f>
        <v>-0</v>
      </c>
      <c r="AD107" s="146" t="n">
        <f aca="false">-$E$107*$E$35*AD11</f>
        <v>-0</v>
      </c>
      <c r="AE107" s="146" t="n">
        <f aca="false">-$E$107*$E$35*AE11</f>
        <v>-0</v>
      </c>
      <c r="AF107" s="146" t="n">
        <f aca="false">-$E$107*$E$35*AF11</f>
        <v>-0</v>
      </c>
      <c r="AG107" s="146" t="n">
        <f aca="false">-$E$107*$E$35*AG11</f>
        <v>-0</v>
      </c>
      <c r="AH107" s="146" t="n">
        <f aca="false">-$E$107*$E$35*AH11</f>
        <v>-0</v>
      </c>
      <c r="AI107" s="146" t="n">
        <f aca="false">-$E$107*$E$35*AI11</f>
        <v>-0</v>
      </c>
      <c r="AJ107" s="146" t="n">
        <f aca="false">-$E$107*$E$35*AJ11</f>
        <v>-0</v>
      </c>
      <c r="AK107" s="146" t="n">
        <f aca="false">-$E$107*$E$35*AK11</f>
        <v>-0</v>
      </c>
      <c r="AL107" s="146" t="n">
        <f aca="false">-$E$107*$E$35*AL11</f>
        <v>-0</v>
      </c>
      <c r="AM107" s="146" t="n">
        <f aca="false">-$E$107*$E$35*AM11</f>
        <v>-0</v>
      </c>
      <c r="AN107" s="146" t="n">
        <f aca="false">-$E$107*$E$35*AN11</f>
        <v>-0</v>
      </c>
      <c r="AO107" s="146" t="n">
        <f aca="false">-$E$107*$E$35*AO11</f>
        <v>-0</v>
      </c>
      <c r="AP107" s="146" t="n">
        <f aca="false">-$E$107*$E$35*AP11</f>
        <v>-0</v>
      </c>
      <c r="AQ107" s="146" t="n">
        <f aca="false">-$E$107*$E$35*AQ11</f>
        <v>-4077</v>
      </c>
    </row>
    <row r="108" customFormat="false" ht="15" hidden="false" customHeight="false" outlineLevel="0" collapsed="false">
      <c r="C108" s="0" t="s">
        <v>1285</v>
      </c>
      <c r="D108" s="0" t="s">
        <v>125</v>
      </c>
      <c r="E108" s="146" t="n">
        <f aca="false">Inputs!$E$178</f>
        <v>0</v>
      </c>
      <c r="F108" s="146"/>
      <c r="G108" s="146" t="n">
        <f aca="false">SUM(H108:AQ108)</f>
        <v>0</v>
      </c>
      <c r="H108" s="146" t="n">
        <f aca="false">$E$108*$E$35*H11</f>
        <v>0</v>
      </c>
      <c r="I108" s="146" t="n">
        <f aca="false">$E$108*$E$35*I11</f>
        <v>0</v>
      </c>
      <c r="J108" s="146" t="n">
        <f aca="false">$E$108*$E$35*J11</f>
        <v>0</v>
      </c>
      <c r="K108" s="146" t="n">
        <f aca="false">$E$108*$E$35*K11</f>
        <v>0</v>
      </c>
      <c r="L108" s="146" t="n">
        <f aca="false">$E$108*$E$35*L11</f>
        <v>0</v>
      </c>
      <c r="M108" s="146" t="n">
        <f aca="false">$E$108*$E$35*M11</f>
        <v>0</v>
      </c>
      <c r="N108" s="146" t="n">
        <f aca="false">$E$108*$E$35*N11</f>
        <v>0</v>
      </c>
      <c r="O108" s="146" t="n">
        <f aca="false">$E$108*$E$35*O11</f>
        <v>0</v>
      </c>
      <c r="P108" s="146" t="n">
        <f aca="false">$E$108*$E$35*P11</f>
        <v>0</v>
      </c>
      <c r="Q108" s="146" t="n">
        <f aca="false">$E$108*$E$35*Q11</f>
        <v>0</v>
      </c>
      <c r="R108" s="146" t="n">
        <f aca="false">$E$108*$E$35*R11</f>
        <v>0</v>
      </c>
      <c r="S108" s="146" t="n">
        <f aca="false">$E$108*$E$35*S11</f>
        <v>0</v>
      </c>
      <c r="T108" s="146" t="n">
        <f aca="false">$E$108*$E$35*T11</f>
        <v>0</v>
      </c>
      <c r="U108" s="146" t="n">
        <f aca="false">$E$108*$E$35*U11</f>
        <v>0</v>
      </c>
      <c r="V108" s="146" t="n">
        <f aca="false">$E$108*$E$35*V11</f>
        <v>0</v>
      </c>
      <c r="W108" s="146" t="n">
        <f aca="false">$E$108*$E$35*W11</f>
        <v>0</v>
      </c>
      <c r="X108" s="146" t="n">
        <f aca="false">$E$108*$E$35*X11</f>
        <v>0</v>
      </c>
      <c r="Y108" s="146" t="n">
        <f aca="false">$E$108*$E$35*Y11</f>
        <v>0</v>
      </c>
      <c r="Z108" s="146" t="n">
        <f aca="false">$E$108*$E$35*Z11</f>
        <v>0</v>
      </c>
      <c r="AA108" s="146" t="n">
        <f aca="false">$E$108*$E$35*AA11</f>
        <v>0</v>
      </c>
      <c r="AB108" s="146" t="n">
        <f aca="false">$E$108*$E$35*AB11</f>
        <v>0</v>
      </c>
      <c r="AC108" s="146" t="n">
        <f aca="false">$E$108*$E$35*AC11</f>
        <v>0</v>
      </c>
      <c r="AD108" s="146" t="n">
        <f aca="false">$E$108*$E$35*AD11</f>
        <v>0</v>
      </c>
      <c r="AE108" s="146" t="n">
        <f aca="false">$E$108*$E$35*AE11</f>
        <v>0</v>
      </c>
      <c r="AF108" s="146" t="n">
        <f aca="false">$E$108*$E$35*AF11</f>
        <v>0</v>
      </c>
      <c r="AG108" s="146" t="n">
        <f aca="false">$E$108*$E$35*AG11</f>
        <v>0</v>
      </c>
      <c r="AH108" s="146" t="n">
        <f aca="false">$E$108*$E$35*AH11</f>
        <v>0</v>
      </c>
      <c r="AI108" s="146" t="n">
        <f aca="false">$E$108*$E$35*AI11</f>
        <v>0</v>
      </c>
      <c r="AJ108" s="146" t="n">
        <f aca="false">$E$108*$E$35*AJ11</f>
        <v>0</v>
      </c>
      <c r="AK108" s="146" t="n">
        <f aca="false">$E$108*$E$35*AK11</f>
        <v>0</v>
      </c>
      <c r="AL108" s="146" t="n">
        <f aca="false">$E$108*$E$35*AL11</f>
        <v>0</v>
      </c>
      <c r="AM108" s="146" t="n">
        <f aca="false">$E$108*$E$35*AM11</f>
        <v>0</v>
      </c>
      <c r="AN108" s="146" t="n">
        <f aca="false">$E$108*$E$35*AN11</f>
        <v>0</v>
      </c>
      <c r="AO108" s="146" t="n">
        <f aca="false">$E$108*$E$35*AO11</f>
        <v>0</v>
      </c>
      <c r="AP108" s="146" t="n">
        <f aca="false">$E$108*$E$35*AP11</f>
        <v>0</v>
      </c>
      <c r="AQ108" s="146" t="n">
        <f aca="false">$E$108*$E$35*AQ11</f>
        <v>0</v>
      </c>
    </row>
    <row r="109" customFormat="false" ht="15" hidden="false" customHeight="false" outlineLevel="0" collapsed="false">
      <c r="C109" s="205" t="s">
        <v>1286</v>
      </c>
      <c r="D109" s="205" t="s">
        <v>125</v>
      </c>
      <c r="E109" s="277"/>
      <c r="F109" s="277"/>
      <c r="G109" s="277" t="n">
        <f aca="false">SUM(H109:AQ109)</f>
        <v>453102.263699682</v>
      </c>
      <c r="H109" s="277" t="n">
        <f aca="false">SUM(H104:H108)</f>
        <v>-1570.61764901888</v>
      </c>
      <c r="I109" s="277" t="n">
        <f aca="false">SUM(I104:I108)</f>
        <v>-778.738143280267</v>
      </c>
      <c r="J109" s="277" t="n">
        <f aca="false">SUM(J104:J108)</f>
        <v>-1227.43813118225</v>
      </c>
      <c r="K109" s="277" t="n">
        <f aca="false">SUM(K104:K108)</f>
        <v>-61051.8514670827</v>
      </c>
      <c r="L109" s="277" t="n">
        <f aca="false">SUM(L104:L108)</f>
        <v>-70920.3290051788</v>
      </c>
      <c r="M109" s="277" t="n">
        <f aca="false">SUM(M104:M108)</f>
        <v>-26246.6717866378</v>
      </c>
      <c r="N109" s="277" t="n">
        <f aca="false">SUM(N104:N108)</f>
        <v>20433.3534313765</v>
      </c>
      <c r="O109" s="277" t="n">
        <f aca="false">SUM(O104:O108)</f>
        <v>20493.2276776395</v>
      </c>
      <c r="P109" s="277" t="n">
        <f aca="false">SUM(P104:P108)</f>
        <v>20551.2786676024</v>
      </c>
      <c r="Q109" s="277" t="n">
        <f aca="false">SUM(Q104:Q108)</f>
        <v>20607.440059031</v>
      </c>
      <c r="R109" s="277" t="n">
        <f aca="false">SUM(R104:R108)</f>
        <v>20661.6437398434</v>
      </c>
      <c r="S109" s="277" t="n">
        <f aca="false">SUM(S104:S108)</f>
        <v>20713.819783877</v>
      </c>
      <c r="T109" s="277" t="n">
        <f aca="false">SUM(T104:T108)</f>
        <v>20763.8964055665</v>
      </c>
      <c r="U109" s="277" t="n">
        <f aca="false">SUM(U104:U108)</f>
        <v>20811.7999135077</v>
      </c>
      <c r="V109" s="277" t="n">
        <f aca="false">SUM(V104:V108)</f>
        <v>20857.454662877</v>
      </c>
      <c r="W109" s="277" t="n">
        <f aca="false">SUM(W104:W108)</f>
        <v>20900.7830066815</v>
      </c>
      <c r="X109" s="277" t="n">
        <f aca="false">SUM(X104:X108)</f>
        <v>20941.7052458091</v>
      </c>
      <c r="Y109" s="277" t="n">
        <f aca="false">SUM(Y104:Y108)</f>
        <v>20980.1395778493</v>
      </c>
      <c r="Z109" s="277" t="n">
        <f aca="false">SUM(Z104:Z108)</f>
        <v>21016.0020446558</v>
      </c>
      <c r="AA109" s="277" t="n">
        <f aca="false">SUM(AA104:AA108)</f>
        <v>21049.2064786182</v>
      </c>
      <c r="AB109" s="277" t="n">
        <f aca="false">SUM(AB104:AB108)</f>
        <v>21079.6644476126</v>
      </c>
      <c r="AC109" s="277" t="n">
        <f aca="false">SUM(AC104:AC108)</f>
        <v>21107.2851985976</v>
      </c>
      <c r="AD109" s="277" t="n">
        <f aca="false">SUM(AD104:AD108)</f>
        <v>21131.9755998237</v>
      </c>
      <c r="AE109" s="277" t="n">
        <f aca="false">SUM(AE104:AE108)</f>
        <v>21153.6400816205</v>
      </c>
      <c r="AF109" s="277" t="n">
        <f aca="false">SUM(AF104:AF108)</f>
        <v>21172.1805757282</v>
      </c>
      <c r="AG109" s="277" t="n">
        <f aca="false">SUM(AG104:AG108)</f>
        <v>21187.4964531364</v>
      </c>
      <c r="AH109" s="277" t="n">
        <f aca="false">SUM(AH104:AH108)</f>
        <v>21199.4844603948</v>
      </c>
      <c r="AI109" s="277" t="n">
        <f aca="false">SUM(AI104:AI108)</f>
        <v>21208.0386543575</v>
      </c>
      <c r="AJ109" s="277" t="n">
        <f aca="false">SUM(AJ104:AJ108)</f>
        <v>21213.0503353224</v>
      </c>
      <c r="AK109" s="277" t="n">
        <f aca="false">SUM(AK104:AK108)</f>
        <v>21214.4079785268</v>
      </c>
      <c r="AL109" s="277" t="n">
        <f aca="false">SUM(AL104:AL108)</f>
        <v>21211.9971639586</v>
      </c>
      <c r="AM109" s="277" t="n">
        <f aca="false">SUM(AM104:AM108)</f>
        <v>21205.7005044412</v>
      </c>
      <c r="AN109" s="277" t="n">
        <f aca="false">SUM(AN104:AN108)</f>
        <v>21195.3975719509</v>
      </c>
      <c r="AO109" s="277" t="n">
        <f aca="false">SUM(AO104:AO108)</f>
        <v>21180.9648221222</v>
      </c>
      <c r="AP109" s="277" t="n">
        <f aca="false">SUM(AP104:AP108)</f>
        <v>21162.2755168973</v>
      </c>
      <c r="AQ109" s="277" t="n">
        <f aca="false">SUM(AQ104:AQ108)</f>
        <v>6492.59982263695</v>
      </c>
    </row>
    <row r="110" customFormat="false" ht="15" hidden="false" customHeight="false" outlineLevel="0" collapsed="false">
      <c r="C110" s="205" t="s">
        <v>1287</v>
      </c>
      <c r="D110" s="205" t="s">
        <v>125</v>
      </c>
      <c r="E110" s="277"/>
      <c r="F110" s="277"/>
      <c r="G110" s="277" t="n">
        <f aca="false">SUM(H110:AQ110)</f>
        <v>383773.139225456</v>
      </c>
      <c r="H110" s="277" t="n">
        <f aca="false">H109+H101</f>
        <v>-1570.61764901888</v>
      </c>
      <c r="I110" s="277" t="n">
        <f aca="false">I109+I101</f>
        <v>-778.738143280267</v>
      </c>
      <c r="J110" s="277" t="n">
        <f aca="false">J109+J101</f>
        <v>-1227.43813118225</v>
      </c>
      <c r="K110" s="277" t="n">
        <f aca="false">K109+K101</f>
        <v>-61051.8514670827</v>
      </c>
      <c r="L110" s="277" t="n">
        <f aca="false">L109+L101</f>
        <v>-70920.3290051788</v>
      </c>
      <c r="M110" s="277" t="n">
        <f aca="false">M109+M101</f>
        <v>-27664.5530404506</v>
      </c>
      <c r="N110" s="277" t="n">
        <f aca="false">N109+N101</f>
        <v>18647.0680198442</v>
      </c>
      <c r="O110" s="277" t="n">
        <f aca="false">O109+O101</f>
        <v>18697.9611291677</v>
      </c>
      <c r="P110" s="277" t="n">
        <f aca="false">P109+P101</f>
        <v>18747.3044706362</v>
      </c>
      <c r="Q110" s="277" t="n">
        <f aca="false">Q109+Q101</f>
        <v>18795.0416533505</v>
      </c>
      <c r="R110" s="277" t="n">
        <f aca="false">R109+R101</f>
        <v>18841.1147820411</v>
      </c>
      <c r="S110" s="277" t="n">
        <f aca="false">S109+S101</f>
        <v>18885.4644194696</v>
      </c>
      <c r="T110" s="277" t="n">
        <f aca="false">T109+T101</f>
        <v>18928.0295479057</v>
      </c>
      <c r="U110" s="277" t="n">
        <f aca="false">U109+U101</f>
        <v>18968.7475296557</v>
      </c>
      <c r="V110" s="277" t="n">
        <f aca="false">V109+V101</f>
        <v>19007.5540666196</v>
      </c>
      <c r="W110" s="277" t="n">
        <f aca="false">W109+W101</f>
        <v>19044.3831588535</v>
      </c>
      <c r="X110" s="277" t="n">
        <f aca="false">X109+X101</f>
        <v>19079.1670621119</v>
      </c>
      <c r="Y110" s="277" t="n">
        <f aca="false">Y109+Y101</f>
        <v>19111.8362443461</v>
      </c>
      <c r="Z110" s="277" t="n">
        <f aca="false">Z109+Z101</f>
        <v>19142.3193411317</v>
      </c>
      <c r="AA110" s="277" t="n">
        <f aca="false">AA109+AA101</f>
        <v>19170.5431099997</v>
      </c>
      <c r="AB110" s="277" t="n">
        <f aca="false">AB109+AB101</f>
        <v>19196.4323836449</v>
      </c>
      <c r="AC110" s="277" t="n">
        <f aca="false">AC109+AC101</f>
        <v>19219.9100219821</v>
      </c>
      <c r="AD110" s="277" t="n">
        <f aca="false">AD109+AD101</f>
        <v>19240.8968630243</v>
      </c>
      <c r="AE110" s="277" t="n">
        <f aca="false">AE109+AE101</f>
        <v>19259.3116725516</v>
      </c>
      <c r="AF110" s="277" t="n">
        <f aca="false">AF109+AF101</f>
        <v>19275.0710925432</v>
      </c>
      <c r="AG110" s="277" t="n">
        <f aca="false">AG109+AG101</f>
        <v>18648.730786753</v>
      </c>
      <c r="AH110" s="277" t="n">
        <f aca="false">AH109+AH101</f>
        <v>18019.5617913356</v>
      </c>
      <c r="AI110" s="277" t="n">
        <f aca="false">AI109+AI101</f>
        <v>18026.8328562038</v>
      </c>
      <c r="AJ110" s="277" t="n">
        <f aca="false">AJ109+AJ101</f>
        <v>18031.092785024</v>
      </c>
      <c r="AK110" s="277" t="n">
        <f aca="false">AK109+AK101</f>
        <v>18032.2467817478</v>
      </c>
      <c r="AL110" s="277" t="n">
        <f aca="false">AL109+AL101</f>
        <v>18030.1975893648</v>
      </c>
      <c r="AM110" s="277" t="n">
        <f aca="false">AM109+AM101</f>
        <v>18024.845428775</v>
      </c>
      <c r="AN110" s="277" t="n">
        <f aca="false">AN109+AN101</f>
        <v>18016.0879361583</v>
      </c>
      <c r="AO110" s="277" t="n">
        <f aca="false">AO109+AO101</f>
        <v>18003.8200988039</v>
      </c>
      <c r="AP110" s="277" t="n">
        <f aca="false">AP109+AP101</f>
        <v>17987.9341893627</v>
      </c>
      <c r="AQ110" s="277" t="n">
        <f aca="false">AQ109+AQ101</f>
        <v>4907.15984924141</v>
      </c>
    </row>
    <row r="111" customFormat="false" ht="15" hidden="false" customHeight="false" outlineLevel="0" collapsed="false">
      <c r="C111" s="0" t="s">
        <v>1288</v>
      </c>
      <c r="D111" s="0" t="s">
        <v>125</v>
      </c>
      <c r="E111" s="146"/>
      <c r="F111" s="146"/>
      <c r="G111" s="146" t="n">
        <v>0</v>
      </c>
      <c r="H111" s="146" t="n">
        <f aca="false">G111+H110</f>
        <v>-1570.61764901888</v>
      </c>
      <c r="I111" s="146" t="n">
        <f aca="false">H111+I110</f>
        <v>-2349.35579229915</v>
      </c>
      <c r="J111" s="146" t="n">
        <f aca="false">I111+J110</f>
        <v>-3576.7939234814</v>
      </c>
      <c r="K111" s="146" t="n">
        <f aca="false">J111+K110</f>
        <v>-64628.6453905641</v>
      </c>
      <c r="L111" s="146" t="n">
        <f aca="false">K111+L110</f>
        <v>-135548.974395743</v>
      </c>
      <c r="M111" s="146" t="n">
        <f aca="false">L111+M110</f>
        <v>-163213.527436193</v>
      </c>
      <c r="N111" s="146" t="n">
        <f aca="false">M111+N110</f>
        <v>-144566.459416349</v>
      </c>
      <c r="O111" s="146" t="n">
        <f aca="false">N111+O110</f>
        <v>-125868.498287181</v>
      </c>
      <c r="P111" s="146" t="n">
        <f aca="false">O111+P110</f>
        <v>-107121.193816545</v>
      </c>
      <c r="Q111" s="146" t="n">
        <f aca="false">P111+Q110</f>
        <v>-88326.1521631947</v>
      </c>
      <c r="R111" s="146" t="n">
        <f aca="false">Q111+R110</f>
        <v>-69485.0373811536</v>
      </c>
      <c r="S111" s="146" t="n">
        <f aca="false">R111+S110</f>
        <v>-50599.572961684</v>
      </c>
      <c r="T111" s="146" t="n">
        <f aca="false">S111+T110</f>
        <v>-31671.5434137783</v>
      </c>
      <c r="U111" s="146" t="n">
        <f aca="false">T111+U110</f>
        <v>-12702.7958841226</v>
      </c>
      <c r="V111" s="146" t="n">
        <f aca="false">U111+V110</f>
        <v>6304.75818249703</v>
      </c>
      <c r="W111" s="146" t="n">
        <f aca="false">V111+W110</f>
        <v>25349.1413413505</v>
      </c>
      <c r="X111" s="146" t="n">
        <f aca="false">W111+X110</f>
        <v>44428.3084034624</v>
      </c>
      <c r="Y111" s="146" t="n">
        <f aca="false">X111+Y110</f>
        <v>63540.1446478085</v>
      </c>
      <c r="Z111" s="146" t="n">
        <f aca="false">Y111+Z110</f>
        <v>82682.4639889402</v>
      </c>
      <c r="AA111" s="146" t="n">
        <f aca="false">Z111+AA110</f>
        <v>101853.00709894</v>
      </c>
      <c r="AB111" s="146" t="n">
        <f aca="false">AA111+AB110</f>
        <v>121049.439482585</v>
      </c>
      <c r="AC111" s="146" t="n">
        <f aca="false">AB111+AC110</f>
        <v>140269.349504567</v>
      </c>
      <c r="AD111" s="146" t="n">
        <f aca="false">AC111+AD110</f>
        <v>159510.246367591</v>
      </c>
      <c r="AE111" s="146" t="n">
        <f aca="false">AD111+AE110</f>
        <v>178769.558040143</v>
      </c>
      <c r="AF111" s="146" t="n">
        <f aca="false">AE111+AF110</f>
        <v>198044.629132686</v>
      </c>
      <c r="AG111" s="146" t="n">
        <f aca="false">AF111+AG110</f>
        <v>216693.359919439</v>
      </c>
      <c r="AH111" s="146" t="n">
        <f aca="false">AG111+AH110</f>
        <v>234712.921710775</v>
      </c>
      <c r="AI111" s="146" t="n">
        <f aca="false">AH111+AI110</f>
        <v>252739.754566978</v>
      </c>
      <c r="AJ111" s="146" t="n">
        <f aca="false">AI111+AJ110</f>
        <v>270770.847352002</v>
      </c>
      <c r="AK111" s="146" t="n">
        <f aca="false">AJ111+AK110</f>
        <v>288803.09413375</v>
      </c>
      <c r="AL111" s="146" t="n">
        <f aca="false">AK111+AL110</f>
        <v>306833.291723115</v>
      </c>
      <c r="AM111" s="146" t="n">
        <f aca="false">AL111+AM110</f>
        <v>324858.13715189</v>
      </c>
      <c r="AN111" s="146" t="n">
        <f aca="false">AM111+AN110</f>
        <v>342874.225088048</v>
      </c>
      <c r="AO111" s="146" t="n">
        <f aca="false">AN111+AO110</f>
        <v>360878.045186852</v>
      </c>
      <c r="AP111" s="146" t="n">
        <f aca="false">AO111+AP110</f>
        <v>378865.979376215</v>
      </c>
      <c r="AQ111" s="146" t="n">
        <f aca="false">AP111+AQ110</f>
        <v>383773.139225456</v>
      </c>
    </row>
    <row r="112" customFormat="false" ht="15" hidden="false" customHeight="false" outlineLevel="0" collapsed="false">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46"/>
      <c r="AL112" s="146"/>
      <c r="AM112" s="146"/>
      <c r="AN112" s="146"/>
      <c r="AO112" s="146"/>
      <c r="AP112" s="146"/>
      <c r="AQ112" s="146"/>
    </row>
    <row r="113" customFormat="false" ht="15" hidden="false" customHeight="false" outlineLevel="0" collapsed="false">
      <c r="C113" s="136" t="s">
        <v>1289</v>
      </c>
      <c r="D113" s="136"/>
      <c r="E113" s="278"/>
      <c r="F113" s="278"/>
      <c r="G113" s="278"/>
      <c r="H113" s="278"/>
      <c r="I113" s="278"/>
      <c r="J113" s="278"/>
      <c r="K113" s="278"/>
      <c r="L113" s="278"/>
      <c r="M113" s="278"/>
      <c r="N113" s="278"/>
      <c r="O113" s="278"/>
      <c r="P113" s="278"/>
      <c r="Q113" s="278"/>
      <c r="R113" s="278"/>
      <c r="S113" s="278"/>
      <c r="T113" s="278"/>
      <c r="U113" s="278"/>
      <c r="V113" s="278"/>
      <c r="W113" s="278"/>
      <c r="X113" s="278"/>
      <c r="Y113" s="278"/>
      <c r="Z113" s="278"/>
      <c r="AA113" s="278"/>
      <c r="AB113" s="278"/>
      <c r="AC113" s="278"/>
      <c r="AD113" s="278"/>
      <c r="AE113" s="278"/>
      <c r="AF113" s="278"/>
      <c r="AG113" s="278"/>
      <c r="AH113" s="278"/>
      <c r="AI113" s="278"/>
      <c r="AJ113" s="278"/>
      <c r="AK113" s="278"/>
      <c r="AL113" s="278"/>
      <c r="AM113" s="278"/>
      <c r="AN113" s="278"/>
      <c r="AO113" s="278"/>
      <c r="AP113" s="278"/>
      <c r="AQ113" s="278"/>
    </row>
    <row r="114" customFormat="false" ht="15" hidden="false" customHeight="false" outlineLevel="0" collapsed="false">
      <c r="C114" s="0" t="s">
        <v>1282</v>
      </c>
      <c r="D114" s="0" t="s">
        <v>125</v>
      </c>
      <c r="E114" s="146"/>
      <c r="F114" s="146"/>
      <c r="G114" s="146" t="n">
        <f aca="false">SUM(H114:AQ114)</f>
        <v>-10100.2844738237</v>
      </c>
      <c r="H114" s="146" t="n">
        <f aca="false">H24</f>
        <v>-1570.61764901888</v>
      </c>
      <c r="I114" s="146" t="n">
        <f aca="false">I24</f>
        <v>-778.738143280267</v>
      </c>
      <c r="J114" s="146" t="n">
        <f aca="false">J24</f>
        <v>-1227.43813118225</v>
      </c>
      <c r="K114" s="146" t="n">
        <f aca="false">K24</f>
        <v>-5999.07235555905</v>
      </c>
      <c r="L114" s="146" t="n">
        <f aca="false">L24</f>
        <v>-350.572602739726</v>
      </c>
      <c r="M114" s="146" t="n">
        <f aca="false">M24</f>
        <v>-173.845592043535</v>
      </c>
      <c r="N114" s="146" t="n">
        <f aca="false">N24</f>
        <v>0</v>
      </c>
      <c r="O114" s="146" t="n">
        <f aca="false">O24</f>
        <v>0</v>
      </c>
      <c r="P114" s="146" t="n">
        <f aca="false">P24</f>
        <v>0</v>
      </c>
      <c r="Q114" s="146" t="n">
        <f aca="false">Q24</f>
        <v>0</v>
      </c>
      <c r="R114" s="146" t="n">
        <f aca="false">R24</f>
        <v>0</v>
      </c>
      <c r="S114" s="146" t="n">
        <f aca="false">S24</f>
        <v>0</v>
      </c>
      <c r="T114" s="146" t="n">
        <f aca="false">T24</f>
        <v>0</v>
      </c>
      <c r="U114" s="146" t="n">
        <f aca="false">U24</f>
        <v>0</v>
      </c>
      <c r="V114" s="146" t="n">
        <f aca="false">V24</f>
        <v>0</v>
      </c>
      <c r="W114" s="146" t="n">
        <f aca="false">W24</f>
        <v>0</v>
      </c>
      <c r="X114" s="146" t="n">
        <f aca="false">X24</f>
        <v>0</v>
      </c>
      <c r="Y114" s="146" t="n">
        <f aca="false">Y24</f>
        <v>0</v>
      </c>
      <c r="Z114" s="146" t="n">
        <f aca="false">Z24</f>
        <v>0</v>
      </c>
      <c r="AA114" s="146" t="n">
        <f aca="false">AA24</f>
        <v>0</v>
      </c>
      <c r="AB114" s="146" t="n">
        <f aca="false">AB24</f>
        <v>0</v>
      </c>
      <c r="AC114" s="146" t="n">
        <f aca="false">AC24</f>
        <v>0</v>
      </c>
      <c r="AD114" s="146" t="n">
        <f aca="false">AD24</f>
        <v>0</v>
      </c>
      <c r="AE114" s="146" t="n">
        <f aca="false">AE24</f>
        <v>0</v>
      </c>
      <c r="AF114" s="146" t="n">
        <f aca="false">AF24</f>
        <v>0</v>
      </c>
      <c r="AG114" s="146" t="n">
        <f aca="false">AG24</f>
        <v>0</v>
      </c>
      <c r="AH114" s="146" t="n">
        <f aca="false">AH24</f>
        <v>0</v>
      </c>
      <c r="AI114" s="146" t="n">
        <f aca="false">AI24</f>
        <v>0</v>
      </c>
      <c r="AJ114" s="146" t="n">
        <f aca="false">AJ24</f>
        <v>0</v>
      </c>
      <c r="AK114" s="146" t="n">
        <f aca="false">AK24</f>
        <v>0</v>
      </c>
      <c r="AL114" s="146" t="n">
        <f aca="false">AL24</f>
        <v>0</v>
      </c>
      <c r="AM114" s="146" t="n">
        <f aca="false">AM24</f>
        <v>0</v>
      </c>
      <c r="AN114" s="146" t="n">
        <f aca="false">AN24</f>
        <v>0</v>
      </c>
      <c r="AO114" s="146" t="n">
        <f aca="false">AO24</f>
        <v>0</v>
      </c>
      <c r="AP114" s="146" t="n">
        <f aca="false">AP24</f>
        <v>0</v>
      </c>
      <c r="AQ114" s="146" t="n">
        <f aca="false">AQ24</f>
        <v>0</v>
      </c>
    </row>
    <row r="115" customFormat="false" ht="15" hidden="false" customHeight="false" outlineLevel="0" collapsed="false">
      <c r="C115" s="0" t="s">
        <v>1283</v>
      </c>
      <c r="D115" s="0" t="s">
        <v>125</v>
      </c>
      <c r="E115" s="146"/>
      <c r="F115" s="146"/>
      <c r="G115" s="146" t="n">
        <f aca="false">SUM(H115:AQ115)</f>
        <v>-164787.248293151</v>
      </c>
      <c r="H115" s="146" t="n">
        <f aca="false">H30</f>
        <v>-0</v>
      </c>
      <c r="I115" s="146" t="n">
        <f aca="false">I30</f>
        <v>-0</v>
      </c>
      <c r="J115" s="146" t="n">
        <f aca="false">J30</f>
        <v>-0</v>
      </c>
      <c r="K115" s="146" t="n">
        <f aca="false">K30</f>
        <v>-54847.3758958904</v>
      </c>
      <c r="L115" s="146" t="n">
        <f aca="false">L30</f>
        <v>-70152.1125</v>
      </c>
      <c r="M115" s="146" t="n">
        <f aca="false">M30</f>
        <v>-39787.7598972603</v>
      </c>
      <c r="N115" s="146" t="n">
        <f aca="false">N30</f>
        <v>-0</v>
      </c>
      <c r="O115" s="146" t="n">
        <f aca="false">O30</f>
        <v>-0</v>
      </c>
      <c r="P115" s="146" t="n">
        <f aca="false">P30</f>
        <v>-0</v>
      </c>
      <c r="Q115" s="146" t="n">
        <f aca="false">Q30</f>
        <v>-0</v>
      </c>
      <c r="R115" s="146" t="n">
        <f aca="false">R30</f>
        <v>-0</v>
      </c>
      <c r="S115" s="146" t="n">
        <f aca="false">S30</f>
        <v>-0</v>
      </c>
      <c r="T115" s="146" t="n">
        <f aca="false">T30</f>
        <v>-0</v>
      </c>
      <c r="U115" s="146" t="n">
        <f aca="false">U30</f>
        <v>-0</v>
      </c>
      <c r="V115" s="146" t="n">
        <f aca="false">V30</f>
        <v>-0</v>
      </c>
      <c r="W115" s="146" t="n">
        <f aca="false">W30</f>
        <v>-0</v>
      </c>
      <c r="X115" s="146" t="n">
        <f aca="false">X30</f>
        <v>-0</v>
      </c>
      <c r="Y115" s="146" t="n">
        <f aca="false">Y30</f>
        <v>-0</v>
      </c>
      <c r="Z115" s="146" t="n">
        <f aca="false">Z30</f>
        <v>-0</v>
      </c>
      <c r="AA115" s="146" t="n">
        <f aca="false">AA30</f>
        <v>-0</v>
      </c>
      <c r="AB115" s="146" t="n">
        <f aca="false">AB30</f>
        <v>-0</v>
      </c>
      <c r="AC115" s="146" t="n">
        <f aca="false">AC30</f>
        <v>-0</v>
      </c>
      <c r="AD115" s="146" t="n">
        <f aca="false">AD30</f>
        <v>-0</v>
      </c>
      <c r="AE115" s="146" t="n">
        <f aca="false">AE30</f>
        <v>-0</v>
      </c>
      <c r="AF115" s="146" t="n">
        <f aca="false">AF30</f>
        <v>-0</v>
      </c>
      <c r="AG115" s="146" t="n">
        <f aca="false">AG30</f>
        <v>-0</v>
      </c>
      <c r="AH115" s="146" t="n">
        <f aca="false">AH30</f>
        <v>-0</v>
      </c>
      <c r="AI115" s="146" t="n">
        <f aca="false">AI30</f>
        <v>-0</v>
      </c>
      <c r="AJ115" s="146" t="n">
        <f aca="false">AJ30</f>
        <v>-0</v>
      </c>
      <c r="AK115" s="146" t="n">
        <f aca="false">AK30</f>
        <v>-0</v>
      </c>
      <c r="AL115" s="146" t="n">
        <f aca="false">AL30</f>
        <v>-0</v>
      </c>
      <c r="AM115" s="146" t="n">
        <f aca="false">AM30</f>
        <v>-0</v>
      </c>
      <c r="AN115" s="146" t="n">
        <f aca="false">AN30</f>
        <v>-0</v>
      </c>
      <c r="AO115" s="146" t="n">
        <f aca="false">AO30</f>
        <v>-0</v>
      </c>
      <c r="AP115" s="146" t="n">
        <f aca="false">AP30</f>
        <v>-0</v>
      </c>
      <c r="AQ115" s="146" t="n">
        <f aca="false">AQ30</f>
        <v>-0</v>
      </c>
    </row>
    <row r="116" customFormat="false" ht="15" hidden="false" customHeight="false" outlineLevel="0" collapsed="false">
      <c r="C116" s="0" t="s">
        <v>24</v>
      </c>
      <c r="D116" s="0" t="s">
        <v>125</v>
      </c>
      <c r="E116" s="146"/>
      <c r="F116" s="65"/>
      <c r="G116" s="146" t="n">
        <f aca="false">SUM(H116:AQ116)</f>
        <v>82393.6241465754</v>
      </c>
      <c r="H116" s="146" t="n">
        <f aca="false">H77</f>
        <v>0</v>
      </c>
      <c r="I116" s="146" t="n">
        <f aca="false">I77</f>
        <v>0</v>
      </c>
      <c r="J116" s="146" t="n">
        <f aca="false">J77</f>
        <v>0</v>
      </c>
      <c r="K116" s="146" t="n">
        <f aca="false">K77</f>
        <v>20767.7080040683</v>
      </c>
      <c r="L116" s="146" t="n">
        <f aca="false">L77</f>
        <v>41196.8120732877</v>
      </c>
      <c r="M116" s="146" t="n">
        <f aca="false">M77</f>
        <v>20429.1040692194</v>
      </c>
      <c r="N116" s="146" t="n">
        <f aca="false">N77</f>
        <v>0</v>
      </c>
      <c r="O116" s="146" t="n">
        <f aca="false">O77</f>
        <v>0</v>
      </c>
      <c r="P116" s="146" t="n">
        <f aca="false">P77</f>
        <v>0</v>
      </c>
      <c r="Q116" s="146" t="n">
        <f aca="false">Q77</f>
        <v>0</v>
      </c>
      <c r="R116" s="146" t="n">
        <f aca="false">R77</f>
        <v>0</v>
      </c>
      <c r="S116" s="146" t="n">
        <f aca="false">S77</f>
        <v>0</v>
      </c>
      <c r="T116" s="146" t="n">
        <f aca="false">T77</f>
        <v>0</v>
      </c>
      <c r="U116" s="146" t="n">
        <f aca="false">U77</f>
        <v>0</v>
      </c>
      <c r="V116" s="146" t="n">
        <f aca="false">V77</f>
        <v>0</v>
      </c>
      <c r="W116" s="146" t="n">
        <f aca="false">W77</f>
        <v>0</v>
      </c>
      <c r="X116" s="146" t="n">
        <f aca="false">X77</f>
        <v>0</v>
      </c>
      <c r="Y116" s="146" t="n">
        <f aca="false">Y77</f>
        <v>0</v>
      </c>
      <c r="Z116" s="146" t="n">
        <f aca="false">Z77</f>
        <v>0</v>
      </c>
      <c r="AA116" s="146" t="n">
        <f aca="false">AA77</f>
        <v>0</v>
      </c>
      <c r="AB116" s="146" t="n">
        <f aca="false">AB77</f>
        <v>0</v>
      </c>
      <c r="AC116" s="146" t="n">
        <f aca="false">AC77</f>
        <v>0</v>
      </c>
      <c r="AD116" s="146" t="n">
        <f aca="false">AD77</f>
        <v>0</v>
      </c>
      <c r="AE116" s="146" t="n">
        <f aca="false">AE77</f>
        <v>0</v>
      </c>
      <c r="AF116" s="146" t="n">
        <f aca="false">AF77</f>
        <v>0</v>
      </c>
      <c r="AG116" s="146" t="n">
        <f aca="false">AG77</f>
        <v>0</v>
      </c>
      <c r="AH116" s="146" t="n">
        <f aca="false">AH77</f>
        <v>0</v>
      </c>
      <c r="AI116" s="146" t="n">
        <f aca="false">AI77</f>
        <v>0</v>
      </c>
      <c r="AJ116" s="146" t="n">
        <f aca="false">AJ77</f>
        <v>0</v>
      </c>
      <c r="AK116" s="146" t="n">
        <f aca="false">AK77</f>
        <v>0</v>
      </c>
      <c r="AL116" s="146" t="n">
        <f aca="false">AL77</f>
        <v>0</v>
      </c>
      <c r="AM116" s="146" t="n">
        <f aca="false">AM77</f>
        <v>0</v>
      </c>
      <c r="AN116" s="146" t="n">
        <f aca="false">AN77</f>
        <v>0</v>
      </c>
      <c r="AO116" s="146" t="n">
        <f aca="false">AO77</f>
        <v>0</v>
      </c>
      <c r="AP116" s="146" t="n">
        <f aca="false">AP77</f>
        <v>0</v>
      </c>
      <c r="AQ116" s="146" t="n">
        <f aca="false">AQ77</f>
        <v>0</v>
      </c>
    </row>
    <row r="117" customFormat="false" ht="15" hidden="false" customHeight="false" outlineLevel="0" collapsed="false">
      <c r="C117" s="0" t="s">
        <v>1290</v>
      </c>
      <c r="D117" s="0" t="s">
        <v>125</v>
      </c>
      <c r="E117" s="146"/>
      <c r="F117" s="146"/>
      <c r="G117" s="146" t="n">
        <f aca="false">SUM(H117:AQ117)</f>
        <v>-2167.09440656277</v>
      </c>
      <c r="H117" s="146" t="n">
        <f aca="false">H85-H80</f>
        <v>-0</v>
      </c>
      <c r="I117" s="146" t="n">
        <f aca="false">I85-I80</f>
        <v>-0</v>
      </c>
      <c r="J117" s="146" t="n">
        <f aca="false">J85-J80</f>
        <v>-0</v>
      </c>
      <c r="K117" s="146" t="n">
        <f aca="false">K85-K80</f>
        <v>-1768.59576327565</v>
      </c>
      <c r="L117" s="146" t="n">
        <f aca="false">L85-L80</f>
        <v>-364.574856651854</v>
      </c>
      <c r="M117" s="146" t="n">
        <f aca="false">M85-M80</f>
        <v>-33.9237866352718</v>
      </c>
      <c r="N117" s="146" t="n">
        <f aca="false">N85-N80</f>
        <v>-0</v>
      </c>
      <c r="O117" s="146" t="n">
        <f aca="false">O85-O80</f>
        <v>-0</v>
      </c>
      <c r="P117" s="146" t="n">
        <f aca="false">P85-P80</f>
        <v>-0</v>
      </c>
      <c r="Q117" s="146" t="n">
        <f aca="false">Q85-Q80</f>
        <v>-0</v>
      </c>
      <c r="R117" s="146" t="n">
        <f aca="false">R85-R80</f>
        <v>-0</v>
      </c>
      <c r="S117" s="146" t="n">
        <f aca="false">S85-S80</f>
        <v>-0</v>
      </c>
      <c r="T117" s="146" t="n">
        <f aca="false">T85-T80</f>
        <v>-0</v>
      </c>
      <c r="U117" s="146" t="n">
        <f aca="false">U85-U80</f>
        <v>-0</v>
      </c>
      <c r="V117" s="146" t="n">
        <f aca="false">V85-V80</f>
        <v>-0</v>
      </c>
      <c r="W117" s="146" t="n">
        <f aca="false">W85-W80</f>
        <v>-0</v>
      </c>
      <c r="X117" s="146" t="n">
        <f aca="false">X85-X80</f>
        <v>-0</v>
      </c>
      <c r="Y117" s="146" t="n">
        <f aca="false">Y85-Y80</f>
        <v>-0</v>
      </c>
      <c r="Z117" s="146" t="n">
        <f aca="false">Z85-Z80</f>
        <v>-0</v>
      </c>
      <c r="AA117" s="146" t="n">
        <f aca="false">AA85-AA80</f>
        <v>-0</v>
      </c>
      <c r="AB117" s="146" t="n">
        <f aca="false">AB85-AB80</f>
        <v>-0</v>
      </c>
      <c r="AC117" s="146" t="n">
        <f aca="false">AC85-AC80</f>
        <v>-0</v>
      </c>
      <c r="AD117" s="146" t="n">
        <f aca="false">AD85-AD80</f>
        <v>-0</v>
      </c>
      <c r="AE117" s="146" t="n">
        <f aca="false">AE85-AE80</f>
        <v>-0</v>
      </c>
      <c r="AF117" s="146" t="n">
        <f aca="false">AF85-AF80</f>
        <v>-0</v>
      </c>
      <c r="AG117" s="146" t="n">
        <f aca="false">AG85-AG80</f>
        <v>-0</v>
      </c>
      <c r="AH117" s="146" t="n">
        <f aca="false">AH85-AH80</f>
        <v>-0</v>
      </c>
      <c r="AI117" s="146" t="n">
        <f aca="false">AI85-AI80</f>
        <v>-0</v>
      </c>
      <c r="AJ117" s="146" t="n">
        <f aca="false">AJ85-AJ80</f>
        <v>-0</v>
      </c>
      <c r="AK117" s="146" t="n">
        <f aca="false">AK85-AK80</f>
        <v>-0</v>
      </c>
      <c r="AL117" s="146" t="n">
        <f aca="false">AL85-AL80</f>
        <v>-0</v>
      </c>
      <c r="AM117" s="146" t="n">
        <f aca="false">AM85-AM80</f>
        <v>-0</v>
      </c>
      <c r="AN117" s="146" t="n">
        <f aca="false">AN85-AN80</f>
        <v>-0</v>
      </c>
      <c r="AO117" s="146" t="n">
        <f aca="false">AO85-AO80</f>
        <v>-0</v>
      </c>
      <c r="AP117" s="146" t="n">
        <f aca="false">AP85-AP80</f>
        <v>-0</v>
      </c>
      <c r="AQ117" s="146" t="n">
        <f aca="false">AQ85-AQ80</f>
        <v>-0</v>
      </c>
    </row>
    <row r="118" customFormat="false" ht="15" hidden="false" customHeight="false" outlineLevel="0" collapsed="false">
      <c r="C118" s="0" t="s">
        <v>13</v>
      </c>
      <c r="D118" s="0" t="s">
        <v>125</v>
      </c>
      <c r="E118" s="146"/>
      <c r="F118" s="146"/>
      <c r="G118" s="146" t="n">
        <f aca="false">SUM(H118:AQ118)</f>
        <v>632066.796466656</v>
      </c>
      <c r="H118" s="146" t="n">
        <f aca="false">H70</f>
        <v>0</v>
      </c>
      <c r="I118" s="146" t="n">
        <f aca="false">I70</f>
        <v>0</v>
      </c>
      <c r="J118" s="146" t="n">
        <f aca="false">J70</f>
        <v>0</v>
      </c>
      <c r="K118" s="146" t="n">
        <f aca="false">K70</f>
        <v>-205.403215633226</v>
      </c>
      <c r="L118" s="146" t="n">
        <f aca="false">L70</f>
        <v>-417.643902439025</v>
      </c>
      <c r="M118" s="146" t="n">
        <f aca="false">M70</f>
        <v>13714.9337026661</v>
      </c>
      <c r="N118" s="146" t="n">
        <f aca="false">N70</f>
        <v>20433.3534313765</v>
      </c>
      <c r="O118" s="146" t="n">
        <f aca="false">O70</f>
        <v>20493.2276776395</v>
      </c>
      <c r="P118" s="146" t="n">
        <f aca="false">P70</f>
        <v>20551.2786676024</v>
      </c>
      <c r="Q118" s="146" t="n">
        <f aca="false">Q70</f>
        <v>20607.440059031</v>
      </c>
      <c r="R118" s="146" t="n">
        <f aca="false">R70</f>
        <v>20661.6437398434</v>
      </c>
      <c r="S118" s="146" t="n">
        <f aca="false">S70</f>
        <v>20713.819783877</v>
      </c>
      <c r="T118" s="146" t="n">
        <f aca="false">T70</f>
        <v>20763.8964055665</v>
      </c>
      <c r="U118" s="146" t="n">
        <f aca="false">U70</f>
        <v>20811.7999135077</v>
      </c>
      <c r="V118" s="146" t="n">
        <f aca="false">V70</f>
        <v>20857.454662877</v>
      </c>
      <c r="W118" s="146" t="n">
        <f aca="false">W70</f>
        <v>20900.7830066815</v>
      </c>
      <c r="X118" s="146" t="n">
        <f aca="false">X70</f>
        <v>20941.7052458091</v>
      </c>
      <c r="Y118" s="146" t="n">
        <f aca="false">Y70</f>
        <v>20980.1395778493</v>
      </c>
      <c r="Z118" s="146" t="n">
        <f aca="false">Z70</f>
        <v>21016.0020446558</v>
      </c>
      <c r="AA118" s="146" t="n">
        <f aca="false">AA70</f>
        <v>21049.2064786182</v>
      </c>
      <c r="AB118" s="146" t="n">
        <f aca="false">AB70</f>
        <v>21079.6644476126</v>
      </c>
      <c r="AC118" s="146" t="n">
        <f aca="false">AC70</f>
        <v>21107.2851985976</v>
      </c>
      <c r="AD118" s="146" t="n">
        <f aca="false">AD70</f>
        <v>21131.9755998237</v>
      </c>
      <c r="AE118" s="146" t="n">
        <f aca="false">AE70</f>
        <v>21153.6400816205</v>
      </c>
      <c r="AF118" s="146" t="n">
        <f aca="false">AF70</f>
        <v>21172.1805757282</v>
      </c>
      <c r="AG118" s="146" t="n">
        <f aca="false">AG70</f>
        <v>21187.4964531364</v>
      </c>
      <c r="AH118" s="146" t="n">
        <f aca="false">AH70</f>
        <v>21199.4844603948</v>
      </c>
      <c r="AI118" s="146" t="n">
        <f aca="false">AI70</f>
        <v>21208.0386543575</v>
      </c>
      <c r="AJ118" s="146" t="n">
        <f aca="false">AJ70</f>
        <v>21213.0503353224</v>
      </c>
      <c r="AK118" s="146" t="n">
        <f aca="false">AK70</f>
        <v>21214.4079785268</v>
      </c>
      <c r="AL118" s="146" t="n">
        <f aca="false">AL70</f>
        <v>21211.9971639586</v>
      </c>
      <c r="AM118" s="146" t="n">
        <f aca="false">AM70</f>
        <v>21205.7005044412</v>
      </c>
      <c r="AN118" s="146" t="n">
        <f aca="false">AN70</f>
        <v>21195.3975719509</v>
      </c>
      <c r="AO118" s="146" t="n">
        <f aca="false">AO70</f>
        <v>21180.9648221222</v>
      </c>
      <c r="AP118" s="146" t="n">
        <f aca="false">AP70</f>
        <v>21162.2755168973</v>
      </c>
      <c r="AQ118" s="146" t="n">
        <f aca="false">AQ70</f>
        <v>10569.599822637</v>
      </c>
    </row>
    <row r="119" customFormat="false" ht="15" hidden="false" customHeight="false" outlineLevel="0" collapsed="false">
      <c r="C119" s="0" t="s">
        <v>1291</v>
      </c>
      <c r="D119" s="0" t="s">
        <v>125</v>
      </c>
      <c r="E119" s="146"/>
      <c r="F119" s="146"/>
      <c r="G119" s="146" t="n">
        <f aca="false">SUM(H119:AQ119)</f>
        <v>-127709.361718582</v>
      </c>
      <c r="H119" s="146" t="n">
        <f aca="false">H86-H87</f>
        <v>-0</v>
      </c>
      <c r="I119" s="146" t="n">
        <f aca="false">I86-I87</f>
        <v>-0</v>
      </c>
      <c r="J119" s="146" t="n">
        <f aca="false">J86-J87</f>
        <v>-0</v>
      </c>
      <c r="K119" s="146" t="n">
        <f aca="false">K86-K87</f>
        <v>-0</v>
      </c>
      <c r="L119" s="146" t="n">
        <f aca="false">L86-L87</f>
        <v>-0</v>
      </c>
      <c r="M119" s="146" t="n">
        <f aca="false">M86-M87</f>
        <v>-2171.72948910804</v>
      </c>
      <c r="N119" s="146" t="n">
        <f aca="false">N86-N87</f>
        <v>-8369.17548196495</v>
      </c>
      <c r="O119" s="146" t="n">
        <f aca="false">O86-O87</f>
        <v>-8369.17548196495</v>
      </c>
      <c r="P119" s="146" t="n">
        <f aca="false">P86-P87</f>
        <v>-8369.17548196495</v>
      </c>
      <c r="Q119" s="146" t="n">
        <f aca="false">Q86-Q87</f>
        <v>-8369.17548196495</v>
      </c>
      <c r="R119" s="146" t="n">
        <f aca="false">R86-R87</f>
        <v>-8369.17548196495</v>
      </c>
      <c r="S119" s="146" t="n">
        <f aca="false">S86-S87</f>
        <v>-8369.17548196495</v>
      </c>
      <c r="T119" s="146" t="n">
        <f aca="false">T86-T87</f>
        <v>-8369.17548196495</v>
      </c>
      <c r="U119" s="146" t="n">
        <f aca="false">U86-U87</f>
        <v>-8369.17548196495</v>
      </c>
      <c r="V119" s="146" t="n">
        <f aca="false">V86-V87</f>
        <v>-8369.17548196495</v>
      </c>
      <c r="W119" s="146" t="n">
        <f aca="false">W86-W87</f>
        <v>-8369.17548196495</v>
      </c>
      <c r="X119" s="146" t="n">
        <f aca="false">X86-X87</f>
        <v>-8369.17548196495</v>
      </c>
      <c r="Y119" s="146" t="n">
        <f aca="false">Y86-Y87</f>
        <v>-8369.17548196495</v>
      </c>
      <c r="Z119" s="146" t="n">
        <f aca="false">Z86-Z87</f>
        <v>-8369.17548196495</v>
      </c>
      <c r="AA119" s="146" t="n">
        <f aca="false">AA86-AA87</f>
        <v>-8369.17548196495</v>
      </c>
      <c r="AB119" s="146" t="n">
        <f aca="false">AB86-AB87</f>
        <v>-8369.17548196491</v>
      </c>
      <c r="AC119" s="146" t="n">
        <f aca="false">AC86-AC87</f>
        <v>-0</v>
      </c>
      <c r="AD119" s="146" t="n">
        <f aca="false">AD86-AD87</f>
        <v>-0</v>
      </c>
      <c r="AE119" s="146" t="n">
        <f aca="false">AE86-AE87</f>
        <v>-0</v>
      </c>
      <c r="AF119" s="146" t="n">
        <f aca="false">AF86-AF87</f>
        <v>-0</v>
      </c>
      <c r="AG119" s="146" t="n">
        <f aca="false">AG86-AG87</f>
        <v>-0</v>
      </c>
      <c r="AH119" s="146" t="n">
        <f aca="false">AH86-AH87</f>
        <v>-0</v>
      </c>
      <c r="AI119" s="146" t="n">
        <f aca="false">AI86-AI87</f>
        <v>-0</v>
      </c>
      <c r="AJ119" s="146" t="n">
        <f aca="false">AJ86-AJ87</f>
        <v>-0</v>
      </c>
      <c r="AK119" s="146" t="n">
        <f aca="false">AK86-AK87</f>
        <v>-0</v>
      </c>
      <c r="AL119" s="146" t="n">
        <f aca="false">AL86-AL87</f>
        <v>-0</v>
      </c>
      <c r="AM119" s="146" t="n">
        <f aca="false">AM86-AM87</f>
        <v>-0</v>
      </c>
      <c r="AN119" s="146" t="n">
        <f aca="false">AN86-AN87</f>
        <v>-0</v>
      </c>
      <c r="AO119" s="146" t="n">
        <f aca="false">AO86-AO87</f>
        <v>-0</v>
      </c>
      <c r="AP119" s="146" t="n">
        <f aca="false">AP86-AP87</f>
        <v>-0</v>
      </c>
      <c r="AQ119" s="146" t="n">
        <f aca="false">AQ86-AQ87</f>
        <v>-0</v>
      </c>
    </row>
    <row r="120" customFormat="false" ht="15" hidden="false" customHeight="false" outlineLevel="0" collapsed="false">
      <c r="C120" s="0" t="s">
        <v>1267</v>
      </c>
      <c r="D120" s="0" t="s">
        <v>125</v>
      </c>
      <c r="E120" s="146"/>
      <c r="F120" s="146"/>
      <c r="G120" s="146" t="n">
        <f aca="false">SUM(H120:AQ120)</f>
        <v>0</v>
      </c>
      <c r="H120" s="146" t="n">
        <f aca="false">H89</f>
        <v>-0</v>
      </c>
      <c r="I120" s="146" t="n">
        <f aca="false">I89</f>
        <v>-0</v>
      </c>
      <c r="J120" s="146" t="n">
        <f aca="false">J89</f>
        <v>-0</v>
      </c>
      <c r="K120" s="146" t="n">
        <f aca="false">K89</f>
        <v>-0</v>
      </c>
      <c r="L120" s="146" t="n">
        <f aca="false">L89</f>
        <v>-0</v>
      </c>
      <c r="M120" s="146" t="n">
        <f aca="false">M89</f>
        <v>-0</v>
      </c>
      <c r="N120" s="146" t="n">
        <f aca="false">N89</f>
        <v>-0</v>
      </c>
      <c r="O120" s="146" t="n">
        <f aca="false">O89</f>
        <v>-0</v>
      </c>
      <c r="P120" s="146" t="n">
        <f aca="false">P89</f>
        <v>-0</v>
      </c>
      <c r="Q120" s="146" t="n">
        <f aca="false">Q89</f>
        <v>-0</v>
      </c>
      <c r="R120" s="146" t="n">
        <f aca="false">R89</f>
        <v>-0</v>
      </c>
      <c r="S120" s="146" t="n">
        <f aca="false">S89</f>
        <v>-0</v>
      </c>
      <c r="T120" s="146" t="n">
        <f aca="false">T89</f>
        <v>-0</v>
      </c>
      <c r="U120" s="146" t="n">
        <f aca="false">U89</f>
        <v>-0</v>
      </c>
      <c r="V120" s="146" t="n">
        <f aca="false">V89</f>
        <v>-0</v>
      </c>
      <c r="W120" s="146" t="n">
        <f aca="false">W89</f>
        <v>-0</v>
      </c>
      <c r="X120" s="146" t="n">
        <f aca="false">X89</f>
        <v>-0</v>
      </c>
      <c r="Y120" s="146" t="n">
        <f aca="false">Y89</f>
        <v>-0</v>
      </c>
      <c r="Z120" s="146" t="n">
        <f aca="false">Z89</f>
        <v>-0</v>
      </c>
      <c r="AA120" s="146" t="n">
        <f aca="false">AA89</f>
        <v>-0</v>
      </c>
      <c r="AB120" s="146" t="n">
        <f aca="false">AB89</f>
        <v>-0</v>
      </c>
      <c r="AC120" s="146" t="n">
        <f aca="false">AC89</f>
        <v>-0</v>
      </c>
      <c r="AD120" s="146" t="n">
        <f aca="false">AD89</f>
        <v>-0</v>
      </c>
      <c r="AE120" s="146" t="n">
        <f aca="false">AE89</f>
        <v>-0</v>
      </c>
      <c r="AF120" s="146" t="n">
        <f aca="false">AF89</f>
        <v>-0</v>
      </c>
      <c r="AG120" s="146" t="n">
        <f aca="false">AG89</f>
        <v>-0</v>
      </c>
      <c r="AH120" s="146" t="n">
        <f aca="false">AH89</f>
        <v>-0</v>
      </c>
      <c r="AI120" s="146" t="n">
        <f aca="false">AI89</f>
        <v>-0</v>
      </c>
      <c r="AJ120" s="146" t="n">
        <f aca="false">AJ89</f>
        <v>-0</v>
      </c>
      <c r="AK120" s="146" t="n">
        <f aca="false">AK89</f>
        <v>-0</v>
      </c>
      <c r="AL120" s="146" t="n">
        <f aca="false">AL89</f>
        <v>-0</v>
      </c>
      <c r="AM120" s="146" t="n">
        <f aca="false">AM89</f>
        <v>-0</v>
      </c>
      <c r="AN120" s="146" t="n">
        <f aca="false">AN89</f>
        <v>-0</v>
      </c>
      <c r="AO120" s="146" t="n">
        <f aca="false">AO89</f>
        <v>-0</v>
      </c>
      <c r="AP120" s="146" t="n">
        <f aca="false">AP89</f>
        <v>-0</v>
      </c>
      <c r="AQ120" s="146" t="n">
        <f aca="false">AQ89</f>
        <v>-0</v>
      </c>
    </row>
    <row r="121" customFormat="false" ht="15" hidden="false" customHeight="false" outlineLevel="0" collapsed="false">
      <c r="C121" s="0" t="s">
        <v>1292</v>
      </c>
      <c r="D121" s="0" t="s">
        <v>125</v>
      </c>
      <c r="E121" s="146"/>
      <c r="F121" s="146"/>
      <c r="G121" s="146" t="n">
        <f aca="false">SUM(H121:AQ121)</f>
        <v>-62552.9874782598</v>
      </c>
      <c r="H121" s="146" t="n">
        <f aca="false">H100</f>
        <v>-0</v>
      </c>
      <c r="I121" s="146" t="n">
        <f aca="false">I100</f>
        <v>-0</v>
      </c>
      <c r="J121" s="146" t="n">
        <f aca="false">J100</f>
        <v>-0</v>
      </c>
      <c r="K121" s="146" t="n">
        <f aca="false">K100</f>
        <v>-0</v>
      </c>
      <c r="L121" s="146" t="n">
        <f aca="false">L100</f>
        <v>-0</v>
      </c>
      <c r="M121" s="146" t="n">
        <f aca="false">M100</f>
        <v>-543.516631225659</v>
      </c>
      <c r="N121" s="146" t="n">
        <f aca="false">N100</f>
        <v>-1033.26209119433</v>
      </c>
      <c r="O121" s="146" t="n">
        <f aca="false">O100</f>
        <v>-1173.94057551744</v>
      </c>
      <c r="P121" s="146" t="n">
        <f aca="false">P100</f>
        <v>-1214.35074147889</v>
      </c>
      <c r="Q121" s="146" t="n">
        <f aca="false">Q100</f>
        <v>-1256.06259353356</v>
      </c>
      <c r="R121" s="146" t="n">
        <f aca="false">R100</f>
        <v>-1299.14517116281</v>
      </c>
      <c r="S121" s="146" t="n">
        <f aca="false">S100</f>
        <v>-1343.67120455061</v>
      </c>
      <c r="T121" s="146" t="n">
        <f aca="false">T100</f>
        <v>-1389.71730592594</v>
      </c>
      <c r="U121" s="146" t="n">
        <f aca="false">U100</f>
        <v>-1437.36417064511</v>
      </c>
      <c r="V121" s="146" t="n">
        <f aca="false">V100</f>
        <v>-1486.6967885049</v>
      </c>
      <c r="W121" s="146" t="n">
        <f aca="false">W100</f>
        <v>-1537.80466580269</v>
      </c>
      <c r="X121" s="146" t="n">
        <f aca="false">X100</f>
        <v>-1590.7820586853</v>
      </c>
      <c r="Y121" s="146" t="n">
        <f aca="false">Y100</f>
        <v>-1645.72821835548</v>
      </c>
      <c r="Z121" s="146" t="n">
        <f aca="false">Z100</f>
        <v>-1702.74764873381</v>
      </c>
      <c r="AA121" s="146" t="n">
        <f aca="false">AA100</f>
        <v>-1761.95037720339</v>
      </c>
      <c r="AB121" s="146" t="n">
        <f aca="false">AB100</f>
        <v>-1823.45223909651</v>
      </c>
      <c r="AC121" s="146" t="n">
        <f aca="false">AC100</f>
        <v>-1887.37517661544</v>
      </c>
      <c r="AD121" s="146" t="n">
        <f aca="false">AD100</f>
        <v>-1891.07873679936</v>
      </c>
      <c r="AE121" s="146" t="n">
        <f aca="false">AE100</f>
        <v>-1894.32840906889</v>
      </c>
      <c r="AF121" s="146" t="n">
        <f aca="false">AF100</f>
        <v>-1897.10948318504</v>
      </c>
      <c r="AG121" s="146" t="n">
        <f aca="false">AG100</f>
        <v>-2538.76566638336</v>
      </c>
      <c r="AH121" s="146" t="n">
        <f aca="false">AH100</f>
        <v>-3179.92266905922</v>
      </c>
      <c r="AI121" s="146" t="n">
        <f aca="false">AI100</f>
        <v>-3181.20579815362</v>
      </c>
      <c r="AJ121" s="146" t="n">
        <f aca="false">AJ100</f>
        <v>-3181.95755029835</v>
      </c>
      <c r="AK121" s="146" t="n">
        <f aca="false">AK100</f>
        <v>-3182.16119677902</v>
      </c>
      <c r="AL121" s="146" t="n">
        <f aca="false">AL100</f>
        <v>-3181.79957459379</v>
      </c>
      <c r="AM121" s="146" t="n">
        <f aca="false">AM100</f>
        <v>-3180.85507566618</v>
      </c>
      <c r="AN121" s="146" t="n">
        <f aca="false">AN100</f>
        <v>-3179.30963579264</v>
      </c>
      <c r="AO121" s="146" t="n">
        <f aca="false">AO100</f>
        <v>-3177.14472331833</v>
      </c>
      <c r="AP121" s="146" t="n">
        <f aca="false">AP100</f>
        <v>-3174.3413275346</v>
      </c>
      <c r="AQ121" s="146" t="n">
        <f aca="false">AQ100</f>
        <v>-1585.43997339554</v>
      </c>
    </row>
    <row r="122" customFormat="false" ht="15" hidden="false" customHeight="false" outlineLevel="0" collapsed="false">
      <c r="C122" s="0" t="s">
        <v>26</v>
      </c>
      <c r="D122" s="0" t="s">
        <v>125</v>
      </c>
      <c r="E122" s="146"/>
      <c r="F122" s="146"/>
      <c r="G122" s="146" t="n">
        <f aca="false">SUM(H122:AQ122)</f>
        <v>-4077</v>
      </c>
      <c r="H122" s="146" t="n">
        <f aca="false">H107+H108</f>
        <v>0</v>
      </c>
      <c r="I122" s="146" t="n">
        <f aca="false">I107+I108</f>
        <v>0</v>
      </c>
      <c r="J122" s="146" t="n">
        <f aca="false">J107+J108</f>
        <v>0</v>
      </c>
      <c r="K122" s="146" t="n">
        <f aca="false">K107+K108</f>
        <v>0</v>
      </c>
      <c r="L122" s="146" t="n">
        <f aca="false">L107+L108</f>
        <v>0</v>
      </c>
      <c r="M122" s="146" t="n">
        <f aca="false">M107+M108</f>
        <v>0</v>
      </c>
      <c r="N122" s="146" t="n">
        <f aca="false">N107+N108</f>
        <v>0</v>
      </c>
      <c r="O122" s="146" t="n">
        <f aca="false">O107+O108</f>
        <v>0</v>
      </c>
      <c r="P122" s="146" t="n">
        <f aca="false">P107+P108</f>
        <v>0</v>
      </c>
      <c r="Q122" s="146" t="n">
        <f aca="false">Q107+Q108</f>
        <v>0</v>
      </c>
      <c r="R122" s="146" t="n">
        <f aca="false">R107+R108</f>
        <v>0</v>
      </c>
      <c r="S122" s="146" t="n">
        <f aca="false">S107+S108</f>
        <v>0</v>
      </c>
      <c r="T122" s="146" t="n">
        <f aca="false">T107+T108</f>
        <v>0</v>
      </c>
      <c r="U122" s="146" t="n">
        <f aca="false">U107+U108</f>
        <v>0</v>
      </c>
      <c r="V122" s="146" t="n">
        <f aca="false">V107+V108</f>
        <v>0</v>
      </c>
      <c r="W122" s="146" t="n">
        <f aca="false">W107+W108</f>
        <v>0</v>
      </c>
      <c r="X122" s="146" t="n">
        <f aca="false">X107+X108</f>
        <v>0</v>
      </c>
      <c r="Y122" s="146" t="n">
        <f aca="false">Y107+Y108</f>
        <v>0</v>
      </c>
      <c r="Z122" s="146" t="n">
        <f aca="false">Z107+Z108</f>
        <v>0</v>
      </c>
      <c r="AA122" s="146" t="n">
        <f aca="false">AA107+AA108</f>
        <v>0</v>
      </c>
      <c r="AB122" s="146" t="n">
        <f aca="false">AB107+AB108</f>
        <v>0</v>
      </c>
      <c r="AC122" s="146" t="n">
        <f aca="false">AC107+AC108</f>
        <v>0</v>
      </c>
      <c r="AD122" s="146" t="n">
        <f aca="false">AD107+AD108</f>
        <v>0</v>
      </c>
      <c r="AE122" s="146" t="n">
        <f aca="false">AE107+AE108</f>
        <v>0</v>
      </c>
      <c r="AF122" s="146" t="n">
        <f aca="false">AF107+AF108</f>
        <v>0</v>
      </c>
      <c r="AG122" s="146" t="n">
        <f aca="false">AG107+AG108</f>
        <v>0</v>
      </c>
      <c r="AH122" s="146" t="n">
        <f aca="false">AH107+AH108</f>
        <v>0</v>
      </c>
      <c r="AI122" s="146" t="n">
        <f aca="false">AI107+AI108</f>
        <v>0</v>
      </c>
      <c r="AJ122" s="146" t="n">
        <f aca="false">AJ107+AJ108</f>
        <v>0</v>
      </c>
      <c r="AK122" s="146" t="n">
        <f aca="false">AK107+AK108</f>
        <v>0</v>
      </c>
      <c r="AL122" s="146" t="n">
        <f aca="false">AL107+AL108</f>
        <v>0</v>
      </c>
      <c r="AM122" s="146" t="n">
        <f aca="false">AM107+AM108</f>
        <v>0</v>
      </c>
      <c r="AN122" s="146" t="n">
        <f aca="false">AN107+AN108</f>
        <v>0</v>
      </c>
      <c r="AO122" s="146" t="n">
        <f aca="false">AO107+AO108</f>
        <v>0</v>
      </c>
      <c r="AP122" s="146" t="n">
        <f aca="false">AP107+AP108</f>
        <v>0</v>
      </c>
      <c r="AQ122" s="146" t="n">
        <f aca="false">AQ107+AQ108</f>
        <v>-4077</v>
      </c>
    </row>
    <row r="123" customFormat="false" ht="15" hidden="false" customHeight="false" outlineLevel="0" collapsed="false">
      <c r="C123" s="205" t="s">
        <v>14</v>
      </c>
      <c r="D123" s="205" t="s">
        <v>125</v>
      </c>
      <c r="E123" s="277"/>
      <c r="F123" s="277"/>
      <c r="G123" s="277" t="n">
        <f aca="false">SUM(H123:AQ123)</f>
        <v>343066.444242852</v>
      </c>
      <c r="H123" s="277" t="n">
        <f aca="false">SUM(H114:H122)</f>
        <v>-1570.61764901888</v>
      </c>
      <c r="I123" s="277" t="n">
        <f aca="false">SUM(I114:I122)</f>
        <v>-778.738143280267</v>
      </c>
      <c r="J123" s="277" t="n">
        <f aca="false">SUM(J114:J122)</f>
        <v>-1227.43813118225</v>
      </c>
      <c r="K123" s="277" t="n">
        <f aca="false">SUM(K114:K122)</f>
        <v>-42052.73922629</v>
      </c>
      <c r="L123" s="277" t="n">
        <f aca="false">SUM(L114:L122)</f>
        <v>-30088.0917885429</v>
      </c>
      <c r="M123" s="277" t="n">
        <f aca="false">SUM(M114:M122)</f>
        <v>-8566.73762438734</v>
      </c>
      <c r="N123" s="277" t="n">
        <f aca="false">SUM(N114:N122)</f>
        <v>11030.9158582172</v>
      </c>
      <c r="O123" s="277" t="n">
        <f aca="false">SUM(O114:O122)</f>
        <v>10950.1116201571</v>
      </c>
      <c r="P123" s="277" t="n">
        <f aca="false">SUM(P114:P122)</f>
        <v>10967.7524441585</v>
      </c>
      <c r="Q123" s="277" t="n">
        <f aca="false">SUM(Q114:Q122)</f>
        <v>10982.2019835325</v>
      </c>
      <c r="R123" s="277" t="n">
        <f aca="false">SUM(R114:R122)</f>
        <v>10993.3230867156</v>
      </c>
      <c r="S123" s="277" t="n">
        <f aca="false">SUM(S114:S122)</f>
        <v>11000.9730973614</v>
      </c>
      <c r="T123" s="277" t="n">
        <f aca="false">SUM(T114:T122)</f>
        <v>11005.0036176756</v>
      </c>
      <c r="U123" s="277" t="n">
        <f aca="false">SUM(U114:U122)</f>
        <v>11005.2602608976</v>
      </c>
      <c r="V123" s="277" t="n">
        <f aca="false">SUM(V114:V122)</f>
        <v>11001.5823924071</v>
      </c>
      <c r="W123" s="277" t="n">
        <f aca="false">SUM(W114:W122)</f>
        <v>10993.8028589139</v>
      </c>
      <c r="X123" s="277" t="n">
        <f aca="false">SUM(X114:X122)</f>
        <v>10981.7477051588</v>
      </c>
      <c r="Y123" s="277" t="n">
        <f aca="false">SUM(Y114:Y122)</f>
        <v>10965.2358775289</v>
      </c>
      <c r="Z123" s="277" t="n">
        <f aca="false">SUM(Z114:Z122)</f>
        <v>10944.0789139571</v>
      </c>
      <c r="AA123" s="277" t="n">
        <f aca="false">SUM(AA114:AA122)</f>
        <v>10918.0806194499</v>
      </c>
      <c r="AB123" s="277" t="n">
        <f aca="false">SUM(AB114:AB122)</f>
        <v>10887.0367265511</v>
      </c>
      <c r="AC123" s="277" t="n">
        <f aca="false">SUM(AC114:AC122)</f>
        <v>19219.9100219821</v>
      </c>
      <c r="AD123" s="277" t="n">
        <f aca="false">SUM(AD114:AD122)</f>
        <v>19240.8968630243</v>
      </c>
      <c r="AE123" s="277" t="n">
        <f aca="false">SUM(AE114:AE122)</f>
        <v>19259.3116725516</v>
      </c>
      <c r="AF123" s="277" t="n">
        <f aca="false">SUM(AF114:AF122)</f>
        <v>19275.0710925432</v>
      </c>
      <c r="AG123" s="277" t="n">
        <f aca="false">SUM(AG114:AG122)</f>
        <v>18648.730786753</v>
      </c>
      <c r="AH123" s="277" t="n">
        <f aca="false">SUM(AH114:AH122)</f>
        <v>18019.5617913356</v>
      </c>
      <c r="AI123" s="277" t="n">
        <f aca="false">SUM(AI114:AI122)</f>
        <v>18026.8328562038</v>
      </c>
      <c r="AJ123" s="277" t="n">
        <f aca="false">SUM(AJ114:AJ122)</f>
        <v>18031.092785024</v>
      </c>
      <c r="AK123" s="277" t="n">
        <f aca="false">SUM(AK114:AK122)</f>
        <v>18032.2467817478</v>
      </c>
      <c r="AL123" s="277" t="n">
        <f aca="false">SUM(AL114:AL122)</f>
        <v>18030.1975893648</v>
      </c>
      <c r="AM123" s="277" t="n">
        <f aca="false">SUM(AM114:AM122)</f>
        <v>18024.845428775</v>
      </c>
      <c r="AN123" s="277" t="n">
        <f aca="false">SUM(AN114:AN122)</f>
        <v>18016.0879361583</v>
      </c>
      <c r="AO123" s="277" t="n">
        <f aca="false">SUM(AO114:AO122)</f>
        <v>18003.8200988039</v>
      </c>
      <c r="AP123" s="277" t="n">
        <f aca="false">SUM(AP114:AP122)</f>
        <v>17987.9341893627</v>
      </c>
      <c r="AQ123" s="277" t="n">
        <f aca="false">SUM(AQ114:AQ122)</f>
        <v>4907.15984924141</v>
      </c>
    </row>
    <row r="124" customFormat="false" ht="15" hidden="false" customHeight="false" outlineLevel="0" collapsed="false">
      <c r="C124" s="0" t="s">
        <v>27</v>
      </c>
      <c r="D124" s="0" t="s">
        <v>125</v>
      </c>
      <c r="E124" s="146"/>
      <c r="F124" s="146"/>
      <c r="G124" s="146" t="n">
        <v>0</v>
      </c>
      <c r="H124" s="146" t="n">
        <f aca="false">G124+H123</f>
        <v>-1570.61764901888</v>
      </c>
      <c r="I124" s="146" t="n">
        <f aca="false">H124+I123</f>
        <v>-2349.35579229915</v>
      </c>
      <c r="J124" s="146" t="n">
        <f aca="false">I124+J123</f>
        <v>-3576.7939234814</v>
      </c>
      <c r="K124" s="146" t="n">
        <f aca="false">J124+K123</f>
        <v>-45629.5331497714</v>
      </c>
      <c r="L124" s="146" t="n">
        <f aca="false">K124+L123</f>
        <v>-75717.6249383144</v>
      </c>
      <c r="M124" s="146" t="n">
        <f aca="false">L124+M123</f>
        <v>-84284.3625627017</v>
      </c>
      <c r="N124" s="146" t="n">
        <f aca="false">M124+N123</f>
        <v>-73253.4467044845</v>
      </c>
      <c r="O124" s="146" t="n">
        <f aca="false">N124+O123</f>
        <v>-62303.3350843274</v>
      </c>
      <c r="P124" s="146" t="n">
        <f aca="false">O124+P123</f>
        <v>-51335.5826401689</v>
      </c>
      <c r="Q124" s="146" t="n">
        <f aca="false">P124+Q123</f>
        <v>-40353.3806566364</v>
      </c>
      <c r="R124" s="146" t="n">
        <f aca="false">Q124+R123</f>
        <v>-29360.0575699208</v>
      </c>
      <c r="S124" s="146" t="n">
        <f aca="false">R124+S123</f>
        <v>-18359.0844725594</v>
      </c>
      <c r="T124" s="146" t="n">
        <f aca="false">S124+T123</f>
        <v>-7354.08085488375</v>
      </c>
      <c r="U124" s="146" t="n">
        <f aca="false">T124+U123</f>
        <v>3651.17940601387</v>
      </c>
      <c r="V124" s="146" t="n">
        <f aca="false">U124+V123</f>
        <v>14652.761798421</v>
      </c>
      <c r="W124" s="146" t="n">
        <f aca="false">V124+W123</f>
        <v>25646.5646573348</v>
      </c>
      <c r="X124" s="146" t="n">
        <f aca="false">W124+X123</f>
        <v>36628.3123624937</v>
      </c>
      <c r="Y124" s="146" t="n">
        <f aca="false">X124+Y123</f>
        <v>47593.5482400225</v>
      </c>
      <c r="Z124" s="146" t="n">
        <f aca="false">Y124+Z123</f>
        <v>58537.6271539796</v>
      </c>
      <c r="AA124" s="146" t="n">
        <f aca="false">Z124+AA123</f>
        <v>69455.7077734295</v>
      </c>
      <c r="AB124" s="146" t="n">
        <f aca="false">AA124+AB123</f>
        <v>80342.7444999807</v>
      </c>
      <c r="AC124" s="146" t="n">
        <f aca="false">AB124+AC123</f>
        <v>99562.6545219628</v>
      </c>
      <c r="AD124" s="146" t="n">
        <f aca="false">AC124+AD123</f>
        <v>118803.551384987</v>
      </c>
      <c r="AE124" s="146" t="n">
        <f aca="false">AD124+AE123</f>
        <v>138062.863057539</v>
      </c>
      <c r="AF124" s="146" t="n">
        <f aca="false">AE124+AF123</f>
        <v>157337.934150082</v>
      </c>
      <c r="AG124" s="146" t="n">
        <f aca="false">AF124+AG123</f>
        <v>175986.664936835</v>
      </c>
      <c r="AH124" s="146" t="n">
        <f aca="false">AG124+AH123</f>
        <v>194006.22672817</v>
      </c>
      <c r="AI124" s="146" t="n">
        <f aca="false">AH124+AI123</f>
        <v>212033.059584374</v>
      </c>
      <c r="AJ124" s="146" t="n">
        <f aca="false">AI124+AJ123</f>
        <v>230064.152369398</v>
      </c>
      <c r="AK124" s="146" t="n">
        <f aca="false">AJ124+AK123</f>
        <v>248096.399151146</v>
      </c>
      <c r="AL124" s="146" t="n">
        <f aca="false">AK124+AL123</f>
        <v>266126.596740511</v>
      </c>
      <c r="AM124" s="146" t="n">
        <f aca="false">AL124+AM123</f>
        <v>284151.442169286</v>
      </c>
      <c r="AN124" s="146" t="n">
        <f aca="false">AM124+AN123</f>
        <v>302167.530105444</v>
      </c>
      <c r="AO124" s="146" t="n">
        <f aca="false">AN124+AO123</f>
        <v>320171.350204248</v>
      </c>
      <c r="AP124" s="146" t="n">
        <f aca="false">AO124+AP123</f>
        <v>338159.284393611</v>
      </c>
      <c r="AQ124" s="146" t="n">
        <f aca="false">AP124+AQ123</f>
        <v>343066.444242852</v>
      </c>
    </row>
    <row r="125" customFormat="false" ht="15" hidden="false" customHeight="false" outlineLevel="0" collapsed="false">
      <c r="C125" s="0" t="s">
        <v>1293</v>
      </c>
      <c r="D125" s="0" t="s">
        <v>125</v>
      </c>
      <c r="E125" s="146"/>
      <c r="F125" s="146"/>
      <c r="G125" s="146" t="n">
        <f aca="false">SUM(H125:AQ125)</f>
        <v>569513.808988396</v>
      </c>
      <c r="H125" s="146" t="n">
        <f aca="false">H70+H100</f>
        <v>0</v>
      </c>
      <c r="I125" s="146" t="n">
        <f aca="false">I70+I100</f>
        <v>0</v>
      </c>
      <c r="J125" s="146" t="n">
        <f aca="false">J70+J100</f>
        <v>0</v>
      </c>
      <c r="K125" s="146" t="n">
        <f aca="false">K70+K100</f>
        <v>-205.403215633226</v>
      </c>
      <c r="L125" s="146" t="n">
        <f aca="false">L70+L100</f>
        <v>-417.643902439025</v>
      </c>
      <c r="M125" s="146" t="n">
        <f aca="false">M70+M100</f>
        <v>13171.4170714404</v>
      </c>
      <c r="N125" s="146" t="n">
        <f aca="false">N70+N100</f>
        <v>19400.0913401822</v>
      </c>
      <c r="O125" s="146" t="n">
        <f aca="false">O70+O100</f>
        <v>19319.287102122</v>
      </c>
      <c r="P125" s="146" t="n">
        <f aca="false">P70+P100</f>
        <v>19336.9279261235</v>
      </c>
      <c r="Q125" s="146" t="n">
        <f aca="false">Q70+Q100</f>
        <v>19351.3774654974</v>
      </c>
      <c r="R125" s="146" t="n">
        <f aca="false">R70+R100</f>
        <v>19362.4985686806</v>
      </c>
      <c r="S125" s="146" t="n">
        <f aca="false">S70+S100</f>
        <v>19370.1485793263</v>
      </c>
      <c r="T125" s="146" t="n">
        <f aca="false">T70+T100</f>
        <v>19374.1790996406</v>
      </c>
      <c r="U125" s="146" t="n">
        <f aca="false">U70+U100</f>
        <v>19374.4357428626</v>
      </c>
      <c r="V125" s="146" t="n">
        <f aca="false">V70+V100</f>
        <v>19370.7578743721</v>
      </c>
      <c r="W125" s="146" t="n">
        <f aca="false">W70+W100</f>
        <v>19362.9783408788</v>
      </c>
      <c r="X125" s="146" t="n">
        <f aca="false">X70+X100</f>
        <v>19350.9231871238</v>
      </c>
      <c r="Y125" s="146" t="n">
        <f aca="false">Y70+Y100</f>
        <v>19334.4113594938</v>
      </c>
      <c r="Z125" s="146" t="n">
        <f aca="false">Z70+Z100</f>
        <v>19313.254395922</v>
      </c>
      <c r="AA125" s="146" t="n">
        <f aca="false">AA70+AA100</f>
        <v>19287.2561014149</v>
      </c>
      <c r="AB125" s="146" t="n">
        <f aca="false">AB70+AB100</f>
        <v>19256.212208516</v>
      </c>
      <c r="AC125" s="146" t="n">
        <f aca="false">AC70+AC100</f>
        <v>19219.9100219821</v>
      </c>
      <c r="AD125" s="146" t="n">
        <f aca="false">AD70+AD100</f>
        <v>19240.8968630243</v>
      </c>
      <c r="AE125" s="146" t="n">
        <f aca="false">AE70+AE100</f>
        <v>19259.3116725516</v>
      </c>
      <c r="AF125" s="146" t="n">
        <f aca="false">AF70+AF100</f>
        <v>19275.0710925432</v>
      </c>
      <c r="AG125" s="146" t="n">
        <f aca="false">AG70+AG100</f>
        <v>18648.730786753</v>
      </c>
      <c r="AH125" s="146" t="n">
        <f aca="false">AH70+AH100</f>
        <v>18019.5617913356</v>
      </c>
      <c r="AI125" s="146" t="n">
        <f aca="false">AI70+AI100</f>
        <v>18026.8328562038</v>
      </c>
      <c r="AJ125" s="146" t="n">
        <f aca="false">AJ70+AJ100</f>
        <v>18031.092785024</v>
      </c>
      <c r="AK125" s="146" t="n">
        <f aca="false">AK70+AK100</f>
        <v>18032.2467817478</v>
      </c>
      <c r="AL125" s="146" t="n">
        <f aca="false">AL70+AL100</f>
        <v>18030.1975893648</v>
      </c>
      <c r="AM125" s="146" t="n">
        <f aca="false">AM70+AM100</f>
        <v>18024.845428775</v>
      </c>
      <c r="AN125" s="146" t="n">
        <f aca="false">AN70+AN100</f>
        <v>18016.0879361583</v>
      </c>
      <c r="AO125" s="146" t="n">
        <f aca="false">AO70+AO100</f>
        <v>18003.8200988039</v>
      </c>
      <c r="AP125" s="146" t="n">
        <f aca="false">AP70+AP100</f>
        <v>17987.9341893627</v>
      </c>
      <c r="AQ125" s="146" t="n">
        <f aca="false">AQ70+AQ100</f>
        <v>8984.15984924141</v>
      </c>
    </row>
    <row r="126" customFormat="false" ht="15" hidden="false" customHeight="false" outlineLevel="0" collapsed="false">
      <c r="C126" s="0" t="s">
        <v>1294</v>
      </c>
      <c r="D126" s="0" t="s">
        <v>7</v>
      </c>
      <c r="E126" s="146"/>
      <c r="F126" s="146"/>
      <c r="G126" s="162" t="n">
        <f aca="false">IF(COUNT(H126:AQ126)=0,"",MIN(H126:AQ126))</f>
        <v>2.30084937877239</v>
      </c>
      <c r="H126" s="162" t="str">
        <f aca="false">IF(AND(H9&gt;=1,H86&lt;-0.01),H125/-H86,"")</f>
        <v/>
      </c>
      <c r="I126" s="162" t="str">
        <f aca="false">IF(AND(I9&gt;=1,I86&lt;-0.01),I125/-I86,"")</f>
        <v/>
      </c>
      <c r="J126" s="162" t="str">
        <f aca="false">IF(AND(J9&gt;=1,J86&lt;-0.01),J125/-J86,"")</f>
        <v/>
      </c>
      <c r="K126" s="162" t="str">
        <f aca="false">IF(AND(K9&gt;=1,K86&lt;-0.01),K125/-K86,"")</f>
        <v/>
      </c>
      <c r="L126" s="162" t="str">
        <f aca="false">IF(AND(L9&gt;=1,L86&lt;-0.01),L125/-L86,"")</f>
        <v/>
      </c>
      <c r="M126" s="162" t="str">
        <f aca="false">IF(AND(M9&gt;=1,M86&lt;-0.01),M125/-M86,"")</f>
        <v/>
      </c>
      <c r="N126" s="162" t="n">
        <f aca="false">IF(AND(N9&gt;=1,N86&lt;-0.01),N125/-N86,"")</f>
        <v>2.31804093270456</v>
      </c>
      <c r="O126" s="162" t="n">
        <f aca="false">IF(AND(O9&gt;=1,O86&lt;-0.01),O125/-O86,"")</f>
        <v>2.30838595077304</v>
      </c>
      <c r="P126" s="162" t="n">
        <f aca="false">IF(AND(P9&gt;=1,P86&lt;-0.01),P125/-P86,"")</f>
        <v>2.3104937837417</v>
      </c>
      <c r="Q126" s="162" t="n">
        <f aca="false">IF(AND(Q9&gt;=1,Q86&lt;-0.01),Q125/-Q86,"")</f>
        <v>2.31222030260907</v>
      </c>
      <c r="R126" s="162" t="n">
        <f aca="false">IF(AND(R9&gt;=1,R86&lt;-0.01),R125/-R86,"")</f>
        <v>2.31354911967201</v>
      </c>
      <c r="S126" s="162" t="n">
        <f aca="false">IF(AND(S9&gt;=1,S86&lt;-0.01),S125/-S86,"")</f>
        <v>2.31446318948238</v>
      </c>
      <c r="T126" s="162" t="n">
        <f aca="false">IF(AND(T9&gt;=1,T86&lt;-0.01),T125/-T86,"")</f>
        <v>2.31494478056897</v>
      </c>
      <c r="U126" s="162" t="n">
        <f aca="false">IF(AND(U9&gt;=1,U86&lt;-0.01),U125/-U86,"")</f>
        <v>2.31497544586241</v>
      </c>
      <c r="V126" s="162" t="n">
        <f aca="false">IF(AND(V9&gt;=1,V86&lt;-0.01),V125/-V86,"")</f>
        <v>2.31453599176106</v>
      </c>
      <c r="W126" s="162" t="n">
        <f aca="false">IF(AND(W9&gt;=1,W86&lt;-0.01),W125/-W86,"")</f>
        <v>2.31360644577292</v>
      </c>
      <c r="X126" s="162" t="n">
        <f aca="false">IF(AND(X9&gt;=1,X86&lt;-0.01),X125/-X86,"")</f>
        <v>2.31216602266541</v>
      </c>
      <c r="Y126" s="162" t="n">
        <f aca="false">IF(AND(Y9&gt;=1,Y86&lt;-0.01),Y125/-Y86,"")</f>
        <v>2.3101930890514</v>
      </c>
      <c r="Z126" s="162" t="n">
        <f aca="false">IF(AND(Z9&gt;=1,Z86&lt;-0.01),Z125/-Z86,"")</f>
        <v>2.30766512633663</v>
      </c>
      <c r="AA126" s="162" t="n">
        <f aca="false">IF(AND(AA9&gt;=1,AA86&lt;-0.01),AA125/-AA86,"")</f>
        <v>2.30455869194972</v>
      </c>
      <c r="AB126" s="162" t="n">
        <f aca="false">IF(AND(AB9&gt;=1,AB86&lt;-0.01),AB125/-AB86,"")</f>
        <v>2.30084937877239</v>
      </c>
      <c r="AC126" s="162" t="str">
        <f aca="false">IF(AND(AC9&gt;=1,AC86&lt;-0.01),AC125/-AC86,"")</f>
        <v/>
      </c>
      <c r="AD126" s="162" t="str">
        <f aca="false">IF(AND(AD9&gt;=1,AD86&lt;-0.01),AD125/-AD86,"")</f>
        <v/>
      </c>
      <c r="AE126" s="162" t="str">
        <f aca="false">IF(AND(AE9&gt;=1,AE86&lt;-0.01),AE125/-AE86,"")</f>
        <v/>
      </c>
      <c r="AF126" s="162" t="str">
        <f aca="false">IF(AND(AF9&gt;=1,AF86&lt;-0.01),AF125/-AF86,"")</f>
        <v/>
      </c>
      <c r="AG126" s="162" t="str">
        <f aca="false">IF(AND(AG9&gt;=1,AG86&lt;-0.01),AG125/-AG86,"")</f>
        <v/>
      </c>
      <c r="AH126" s="162" t="str">
        <f aca="false">IF(AND(AH9&gt;=1,AH86&lt;-0.01),AH125/-AH86,"")</f>
        <v/>
      </c>
      <c r="AI126" s="162" t="str">
        <f aca="false">IF(AND(AI9&gt;=1,AI86&lt;-0.01),AI125/-AI86,"")</f>
        <v/>
      </c>
      <c r="AJ126" s="162" t="str">
        <f aca="false">IF(AND(AJ9&gt;=1,AJ86&lt;-0.01),AJ125/-AJ86,"")</f>
        <v/>
      </c>
      <c r="AK126" s="162" t="str">
        <f aca="false">IF(AND(AK9&gt;=1,AK86&lt;-0.01),AK125/-AK86,"")</f>
        <v/>
      </c>
      <c r="AL126" s="162" t="str">
        <f aca="false">IF(AND(AL9&gt;=1,AL86&lt;-0.01),AL125/-AL86,"")</f>
        <v/>
      </c>
      <c r="AM126" s="162" t="str">
        <f aca="false">IF(AND(AM9&gt;=1,AM86&lt;-0.01),AM125/-AM86,"")</f>
        <v/>
      </c>
      <c r="AN126" s="162" t="str">
        <f aca="false">IF(AND(AN9&gt;=1,AN86&lt;-0.01),AN125/-AN86,"")</f>
        <v/>
      </c>
      <c r="AO126" s="162" t="str">
        <f aca="false">IF(AND(AO9&gt;=1,AO86&lt;-0.01),AO125/-AO86,"")</f>
        <v/>
      </c>
      <c r="AP126" s="162" t="str">
        <f aca="false">IF(AND(AP9&gt;=1,AP86&lt;-0.01),AP125/-AP86,"")</f>
        <v/>
      </c>
      <c r="AQ126" s="162" t="str">
        <f aca="false">IF(AND(AQ9&gt;=1,AQ86&lt;-0.01),AQ125/-AQ86,"")</f>
        <v/>
      </c>
    </row>
    <row r="127" customFormat="false" ht="15" hidden="false" customHeight="false" outlineLevel="0" collapsed="false">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46"/>
      <c r="AL127" s="146"/>
      <c r="AM127" s="146"/>
      <c r="AN127" s="146"/>
      <c r="AO127" s="146"/>
      <c r="AP127" s="146"/>
      <c r="AQ127" s="146"/>
    </row>
    <row r="128" customFormat="false" ht="15" hidden="false" customHeight="false" outlineLevel="0" collapsed="false">
      <c r="C128" s="136" t="s">
        <v>1295</v>
      </c>
      <c r="D128" s="136"/>
      <c r="E128" s="280" t="n">
        <f aca="false">IF(Inputs!$E$230=1,1,Inputs!$E$33)</f>
        <v>1</v>
      </c>
      <c r="F128" s="279" t="s">
        <v>1296</v>
      </c>
      <c r="G128" s="278"/>
      <c r="H128" s="278"/>
      <c r="I128" s="278"/>
      <c r="J128" s="278"/>
      <c r="K128" s="278"/>
      <c r="L128" s="278"/>
      <c r="M128" s="278"/>
      <c r="N128" s="278"/>
      <c r="O128" s="278"/>
      <c r="P128" s="278"/>
      <c r="Q128" s="278"/>
      <c r="R128" s="278"/>
      <c r="S128" s="278"/>
      <c r="T128" s="278"/>
      <c r="U128" s="278"/>
      <c r="V128" s="278"/>
      <c r="W128" s="278"/>
      <c r="X128" s="278"/>
      <c r="Y128" s="278"/>
      <c r="Z128" s="278"/>
      <c r="AA128" s="278"/>
      <c r="AB128" s="278"/>
      <c r="AC128" s="278"/>
      <c r="AD128" s="278"/>
      <c r="AE128" s="278"/>
      <c r="AF128" s="278"/>
      <c r="AG128" s="278"/>
      <c r="AH128" s="278"/>
      <c r="AI128" s="278"/>
      <c r="AJ128" s="278"/>
      <c r="AK128" s="278"/>
      <c r="AL128" s="278"/>
      <c r="AM128" s="278"/>
      <c r="AN128" s="278"/>
      <c r="AO128" s="278"/>
      <c r="AP128" s="278"/>
      <c r="AQ128" s="278"/>
    </row>
    <row r="129" customFormat="false" ht="15" hidden="false" customHeight="false" outlineLevel="0" collapsed="false">
      <c r="C129" s="205" t="s">
        <v>1297</v>
      </c>
      <c r="D129" s="205" t="s">
        <v>125</v>
      </c>
      <c r="E129" s="277"/>
      <c r="F129" s="277"/>
      <c r="G129" s="277" t="n">
        <f aca="false">SUM(H129:AQ129)</f>
        <v>343066.444242852</v>
      </c>
      <c r="H129" s="277" t="n">
        <f aca="false">H123*$E$128</f>
        <v>-1570.61764901888</v>
      </c>
      <c r="I129" s="277" t="n">
        <f aca="false">I123*$E$128</f>
        <v>-778.738143280267</v>
      </c>
      <c r="J129" s="277" t="n">
        <f aca="false">J123*$E$128</f>
        <v>-1227.43813118225</v>
      </c>
      <c r="K129" s="277" t="n">
        <f aca="false">K123*$E$128</f>
        <v>-42052.73922629</v>
      </c>
      <c r="L129" s="277" t="n">
        <f aca="false">L123*$E$128</f>
        <v>-30088.0917885429</v>
      </c>
      <c r="M129" s="277" t="n">
        <f aca="false">M123*$E$128</f>
        <v>-8566.73762438734</v>
      </c>
      <c r="N129" s="277" t="n">
        <f aca="false">N123*$E$128</f>
        <v>11030.9158582172</v>
      </c>
      <c r="O129" s="277" t="n">
        <f aca="false">O123*$E$128</f>
        <v>10950.1116201571</v>
      </c>
      <c r="P129" s="277" t="n">
        <f aca="false">P123*$E$128</f>
        <v>10967.7524441585</v>
      </c>
      <c r="Q129" s="277" t="n">
        <f aca="false">Q123*$E$128</f>
        <v>10982.2019835325</v>
      </c>
      <c r="R129" s="277" t="n">
        <f aca="false">R123*$E$128</f>
        <v>10993.3230867156</v>
      </c>
      <c r="S129" s="277" t="n">
        <f aca="false">S123*$E$128</f>
        <v>11000.9730973614</v>
      </c>
      <c r="T129" s="277" t="n">
        <f aca="false">T123*$E$128</f>
        <v>11005.0036176756</v>
      </c>
      <c r="U129" s="277" t="n">
        <f aca="false">U123*$E$128</f>
        <v>11005.2602608976</v>
      </c>
      <c r="V129" s="277" t="n">
        <f aca="false">V123*$E$128</f>
        <v>11001.5823924071</v>
      </c>
      <c r="W129" s="277" t="n">
        <f aca="false">W123*$E$128</f>
        <v>10993.8028589139</v>
      </c>
      <c r="X129" s="277" t="n">
        <f aca="false">X123*$E$128</f>
        <v>10981.7477051588</v>
      </c>
      <c r="Y129" s="277" t="n">
        <f aca="false">Y123*$E$128</f>
        <v>10965.2358775289</v>
      </c>
      <c r="Z129" s="277" t="n">
        <f aca="false">Z123*$E$128</f>
        <v>10944.0789139571</v>
      </c>
      <c r="AA129" s="277" t="n">
        <f aca="false">AA123*$E$128</f>
        <v>10918.0806194499</v>
      </c>
      <c r="AB129" s="277" t="n">
        <f aca="false">AB123*$E$128</f>
        <v>10887.0367265511</v>
      </c>
      <c r="AC129" s="277" t="n">
        <f aca="false">AC123*$E$128</f>
        <v>19219.9100219821</v>
      </c>
      <c r="AD129" s="277" t="n">
        <f aca="false">AD123*$E$128</f>
        <v>19240.8968630243</v>
      </c>
      <c r="AE129" s="277" t="n">
        <f aca="false">AE123*$E$128</f>
        <v>19259.3116725516</v>
      </c>
      <c r="AF129" s="277" t="n">
        <f aca="false">AF123*$E$128</f>
        <v>19275.0710925432</v>
      </c>
      <c r="AG129" s="277" t="n">
        <f aca="false">AG123*$E$128</f>
        <v>18648.730786753</v>
      </c>
      <c r="AH129" s="277" t="n">
        <f aca="false">AH123*$E$128</f>
        <v>18019.5617913356</v>
      </c>
      <c r="AI129" s="277" t="n">
        <f aca="false">AI123*$E$128</f>
        <v>18026.8328562038</v>
      </c>
      <c r="AJ129" s="277" t="n">
        <f aca="false">AJ123*$E$128</f>
        <v>18031.092785024</v>
      </c>
      <c r="AK129" s="277" t="n">
        <f aca="false">AK123*$E$128</f>
        <v>18032.2467817478</v>
      </c>
      <c r="AL129" s="277" t="n">
        <f aca="false">AL123*$E$128</f>
        <v>18030.1975893648</v>
      </c>
      <c r="AM129" s="277" t="n">
        <f aca="false">AM123*$E$128</f>
        <v>18024.845428775</v>
      </c>
      <c r="AN129" s="277" t="n">
        <f aca="false">AN123*$E$128</f>
        <v>18016.0879361583</v>
      </c>
      <c r="AO129" s="277" t="n">
        <f aca="false">AO123*$E$128</f>
        <v>18003.8200988039</v>
      </c>
      <c r="AP129" s="277" t="n">
        <f aca="false">AP123*$E$128</f>
        <v>17987.9341893627</v>
      </c>
      <c r="AQ129" s="277" t="n">
        <f aca="false">AQ123*$E$128</f>
        <v>4907.15984924141</v>
      </c>
    </row>
    <row r="130" customFormat="false" ht="15" hidden="false" customHeight="false" outlineLevel="0" collapsed="false">
      <c r="C130" s="0" t="s">
        <v>1298</v>
      </c>
      <c r="D130" s="0" t="s">
        <v>125</v>
      </c>
      <c r="E130" s="146"/>
      <c r="F130" s="146"/>
      <c r="G130" s="146" t="n">
        <v>0</v>
      </c>
      <c r="H130" s="146" t="n">
        <f aca="false">G130+H129</f>
        <v>-1570.61764901888</v>
      </c>
      <c r="I130" s="146" t="n">
        <f aca="false">H130+I129</f>
        <v>-2349.35579229915</v>
      </c>
      <c r="J130" s="146" t="n">
        <f aca="false">I130+J129</f>
        <v>-3576.7939234814</v>
      </c>
      <c r="K130" s="146" t="n">
        <f aca="false">J130+K129</f>
        <v>-45629.5331497714</v>
      </c>
      <c r="L130" s="146" t="n">
        <f aca="false">K130+L129</f>
        <v>-75717.6249383144</v>
      </c>
      <c r="M130" s="146" t="n">
        <f aca="false">L130+M129</f>
        <v>-84284.3625627017</v>
      </c>
      <c r="N130" s="146" t="n">
        <f aca="false">M130+N129</f>
        <v>-73253.4467044845</v>
      </c>
      <c r="O130" s="146" t="n">
        <f aca="false">N130+O129</f>
        <v>-62303.3350843274</v>
      </c>
      <c r="P130" s="146" t="n">
        <f aca="false">O130+P129</f>
        <v>-51335.5826401689</v>
      </c>
      <c r="Q130" s="146" t="n">
        <f aca="false">P130+Q129</f>
        <v>-40353.3806566364</v>
      </c>
      <c r="R130" s="146" t="n">
        <f aca="false">Q130+R129</f>
        <v>-29360.0575699208</v>
      </c>
      <c r="S130" s="146" t="n">
        <f aca="false">R130+S129</f>
        <v>-18359.0844725594</v>
      </c>
      <c r="T130" s="146" t="n">
        <f aca="false">S130+T129</f>
        <v>-7354.08085488375</v>
      </c>
      <c r="U130" s="146" t="n">
        <f aca="false">T130+U129</f>
        <v>3651.17940601387</v>
      </c>
      <c r="V130" s="146" t="n">
        <f aca="false">U130+V129</f>
        <v>14652.761798421</v>
      </c>
      <c r="W130" s="146" t="n">
        <f aca="false">V130+W129</f>
        <v>25646.5646573348</v>
      </c>
      <c r="X130" s="146" t="n">
        <f aca="false">W130+X129</f>
        <v>36628.3123624937</v>
      </c>
      <c r="Y130" s="146" t="n">
        <f aca="false">X130+Y129</f>
        <v>47593.5482400225</v>
      </c>
      <c r="Z130" s="146" t="n">
        <f aca="false">Y130+Z129</f>
        <v>58537.6271539796</v>
      </c>
      <c r="AA130" s="146" t="n">
        <f aca="false">Z130+AA129</f>
        <v>69455.7077734295</v>
      </c>
      <c r="AB130" s="146" t="n">
        <f aca="false">AA130+AB129</f>
        <v>80342.7444999807</v>
      </c>
      <c r="AC130" s="146" t="n">
        <f aca="false">AB130+AC129</f>
        <v>99562.6545219628</v>
      </c>
      <c r="AD130" s="146" t="n">
        <f aca="false">AC130+AD129</f>
        <v>118803.551384987</v>
      </c>
      <c r="AE130" s="146" t="n">
        <f aca="false">AD130+AE129</f>
        <v>138062.863057539</v>
      </c>
      <c r="AF130" s="146" t="n">
        <f aca="false">AE130+AF129</f>
        <v>157337.934150082</v>
      </c>
      <c r="AG130" s="146" t="n">
        <f aca="false">AF130+AG129</f>
        <v>175986.664936835</v>
      </c>
      <c r="AH130" s="146" t="n">
        <f aca="false">AG130+AH129</f>
        <v>194006.22672817</v>
      </c>
      <c r="AI130" s="146" t="n">
        <f aca="false">AH130+AI129</f>
        <v>212033.059584374</v>
      </c>
      <c r="AJ130" s="146" t="n">
        <f aca="false">AI130+AJ129</f>
        <v>230064.152369398</v>
      </c>
      <c r="AK130" s="146" t="n">
        <f aca="false">AJ130+AK129</f>
        <v>248096.399151146</v>
      </c>
      <c r="AL130" s="146" t="n">
        <f aca="false">AK130+AL129</f>
        <v>266126.596740511</v>
      </c>
      <c r="AM130" s="146" t="n">
        <f aca="false">AL130+AM129</f>
        <v>284151.442169286</v>
      </c>
      <c r="AN130" s="146" t="n">
        <f aca="false">AM130+AN129</f>
        <v>302167.530105444</v>
      </c>
      <c r="AO130" s="146" t="n">
        <f aca="false">AN130+AO129</f>
        <v>320171.350204248</v>
      </c>
      <c r="AP130" s="146" t="n">
        <f aca="false">AO130+AP129</f>
        <v>338159.284393611</v>
      </c>
      <c r="AQ130" s="146" t="n">
        <f aca="false">AP130+AQ129</f>
        <v>343066.444242852</v>
      </c>
    </row>
    <row r="131" customFormat="false" ht="15" hidden="false" customHeight="false" outlineLevel="0" collapsed="false">
      <c r="C131" s="0" t="s">
        <v>1298</v>
      </c>
      <c r="D131" s="0" t="s">
        <v>169</v>
      </c>
      <c r="E131" s="146"/>
      <c r="F131" s="146"/>
      <c r="G131" s="146"/>
      <c r="H131" s="146" t="n">
        <f aca="false">H130*Inputs!$E$11/1000</f>
        <v>-573.275441891892</v>
      </c>
      <c r="I131" s="146" t="n">
        <f aca="false">I130*Inputs!$E$11/1000</f>
        <v>-857.514864189189</v>
      </c>
      <c r="J131" s="146" t="n">
        <f aca="false">J130*Inputs!$E$11/1000</f>
        <v>-1305.52978207071</v>
      </c>
      <c r="K131" s="146" t="n">
        <f aca="false">K130*Inputs!$E$11/1000</f>
        <v>-16654.7795996666</v>
      </c>
      <c r="L131" s="146" t="n">
        <f aca="false">L130*Inputs!$E$11/1000</f>
        <v>-27636.9331024848</v>
      </c>
      <c r="M131" s="146" t="n">
        <f aca="false">M130*Inputs!$E$11/1000</f>
        <v>-30763.7923353861</v>
      </c>
      <c r="N131" s="146" t="n">
        <f aca="false">N130*Inputs!$E$11/1000</f>
        <v>-26737.5080471368</v>
      </c>
      <c r="O131" s="146" t="n">
        <f aca="false">O130*Inputs!$E$11/1000</f>
        <v>-22740.7173057795</v>
      </c>
      <c r="P131" s="146" t="n">
        <f aca="false">P130*Inputs!$E$11/1000</f>
        <v>-18737.4876636616</v>
      </c>
      <c r="Q131" s="146" t="n">
        <f aca="false">Q130*Inputs!$E$11/1000</f>
        <v>-14728.9839396723</v>
      </c>
      <c r="R131" s="146" t="n">
        <f aca="false">R130*Inputs!$E$11/1000</f>
        <v>-10716.4210130211</v>
      </c>
      <c r="S131" s="146" t="n">
        <f aca="false">S130*Inputs!$E$11/1000</f>
        <v>-6701.06583248417</v>
      </c>
      <c r="T131" s="146" t="n">
        <f aca="false">T130*Inputs!$E$11/1000</f>
        <v>-2684.23951203257</v>
      </c>
      <c r="U131" s="146" t="n">
        <f aca="false">U130*Inputs!$E$11/1000</f>
        <v>1332.68048319506</v>
      </c>
      <c r="V131" s="146" t="n">
        <f aca="false">V130*Inputs!$E$11/1000</f>
        <v>5348.25805642366</v>
      </c>
      <c r="W131" s="146" t="n">
        <f aca="false">W130*Inputs!$E$11/1000</f>
        <v>9360.99609992722</v>
      </c>
      <c r="X131" s="146" t="n">
        <f aca="false">X130*Inputs!$E$11/1000</f>
        <v>13369.3340123102</v>
      </c>
      <c r="Y131" s="146" t="n">
        <f aca="false">Y130*Inputs!$E$11/1000</f>
        <v>17371.6451076082</v>
      </c>
      <c r="Z131" s="146" t="n">
        <f aca="false">Z130*Inputs!$E$11/1000</f>
        <v>21366.2339112026</v>
      </c>
      <c r="AA131" s="146" t="n">
        <f aca="false">AA130*Inputs!$E$11/1000</f>
        <v>25351.3333373018</v>
      </c>
      <c r="AB131" s="146" t="n">
        <f aca="false">AB130*Inputs!$E$11/1000</f>
        <v>29325.1017424929</v>
      </c>
      <c r="AC131" s="146" t="n">
        <f aca="false">AC130*Inputs!$E$11/1000</f>
        <v>36340.3689005164</v>
      </c>
      <c r="AD131" s="146" t="n">
        <f aca="false">AD130*Inputs!$E$11/1000</f>
        <v>43363.2962555203</v>
      </c>
      <c r="AE131" s="146" t="n">
        <f aca="false">AE130*Inputs!$E$11/1000</f>
        <v>50392.9450160016</v>
      </c>
      <c r="AF131" s="146" t="n">
        <f aca="false">AF130*Inputs!$E$11/1000</f>
        <v>57428.3459647799</v>
      </c>
      <c r="AG131" s="146" t="n">
        <f aca="false">AG130*Inputs!$E$11/1000</f>
        <v>64235.1327019447</v>
      </c>
      <c r="AH131" s="146" t="n">
        <f aca="false">AH130*Inputs!$E$11/1000</f>
        <v>70812.2727557822</v>
      </c>
      <c r="AI131" s="146" t="n">
        <f aca="false">AI130*Inputs!$E$11/1000</f>
        <v>77392.0667482966</v>
      </c>
      <c r="AJ131" s="146" t="n">
        <f aca="false">AJ130*Inputs!$E$11/1000</f>
        <v>83973.4156148304</v>
      </c>
      <c r="AK131" s="146" t="n">
        <f aca="false">AK130*Inputs!$E$11/1000</f>
        <v>90555.1856901683</v>
      </c>
      <c r="AL131" s="146" t="n">
        <f aca="false">AL130*Inputs!$E$11/1000</f>
        <v>97136.2078102865</v>
      </c>
      <c r="AM131" s="146" t="n">
        <f aca="false">AM130*Inputs!$E$11/1000</f>
        <v>103715.276391789</v>
      </c>
      <c r="AN131" s="146" t="n">
        <f aca="false">AN130*Inputs!$E$11/1000</f>
        <v>110291.148488487</v>
      </c>
      <c r="AO131" s="146" t="n">
        <f aca="false">AO130*Inputs!$E$11/1000</f>
        <v>116862.542824551</v>
      </c>
      <c r="AP131" s="146" t="n">
        <f aca="false">AP130*Inputs!$E$11/1000</f>
        <v>123428.138803668</v>
      </c>
      <c r="AQ131" s="146" t="n">
        <f aca="false">AQ130*Inputs!$E$11/1000</f>
        <v>125219.252148641</v>
      </c>
    </row>
    <row r="133" customFormat="false" ht="15" hidden="false" customHeight="false" outlineLevel="0" collapsed="false">
      <c r="C133" s="136" t="s">
        <v>1299</v>
      </c>
      <c r="D133" s="136"/>
      <c r="E133" s="136"/>
      <c r="F133" s="136"/>
      <c r="G133" s="136"/>
      <c r="H133" s="136"/>
      <c r="I133" s="136"/>
      <c r="J133" s="136"/>
      <c r="K133" s="136"/>
      <c r="L133" s="136"/>
      <c r="M133" s="136"/>
      <c r="N133" s="136"/>
      <c r="O133" s="136"/>
      <c r="P133" s="136"/>
      <c r="Q133" s="136"/>
      <c r="R133" s="136"/>
      <c r="S133" s="136"/>
      <c r="T133" s="136"/>
      <c r="U133" s="136"/>
      <c r="V133" s="136"/>
      <c r="W133" s="136"/>
      <c r="X133" s="136"/>
      <c r="Y133" s="136"/>
      <c r="Z133" s="136"/>
      <c r="AA133" s="136"/>
      <c r="AB133" s="136"/>
      <c r="AC133" s="136"/>
      <c r="AD133" s="136"/>
      <c r="AE133" s="136"/>
      <c r="AF133" s="136"/>
      <c r="AG133" s="136"/>
      <c r="AH133" s="136"/>
      <c r="AI133" s="136"/>
      <c r="AJ133" s="136"/>
      <c r="AK133" s="136"/>
      <c r="AL133" s="136"/>
      <c r="AM133" s="136"/>
      <c r="AN133" s="136"/>
      <c r="AO133" s="136"/>
      <c r="AP133" s="136"/>
      <c r="AQ133" s="136"/>
    </row>
    <row r="134" customFormat="false" ht="15" hidden="false" customHeight="false" outlineLevel="0" collapsed="false">
      <c r="C134" s="0" t="s">
        <v>1300</v>
      </c>
      <c r="D134" s="0" t="s">
        <v>51</v>
      </c>
      <c r="G134" s="267" t="n">
        <f aca="false">IFERROR(IRR(H109:AQ109),"n/a")</f>
        <v>0.106627827399793</v>
      </c>
    </row>
    <row r="135" customFormat="false" ht="15" hidden="false" customHeight="false" outlineLevel="0" collapsed="false">
      <c r="C135" s="0" t="s">
        <v>1301</v>
      </c>
      <c r="D135" s="0" t="s">
        <v>51</v>
      </c>
      <c r="G135" s="267" t="n">
        <f aca="false">IFERROR(IRR(H110:AQ110),"n/a")</f>
        <v>0.0952883771355928</v>
      </c>
    </row>
    <row r="136" customFormat="false" ht="15" hidden="false" customHeight="false" outlineLevel="0" collapsed="false">
      <c r="C136" s="0" t="s">
        <v>1302</v>
      </c>
      <c r="D136" s="0" t="s">
        <v>125</v>
      </c>
      <c r="G136" s="282" t="n">
        <f aca="false">SUMPRODUCT(H110:AQ110,H12:AQ12)</f>
        <v>20474.5490716543</v>
      </c>
    </row>
    <row r="137" customFormat="false" ht="15" hidden="false" customHeight="false" outlineLevel="0" collapsed="false">
      <c r="C137" s="0" t="s">
        <v>1303</v>
      </c>
      <c r="D137" s="0" t="s">
        <v>51</v>
      </c>
      <c r="G137" s="267" t="n">
        <f aca="false">IFERROR(IRR(H123:AQ123),"n/a")</f>
        <v>0.116754376727805</v>
      </c>
    </row>
    <row r="138" customFormat="false" ht="15" hidden="false" customHeight="false" outlineLevel="0" collapsed="false">
      <c r="C138" s="0" t="s">
        <v>1304</v>
      </c>
      <c r="D138" s="0" t="s">
        <v>125</v>
      </c>
      <c r="G138" s="282" t="n">
        <f aca="false">SUMPRODUCT(H123:AQ123,H13:AQ13)</f>
        <v>32468.9790114389</v>
      </c>
    </row>
    <row r="139" customFormat="false" ht="15" hidden="false" customHeight="false" outlineLevel="0" collapsed="false">
      <c r="C139" s="0" t="s">
        <v>184</v>
      </c>
      <c r="D139" s="0" t="s">
        <v>51</v>
      </c>
      <c r="G139" s="267" t="n">
        <f aca="false">IFERROR(IRR(H129:AQ129),"n/a")</f>
        <v>0.116754376727805</v>
      </c>
    </row>
    <row r="140" customFormat="false" ht="15" hidden="false" customHeight="false" outlineLevel="0" collapsed="false">
      <c r="C140" s="0" t="s">
        <v>1305</v>
      </c>
      <c r="D140" s="0" t="s">
        <v>125</v>
      </c>
      <c r="G140" s="282" t="n">
        <f aca="false" t="array" ref="G140:G140">SUMPRODUCT(H129:AQ129/(1+Inputs!$E$255)^H4:AQ4)</f>
        <v>32468.9790114389</v>
      </c>
    </row>
    <row r="141" customFormat="false" ht="15" hidden="false" customHeight="false" outlineLevel="0" collapsed="false">
      <c r="C141" s="0" t="s">
        <v>1306</v>
      </c>
      <c r="D141" s="0" t="s">
        <v>125</v>
      </c>
      <c r="G141" s="282" t="n">
        <f aca="false" t="array" ref="G141:G141">-SUMPRODUCT((H129:AQ129&lt;0)*H129:AQ129/(1+Inputs!$E$255)^H4:AQ4)</f>
        <v>64672.8454246271</v>
      </c>
    </row>
    <row r="142" customFormat="false" ht="15" hidden="false" customHeight="false" outlineLevel="0" collapsed="false">
      <c r="C142" s="0" t="s">
        <v>1141</v>
      </c>
      <c r="D142" s="0" t="s">
        <v>7</v>
      </c>
      <c r="G142" s="266" t="n">
        <f aca="false">IF(G141=0,"n/a",G140/G141)</f>
        <v>0.50204964383823</v>
      </c>
    </row>
    <row r="143" customFormat="false" ht="15" hidden="false" customHeight="false" outlineLevel="0" collapsed="false">
      <c r="C143" s="0" t="s">
        <v>1142</v>
      </c>
      <c r="D143" s="0" t="s">
        <v>7</v>
      </c>
      <c r="G143" s="266" t="n">
        <f aca="false">IF(SUMIF(H129:AQ129,"&lt;0")=0,"n/a",G140/-SUMIF(H129:AQ129,"&lt;0"))</f>
        <v>0.385231352818077</v>
      </c>
    </row>
    <row r="144" customFormat="false" ht="15" hidden="false" customHeight="false" outlineLevel="0" collapsed="false">
      <c r="C144" s="0" t="s">
        <v>1307</v>
      </c>
      <c r="D144" s="0" t="s">
        <v>125</v>
      </c>
      <c r="G144" s="282" t="n">
        <f aca="false">G129</f>
        <v>343066.444242852</v>
      </c>
    </row>
    <row r="145" customFormat="false" ht="15" hidden="false" customHeight="false" outlineLevel="0" collapsed="false">
      <c r="C145" s="0" t="s">
        <v>1308</v>
      </c>
      <c r="D145" s="0" t="s">
        <v>169</v>
      </c>
      <c r="G145" s="282" t="n">
        <f aca="false">G144*Inputs!$E$11/1000</f>
        <v>125219.252148641</v>
      </c>
    </row>
    <row r="146" customFormat="false" ht="15" hidden="false" customHeight="false" outlineLevel="0" collapsed="false">
      <c r="C146" s="0" t="s">
        <v>1309</v>
      </c>
      <c r="D146" s="0" t="s">
        <v>125</v>
      </c>
      <c r="G146" s="282" t="n">
        <f aca="false">-MIN(H130:AQ130)</f>
        <v>84284.3625627017</v>
      </c>
    </row>
    <row r="147" customFormat="false" ht="15" hidden="false" customHeight="false" outlineLevel="0" collapsed="false">
      <c r="C147" s="0" t="s">
        <v>1310</v>
      </c>
      <c r="D147" s="0" t="s">
        <v>7</v>
      </c>
      <c r="G147" s="266" t="n">
        <f aca="false">IFERROR(SUMIF(H129:AQ129,"&gt;0")/-SUMIF(H129:AQ129,"&lt;0"),"n/a")</f>
        <v>5.07034512466811</v>
      </c>
    </row>
    <row r="148" customFormat="false" ht="15" hidden="false" customHeight="false" outlineLevel="0" collapsed="false">
      <c r="C148" s="0" t="s">
        <v>1311</v>
      </c>
      <c r="D148" s="0" t="s">
        <v>5</v>
      </c>
      <c r="G148" s="283" t="n">
        <f aca="false" t="array" ref="G148:G148">IFERROR(INDEX(H5:AQ5,MATCH(TRUE(),INDEX(H124:AQ124&gt;0,0),0)),"n/a")</f>
        <v>2039</v>
      </c>
    </row>
    <row r="149" customFormat="false" ht="15" hidden="false" customHeight="false" outlineLevel="0" collapsed="false">
      <c r="C149" s="0" t="s">
        <v>646</v>
      </c>
      <c r="D149" s="0" t="s">
        <v>125</v>
      </c>
      <c r="G149" s="282" t="n">
        <f aca="false">-G30</f>
        <v>164787.248293151</v>
      </c>
    </row>
    <row r="150" customFormat="false" ht="15" hidden="false" customHeight="false" outlineLevel="0" collapsed="false">
      <c r="C150" s="0" t="s">
        <v>1222</v>
      </c>
      <c r="D150" s="0" t="s">
        <v>11</v>
      </c>
      <c r="G150" s="284" t="n">
        <f aca="false">G32</f>
        <v>1212.5625334301</v>
      </c>
    </row>
    <row r="151" customFormat="false" ht="15" hidden="false" customHeight="false" outlineLevel="0" collapsed="false">
      <c r="C151" s="0" t="s">
        <v>127</v>
      </c>
      <c r="D151" s="0" t="s">
        <v>116</v>
      </c>
      <c r="G151" s="284" t="n">
        <f aca="false">G38</f>
        <v>8627.84763827615</v>
      </c>
    </row>
    <row r="152" customFormat="false" ht="15" hidden="false" customHeight="false" outlineLevel="0" collapsed="false">
      <c r="C152" s="0" t="s">
        <v>1312</v>
      </c>
      <c r="D152" s="0" t="s">
        <v>125</v>
      </c>
      <c r="G152" s="282" t="n">
        <f aca="false">G54</f>
        <v>906694.053529856</v>
      </c>
    </row>
    <row r="153" customFormat="false" ht="15" hidden="false" customHeight="false" outlineLevel="0" collapsed="false">
      <c r="C153" s="0" t="s">
        <v>1313</v>
      </c>
      <c r="D153" s="0" t="s">
        <v>253</v>
      </c>
      <c r="G153" s="285" t="n">
        <f aca="false">G49</f>
        <v>105.08925186711</v>
      </c>
    </row>
    <row r="154" customFormat="false" ht="15" hidden="false" customHeight="false" outlineLevel="0" collapsed="false">
      <c r="C154" s="0" t="s">
        <v>1314</v>
      </c>
      <c r="D154" s="0" t="s">
        <v>51</v>
      </c>
      <c r="G154" s="267" t="n">
        <f aca="false">G71</f>
        <v>0.697111439085713</v>
      </c>
    </row>
    <row r="155" customFormat="false" ht="15" hidden="false" customHeight="false" outlineLevel="0" collapsed="false">
      <c r="C155" s="0" t="s">
        <v>186</v>
      </c>
      <c r="D155" s="0" t="s">
        <v>7</v>
      </c>
      <c r="G155" s="266" t="n">
        <f aca="false">G126</f>
        <v>2.30084937877239</v>
      </c>
    </row>
    <row r="156" customFormat="false" ht="15" hidden="false" customHeight="false" outlineLevel="0" collapsed="false">
      <c r="C156" s="0" t="s">
        <v>1315</v>
      </c>
      <c r="D156" s="0" t="s">
        <v>253</v>
      </c>
      <c r="G156" s="285" t="n">
        <f aca="false">IFERROR(-(SUMPRODUCT(H104:AQ104,H12:AQ12)+SUMPRODUCT(H105:AQ105,H12:AQ12)+SUMPRODUCT(H69:AQ69,H12:AQ12)+SUMPRODUCT(H107:AQ107,H12:AQ12))/SUMPRODUCT(H38:AQ38,H12:AQ12),"n/a")</f>
        <v>84.5202672608383</v>
      </c>
    </row>
    <row r="157" customFormat="false" ht="15" hidden="false" customHeight="false" outlineLevel="0" collapsed="false">
      <c r="C157" s="0" t="s">
        <v>1316</v>
      </c>
      <c r="D157" s="0" t="s">
        <v>125</v>
      </c>
      <c r="G157" s="282" t="n">
        <f aca="false">G77+G79-$G$369</f>
        <v>86869.1795643214</v>
      </c>
    </row>
    <row r="158" customFormat="false" ht="15" hidden="false" customHeight="false" outlineLevel="0" collapsed="false">
      <c r="C158" s="0" t="s">
        <v>1317</v>
      </c>
      <c r="D158" s="0" t="s">
        <v>194</v>
      </c>
      <c r="G158" s="286" t="str">
        <f aca="false">IF(ABS($G$371)&lt;0.01,"OK","CHECK")</f>
        <v>OK</v>
      </c>
    </row>
    <row r="159" customFormat="false" ht="15" hidden="false" customHeight="false" outlineLevel="0" collapsed="false">
      <c r="C159" s="0" t="s">
        <v>1318</v>
      </c>
      <c r="D159" s="0" t="s">
        <v>125</v>
      </c>
      <c r="G159" s="282" t="n">
        <f aca="false">-G22</f>
        <v>5497.50912788589</v>
      </c>
    </row>
    <row r="160" customFormat="false" ht="15" hidden="false" customHeight="false" outlineLevel="0" collapsed="false">
      <c r="C160" s="0" t="s">
        <v>1319</v>
      </c>
      <c r="D160" s="0" t="s">
        <v>125</v>
      </c>
      <c r="G160" s="282" t="n">
        <f aca="false">Inputs!$E$231*MOIC!$G$143</f>
        <v>4426.35</v>
      </c>
    </row>
    <row r="162" customFormat="false" ht="15" hidden="false" customHeight="false" outlineLevel="0" collapsed="false">
      <c r="C162" s="136" t="s">
        <v>1320</v>
      </c>
      <c r="D162" s="136"/>
      <c r="E162" s="136"/>
      <c r="F162" s="136"/>
      <c r="G162" s="136"/>
      <c r="H162" s="136"/>
      <c r="I162" s="136"/>
      <c r="J162" s="136"/>
      <c r="K162" s="136"/>
      <c r="L162" s="136"/>
      <c r="M162" s="136"/>
      <c r="N162" s="136"/>
      <c r="O162" s="136"/>
      <c r="P162" s="136"/>
      <c r="Q162" s="136"/>
      <c r="R162" s="136"/>
      <c r="S162" s="136"/>
      <c r="T162" s="136"/>
      <c r="U162" s="136"/>
      <c r="V162" s="136"/>
      <c r="W162" s="136"/>
      <c r="X162" s="136"/>
      <c r="Y162" s="136"/>
      <c r="Z162" s="136"/>
      <c r="AA162" s="136"/>
      <c r="AB162" s="136"/>
      <c r="AC162" s="136"/>
      <c r="AD162" s="136"/>
      <c r="AE162" s="136"/>
      <c r="AF162" s="136"/>
      <c r="AG162" s="136"/>
      <c r="AH162" s="136"/>
      <c r="AI162" s="136"/>
      <c r="AJ162" s="136"/>
      <c r="AK162" s="136"/>
      <c r="AL162" s="136"/>
      <c r="AM162" s="136"/>
      <c r="AN162" s="136"/>
      <c r="AO162" s="136"/>
      <c r="AP162" s="136"/>
      <c r="AQ162" s="136"/>
    </row>
    <row r="163" customFormat="false" ht="15" hidden="false" customHeight="false" outlineLevel="0" collapsed="false">
      <c r="C163" s="0" t="s">
        <v>1321</v>
      </c>
      <c r="D163" s="0" t="s">
        <v>194</v>
      </c>
      <c r="G163" s="205" t="str">
        <f aca="false">IF(AND(Inputs!$E$242="OK",Inputs!$E$243="OK"),IF(Inputs!$E$155&lt;=Inputs!$E$101,"OK","OK – "&amp;ROUND((Inputs!$E$155-Inputs!$E$101)/30.44,0)&amp;" months after target COD"),"CHECK – outside tender window")</f>
        <v>OK – 6 months after target COD</v>
      </c>
    </row>
    <row r="164" customFormat="false" ht="15" hidden="false" customHeight="false" outlineLevel="0" collapsed="false">
      <c r="C164" s="0" t="s">
        <v>1322</v>
      </c>
      <c r="D164" s="0" t="s">
        <v>194</v>
      </c>
      <c r="G164" s="205" t="str">
        <f aca="false">Inputs!$E$159</f>
        <v>OK</v>
      </c>
    </row>
    <row r="165" customFormat="false" ht="15" hidden="false" customHeight="false" outlineLevel="0" collapsed="false">
      <c r="C165" s="0" t="s">
        <v>1323</v>
      </c>
      <c r="D165" s="0" t="s">
        <v>194</v>
      </c>
      <c r="G165" s="205" t="str">
        <f aca="false">IF(ABS(G7-1)&lt;0.0001,"OK","FAIL")</f>
        <v>OK</v>
      </c>
    </row>
    <row r="166" customFormat="false" ht="15" hidden="false" customHeight="false" outlineLevel="0" collapsed="false">
      <c r="C166" s="0" t="s">
        <v>1324</v>
      </c>
      <c r="D166" s="0" t="s">
        <v>194</v>
      </c>
      <c r="G166" s="205" t="str">
        <f aca="false">IF(ABS(-G27-E27)&lt;0.01,"OK","FAIL")</f>
        <v>OK</v>
      </c>
    </row>
    <row r="167" customFormat="false" ht="15" hidden="false" customHeight="false" outlineLevel="0" collapsed="false">
      <c r="C167" s="0" t="s">
        <v>1325</v>
      </c>
      <c r="D167" s="0" t="s">
        <v>194</v>
      </c>
      <c r="G167" s="205" t="str">
        <f aca="false">G158</f>
        <v>OK</v>
      </c>
    </row>
    <row r="168" customFormat="false" ht="15" hidden="false" customHeight="false" outlineLevel="0" collapsed="false">
      <c r="C168" s="0" t="s">
        <v>1326</v>
      </c>
      <c r="D168" s="0" t="s">
        <v>194</v>
      </c>
      <c r="G168" s="205" t="str">
        <f aca="false">IF(MIN(H96:AQ96)&gt;=-0.01,"OK","FAIL")</f>
        <v>OK</v>
      </c>
    </row>
    <row r="169" customFormat="false" ht="15" hidden="false" customHeight="false" outlineLevel="0" collapsed="false">
      <c r="C169" s="0" t="s">
        <v>1327</v>
      </c>
      <c r="D169" s="0" t="s">
        <v>194</v>
      </c>
      <c r="G169" s="205" t="str">
        <f aca="false">IF(G46=0,"OK","FALLBACK USED – "&amp;G46&amp;" years")</f>
        <v>OK</v>
      </c>
    </row>
    <row r="170" customFormat="false" ht="15" hidden="false" customHeight="false" outlineLevel="0" collapsed="false">
      <c r="C170" s="0" t="s">
        <v>1328</v>
      </c>
      <c r="D170" s="0" t="s">
        <v>194</v>
      </c>
      <c r="G170" s="205" t="str">
        <f aca="false">IF(AND(ABS(-(G16+G17+G18+G28)-(MOIC!$G$18+MOIC!$G$20+Inputs!$E$24+Inputs!$E$25+SUMPRODUCT(Deposits!$M$7:$M$18,Deposits!$P$7:$P$18)))&lt;0.01,-G23&gt;=MOIC!$G$79-0.01),"OK",IF(Inputs!$E$228=0,"n/a – dev costs excluded","FAIL"))</f>
        <v>OK</v>
      </c>
    </row>
    <row r="171" customFormat="false" ht="15" hidden="false" customHeight="false" outlineLevel="0" collapsed="false">
      <c r="C171" s="0" t="s">
        <v>1329</v>
      </c>
      <c r="D171" s="0" t="s">
        <v>194</v>
      </c>
      <c r="G171" s="205" t="str">
        <f aca="false">IF(ABS(G123-(G109+G77+G85-G80+G86-G87+G89+G100))&lt;0.01,"OK","FAIL")</f>
        <v>OK</v>
      </c>
    </row>
    <row r="172" customFormat="false" ht="15" hidden="false" customHeight="false" outlineLevel="0" collapsed="false">
      <c r="C172" s="0" t="s">
        <v>1330</v>
      </c>
      <c r="D172" s="0" t="s">
        <v>194</v>
      </c>
      <c r="G172" s="205" t="str">
        <f aca="false">IF(COUNTIF(G163:G171,"OK*")+COUNTIF(G163:G171,"n/a*")=9,"ALL OK","REVIEW")</f>
        <v>ALL OK</v>
      </c>
    </row>
    <row r="175" customFormat="false" ht="15" hidden="false" customHeight="false" outlineLevel="0" collapsed="false">
      <c r="C175" s="136" t="s">
        <v>1331</v>
      </c>
      <c r="D175" s="136"/>
      <c r="E175" s="136"/>
      <c r="F175" s="136"/>
      <c r="G175" s="136"/>
      <c r="H175" s="136"/>
      <c r="I175" s="136"/>
      <c r="J175" s="136"/>
      <c r="K175" s="136"/>
      <c r="L175" s="136"/>
      <c r="M175" s="136"/>
      <c r="N175" s="136"/>
      <c r="O175" s="136"/>
      <c r="P175" s="136"/>
      <c r="Q175" s="136"/>
      <c r="R175" s="136"/>
      <c r="S175" s="136"/>
      <c r="T175" s="136"/>
      <c r="U175" s="136"/>
      <c r="V175" s="136"/>
      <c r="W175" s="136"/>
      <c r="X175" s="136"/>
      <c r="Y175" s="136"/>
      <c r="Z175" s="136"/>
      <c r="AA175" s="136"/>
      <c r="AB175" s="136"/>
      <c r="AC175" s="136"/>
      <c r="AD175" s="136"/>
      <c r="AE175" s="136"/>
      <c r="AF175" s="136"/>
      <c r="AG175" s="136"/>
      <c r="AH175" s="136"/>
      <c r="AI175" s="136"/>
      <c r="AJ175" s="136"/>
      <c r="AK175" s="136"/>
      <c r="AL175" s="136"/>
      <c r="AM175" s="136"/>
      <c r="AN175" s="136"/>
      <c r="AO175" s="136"/>
      <c r="AP175" s="136"/>
      <c r="AQ175" s="136"/>
    </row>
    <row r="176" customFormat="false" ht="15" hidden="false" customHeight="false" outlineLevel="0" collapsed="false">
      <c r="C176" s="205" t="s">
        <v>1332</v>
      </c>
      <c r="D176" s="133" t="s">
        <v>7</v>
      </c>
    </row>
    <row r="177" customFormat="false" ht="15" hidden="false" customHeight="false" outlineLevel="0" collapsed="false">
      <c r="C177" s="253" t="s">
        <v>1333</v>
      </c>
      <c r="D177" s="253" t="s">
        <v>1334</v>
      </c>
      <c r="E177" s="253" t="s">
        <v>1335</v>
      </c>
      <c r="F177" s="253" t="s">
        <v>1336</v>
      </c>
      <c r="G177" s="253" t="s">
        <v>1337</v>
      </c>
      <c r="H177" s="257"/>
      <c r="I177" s="257"/>
      <c r="J177" s="257"/>
      <c r="K177" s="257"/>
      <c r="L177" s="257"/>
      <c r="M177" s="257"/>
      <c r="N177" s="257"/>
      <c r="O177" s="257"/>
      <c r="P177" s="257"/>
      <c r="Q177" s="257"/>
      <c r="R177" s="257"/>
      <c r="S177" s="257"/>
      <c r="T177" s="257"/>
      <c r="U177" s="257"/>
      <c r="V177" s="257"/>
      <c r="W177" s="257"/>
      <c r="X177" s="257"/>
      <c r="Y177" s="257"/>
      <c r="Z177" s="257"/>
      <c r="AA177" s="257"/>
      <c r="AB177" s="257"/>
      <c r="AC177" s="257"/>
      <c r="AD177" s="257"/>
      <c r="AE177" s="257"/>
      <c r="AF177" s="257"/>
      <c r="AG177" s="257"/>
      <c r="AH177" s="257"/>
      <c r="AI177" s="257"/>
      <c r="AJ177" s="257"/>
      <c r="AK177" s="257"/>
      <c r="AL177" s="257"/>
      <c r="AM177" s="257"/>
      <c r="AN177" s="257"/>
      <c r="AO177" s="257"/>
      <c r="AP177" s="257"/>
      <c r="AQ177" s="257"/>
    </row>
    <row r="178" customFormat="false" ht="15" hidden="false" customHeight="false" outlineLevel="0" collapsed="false">
      <c r="C178" s="0" t="s">
        <v>1338</v>
      </c>
      <c r="D178" s="29" t="n">
        <f aca="false">Dashboard!$E$141</f>
        <v>0.7</v>
      </c>
      <c r="E178" s="180" t="n">
        <f aca="false">$G$153*D178</f>
        <v>73.5624763069773</v>
      </c>
      <c r="F178" s="141" t="n">
        <f aca="false">IFERROR(IRR(H178:AQ178),"n/a")</f>
        <v>0.0537793742810062</v>
      </c>
      <c r="G178" s="146" t="n">
        <f aca="false">SUMPRODUCT(H178:AQ178,$H$12:$AQ$12)</f>
        <v>-31787.9791576153</v>
      </c>
      <c r="H178" s="146" t="n">
        <f aca="false">H$109+H$54*($D178-1)*(1-Inputs!$E$198-Inputs!$E$212)</f>
        <v>-1570.61764901888</v>
      </c>
      <c r="I178" s="146" t="n">
        <f aca="false">I$109+I$54*($D178-1)*(1-Inputs!$E$198-Inputs!$E$212)</f>
        <v>-778.738143280267</v>
      </c>
      <c r="J178" s="146" t="n">
        <f aca="false">J$109+J$54*($D178-1)*(1-Inputs!$E$198-Inputs!$E$212)</f>
        <v>-1227.43813118225</v>
      </c>
      <c r="K178" s="146" t="n">
        <f aca="false">K$109+K$54*($D178-1)*(1-Inputs!$E$198-Inputs!$E$212)</f>
        <v>-61051.8514670827</v>
      </c>
      <c r="L178" s="146" t="n">
        <f aca="false">L$109+L$54*($D178-1)*(1-Inputs!$E$198-Inputs!$E$212)</f>
        <v>-70920.3290051788</v>
      </c>
      <c r="M178" s="146" t="n">
        <f aca="false">M$109+M$54*($D178-1)*(1-Inputs!$E$198-Inputs!$E$212)</f>
        <v>-31343.0976452432</v>
      </c>
      <c r="N178" s="146" t="n">
        <f aca="false">N$109+N$54*($D178-1)*(1-Inputs!$E$198-Inputs!$E$212)</f>
        <v>12427.7844806853</v>
      </c>
      <c r="O178" s="146" t="n">
        <f aca="false">O$109+O$54*($D178-1)*(1-Inputs!$E$198-Inputs!$E$212)</f>
        <v>12431.8599113619</v>
      </c>
      <c r="P178" s="146" t="n">
        <f aca="false">P$109+P$54*($D178-1)*(1-Inputs!$E$198-Inputs!$E$212)</f>
        <v>12433.7231679939</v>
      </c>
      <c r="Q178" s="146" t="n">
        <f aca="false">Q$109+Q$54*($D178-1)*(1-Inputs!$E$198-Inputs!$E$212)</f>
        <v>12433.3051975902</v>
      </c>
      <c r="R178" s="146" t="n">
        <f aca="false">R$109+R$54*($D178-1)*(1-Inputs!$E$198-Inputs!$E$212)</f>
        <v>12430.5351584184</v>
      </c>
      <c r="S178" s="146" t="n">
        <f aca="false">S$109+S$54*($D178-1)*(1-Inputs!$E$198-Inputs!$E$212)</f>
        <v>12425.3403756394</v>
      </c>
      <c r="T178" s="146" t="n">
        <f aca="false">T$109+T$54*($D178-1)*(1-Inputs!$E$198-Inputs!$E$212)</f>
        <v>12417.6462958536</v>
      </c>
      <c r="U178" s="146" t="n">
        <f aca="false">U$109+U$54*($D178-1)*(1-Inputs!$E$198-Inputs!$E$212)</f>
        <v>12407.37644053</v>
      </c>
      <c r="V178" s="146" t="n">
        <f aca="false">V$109+V$54*($D178-1)*(1-Inputs!$E$198-Inputs!$E$212)</f>
        <v>12394.4523582926</v>
      </c>
      <c r="W178" s="146" t="n">
        <f aca="false">W$109+W$54*($D178-1)*(1-Inputs!$E$198-Inputs!$E$212)</f>
        <v>12378.7935760342</v>
      </c>
      <c r="X178" s="146" t="n">
        <f aca="false">X$109+X$54*($D178-1)*(1-Inputs!$E$198-Inputs!$E$212)</f>
        <v>12360.3175488302</v>
      </c>
      <c r="Y178" s="146" t="n">
        <f aca="false">Y$109+Y$54*($D178-1)*(1-Inputs!$E$198-Inputs!$E$212)</f>
        <v>12338.9396086225</v>
      </c>
      <c r="Z178" s="146" t="n">
        <f aca="false">Z$109+Z$54*($D178-1)*(1-Inputs!$E$198-Inputs!$E$212)</f>
        <v>12314.5729116435</v>
      </c>
      <c r="AA178" s="146" t="n">
        <f aca="false">AA$109+AA$54*($D178-1)*(1-Inputs!$E$198-Inputs!$E$212)</f>
        <v>12287.1283845488</v>
      </c>
      <c r="AB178" s="146" t="n">
        <f aca="false">AB$109+AB$54*($D178-1)*(1-Inputs!$E$198-Inputs!$E$212)</f>
        <v>12256.5146692275</v>
      </c>
      <c r="AC178" s="146" t="n">
        <f aca="false">AC$109+AC$54*($D178-1)*(1-Inputs!$E$198-Inputs!$E$212)</f>
        <v>12222.6380662571</v>
      </c>
      <c r="AD178" s="146" t="n">
        <f aca="false">AD$109+AD$54*($D178-1)*(1-Inputs!$E$198-Inputs!$E$212)</f>
        <v>12185.4024769708</v>
      </c>
      <c r="AE178" s="146" t="n">
        <f aca="false">AE$109+AE$54*($D178-1)*(1-Inputs!$E$198-Inputs!$E$212)</f>
        <v>12144.7093441014</v>
      </c>
      <c r="AF178" s="146" t="n">
        <f aca="false">AF$109+AF$54*($D178-1)*(1-Inputs!$E$198-Inputs!$E$212)</f>
        <v>12100.4575909686</v>
      </c>
      <c r="AG178" s="146" t="n">
        <f aca="false">AG$109+AG$54*($D178-1)*(1-Inputs!$E$198-Inputs!$E$212)</f>
        <v>12052.543559173</v>
      </c>
      <c r="AH178" s="146" t="n">
        <f aca="false">AH$109+AH$54*($D178-1)*(1-Inputs!$E$198-Inputs!$E$212)</f>
        <v>12000.8609447604</v>
      </c>
      <c r="AI178" s="146" t="n">
        <f aca="false">AI$109+AI$54*($D178-1)*(1-Inputs!$E$198-Inputs!$E$212)</f>
        <v>11945.3007328191</v>
      </c>
      <c r="AJ178" s="146" t="n">
        <f aca="false">AJ$109+AJ$54*($D178-1)*(1-Inputs!$E$198-Inputs!$E$212)</f>
        <v>11885.7511304709</v>
      </c>
      <c r="AK178" s="146" t="n">
        <f aca="false">AK$109+AK$54*($D178-1)*(1-Inputs!$E$198-Inputs!$E$212)</f>
        <v>11822.0974982176</v>
      </c>
      <c r="AL178" s="146" t="n">
        <f aca="false">AL$109+AL$54*($D178-1)*(1-Inputs!$E$198-Inputs!$E$212)</f>
        <v>11754.2222796016</v>
      </c>
      <c r="AM178" s="146" t="n">
        <f aca="false">AM$109+AM$54*($D178-1)*(1-Inputs!$E$198-Inputs!$E$212)</f>
        <v>11682.0049291402</v>
      </c>
      <c r="AN178" s="146" t="n">
        <f aca="false">AN$109+AN$54*($D178-1)*(1-Inputs!$E$198-Inputs!$E$212)</f>
        <v>11605.3218384901</v>
      </c>
      <c r="AO178" s="146" t="n">
        <f aca="false">AO$109+AO$54*($D178-1)*(1-Inputs!$E$198-Inputs!$E$212)</f>
        <v>11524.0462607992</v>
      </c>
      <c r="AP178" s="146" t="n">
        <f aca="false">AP$109+AP$54*($D178-1)*(1-Inputs!$E$198-Inputs!$E$212)</f>
        <v>11438.0482332019</v>
      </c>
      <c r="AQ178" s="146" t="n">
        <f aca="false">AQ$109+AQ$54*($D178-1)*(1-Inputs!$E$198-Inputs!$E$212)</f>
        <v>1596.59724870553</v>
      </c>
    </row>
    <row r="179" customFormat="false" ht="15" hidden="false" customHeight="false" outlineLevel="0" collapsed="false">
      <c r="C179" s="0" t="s">
        <v>1339</v>
      </c>
      <c r="D179" s="29" t="n">
        <f aca="false">Dashboard!$F$141</f>
        <v>0.8</v>
      </c>
      <c r="E179" s="180" t="n">
        <f aca="false">$G$153*D179</f>
        <v>84.0714014936883</v>
      </c>
      <c r="F179" s="141" t="n">
        <f aca="false">IFERROR(IRR(H179:AQ179),"n/a")</f>
        <v>0.0730312987063415</v>
      </c>
      <c r="G179" s="146" t="n">
        <f aca="false">SUMPRODUCT(H179:AQ179,$H$12:$AQ$12)</f>
        <v>-8917.53149452477</v>
      </c>
      <c r="H179" s="146" t="n">
        <f aca="false">H$109+H$54*($D179-1)*(1-Inputs!$E$198-Inputs!$E$212)</f>
        <v>-1570.61764901888</v>
      </c>
      <c r="I179" s="146" t="n">
        <f aca="false">I$109+I$54*($D179-1)*(1-Inputs!$E$198-Inputs!$E$212)</f>
        <v>-778.738143280267</v>
      </c>
      <c r="J179" s="146" t="n">
        <f aca="false">J$109+J$54*($D179-1)*(1-Inputs!$E$198-Inputs!$E$212)</f>
        <v>-1227.43813118225</v>
      </c>
      <c r="K179" s="146" t="n">
        <f aca="false">K$109+K$54*($D179-1)*(1-Inputs!$E$198-Inputs!$E$212)</f>
        <v>-61051.8514670827</v>
      </c>
      <c r="L179" s="146" t="n">
        <f aca="false">L$109+L$54*($D179-1)*(1-Inputs!$E$198-Inputs!$E$212)</f>
        <v>-70920.3290051788</v>
      </c>
      <c r="M179" s="146" t="n">
        <f aca="false">M$109+M$54*($D179-1)*(1-Inputs!$E$198-Inputs!$E$212)</f>
        <v>-29644.2890257081</v>
      </c>
      <c r="N179" s="146" t="n">
        <f aca="false">N$109+N$54*($D179-1)*(1-Inputs!$E$198-Inputs!$E$212)</f>
        <v>15096.307464249</v>
      </c>
      <c r="O179" s="146" t="n">
        <f aca="false">O$109+O$54*($D179-1)*(1-Inputs!$E$198-Inputs!$E$212)</f>
        <v>15118.9825001211</v>
      </c>
      <c r="P179" s="146" t="n">
        <f aca="false">P$109+P$54*($D179-1)*(1-Inputs!$E$198-Inputs!$E$212)</f>
        <v>15139.5750011967</v>
      </c>
      <c r="Q179" s="146" t="n">
        <f aca="false">Q$109+Q$54*($D179-1)*(1-Inputs!$E$198-Inputs!$E$212)</f>
        <v>15158.0168180705</v>
      </c>
      <c r="R179" s="146" t="n">
        <f aca="false">R$109+R$54*($D179-1)*(1-Inputs!$E$198-Inputs!$E$212)</f>
        <v>15174.2380188934</v>
      </c>
      <c r="S179" s="146" t="n">
        <f aca="false">S$109+S$54*($D179-1)*(1-Inputs!$E$198-Inputs!$E$212)</f>
        <v>15188.1668450519</v>
      </c>
      <c r="T179" s="146" t="n">
        <f aca="false">T$109+T$54*($D179-1)*(1-Inputs!$E$198-Inputs!$E$212)</f>
        <v>15199.7296657579</v>
      </c>
      <c r="U179" s="146" t="n">
        <f aca="false">U$109+U$54*($D179-1)*(1-Inputs!$E$198-Inputs!$E$212)</f>
        <v>15208.8509315226</v>
      </c>
      <c r="V179" s="146" t="n">
        <f aca="false">V$109+V$54*($D179-1)*(1-Inputs!$E$198-Inputs!$E$212)</f>
        <v>15215.4531264874</v>
      </c>
      <c r="W179" s="146" t="n">
        <f aca="false">W$109+W$54*($D179-1)*(1-Inputs!$E$198-Inputs!$E$212)</f>
        <v>15219.4567195833</v>
      </c>
      <c r="X179" s="146" t="n">
        <f aca="false">X$109+X$54*($D179-1)*(1-Inputs!$E$198-Inputs!$E$212)</f>
        <v>15220.7801144898</v>
      </c>
      <c r="Y179" s="146" t="n">
        <f aca="false">Y$109+Y$54*($D179-1)*(1-Inputs!$E$198-Inputs!$E$212)</f>
        <v>15219.3395983648</v>
      </c>
      <c r="Z179" s="146" t="n">
        <f aca="false">Z$109+Z$54*($D179-1)*(1-Inputs!$E$198-Inputs!$E$212)</f>
        <v>15215.0492893143</v>
      </c>
      <c r="AA179" s="146" t="n">
        <f aca="false">AA$109+AA$54*($D179-1)*(1-Inputs!$E$198-Inputs!$E$212)</f>
        <v>15207.821082572</v>
      </c>
      <c r="AB179" s="146" t="n">
        <f aca="false">AB$109+AB$54*($D179-1)*(1-Inputs!$E$198-Inputs!$E$212)</f>
        <v>15197.5645953558</v>
      </c>
      <c r="AC179" s="146" t="n">
        <f aca="false">AC$109+AC$54*($D179-1)*(1-Inputs!$E$198-Inputs!$E$212)</f>
        <v>15184.1871103706</v>
      </c>
      <c r="AD179" s="146" t="n">
        <f aca="false">AD$109+AD$54*($D179-1)*(1-Inputs!$E$198-Inputs!$E$212)</f>
        <v>15167.5935179218</v>
      </c>
      <c r="AE179" s="146" t="n">
        <f aca="false">AE$109+AE$54*($D179-1)*(1-Inputs!$E$198-Inputs!$E$212)</f>
        <v>15147.6862566078</v>
      </c>
      <c r="AF179" s="146" t="n">
        <f aca="false">AF$109+AF$54*($D179-1)*(1-Inputs!$E$198-Inputs!$E$212)</f>
        <v>15124.3652525551</v>
      </c>
      <c r="AG179" s="146" t="n">
        <f aca="false">AG$109+AG$54*($D179-1)*(1-Inputs!$E$198-Inputs!$E$212)</f>
        <v>15097.5278571608</v>
      </c>
      <c r="AH179" s="146" t="n">
        <f aca="false">AH$109+AH$54*($D179-1)*(1-Inputs!$E$198-Inputs!$E$212)</f>
        <v>15067.0687833052</v>
      </c>
      <c r="AI179" s="146" t="n">
        <f aca="false">AI$109+AI$54*($D179-1)*(1-Inputs!$E$198-Inputs!$E$212)</f>
        <v>15032.8800399986</v>
      </c>
      <c r="AJ179" s="146" t="n">
        <f aca="false">AJ$109+AJ$54*($D179-1)*(1-Inputs!$E$198-Inputs!$E$212)</f>
        <v>14994.8508654214</v>
      </c>
      <c r="AK179" s="146" t="n">
        <f aca="false">AK$109+AK$54*($D179-1)*(1-Inputs!$E$198-Inputs!$E$212)</f>
        <v>14952.8676583206</v>
      </c>
      <c r="AL179" s="146" t="n">
        <f aca="false">AL$109+AL$54*($D179-1)*(1-Inputs!$E$198-Inputs!$E$212)</f>
        <v>14906.8139077206</v>
      </c>
      <c r="AM179" s="146" t="n">
        <f aca="false">AM$109+AM$54*($D179-1)*(1-Inputs!$E$198-Inputs!$E$212)</f>
        <v>14856.5701209072</v>
      </c>
      <c r="AN179" s="146" t="n">
        <f aca="false">AN$109+AN$54*($D179-1)*(1-Inputs!$E$198-Inputs!$E$212)</f>
        <v>14802.0137496437</v>
      </c>
      <c r="AO179" s="146" t="n">
        <f aca="false">AO$109+AO$54*($D179-1)*(1-Inputs!$E$198-Inputs!$E$212)</f>
        <v>14743.0191145735</v>
      </c>
      <c r="AP179" s="146" t="n">
        <f aca="false">AP$109+AP$54*($D179-1)*(1-Inputs!$E$198-Inputs!$E$212)</f>
        <v>14679.457327767</v>
      </c>
      <c r="AQ179" s="146" t="n">
        <f aca="false">AQ$109+AQ$54*($D179-1)*(1-Inputs!$E$198-Inputs!$E$212)</f>
        <v>3228.59810668267</v>
      </c>
    </row>
    <row r="180" customFormat="false" ht="15" hidden="false" customHeight="false" outlineLevel="0" collapsed="false">
      <c r="C180" s="0" t="s">
        <v>1340</v>
      </c>
      <c r="D180" s="29" t="n">
        <f aca="false">Dashboard!$G$141</f>
        <v>0.9</v>
      </c>
      <c r="E180" s="180" t="n">
        <f aca="false">$G$153*D180</f>
        <v>94.5803266803994</v>
      </c>
      <c r="F180" s="141" t="n">
        <f aca="false">IFERROR(IRR(H180:AQ180),"n/a")</f>
        <v>0.0904482352173344</v>
      </c>
      <c r="G180" s="146" t="n">
        <f aca="false">SUMPRODUCT(H180:AQ180,$H$12:$AQ$12)</f>
        <v>13952.9161685657</v>
      </c>
      <c r="H180" s="146" t="n">
        <f aca="false">H$109+H$54*($D180-1)*(1-Inputs!$E$198-Inputs!$E$212)</f>
        <v>-1570.61764901888</v>
      </c>
      <c r="I180" s="146" t="n">
        <f aca="false">I$109+I$54*($D180-1)*(1-Inputs!$E$198-Inputs!$E$212)</f>
        <v>-778.738143280267</v>
      </c>
      <c r="J180" s="146" t="n">
        <f aca="false">J$109+J$54*($D180-1)*(1-Inputs!$E$198-Inputs!$E$212)</f>
        <v>-1227.43813118225</v>
      </c>
      <c r="K180" s="146" t="n">
        <f aca="false">K$109+K$54*($D180-1)*(1-Inputs!$E$198-Inputs!$E$212)</f>
        <v>-61051.8514670827</v>
      </c>
      <c r="L180" s="146" t="n">
        <f aca="false">L$109+L$54*($D180-1)*(1-Inputs!$E$198-Inputs!$E$212)</f>
        <v>-70920.3290051788</v>
      </c>
      <c r="M180" s="146" t="n">
        <f aca="false">M$109+M$54*($D180-1)*(1-Inputs!$E$198-Inputs!$E$212)</f>
        <v>-27945.4804061729</v>
      </c>
      <c r="N180" s="146" t="n">
        <f aca="false">N$109+N$54*($D180-1)*(1-Inputs!$E$198-Inputs!$E$212)</f>
        <v>17764.8304478128</v>
      </c>
      <c r="O180" s="146" t="n">
        <f aca="false">O$109+O$54*($D180-1)*(1-Inputs!$E$198-Inputs!$E$212)</f>
        <v>17806.1050888803</v>
      </c>
      <c r="P180" s="146" t="n">
        <f aca="false">P$109+P$54*($D180-1)*(1-Inputs!$E$198-Inputs!$E$212)</f>
        <v>17845.4268343995</v>
      </c>
      <c r="Q180" s="146" t="n">
        <f aca="false">Q$109+Q$54*($D180-1)*(1-Inputs!$E$198-Inputs!$E$212)</f>
        <v>17882.7284385507</v>
      </c>
      <c r="R180" s="146" t="n">
        <f aca="false">R$109+R$54*($D180-1)*(1-Inputs!$E$198-Inputs!$E$212)</f>
        <v>17917.9408793684</v>
      </c>
      <c r="S180" s="146" t="n">
        <f aca="false">S$109+S$54*($D180-1)*(1-Inputs!$E$198-Inputs!$E$212)</f>
        <v>17950.9933144644</v>
      </c>
      <c r="T180" s="146" t="n">
        <f aca="false">T$109+T$54*($D180-1)*(1-Inputs!$E$198-Inputs!$E$212)</f>
        <v>17981.8130356622</v>
      </c>
      <c r="U180" s="146" t="n">
        <f aca="false">U$109+U$54*($D180-1)*(1-Inputs!$E$198-Inputs!$E$212)</f>
        <v>18010.3254225151</v>
      </c>
      <c r="V180" s="146" t="n">
        <f aca="false">V$109+V$54*($D180-1)*(1-Inputs!$E$198-Inputs!$E$212)</f>
        <v>18036.4538946822</v>
      </c>
      <c r="W180" s="146" t="n">
        <f aca="false">W$109+W$54*($D180-1)*(1-Inputs!$E$198-Inputs!$E$212)</f>
        <v>18060.1198631324</v>
      </c>
      <c r="X180" s="146" t="n">
        <f aca="false">X$109+X$54*($D180-1)*(1-Inputs!$E$198-Inputs!$E$212)</f>
        <v>18081.2426801494</v>
      </c>
      <c r="Y180" s="146" t="n">
        <f aca="false">Y$109+Y$54*($D180-1)*(1-Inputs!$E$198-Inputs!$E$212)</f>
        <v>18099.739588107</v>
      </c>
      <c r="Z180" s="146" t="n">
        <f aca="false">Z$109+Z$54*($D180-1)*(1-Inputs!$E$198-Inputs!$E$212)</f>
        <v>18115.5256669851</v>
      </c>
      <c r="AA180" s="146" t="n">
        <f aca="false">AA$109+AA$54*($D180-1)*(1-Inputs!$E$198-Inputs!$E$212)</f>
        <v>18128.5137805951</v>
      </c>
      <c r="AB180" s="146" t="n">
        <f aca="false">AB$109+AB$54*($D180-1)*(1-Inputs!$E$198-Inputs!$E$212)</f>
        <v>18138.6145214842</v>
      </c>
      <c r="AC180" s="146" t="n">
        <f aca="false">AC$109+AC$54*($D180-1)*(1-Inputs!$E$198-Inputs!$E$212)</f>
        <v>18145.7361544841</v>
      </c>
      <c r="AD180" s="146" t="n">
        <f aca="false">AD$109+AD$54*($D180-1)*(1-Inputs!$E$198-Inputs!$E$212)</f>
        <v>18149.7845588727</v>
      </c>
      <c r="AE180" s="146" t="n">
        <f aca="false">AE$109+AE$54*($D180-1)*(1-Inputs!$E$198-Inputs!$E$212)</f>
        <v>18150.6631691141</v>
      </c>
      <c r="AF180" s="146" t="n">
        <f aca="false">AF$109+AF$54*($D180-1)*(1-Inputs!$E$198-Inputs!$E$212)</f>
        <v>18148.2729141417</v>
      </c>
      <c r="AG180" s="146" t="n">
        <f aca="false">AG$109+AG$54*($D180-1)*(1-Inputs!$E$198-Inputs!$E$212)</f>
        <v>18142.5121551486</v>
      </c>
      <c r="AH180" s="146" t="n">
        <f aca="false">AH$109+AH$54*($D180-1)*(1-Inputs!$E$198-Inputs!$E$212)</f>
        <v>18133.27662185</v>
      </c>
      <c r="AI180" s="146" t="n">
        <f aca="false">AI$109+AI$54*($D180-1)*(1-Inputs!$E$198-Inputs!$E$212)</f>
        <v>18120.459347178</v>
      </c>
      <c r="AJ180" s="146" t="n">
        <f aca="false">AJ$109+AJ$54*($D180-1)*(1-Inputs!$E$198-Inputs!$E$212)</f>
        <v>18103.9506003719</v>
      </c>
      <c r="AK180" s="146" t="n">
        <f aca="false">AK$109+AK$54*($D180-1)*(1-Inputs!$E$198-Inputs!$E$212)</f>
        <v>18083.6378184237</v>
      </c>
      <c r="AL180" s="146" t="n">
        <f aca="false">AL$109+AL$54*($D180-1)*(1-Inputs!$E$198-Inputs!$E$212)</f>
        <v>18059.4055358396</v>
      </c>
      <c r="AM180" s="146" t="n">
        <f aca="false">AM$109+AM$54*($D180-1)*(1-Inputs!$E$198-Inputs!$E$212)</f>
        <v>18031.1353126742</v>
      </c>
      <c r="AN180" s="146" t="n">
        <f aca="false">AN$109+AN$54*($D180-1)*(1-Inputs!$E$198-Inputs!$E$212)</f>
        <v>17998.7056607973</v>
      </c>
      <c r="AO180" s="146" t="n">
        <f aca="false">AO$109+AO$54*($D180-1)*(1-Inputs!$E$198-Inputs!$E$212)</f>
        <v>17961.9919683479</v>
      </c>
      <c r="AP180" s="146" t="n">
        <f aca="false">AP$109+AP$54*($D180-1)*(1-Inputs!$E$198-Inputs!$E$212)</f>
        <v>17920.8664223322</v>
      </c>
      <c r="AQ180" s="146" t="n">
        <f aca="false">AQ$109+AQ$54*($D180-1)*(1-Inputs!$E$198-Inputs!$E$212)</f>
        <v>4860.59896465981</v>
      </c>
    </row>
    <row r="181" customFormat="false" ht="15" hidden="false" customHeight="false" outlineLevel="0" collapsed="false">
      <c r="C181" s="287" t="s">
        <v>1341</v>
      </c>
      <c r="D181" s="197" t="n">
        <f aca="false">Dashboard!$H$141</f>
        <v>1</v>
      </c>
      <c r="E181" s="195" t="n">
        <f aca="false">$G$153*D181</f>
        <v>105.08925186711</v>
      </c>
      <c r="F181" s="177" t="n">
        <f aca="false">IFERROR(IRR(H181:AQ181),"n/a")</f>
        <v>0.106627827399793</v>
      </c>
      <c r="G181" s="288" t="n">
        <f aca="false">SUMPRODUCT(H181:AQ181,$H$12:$AQ$12)</f>
        <v>36823.3638316562</v>
      </c>
      <c r="H181" s="146" t="n">
        <f aca="false">H$109+H$54*($D181-1)*(1-Inputs!$E$198-Inputs!$E$212)</f>
        <v>-1570.61764901888</v>
      </c>
      <c r="I181" s="146" t="n">
        <f aca="false">I$109+I$54*($D181-1)*(1-Inputs!$E$198-Inputs!$E$212)</f>
        <v>-778.738143280267</v>
      </c>
      <c r="J181" s="146" t="n">
        <f aca="false">J$109+J$54*($D181-1)*(1-Inputs!$E$198-Inputs!$E$212)</f>
        <v>-1227.43813118225</v>
      </c>
      <c r="K181" s="146" t="n">
        <f aca="false">K$109+K$54*($D181-1)*(1-Inputs!$E$198-Inputs!$E$212)</f>
        <v>-61051.8514670827</v>
      </c>
      <c r="L181" s="146" t="n">
        <f aca="false">L$109+L$54*($D181-1)*(1-Inputs!$E$198-Inputs!$E$212)</f>
        <v>-70920.3290051788</v>
      </c>
      <c r="M181" s="146" t="n">
        <f aca="false">M$109+M$54*($D181-1)*(1-Inputs!$E$198-Inputs!$E$212)</f>
        <v>-26246.6717866378</v>
      </c>
      <c r="N181" s="146" t="n">
        <f aca="false">N$109+N$54*($D181-1)*(1-Inputs!$E$198-Inputs!$E$212)</f>
        <v>20433.3534313765</v>
      </c>
      <c r="O181" s="146" t="n">
        <f aca="false">O$109+O$54*($D181-1)*(1-Inputs!$E$198-Inputs!$E$212)</f>
        <v>20493.2276776395</v>
      </c>
      <c r="P181" s="146" t="n">
        <f aca="false">P$109+P$54*($D181-1)*(1-Inputs!$E$198-Inputs!$E$212)</f>
        <v>20551.2786676024</v>
      </c>
      <c r="Q181" s="146" t="n">
        <f aca="false">Q$109+Q$54*($D181-1)*(1-Inputs!$E$198-Inputs!$E$212)</f>
        <v>20607.440059031</v>
      </c>
      <c r="R181" s="146" t="n">
        <f aca="false">R$109+R$54*($D181-1)*(1-Inputs!$E$198-Inputs!$E$212)</f>
        <v>20661.6437398434</v>
      </c>
      <c r="S181" s="146" t="n">
        <f aca="false">S$109+S$54*($D181-1)*(1-Inputs!$E$198-Inputs!$E$212)</f>
        <v>20713.819783877</v>
      </c>
      <c r="T181" s="146" t="n">
        <f aca="false">T$109+T$54*($D181-1)*(1-Inputs!$E$198-Inputs!$E$212)</f>
        <v>20763.8964055665</v>
      </c>
      <c r="U181" s="146" t="n">
        <f aca="false">U$109+U$54*($D181-1)*(1-Inputs!$E$198-Inputs!$E$212)</f>
        <v>20811.7999135077</v>
      </c>
      <c r="V181" s="146" t="n">
        <f aca="false">V$109+V$54*($D181-1)*(1-Inputs!$E$198-Inputs!$E$212)</f>
        <v>20857.454662877</v>
      </c>
      <c r="W181" s="146" t="n">
        <f aca="false">W$109+W$54*($D181-1)*(1-Inputs!$E$198-Inputs!$E$212)</f>
        <v>20900.7830066815</v>
      </c>
      <c r="X181" s="146" t="n">
        <f aca="false">X$109+X$54*($D181-1)*(1-Inputs!$E$198-Inputs!$E$212)</f>
        <v>20941.7052458091</v>
      </c>
      <c r="Y181" s="146" t="n">
        <f aca="false">Y$109+Y$54*($D181-1)*(1-Inputs!$E$198-Inputs!$E$212)</f>
        <v>20980.1395778493</v>
      </c>
      <c r="Z181" s="146" t="n">
        <f aca="false">Z$109+Z$54*($D181-1)*(1-Inputs!$E$198-Inputs!$E$212)</f>
        <v>21016.0020446558</v>
      </c>
      <c r="AA181" s="146" t="n">
        <f aca="false">AA$109+AA$54*($D181-1)*(1-Inputs!$E$198-Inputs!$E$212)</f>
        <v>21049.2064786182</v>
      </c>
      <c r="AB181" s="146" t="n">
        <f aca="false">AB$109+AB$54*($D181-1)*(1-Inputs!$E$198-Inputs!$E$212)</f>
        <v>21079.6644476126</v>
      </c>
      <c r="AC181" s="146" t="n">
        <f aca="false">AC$109+AC$54*($D181-1)*(1-Inputs!$E$198-Inputs!$E$212)</f>
        <v>21107.2851985976</v>
      </c>
      <c r="AD181" s="146" t="n">
        <f aca="false">AD$109+AD$54*($D181-1)*(1-Inputs!$E$198-Inputs!$E$212)</f>
        <v>21131.9755998237</v>
      </c>
      <c r="AE181" s="146" t="n">
        <f aca="false">AE$109+AE$54*($D181-1)*(1-Inputs!$E$198-Inputs!$E$212)</f>
        <v>21153.6400816205</v>
      </c>
      <c r="AF181" s="146" t="n">
        <f aca="false">AF$109+AF$54*($D181-1)*(1-Inputs!$E$198-Inputs!$E$212)</f>
        <v>21172.1805757282</v>
      </c>
      <c r="AG181" s="146" t="n">
        <f aca="false">AG$109+AG$54*($D181-1)*(1-Inputs!$E$198-Inputs!$E$212)</f>
        <v>21187.4964531364</v>
      </c>
      <c r="AH181" s="146" t="n">
        <f aca="false">AH$109+AH$54*($D181-1)*(1-Inputs!$E$198-Inputs!$E$212)</f>
        <v>21199.4844603948</v>
      </c>
      <c r="AI181" s="146" t="n">
        <f aca="false">AI$109+AI$54*($D181-1)*(1-Inputs!$E$198-Inputs!$E$212)</f>
        <v>21208.0386543575</v>
      </c>
      <c r="AJ181" s="146" t="n">
        <f aca="false">AJ$109+AJ$54*($D181-1)*(1-Inputs!$E$198-Inputs!$E$212)</f>
        <v>21213.0503353224</v>
      </c>
      <c r="AK181" s="146" t="n">
        <f aca="false">AK$109+AK$54*($D181-1)*(1-Inputs!$E$198-Inputs!$E$212)</f>
        <v>21214.4079785268</v>
      </c>
      <c r="AL181" s="146" t="n">
        <f aca="false">AL$109+AL$54*($D181-1)*(1-Inputs!$E$198-Inputs!$E$212)</f>
        <v>21211.9971639586</v>
      </c>
      <c r="AM181" s="146" t="n">
        <f aca="false">AM$109+AM$54*($D181-1)*(1-Inputs!$E$198-Inputs!$E$212)</f>
        <v>21205.7005044412</v>
      </c>
      <c r="AN181" s="146" t="n">
        <f aca="false">AN$109+AN$54*($D181-1)*(1-Inputs!$E$198-Inputs!$E$212)</f>
        <v>21195.3975719509</v>
      </c>
      <c r="AO181" s="146" t="n">
        <f aca="false">AO$109+AO$54*($D181-1)*(1-Inputs!$E$198-Inputs!$E$212)</f>
        <v>21180.9648221222</v>
      </c>
      <c r="AP181" s="146" t="n">
        <f aca="false">AP$109+AP$54*($D181-1)*(1-Inputs!$E$198-Inputs!$E$212)</f>
        <v>21162.2755168973</v>
      </c>
      <c r="AQ181" s="146" t="n">
        <f aca="false">AQ$109+AQ$54*($D181-1)*(1-Inputs!$E$198-Inputs!$E$212)</f>
        <v>6492.59982263695</v>
      </c>
    </row>
    <row r="182" customFormat="false" ht="15" hidden="false" customHeight="false" outlineLevel="0" collapsed="false">
      <c r="C182" s="0" t="s">
        <v>1342</v>
      </c>
      <c r="D182" s="29" t="n">
        <f aca="false">Dashboard!$I$141</f>
        <v>1.1</v>
      </c>
      <c r="E182" s="180" t="n">
        <f aca="false">$G$153*D182</f>
        <v>115.598177053821</v>
      </c>
      <c r="F182" s="141" t="n">
        <f aca="false">IFERROR(IRR(H182:AQ182),"n/a")</f>
        <v>0.121917598278486</v>
      </c>
      <c r="G182" s="146" t="n">
        <f aca="false">SUMPRODUCT(H182:AQ182,$H$12:$AQ$12)</f>
        <v>59693.8114947468</v>
      </c>
      <c r="H182" s="146" t="n">
        <f aca="false">H$109+H$54*($D182-1)*(1-Inputs!$E$198-Inputs!$E$212)</f>
        <v>-1570.61764901888</v>
      </c>
      <c r="I182" s="146" t="n">
        <f aca="false">I$109+I$54*($D182-1)*(1-Inputs!$E$198-Inputs!$E$212)</f>
        <v>-778.738143280267</v>
      </c>
      <c r="J182" s="146" t="n">
        <f aca="false">J$109+J$54*($D182-1)*(1-Inputs!$E$198-Inputs!$E$212)</f>
        <v>-1227.43813118225</v>
      </c>
      <c r="K182" s="146" t="n">
        <f aca="false">K$109+K$54*($D182-1)*(1-Inputs!$E$198-Inputs!$E$212)</f>
        <v>-61051.8514670827</v>
      </c>
      <c r="L182" s="146" t="n">
        <f aca="false">L$109+L$54*($D182-1)*(1-Inputs!$E$198-Inputs!$E$212)</f>
        <v>-70920.3290051788</v>
      </c>
      <c r="M182" s="146" t="n">
        <f aca="false">M$109+M$54*($D182-1)*(1-Inputs!$E$198-Inputs!$E$212)</f>
        <v>-24547.8631671026</v>
      </c>
      <c r="N182" s="146" t="n">
        <f aca="false">N$109+N$54*($D182-1)*(1-Inputs!$E$198-Inputs!$E$212)</f>
        <v>23101.8764149403</v>
      </c>
      <c r="O182" s="146" t="n">
        <f aca="false">O$109+O$54*($D182-1)*(1-Inputs!$E$198-Inputs!$E$212)</f>
        <v>23180.3502663987</v>
      </c>
      <c r="P182" s="146" t="n">
        <f aca="false">P$109+P$54*($D182-1)*(1-Inputs!$E$198-Inputs!$E$212)</f>
        <v>23257.1305008052</v>
      </c>
      <c r="Q182" s="146" t="n">
        <f aca="false">Q$109+Q$54*($D182-1)*(1-Inputs!$E$198-Inputs!$E$212)</f>
        <v>23332.1516795112</v>
      </c>
      <c r="R182" s="146" t="n">
        <f aca="false">R$109+R$54*($D182-1)*(1-Inputs!$E$198-Inputs!$E$212)</f>
        <v>23405.3466003184</v>
      </c>
      <c r="S182" s="146" t="n">
        <f aca="false">S$109+S$54*($D182-1)*(1-Inputs!$E$198-Inputs!$E$212)</f>
        <v>23476.6462532895</v>
      </c>
      <c r="T182" s="146" t="n">
        <f aca="false">T$109+T$54*($D182-1)*(1-Inputs!$E$198-Inputs!$E$212)</f>
        <v>23545.9797754709</v>
      </c>
      <c r="U182" s="146" t="n">
        <f aca="false">U$109+U$54*($D182-1)*(1-Inputs!$E$198-Inputs!$E$212)</f>
        <v>23613.2744045002</v>
      </c>
      <c r="V182" s="146" t="n">
        <f aca="false">V$109+V$54*($D182-1)*(1-Inputs!$E$198-Inputs!$E$212)</f>
        <v>23678.4554310717</v>
      </c>
      <c r="W182" s="146" t="n">
        <f aca="false">W$109+W$54*($D182-1)*(1-Inputs!$E$198-Inputs!$E$212)</f>
        <v>23741.4461502306</v>
      </c>
      <c r="X182" s="146" t="n">
        <f aca="false">X$109+X$54*($D182-1)*(1-Inputs!$E$198-Inputs!$E$212)</f>
        <v>23802.1678114687</v>
      </c>
      <c r="Y182" s="146" t="n">
        <f aca="false">Y$109+Y$54*($D182-1)*(1-Inputs!$E$198-Inputs!$E$212)</f>
        <v>23860.5395675916</v>
      </c>
      <c r="Z182" s="146" t="n">
        <f aca="false">Z$109+Z$54*($D182-1)*(1-Inputs!$E$198-Inputs!$E$212)</f>
        <v>23916.4784223266</v>
      </c>
      <c r="AA182" s="146" t="n">
        <f aca="false">AA$109+AA$54*($D182-1)*(1-Inputs!$E$198-Inputs!$E$212)</f>
        <v>23969.8991766414</v>
      </c>
      <c r="AB182" s="146" t="n">
        <f aca="false">AB$109+AB$54*($D182-1)*(1-Inputs!$E$198-Inputs!$E$212)</f>
        <v>24020.7143737409</v>
      </c>
      <c r="AC182" s="146" t="n">
        <f aca="false">AC$109+AC$54*($D182-1)*(1-Inputs!$E$198-Inputs!$E$212)</f>
        <v>24068.834242711</v>
      </c>
      <c r="AD182" s="146" t="n">
        <f aca="false">AD$109+AD$54*($D182-1)*(1-Inputs!$E$198-Inputs!$E$212)</f>
        <v>24114.1666407746</v>
      </c>
      <c r="AE182" s="146" t="n">
        <f aca="false">AE$109+AE$54*($D182-1)*(1-Inputs!$E$198-Inputs!$E$212)</f>
        <v>24156.6169941269</v>
      </c>
      <c r="AF182" s="146" t="n">
        <f aca="false">AF$109+AF$54*($D182-1)*(1-Inputs!$E$198-Inputs!$E$212)</f>
        <v>24196.0882373148</v>
      </c>
      <c r="AG182" s="146" t="n">
        <f aca="false">AG$109+AG$54*($D182-1)*(1-Inputs!$E$198-Inputs!$E$212)</f>
        <v>24232.4807511242</v>
      </c>
      <c r="AH182" s="146" t="n">
        <f aca="false">AH$109+AH$54*($D182-1)*(1-Inputs!$E$198-Inputs!$E$212)</f>
        <v>24265.6922989396</v>
      </c>
      <c r="AI182" s="146" t="n">
        <f aca="false">AI$109+AI$54*($D182-1)*(1-Inputs!$E$198-Inputs!$E$212)</f>
        <v>24295.6179615369</v>
      </c>
      <c r="AJ182" s="146" t="n">
        <f aca="false">AJ$109+AJ$54*($D182-1)*(1-Inputs!$E$198-Inputs!$E$212)</f>
        <v>24322.1500702728</v>
      </c>
      <c r="AK182" s="146" t="n">
        <f aca="false">AK$109+AK$54*($D182-1)*(1-Inputs!$E$198-Inputs!$E$212)</f>
        <v>24345.1781386299</v>
      </c>
      <c r="AL182" s="146" t="n">
        <f aca="false">AL$109+AL$54*($D182-1)*(1-Inputs!$E$198-Inputs!$E$212)</f>
        <v>24364.5887920776</v>
      </c>
      <c r="AM182" s="146" t="n">
        <f aca="false">AM$109+AM$54*($D182-1)*(1-Inputs!$E$198-Inputs!$E$212)</f>
        <v>24380.2656962082</v>
      </c>
      <c r="AN182" s="146" t="n">
        <f aca="false">AN$109+AN$54*($D182-1)*(1-Inputs!$E$198-Inputs!$E$212)</f>
        <v>24392.0894831045</v>
      </c>
      <c r="AO182" s="146" t="n">
        <f aca="false">AO$109+AO$54*($D182-1)*(1-Inputs!$E$198-Inputs!$E$212)</f>
        <v>24399.9376758966</v>
      </c>
      <c r="AP182" s="146" t="n">
        <f aca="false">AP$109+AP$54*($D182-1)*(1-Inputs!$E$198-Inputs!$E$212)</f>
        <v>24403.6846114625</v>
      </c>
      <c r="AQ182" s="146" t="n">
        <f aca="false">AQ$109+AQ$54*($D182-1)*(1-Inputs!$E$198-Inputs!$E$212)</f>
        <v>8124.60068061409</v>
      </c>
    </row>
    <row r="183" customFormat="false" ht="15" hidden="false" customHeight="false" outlineLevel="0" collapsed="false">
      <c r="C183" s="0" t="s">
        <v>1343</v>
      </c>
      <c r="D183" s="29" t="n">
        <f aca="false">Dashboard!$J$141</f>
        <v>1.2</v>
      </c>
      <c r="E183" s="180" t="n">
        <f aca="false">$G$153*D183</f>
        <v>126.107102240533</v>
      </c>
      <c r="F183" s="141" t="n">
        <f aca="false">IFERROR(IRR(H183:AQ183),"n/a")</f>
        <v>0.136535950027186</v>
      </c>
      <c r="G183" s="146" t="n">
        <f aca="false">SUMPRODUCT(H183:AQ183,$H$12:$AQ$12)</f>
        <v>82564.2591578372</v>
      </c>
      <c r="H183" s="146" t="n">
        <f aca="false">H$109+H$54*($D183-1)*(1-Inputs!$E$198-Inputs!$E$212)</f>
        <v>-1570.61764901888</v>
      </c>
      <c r="I183" s="146" t="n">
        <f aca="false">I$109+I$54*($D183-1)*(1-Inputs!$E$198-Inputs!$E$212)</f>
        <v>-778.738143280267</v>
      </c>
      <c r="J183" s="146" t="n">
        <f aca="false">J$109+J$54*($D183-1)*(1-Inputs!$E$198-Inputs!$E$212)</f>
        <v>-1227.43813118225</v>
      </c>
      <c r="K183" s="146" t="n">
        <f aca="false">K$109+K$54*($D183-1)*(1-Inputs!$E$198-Inputs!$E$212)</f>
        <v>-61051.8514670827</v>
      </c>
      <c r="L183" s="146" t="n">
        <f aca="false">L$109+L$54*($D183-1)*(1-Inputs!$E$198-Inputs!$E$212)</f>
        <v>-70920.3290051788</v>
      </c>
      <c r="M183" s="146" t="n">
        <f aca="false">M$109+M$54*($D183-1)*(1-Inputs!$E$198-Inputs!$E$212)</f>
        <v>-22849.0545475674</v>
      </c>
      <c r="N183" s="146" t="n">
        <f aca="false">N$109+N$54*($D183-1)*(1-Inputs!$E$198-Inputs!$E$212)</f>
        <v>25770.399398504</v>
      </c>
      <c r="O183" s="146" t="n">
        <f aca="false">O$109+O$54*($D183-1)*(1-Inputs!$E$198-Inputs!$E$212)</f>
        <v>25867.4728551578</v>
      </c>
      <c r="P183" s="146" t="n">
        <f aca="false">P$109+P$54*($D183-1)*(1-Inputs!$E$198-Inputs!$E$212)</f>
        <v>25962.982334008</v>
      </c>
      <c r="Q183" s="146" t="n">
        <f aca="false">Q$109+Q$54*($D183-1)*(1-Inputs!$E$198-Inputs!$E$212)</f>
        <v>26056.8632999915</v>
      </c>
      <c r="R183" s="146" t="n">
        <f aca="false">R$109+R$54*($D183-1)*(1-Inputs!$E$198-Inputs!$E$212)</f>
        <v>26149.0494607934</v>
      </c>
      <c r="S183" s="146" t="n">
        <f aca="false">S$109+S$54*($D183-1)*(1-Inputs!$E$198-Inputs!$E$212)</f>
        <v>26239.472722702</v>
      </c>
      <c r="T183" s="146" t="n">
        <f aca="false">T$109+T$54*($D183-1)*(1-Inputs!$E$198-Inputs!$E$212)</f>
        <v>26328.0631453752</v>
      </c>
      <c r="U183" s="146" t="n">
        <f aca="false">U$109+U$54*($D183-1)*(1-Inputs!$E$198-Inputs!$E$212)</f>
        <v>26414.7488954928</v>
      </c>
      <c r="V183" s="146" t="n">
        <f aca="false">V$109+V$54*($D183-1)*(1-Inputs!$E$198-Inputs!$E$212)</f>
        <v>26499.4561992665</v>
      </c>
      <c r="W183" s="146" t="n">
        <f aca="false">W$109+W$54*($D183-1)*(1-Inputs!$E$198-Inputs!$E$212)</f>
        <v>26582.1092937797</v>
      </c>
      <c r="X183" s="146" t="n">
        <f aca="false">X$109+X$54*($D183-1)*(1-Inputs!$E$198-Inputs!$E$212)</f>
        <v>26662.6303771283</v>
      </c>
      <c r="Y183" s="146" t="n">
        <f aca="false">Y$109+Y$54*($D183-1)*(1-Inputs!$E$198-Inputs!$E$212)</f>
        <v>26740.9395573339</v>
      </c>
      <c r="Z183" s="146" t="n">
        <f aca="false">Z$109+Z$54*($D183-1)*(1-Inputs!$E$198-Inputs!$E$212)</f>
        <v>26816.9547999974</v>
      </c>
      <c r="AA183" s="146" t="n">
        <f aca="false">AA$109+AA$54*($D183-1)*(1-Inputs!$E$198-Inputs!$E$212)</f>
        <v>26890.5918746645</v>
      </c>
      <c r="AB183" s="146" t="n">
        <f aca="false">AB$109+AB$54*($D183-1)*(1-Inputs!$E$198-Inputs!$E$212)</f>
        <v>26961.7642998693</v>
      </c>
      <c r="AC183" s="146" t="n">
        <f aca="false">AC$109+AC$54*($D183-1)*(1-Inputs!$E$198-Inputs!$E$212)</f>
        <v>27030.3832868245</v>
      </c>
      <c r="AD183" s="146" t="n">
        <f aca="false">AD$109+AD$54*($D183-1)*(1-Inputs!$E$198-Inputs!$E$212)</f>
        <v>27096.3576817256</v>
      </c>
      <c r="AE183" s="146" t="n">
        <f aca="false">AE$109+AE$54*($D183-1)*(1-Inputs!$E$198-Inputs!$E$212)</f>
        <v>27159.5939066333</v>
      </c>
      <c r="AF183" s="146" t="n">
        <f aca="false">AF$109+AF$54*($D183-1)*(1-Inputs!$E$198-Inputs!$E$212)</f>
        <v>27219.9958989013</v>
      </c>
      <c r="AG183" s="146" t="n">
        <f aca="false">AG$109+AG$54*($D183-1)*(1-Inputs!$E$198-Inputs!$E$212)</f>
        <v>27277.465049112</v>
      </c>
      <c r="AH183" s="146" t="n">
        <f aca="false">AH$109+AH$54*($D183-1)*(1-Inputs!$E$198-Inputs!$E$212)</f>
        <v>27331.9001374844</v>
      </c>
      <c r="AI183" s="146" t="n">
        <f aca="false">AI$109+AI$54*($D183-1)*(1-Inputs!$E$198-Inputs!$E$212)</f>
        <v>27383.1972687163</v>
      </c>
      <c r="AJ183" s="146" t="n">
        <f aca="false">AJ$109+AJ$54*($D183-1)*(1-Inputs!$E$198-Inputs!$E$212)</f>
        <v>27431.2498052233</v>
      </c>
      <c r="AK183" s="146" t="n">
        <f aca="false">AK$109+AK$54*($D183-1)*(1-Inputs!$E$198-Inputs!$E$212)</f>
        <v>27475.948298733</v>
      </c>
      <c r="AL183" s="146" t="n">
        <f aca="false">AL$109+AL$54*($D183-1)*(1-Inputs!$E$198-Inputs!$E$212)</f>
        <v>27517.1804201966</v>
      </c>
      <c r="AM183" s="146" t="n">
        <f aca="false">AM$109+AM$54*($D183-1)*(1-Inputs!$E$198-Inputs!$E$212)</f>
        <v>27554.8308879752</v>
      </c>
      <c r="AN183" s="146" t="n">
        <f aca="false">AN$109+AN$54*($D183-1)*(1-Inputs!$E$198-Inputs!$E$212)</f>
        <v>27588.7813942581</v>
      </c>
      <c r="AO183" s="146" t="n">
        <f aca="false">AO$109+AO$54*($D183-1)*(1-Inputs!$E$198-Inputs!$E$212)</f>
        <v>27618.9105296709</v>
      </c>
      <c r="AP183" s="146" t="n">
        <f aca="false">AP$109+AP$54*($D183-1)*(1-Inputs!$E$198-Inputs!$E$212)</f>
        <v>27645.0937060277</v>
      </c>
      <c r="AQ183" s="146" t="n">
        <f aca="false">AQ$109+AQ$54*($D183-1)*(1-Inputs!$E$198-Inputs!$E$212)</f>
        <v>9756.60153859123</v>
      </c>
    </row>
    <row r="184" customFormat="false" ht="15" hidden="false" customHeight="false" outlineLevel="0" collapsed="false">
      <c r="C184" s="0" t="s">
        <v>1344</v>
      </c>
      <c r="D184" s="29" t="n">
        <f aca="false">Dashboard!$K$141</f>
        <v>1.3</v>
      </c>
      <c r="E184" s="180" t="n">
        <f aca="false">$G$153*D184</f>
        <v>136.616027427244</v>
      </c>
      <c r="F184" s="141" t="n">
        <f aca="false">IFERROR(IRR(H184:AQ184),"n/a")</f>
        <v>0.150627748091854</v>
      </c>
      <c r="G184" s="146" t="n">
        <f aca="false">SUMPRODUCT(H184:AQ184,$H$12:$AQ$12)</f>
        <v>105434.706820928</v>
      </c>
      <c r="H184" s="146" t="n">
        <f aca="false">H$109+H$54*($D184-1)*(1-Inputs!$E$198-Inputs!$E$212)</f>
        <v>-1570.61764901888</v>
      </c>
      <c r="I184" s="146" t="n">
        <f aca="false">I$109+I$54*($D184-1)*(1-Inputs!$E$198-Inputs!$E$212)</f>
        <v>-778.738143280267</v>
      </c>
      <c r="J184" s="146" t="n">
        <f aca="false">J$109+J$54*($D184-1)*(1-Inputs!$E$198-Inputs!$E$212)</f>
        <v>-1227.43813118225</v>
      </c>
      <c r="K184" s="146" t="n">
        <f aca="false">K$109+K$54*($D184-1)*(1-Inputs!$E$198-Inputs!$E$212)</f>
        <v>-61051.8514670827</v>
      </c>
      <c r="L184" s="146" t="n">
        <f aca="false">L$109+L$54*($D184-1)*(1-Inputs!$E$198-Inputs!$E$212)</f>
        <v>-70920.3290051788</v>
      </c>
      <c r="M184" s="146" t="n">
        <f aca="false">M$109+M$54*($D184-1)*(1-Inputs!$E$198-Inputs!$E$212)</f>
        <v>-21150.2459280323</v>
      </c>
      <c r="N184" s="146" t="n">
        <f aca="false">N$109+N$54*($D184-1)*(1-Inputs!$E$198-Inputs!$E$212)</f>
        <v>28438.9223820677</v>
      </c>
      <c r="O184" s="146" t="n">
        <f aca="false">O$109+O$54*($D184-1)*(1-Inputs!$E$198-Inputs!$E$212)</f>
        <v>28554.595443917</v>
      </c>
      <c r="P184" s="146" t="n">
        <f aca="false">P$109+P$54*($D184-1)*(1-Inputs!$E$198-Inputs!$E$212)</f>
        <v>28668.8341672109</v>
      </c>
      <c r="Q184" s="146" t="n">
        <f aca="false">Q$109+Q$54*($D184-1)*(1-Inputs!$E$198-Inputs!$E$212)</f>
        <v>28781.5749204718</v>
      </c>
      <c r="R184" s="146" t="n">
        <f aca="false">R$109+R$54*($D184-1)*(1-Inputs!$E$198-Inputs!$E$212)</f>
        <v>28892.7523212684</v>
      </c>
      <c r="S184" s="146" t="n">
        <f aca="false">S$109+S$54*($D184-1)*(1-Inputs!$E$198-Inputs!$E$212)</f>
        <v>29002.2991921145</v>
      </c>
      <c r="T184" s="146" t="n">
        <f aca="false">T$109+T$54*($D184-1)*(1-Inputs!$E$198-Inputs!$E$212)</f>
        <v>29110.1465152795</v>
      </c>
      <c r="U184" s="146" t="n">
        <f aca="false">U$109+U$54*($D184-1)*(1-Inputs!$E$198-Inputs!$E$212)</f>
        <v>29216.2233864854</v>
      </c>
      <c r="V184" s="146" t="n">
        <f aca="false">V$109+V$54*($D184-1)*(1-Inputs!$E$198-Inputs!$E$212)</f>
        <v>29320.4569674613</v>
      </c>
      <c r="W184" s="146" t="n">
        <f aca="false">W$109+W$54*($D184-1)*(1-Inputs!$E$198-Inputs!$E$212)</f>
        <v>29422.7724373288</v>
      </c>
      <c r="X184" s="146" t="n">
        <f aca="false">X$109+X$54*($D184-1)*(1-Inputs!$E$198-Inputs!$E$212)</f>
        <v>29523.092942788</v>
      </c>
      <c r="Y184" s="146" t="n">
        <f aca="false">Y$109+Y$54*($D184-1)*(1-Inputs!$E$198-Inputs!$E$212)</f>
        <v>29621.3395470761</v>
      </c>
      <c r="Z184" s="146" t="n">
        <f aca="false">Z$109+Z$54*($D184-1)*(1-Inputs!$E$198-Inputs!$E$212)</f>
        <v>29717.4311776682</v>
      </c>
      <c r="AA184" s="146" t="n">
        <f aca="false">AA$109+AA$54*($D184-1)*(1-Inputs!$E$198-Inputs!$E$212)</f>
        <v>29811.2845726877</v>
      </c>
      <c r="AB184" s="146" t="n">
        <f aca="false">AB$109+AB$54*($D184-1)*(1-Inputs!$E$198-Inputs!$E$212)</f>
        <v>29902.8142259977</v>
      </c>
      <c r="AC184" s="146" t="n">
        <f aca="false">AC$109+AC$54*($D184-1)*(1-Inputs!$E$198-Inputs!$E$212)</f>
        <v>29991.932330938</v>
      </c>
      <c r="AD184" s="146" t="n">
        <f aca="false">AD$109+AD$54*($D184-1)*(1-Inputs!$E$198-Inputs!$E$212)</f>
        <v>30078.5487226765</v>
      </c>
      <c r="AE184" s="146" t="n">
        <f aca="false">AE$109+AE$54*($D184-1)*(1-Inputs!$E$198-Inputs!$E$212)</f>
        <v>30162.5708191397</v>
      </c>
      <c r="AF184" s="146" t="n">
        <f aca="false">AF$109+AF$54*($D184-1)*(1-Inputs!$E$198-Inputs!$E$212)</f>
        <v>30243.9035604879</v>
      </c>
      <c r="AG184" s="146" t="n">
        <f aca="false">AG$109+AG$54*($D184-1)*(1-Inputs!$E$198-Inputs!$E$212)</f>
        <v>30322.4493470998</v>
      </c>
      <c r="AH184" s="146" t="n">
        <f aca="false">AH$109+AH$54*($D184-1)*(1-Inputs!$E$198-Inputs!$E$212)</f>
        <v>30398.1079760291</v>
      </c>
      <c r="AI184" s="146" t="n">
        <f aca="false">AI$109+AI$54*($D184-1)*(1-Inputs!$E$198-Inputs!$E$212)</f>
        <v>30470.7765758958</v>
      </c>
      <c r="AJ184" s="146" t="n">
        <f aca="false">AJ$109+AJ$54*($D184-1)*(1-Inputs!$E$198-Inputs!$E$212)</f>
        <v>30540.3495401738</v>
      </c>
      <c r="AK184" s="146" t="n">
        <f aca="false">AK$109+AK$54*($D184-1)*(1-Inputs!$E$198-Inputs!$E$212)</f>
        <v>30606.7184588361</v>
      </c>
      <c r="AL184" s="146" t="n">
        <f aca="false">AL$109+AL$54*($D184-1)*(1-Inputs!$E$198-Inputs!$E$212)</f>
        <v>30669.7720483156</v>
      </c>
      <c r="AM184" s="146" t="n">
        <f aca="false">AM$109+AM$54*($D184-1)*(1-Inputs!$E$198-Inputs!$E$212)</f>
        <v>30729.3960797422</v>
      </c>
      <c r="AN184" s="146" t="n">
        <f aca="false">AN$109+AN$54*($D184-1)*(1-Inputs!$E$198-Inputs!$E$212)</f>
        <v>30785.4733054118</v>
      </c>
      <c r="AO184" s="146" t="n">
        <f aca="false">AO$109+AO$54*($D184-1)*(1-Inputs!$E$198-Inputs!$E$212)</f>
        <v>30837.8833834453</v>
      </c>
      <c r="AP184" s="146" t="n">
        <f aca="false">AP$109+AP$54*($D184-1)*(1-Inputs!$E$198-Inputs!$E$212)</f>
        <v>30886.5028005928</v>
      </c>
      <c r="AQ184" s="146" t="n">
        <f aca="false">AQ$109+AQ$54*($D184-1)*(1-Inputs!$E$198-Inputs!$E$212)</f>
        <v>11388.6023965684</v>
      </c>
    </row>
    <row r="185" customFormat="false" ht="15" hidden="false" customHeight="false" outlineLevel="0" collapsed="false">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46"/>
      <c r="AK185" s="146"/>
      <c r="AL185" s="146"/>
      <c r="AM185" s="146"/>
      <c r="AN185" s="146"/>
      <c r="AO185" s="146"/>
      <c r="AP185" s="146"/>
      <c r="AQ185" s="146"/>
    </row>
    <row r="186" customFormat="false" ht="15" hidden="false" customHeight="false" outlineLevel="0" collapsed="false">
      <c r="C186" s="205" t="s">
        <v>1345</v>
      </c>
      <c r="D186" s="133" t="s">
        <v>7</v>
      </c>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46"/>
      <c r="AK186" s="146"/>
      <c r="AL186" s="146"/>
      <c r="AM186" s="146"/>
      <c r="AN186" s="146"/>
      <c r="AO186" s="146"/>
      <c r="AP186" s="146"/>
      <c r="AQ186" s="146"/>
    </row>
    <row r="187" customFormat="false" ht="15" hidden="false" customHeight="false" outlineLevel="0" collapsed="false">
      <c r="C187" s="253" t="s">
        <v>1333</v>
      </c>
      <c r="D187" s="253" t="s">
        <v>1346</v>
      </c>
      <c r="E187" s="253" t="s">
        <v>1347</v>
      </c>
      <c r="F187" s="253" t="s">
        <v>1336</v>
      </c>
      <c r="G187" s="253" t="s">
        <v>1337</v>
      </c>
      <c r="H187" s="289"/>
      <c r="I187" s="289"/>
      <c r="J187" s="289"/>
      <c r="K187" s="289"/>
      <c r="L187" s="289"/>
      <c r="M187" s="289"/>
      <c r="N187" s="289"/>
      <c r="O187" s="289"/>
      <c r="P187" s="289"/>
      <c r="Q187" s="289"/>
      <c r="R187" s="289"/>
      <c r="S187" s="289"/>
      <c r="T187" s="289"/>
      <c r="U187" s="289"/>
      <c r="V187" s="289"/>
      <c r="W187" s="289"/>
      <c r="X187" s="289"/>
      <c r="Y187" s="289"/>
      <c r="Z187" s="289"/>
      <c r="AA187" s="289"/>
      <c r="AB187" s="289"/>
      <c r="AC187" s="289"/>
      <c r="AD187" s="289"/>
      <c r="AE187" s="289"/>
      <c r="AF187" s="289"/>
      <c r="AG187" s="289"/>
      <c r="AH187" s="289"/>
      <c r="AI187" s="289"/>
      <c r="AJ187" s="289"/>
      <c r="AK187" s="289"/>
      <c r="AL187" s="289"/>
      <c r="AM187" s="289"/>
      <c r="AN187" s="289"/>
      <c r="AO187" s="289"/>
      <c r="AP187" s="289"/>
      <c r="AQ187" s="289"/>
    </row>
    <row r="188" customFormat="false" ht="15" hidden="false" customHeight="false" outlineLevel="0" collapsed="false">
      <c r="C188" s="0" t="s">
        <v>1348</v>
      </c>
      <c r="D188" s="29" t="n">
        <f aca="false">Dashboard!$E$145</f>
        <v>0.8</v>
      </c>
      <c r="E188" s="138" t="n">
        <f aca="false">$G$150*D188</f>
        <v>970.050026744081</v>
      </c>
      <c r="F188" s="141" t="n">
        <f aca="false">IFERROR(IRR(H188:AQ188),"n/a")</f>
        <v>0.132161131102901</v>
      </c>
      <c r="G188" s="146" t="n">
        <f aca="false">SUMPRODUCT(H188:AQ188,$H$12:$AQ$12)</f>
        <v>61259.8424475431</v>
      </c>
      <c r="H188" s="146" t="n">
        <f aca="false">H$109+H$30*($D188-1)</f>
        <v>-1570.61764901888</v>
      </c>
      <c r="I188" s="146" t="n">
        <f aca="false">I$109+I$30*($D188-1)</f>
        <v>-778.738143280267</v>
      </c>
      <c r="J188" s="146" t="n">
        <f aca="false">J$109+J$30*($D188-1)</f>
        <v>-1227.43813118225</v>
      </c>
      <c r="K188" s="146" t="n">
        <f aca="false">K$109+K$30*($D188-1)</f>
        <v>-50082.3762879046</v>
      </c>
      <c r="L188" s="146" t="n">
        <f aca="false">L$109+L$30*($D188-1)</f>
        <v>-56889.9065051788</v>
      </c>
      <c r="M188" s="146" t="n">
        <f aca="false">M$109+M$30*($D188-1)</f>
        <v>-18289.1198071857</v>
      </c>
      <c r="N188" s="146" t="n">
        <f aca="false">N$109+N$30*($D188-1)</f>
        <v>20433.3534313765</v>
      </c>
      <c r="O188" s="146" t="n">
        <f aca="false">O$109+O$30*($D188-1)</f>
        <v>20493.2276776395</v>
      </c>
      <c r="P188" s="146" t="n">
        <f aca="false">P$109+P$30*($D188-1)</f>
        <v>20551.2786676024</v>
      </c>
      <c r="Q188" s="146" t="n">
        <f aca="false">Q$109+Q$30*($D188-1)</f>
        <v>20607.440059031</v>
      </c>
      <c r="R188" s="146" t="n">
        <f aca="false">R$109+R$30*($D188-1)</f>
        <v>20661.6437398434</v>
      </c>
      <c r="S188" s="146" t="n">
        <f aca="false">S$109+S$30*($D188-1)</f>
        <v>20713.819783877</v>
      </c>
      <c r="T188" s="146" t="n">
        <f aca="false">T$109+T$30*($D188-1)</f>
        <v>20763.8964055665</v>
      </c>
      <c r="U188" s="146" t="n">
        <f aca="false">U$109+U$30*($D188-1)</f>
        <v>20811.7999135077</v>
      </c>
      <c r="V188" s="146" t="n">
        <f aca="false">V$109+V$30*($D188-1)</f>
        <v>20857.454662877</v>
      </c>
      <c r="W188" s="146" t="n">
        <f aca="false">W$109+W$30*($D188-1)</f>
        <v>20900.7830066815</v>
      </c>
      <c r="X188" s="146" t="n">
        <f aca="false">X$109+X$30*($D188-1)</f>
        <v>20941.7052458091</v>
      </c>
      <c r="Y188" s="146" t="n">
        <f aca="false">Y$109+Y$30*($D188-1)</f>
        <v>20980.1395778493</v>
      </c>
      <c r="Z188" s="146" t="n">
        <f aca="false">Z$109+Z$30*($D188-1)</f>
        <v>21016.0020446558</v>
      </c>
      <c r="AA188" s="146" t="n">
        <f aca="false">AA$109+AA$30*($D188-1)</f>
        <v>21049.2064786182</v>
      </c>
      <c r="AB188" s="146" t="n">
        <f aca="false">AB$109+AB$30*($D188-1)</f>
        <v>21079.6644476126</v>
      </c>
      <c r="AC188" s="146" t="n">
        <f aca="false">AC$109+AC$30*($D188-1)</f>
        <v>21107.2851985976</v>
      </c>
      <c r="AD188" s="146" t="n">
        <f aca="false">AD$109+AD$30*($D188-1)</f>
        <v>21131.9755998237</v>
      </c>
      <c r="AE188" s="146" t="n">
        <f aca="false">AE$109+AE$30*($D188-1)</f>
        <v>21153.6400816205</v>
      </c>
      <c r="AF188" s="146" t="n">
        <f aca="false">AF$109+AF$30*($D188-1)</f>
        <v>21172.1805757282</v>
      </c>
      <c r="AG188" s="146" t="n">
        <f aca="false">AG$109+AG$30*($D188-1)</f>
        <v>21187.4964531364</v>
      </c>
      <c r="AH188" s="146" t="n">
        <f aca="false">AH$109+AH$30*($D188-1)</f>
        <v>21199.4844603948</v>
      </c>
      <c r="AI188" s="146" t="n">
        <f aca="false">AI$109+AI$30*($D188-1)</f>
        <v>21208.0386543575</v>
      </c>
      <c r="AJ188" s="146" t="n">
        <f aca="false">AJ$109+AJ$30*($D188-1)</f>
        <v>21213.0503353224</v>
      </c>
      <c r="AK188" s="146" t="n">
        <f aca="false">AK$109+AK$30*($D188-1)</f>
        <v>21214.4079785268</v>
      </c>
      <c r="AL188" s="146" t="n">
        <f aca="false">AL$109+AL$30*($D188-1)</f>
        <v>21211.9971639586</v>
      </c>
      <c r="AM188" s="146" t="n">
        <f aca="false">AM$109+AM$30*($D188-1)</f>
        <v>21205.7005044412</v>
      </c>
      <c r="AN188" s="146" t="n">
        <f aca="false">AN$109+AN$30*($D188-1)</f>
        <v>21195.3975719509</v>
      </c>
      <c r="AO188" s="146" t="n">
        <f aca="false">AO$109+AO$30*($D188-1)</f>
        <v>21180.9648221222</v>
      </c>
      <c r="AP188" s="146" t="n">
        <f aca="false">AP$109+AP$30*($D188-1)</f>
        <v>21162.2755168973</v>
      </c>
      <c r="AQ188" s="146" t="n">
        <f aca="false">AQ$109+AQ$30*($D188-1)</f>
        <v>6492.59982263695</v>
      </c>
    </row>
    <row r="189" customFormat="false" ht="15" hidden="false" customHeight="false" outlineLevel="0" collapsed="false">
      <c r="C189" s="0" t="s">
        <v>1349</v>
      </c>
      <c r="D189" s="29" t="n">
        <f aca="false">Dashboard!$F$145</f>
        <v>0.9</v>
      </c>
      <c r="E189" s="138" t="n">
        <f aca="false">$G$150*D189</f>
        <v>1091.30628008709</v>
      </c>
      <c r="F189" s="141" t="n">
        <f aca="false">IFERROR(IRR(H189:AQ189),"n/a")</f>
        <v>0.11831925409006</v>
      </c>
      <c r="G189" s="146" t="n">
        <f aca="false">SUMPRODUCT(H189:AQ189,$H$12:$AQ$12)</f>
        <v>49041.6031395997</v>
      </c>
      <c r="H189" s="146" t="n">
        <f aca="false">H$109+H$30*($D189-1)</f>
        <v>-1570.61764901888</v>
      </c>
      <c r="I189" s="146" t="n">
        <f aca="false">I$109+I$30*($D189-1)</f>
        <v>-778.738143280267</v>
      </c>
      <c r="J189" s="146" t="n">
        <f aca="false">J$109+J$30*($D189-1)</f>
        <v>-1227.43813118225</v>
      </c>
      <c r="K189" s="146" t="n">
        <f aca="false">K$109+K$30*($D189-1)</f>
        <v>-55567.1138774937</v>
      </c>
      <c r="L189" s="146" t="n">
        <f aca="false">L$109+L$30*($D189-1)</f>
        <v>-63905.1177551788</v>
      </c>
      <c r="M189" s="146" t="n">
        <f aca="false">M$109+M$30*($D189-1)</f>
        <v>-22267.8957969117</v>
      </c>
      <c r="N189" s="146" t="n">
        <f aca="false">N$109+N$30*($D189-1)</f>
        <v>20433.3534313765</v>
      </c>
      <c r="O189" s="146" t="n">
        <f aca="false">O$109+O$30*($D189-1)</f>
        <v>20493.2276776395</v>
      </c>
      <c r="P189" s="146" t="n">
        <f aca="false">P$109+P$30*($D189-1)</f>
        <v>20551.2786676024</v>
      </c>
      <c r="Q189" s="146" t="n">
        <f aca="false">Q$109+Q$30*($D189-1)</f>
        <v>20607.440059031</v>
      </c>
      <c r="R189" s="146" t="n">
        <f aca="false">R$109+R$30*($D189-1)</f>
        <v>20661.6437398434</v>
      </c>
      <c r="S189" s="146" t="n">
        <f aca="false">S$109+S$30*($D189-1)</f>
        <v>20713.819783877</v>
      </c>
      <c r="T189" s="146" t="n">
        <f aca="false">T$109+T$30*($D189-1)</f>
        <v>20763.8964055665</v>
      </c>
      <c r="U189" s="146" t="n">
        <f aca="false">U$109+U$30*($D189-1)</f>
        <v>20811.7999135077</v>
      </c>
      <c r="V189" s="146" t="n">
        <f aca="false">V$109+V$30*($D189-1)</f>
        <v>20857.454662877</v>
      </c>
      <c r="W189" s="146" t="n">
        <f aca="false">W$109+W$30*($D189-1)</f>
        <v>20900.7830066815</v>
      </c>
      <c r="X189" s="146" t="n">
        <f aca="false">X$109+X$30*($D189-1)</f>
        <v>20941.7052458091</v>
      </c>
      <c r="Y189" s="146" t="n">
        <f aca="false">Y$109+Y$30*($D189-1)</f>
        <v>20980.1395778493</v>
      </c>
      <c r="Z189" s="146" t="n">
        <f aca="false">Z$109+Z$30*($D189-1)</f>
        <v>21016.0020446558</v>
      </c>
      <c r="AA189" s="146" t="n">
        <f aca="false">AA$109+AA$30*($D189-1)</f>
        <v>21049.2064786182</v>
      </c>
      <c r="AB189" s="146" t="n">
        <f aca="false">AB$109+AB$30*($D189-1)</f>
        <v>21079.6644476126</v>
      </c>
      <c r="AC189" s="146" t="n">
        <f aca="false">AC$109+AC$30*($D189-1)</f>
        <v>21107.2851985976</v>
      </c>
      <c r="AD189" s="146" t="n">
        <f aca="false">AD$109+AD$30*($D189-1)</f>
        <v>21131.9755998237</v>
      </c>
      <c r="AE189" s="146" t="n">
        <f aca="false">AE$109+AE$30*($D189-1)</f>
        <v>21153.6400816205</v>
      </c>
      <c r="AF189" s="146" t="n">
        <f aca="false">AF$109+AF$30*($D189-1)</f>
        <v>21172.1805757282</v>
      </c>
      <c r="AG189" s="146" t="n">
        <f aca="false">AG$109+AG$30*($D189-1)</f>
        <v>21187.4964531364</v>
      </c>
      <c r="AH189" s="146" t="n">
        <f aca="false">AH$109+AH$30*($D189-1)</f>
        <v>21199.4844603948</v>
      </c>
      <c r="AI189" s="146" t="n">
        <f aca="false">AI$109+AI$30*($D189-1)</f>
        <v>21208.0386543575</v>
      </c>
      <c r="AJ189" s="146" t="n">
        <f aca="false">AJ$109+AJ$30*($D189-1)</f>
        <v>21213.0503353224</v>
      </c>
      <c r="AK189" s="146" t="n">
        <f aca="false">AK$109+AK$30*($D189-1)</f>
        <v>21214.4079785268</v>
      </c>
      <c r="AL189" s="146" t="n">
        <f aca="false">AL$109+AL$30*($D189-1)</f>
        <v>21211.9971639586</v>
      </c>
      <c r="AM189" s="146" t="n">
        <f aca="false">AM$109+AM$30*($D189-1)</f>
        <v>21205.7005044412</v>
      </c>
      <c r="AN189" s="146" t="n">
        <f aca="false">AN$109+AN$30*($D189-1)</f>
        <v>21195.3975719509</v>
      </c>
      <c r="AO189" s="146" t="n">
        <f aca="false">AO$109+AO$30*($D189-1)</f>
        <v>21180.9648221222</v>
      </c>
      <c r="AP189" s="146" t="n">
        <f aca="false">AP$109+AP$30*($D189-1)</f>
        <v>21162.2755168973</v>
      </c>
      <c r="AQ189" s="146" t="n">
        <f aca="false">AQ$109+AQ$30*($D189-1)</f>
        <v>6492.59982263695</v>
      </c>
    </row>
    <row r="190" customFormat="false" ht="15" hidden="false" customHeight="false" outlineLevel="0" collapsed="false">
      <c r="C190" s="287" t="s">
        <v>1350</v>
      </c>
      <c r="D190" s="197" t="n">
        <f aca="false">Dashboard!$G$145</f>
        <v>1</v>
      </c>
      <c r="E190" s="290" t="n">
        <f aca="false">$G$150*D190</f>
        <v>1212.5625334301</v>
      </c>
      <c r="F190" s="177" t="n">
        <f aca="false">IFERROR(IRR(H190:AQ190),"n/a")</f>
        <v>0.106627827399793</v>
      </c>
      <c r="G190" s="288" t="n">
        <f aca="false">SUMPRODUCT(H190:AQ190,$H$12:$AQ$12)</f>
        <v>36823.3638316562</v>
      </c>
      <c r="H190" s="146" t="n">
        <f aca="false">H$109+H$30*($D190-1)</f>
        <v>-1570.61764901888</v>
      </c>
      <c r="I190" s="146" t="n">
        <f aca="false">I$109+I$30*($D190-1)</f>
        <v>-778.738143280267</v>
      </c>
      <c r="J190" s="146" t="n">
        <f aca="false">J$109+J$30*($D190-1)</f>
        <v>-1227.43813118225</v>
      </c>
      <c r="K190" s="146" t="n">
        <f aca="false">K$109+K$30*($D190-1)</f>
        <v>-61051.8514670827</v>
      </c>
      <c r="L190" s="146" t="n">
        <f aca="false">L$109+L$30*($D190-1)</f>
        <v>-70920.3290051788</v>
      </c>
      <c r="M190" s="146" t="n">
        <f aca="false">M$109+M$30*($D190-1)</f>
        <v>-26246.6717866378</v>
      </c>
      <c r="N190" s="146" t="n">
        <f aca="false">N$109+N$30*($D190-1)</f>
        <v>20433.3534313765</v>
      </c>
      <c r="O190" s="146" t="n">
        <f aca="false">O$109+O$30*($D190-1)</f>
        <v>20493.2276776395</v>
      </c>
      <c r="P190" s="146" t="n">
        <f aca="false">P$109+P$30*($D190-1)</f>
        <v>20551.2786676024</v>
      </c>
      <c r="Q190" s="146" t="n">
        <f aca="false">Q$109+Q$30*($D190-1)</f>
        <v>20607.440059031</v>
      </c>
      <c r="R190" s="146" t="n">
        <f aca="false">R$109+R$30*($D190-1)</f>
        <v>20661.6437398434</v>
      </c>
      <c r="S190" s="146" t="n">
        <f aca="false">S$109+S$30*($D190-1)</f>
        <v>20713.819783877</v>
      </c>
      <c r="T190" s="146" t="n">
        <f aca="false">T$109+T$30*($D190-1)</f>
        <v>20763.8964055665</v>
      </c>
      <c r="U190" s="146" t="n">
        <f aca="false">U$109+U$30*($D190-1)</f>
        <v>20811.7999135077</v>
      </c>
      <c r="V190" s="146" t="n">
        <f aca="false">V$109+V$30*($D190-1)</f>
        <v>20857.454662877</v>
      </c>
      <c r="W190" s="146" t="n">
        <f aca="false">W$109+W$30*($D190-1)</f>
        <v>20900.7830066815</v>
      </c>
      <c r="X190" s="146" t="n">
        <f aca="false">X$109+X$30*($D190-1)</f>
        <v>20941.7052458091</v>
      </c>
      <c r="Y190" s="146" t="n">
        <f aca="false">Y$109+Y$30*($D190-1)</f>
        <v>20980.1395778493</v>
      </c>
      <c r="Z190" s="146" t="n">
        <f aca="false">Z$109+Z$30*($D190-1)</f>
        <v>21016.0020446558</v>
      </c>
      <c r="AA190" s="146" t="n">
        <f aca="false">AA$109+AA$30*($D190-1)</f>
        <v>21049.2064786182</v>
      </c>
      <c r="AB190" s="146" t="n">
        <f aca="false">AB$109+AB$30*($D190-1)</f>
        <v>21079.6644476126</v>
      </c>
      <c r="AC190" s="146" t="n">
        <f aca="false">AC$109+AC$30*($D190-1)</f>
        <v>21107.2851985976</v>
      </c>
      <c r="AD190" s="146" t="n">
        <f aca="false">AD$109+AD$30*($D190-1)</f>
        <v>21131.9755998237</v>
      </c>
      <c r="AE190" s="146" t="n">
        <f aca="false">AE$109+AE$30*($D190-1)</f>
        <v>21153.6400816205</v>
      </c>
      <c r="AF190" s="146" t="n">
        <f aca="false">AF$109+AF$30*($D190-1)</f>
        <v>21172.1805757282</v>
      </c>
      <c r="AG190" s="146" t="n">
        <f aca="false">AG$109+AG$30*($D190-1)</f>
        <v>21187.4964531364</v>
      </c>
      <c r="AH190" s="146" t="n">
        <f aca="false">AH$109+AH$30*($D190-1)</f>
        <v>21199.4844603948</v>
      </c>
      <c r="AI190" s="146" t="n">
        <f aca="false">AI$109+AI$30*($D190-1)</f>
        <v>21208.0386543575</v>
      </c>
      <c r="AJ190" s="146" t="n">
        <f aca="false">AJ$109+AJ$30*($D190-1)</f>
        <v>21213.0503353224</v>
      </c>
      <c r="AK190" s="146" t="n">
        <f aca="false">AK$109+AK$30*($D190-1)</f>
        <v>21214.4079785268</v>
      </c>
      <c r="AL190" s="146" t="n">
        <f aca="false">AL$109+AL$30*($D190-1)</f>
        <v>21211.9971639586</v>
      </c>
      <c r="AM190" s="146" t="n">
        <f aca="false">AM$109+AM$30*($D190-1)</f>
        <v>21205.7005044412</v>
      </c>
      <c r="AN190" s="146" t="n">
        <f aca="false">AN$109+AN$30*($D190-1)</f>
        <v>21195.3975719509</v>
      </c>
      <c r="AO190" s="146" t="n">
        <f aca="false">AO$109+AO$30*($D190-1)</f>
        <v>21180.9648221222</v>
      </c>
      <c r="AP190" s="146" t="n">
        <f aca="false">AP$109+AP$30*($D190-1)</f>
        <v>21162.2755168973</v>
      </c>
      <c r="AQ190" s="146" t="n">
        <f aca="false">AQ$109+AQ$30*($D190-1)</f>
        <v>6492.59982263695</v>
      </c>
    </row>
    <row r="191" customFormat="false" ht="15" hidden="false" customHeight="false" outlineLevel="0" collapsed="false">
      <c r="C191" s="0" t="s">
        <v>1351</v>
      </c>
      <c r="D191" s="29" t="n">
        <f aca="false">Dashboard!$H$145</f>
        <v>1.1</v>
      </c>
      <c r="E191" s="138" t="n">
        <f aca="false">$G$150*D191</f>
        <v>1333.81878677311</v>
      </c>
      <c r="F191" s="141" t="n">
        <f aca="false">IFERROR(IRR(H191:AQ191),"n/a")</f>
        <v>0.0965821161791055</v>
      </c>
      <c r="G191" s="146" t="n">
        <f aca="false">SUMPRODUCT(H191:AQ191,$H$12:$AQ$12)</f>
        <v>24605.1245237128</v>
      </c>
      <c r="H191" s="146" t="n">
        <f aca="false">H$109+H$30*($D191-1)</f>
        <v>-1570.61764901888</v>
      </c>
      <c r="I191" s="146" t="n">
        <f aca="false">I$109+I$30*($D191-1)</f>
        <v>-778.738143280267</v>
      </c>
      <c r="J191" s="146" t="n">
        <f aca="false">J$109+J$30*($D191-1)</f>
        <v>-1227.43813118225</v>
      </c>
      <c r="K191" s="146" t="n">
        <f aca="false">K$109+K$30*($D191-1)</f>
        <v>-66536.5890566717</v>
      </c>
      <c r="L191" s="146" t="n">
        <f aca="false">L$109+L$30*($D191-1)</f>
        <v>-77935.5402551788</v>
      </c>
      <c r="M191" s="146" t="n">
        <f aca="false">M$109+M$30*($D191-1)</f>
        <v>-30225.4477763638</v>
      </c>
      <c r="N191" s="146" t="n">
        <f aca="false">N$109+N$30*($D191-1)</f>
        <v>20433.3534313765</v>
      </c>
      <c r="O191" s="146" t="n">
        <f aca="false">O$109+O$30*($D191-1)</f>
        <v>20493.2276776395</v>
      </c>
      <c r="P191" s="146" t="n">
        <f aca="false">P$109+P$30*($D191-1)</f>
        <v>20551.2786676024</v>
      </c>
      <c r="Q191" s="146" t="n">
        <f aca="false">Q$109+Q$30*($D191-1)</f>
        <v>20607.440059031</v>
      </c>
      <c r="R191" s="146" t="n">
        <f aca="false">R$109+R$30*($D191-1)</f>
        <v>20661.6437398434</v>
      </c>
      <c r="S191" s="146" t="n">
        <f aca="false">S$109+S$30*($D191-1)</f>
        <v>20713.819783877</v>
      </c>
      <c r="T191" s="146" t="n">
        <f aca="false">T$109+T$30*($D191-1)</f>
        <v>20763.8964055665</v>
      </c>
      <c r="U191" s="146" t="n">
        <f aca="false">U$109+U$30*($D191-1)</f>
        <v>20811.7999135077</v>
      </c>
      <c r="V191" s="146" t="n">
        <f aca="false">V$109+V$30*($D191-1)</f>
        <v>20857.454662877</v>
      </c>
      <c r="W191" s="146" t="n">
        <f aca="false">W$109+W$30*($D191-1)</f>
        <v>20900.7830066815</v>
      </c>
      <c r="X191" s="146" t="n">
        <f aca="false">X$109+X$30*($D191-1)</f>
        <v>20941.7052458091</v>
      </c>
      <c r="Y191" s="146" t="n">
        <f aca="false">Y$109+Y$30*($D191-1)</f>
        <v>20980.1395778493</v>
      </c>
      <c r="Z191" s="146" t="n">
        <f aca="false">Z$109+Z$30*($D191-1)</f>
        <v>21016.0020446558</v>
      </c>
      <c r="AA191" s="146" t="n">
        <f aca="false">AA$109+AA$30*($D191-1)</f>
        <v>21049.2064786182</v>
      </c>
      <c r="AB191" s="146" t="n">
        <f aca="false">AB$109+AB$30*($D191-1)</f>
        <v>21079.6644476126</v>
      </c>
      <c r="AC191" s="146" t="n">
        <f aca="false">AC$109+AC$30*($D191-1)</f>
        <v>21107.2851985976</v>
      </c>
      <c r="AD191" s="146" t="n">
        <f aca="false">AD$109+AD$30*($D191-1)</f>
        <v>21131.9755998237</v>
      </c>
      <c r="AE191" s="146" t="n">
        <f aca="false">AE$109+AE$30*($D191-1)</f>
        <v>21153.6400816205</v>
      </c>
      <c r="AF191" s="146" t="n">
        <f aca="false">AF$109+AF$30*($D191-1)</f>
        <v>21172.1805757282</v>
      </c>
      <c r="AG191" s="146" t="n">
        <f aca="false">AG$109+AG$30*($D191-1)</f>
        <v>21187.4964531364</v>
      </c>
      <c r="AH191" s="146" t="n">
        <f aca="false">AH$109+AH$30*($D191-1)</f>
        <v>21199.4844603948</v>
      </c>
      <c r="AI191" s="146" t="n">
        <f aca="false">AI$109+AI$30*($D191-1)</f>
        <v>21208.0386543575</v>
      </c>
      <c r="AJ191" s="146" t="n">
        <f aca="false">AJ$109+AJ$30*($D191-1)</f>
        <v>21213.0503353224</v>
      </c>
      <c r="AK191" s="146" t="n">
        <f aca="false">AK$109+AK$30*($D191-1)</f>
        <v>21214.4079785268</v>
      </c>
      <c r="AL191" s="146" t="n">
        <f aca="false">AL$109+AL$30*($D191-1)</f>
        <v>21211.9971639586</v>
      </c>
      <c r="AM191" s="146" t="n">
        <f aca="false">AM$109+AM$30*($D191-1)</f>
        <v>21205.7005044412</v>
      </c>
      <c r="AN191" s="146" t="n">
        <f aca="false">AN$109+AN$30*($D191-1)</f>
        <v>21195.3975719509</v>
      </c>
      <c r="AO191" s="146" t="n">
        <f aca="false">AO$109+AO$30*($D191-1)</f>
        <v>21180.9648221222</v>
      </c>
      <c r="AP191" s="146" t="n">
        <f aca="false">AP$109+AP$30*($D191-1)</f>
        <v>21162.2755168973</v>
      </c>
      <c r="AQ191" s="146" t="n">
        <f aca="false">AQ$109+AQ$30*($D191-1)</f>
        <v>6492.59982263695</v>
      </c>
    </row>
    <row r="192" customFormat="false" ht="15" hidden="false" customHeight="false" outlineLevel="0" collapsed="false">
      <c r="C192" s="0" t="s">
        <v>1352</v>
      </c>
      <c r="D192" s="29" t="n">
        <f aca="false">Dashboard!$I$145</f>
        <v>1.2</v>
      </c>
      <c r="E192" s="138" t="n">
        <f aca="false">$G$150*D192</f>
        <v>1455.07504011612</v>
      </c>
      <c r="F192" s="141" t="n">
        <f aca="false">IFERROR(IRR(H192:AQ192),"n/a")</f>
        <v>0.0878258188656294</v>
      </c>
      <c r="G192" s="146" t="n">
        <f aca="false">SUMPRODUCT(H192:AQ192,$H$12:$AQ$12)</f>
        <v>12386.8852157694</v>
      </c>
      <c r="H192" s="146" t="n">
        <f aca="false">H$109+H$30*($D192-1)</f>
        <v>-1570.61764901888</v>
      </c>
      <c r="I192" s="146" t="n">
        <f aca="false">I$109+I$30*($D192-1)</f>
        <v>-778.738143280267</v>
      </c>
      <c r="J192" s="146" t="n">
        <f aca="false">J$109+J$30*($D192-1)</f>
        <v>-1227.43813118225</v>
      </c>
      <c r="K192" s="146" t="n">
        <f aca="false">K$109+K$30*($D192-1)</f>
        <v>-72021.3266462608</v>
      </c>
      <c r="L192" s="146" t="n">
        <f aca="false">L$109+L$30*($D192-1)</f>
        <v>-84950.7515051788</v>
      </c>
      <c r="M192" s="146" t="n">
        <f aca="false">M$109+M$30*($D192-1)</f>
        <v>-34204.2237660898</v>
      </c>
      <c r="N192" s="146" t="n">
        <f aca="false">N$109+N$30*($D192-1)</f>
        <v>20433.3534313765</v>
      </c>
      <c r="O192" s="146" t="n">
        <f aca="false">O$109+O$30*($D192-1)</f>
        <v>20493.2276776395</v>
      </c>
      <c r="P192" s="146" t="n">
        <f aca="false">P$109+P$30*($D192-1)</f>
        <v>20551.2786676024</v>
      </c>
      <c r="Q192" s="146" t="n">
        <f aca="false">Q$109+Q$30*($D192-1)</f>
        <v>20607.440059031</v>
      </c>
      <c r="R192" s="146" t="n">
        <f aca="false">R$109+R$30*($D192-1)</f>
        <v>20661.6437398434</v>
      </c>
      <c r="S192" s="146" t="n">
        <f aca="false">S$109+S$30*($D192-1)</f>
        <v>20713.819783877</v>
      </c>
      <c r="T192" s="146" t="n">
        <f aca="false">T$109+T$30*($D192-1)</f>
        <v>20763.8964055665</v>
      </c>
      <c r="U192" s="146" t="n">
        <f aca="false">U$109+U$30*($D192-1)</f>
        <v>20811.7999135077</v>
      </c>
      <c r="V192" s="146" t="n">
        <f aca="false">V$109+V$30*($D192-1)</f>
        <v>20857.454662877</v>
      </c>
      <c r="W192" s="146" t="n">
        <f aca="false">W$109+W$30*($D192-1)</f>
        <v>20900.7830066815</v>
      </c>
      <c r="X192" s="146" t="n">
        <f aca="false">X$109+X$30*($D192-1)</f>
        <v>20941.7052458091</v>
      </c>
      <c r="Y192" s="146" t="n">
        <f aca="false">Y$109+Y$30*($D192-1)</f>
        <v>20980.1395778493</v>
      </c>
      <c r="Z192" s="146" t="n">
        <f aca="false">Z$109+Z$30*($D192-1)</f>
        <v>21016.0020446558</v>
      </c>
      <c r="AA192" s="146" t="n">
        <f aca="false">AA$109+AA$30*($D192-1)</f>
        <v>21049.2064786182</v>
      </c>
      <c r="AB192" s="146" t="n">
        <f aca="false">AB$109+AB$30*($D192-1)</f>
        <v>21079.6644476126</v>
      </c>
      <c r="AC192" s="146" t="n">
        <f aca="false">AC$109+AC$30*($D192-1)</f>
        <v>21107.2851985976</v>
      </c>
      <c r="AD192" s="146" t="n">
        <f aca="false">AD$109+AD$30*($D192-1)</f>
        <v>21131.9755998237</v>
      </c>
      <c r="AE192" s="146" t="n">
        <f aca="false">AE$109+AE$30*($D192-1)</f>
        <v>21153.6400816205</v>
      </c>
      <c r="AF192" s="146" t="n">
        <f aca="false">AF$109+AF$30*($D192-1)</f>
        <v>21172.1805757282</v>
      </c>
      <c r="AG192" s="146" t="n">
        <f aca="false">AG$109+AG$30*($D192-1)</f>
        <v>21187.4964531364</v>
      </c>
      <c r="AH192" s="146" t="n">
        <f aca="false">AH$109+AH$30*($D192-1)</f>
        <v>21199.4844603948</v>
      </c>
      <c r="AI192" s="146" t="n">
        <f aca="false">AI$109+AI$30*($D192-1)</f>
        <v>21208.0386543575</v>
      </c>
      <c r="AJ192" s="146" t="n">
        <f aca="false">AJ$109+AJ$30*($D192-1)</f>
        <v>21213.0503353224</v>
      </c>
      <c r="AK192" s="146" t="n">
        <f aca="false">AK$109+AK$30*($D192-1)</f>
        <v>21214.4079785268</v>
      </c>
      <c r="AL192" s="146" t="n">
        <f aca="false">AL$109+AL$30*($D192-1)</f>
        <v>21211.9971639586</v>
      </c>
      <c r="AM192" s="146" t="n">
        <f aca="false">AM$109+AM$30*($D192-1)</f>
        <v>21205.7005044412</v>
      </c>
      <c r="AN192" s="146" t="n">
        <f aca="false">AN$109+AN$30*($D192-1)</f>
        <v>21195.3975719509</v>
      </c>
      <c r="AO192" s="146" t="n">
        <f aca="false">AO$109+AO$30*($D192-1)</f>
        <v>21180.9648221222</v>
      </c>
      <c r="AP192" s="146" t="n">
        <f aca="false">AP$109+AP$30*($D192-1)</f>
        <v>21162.2755168973</v>
      </c>
      <c r="AQ192" s="146" t="n">
        <f aca="false">AQ$109+AQ$30*($D192-1)</f>
        <v>6492.59982263695</v>
      </c>
    </row>
    <row r="194" customFormat="false" ht="15" hidden="false" customHeight="false" outlineLevel="0" collapsed="false">
      <c r="C194" s="205" t="s">
        <v>1353</v>
      </c>
    </row>
    <row r="195" customFormat="false" ht="15" hidden="false" customHeight="false" outlineLevel="0" collapsed="false">
      <c r="C195" s="0" t="s">
        <v>1354</v>
      </c>
      <c r="D195" s="0" t="s">
        <v>125</v>
      </c>
      <c r="G195" s="146" t="n">
        <f aca="false">SUMPRODUCT($H$54:$AQ$54,$H$12:$AQ$12)*(1-Inputs!$E$198-Inputs!$E$212)</f>
        <v>228704.476630905</v>
      </c>
    </row>
    <row r="196" customFormat="false" ht="15" hidden="false" customHeight="false" outlineLevel="0" collapsed="false">
      <c r="C196" s="0" t="s">
        <v>1355</v>
      </c>
      <c r="D196" s="0" t="s">
        <v>125</v>
      </c>
      <c r="G196" s="146" t="n">
        <f aca="false">G181</f>
        <v>36823.3638316562</v>
      </c>
    </row>
    <row r="197" customFormat="false" ht="15" hidden="false" customHeight="false" outlineLevel="0" collapsed="false">
      <c r="C197" s="0" t="s">
        <v>1356</v>
      </c>
      <c r="D197" s="0" t="s">
        <v>7</v>
      </c>
      <c r="G197" s="141" t="n">
        <f aca="false">1-G196/G195</f>
        <v>0.838991503908847</v>
      </c>
    </row>
    <row r="198" customFormat="false" ht="15" hidden="false" customHeight="false" outlineLevel="0" collapsed="false">
      <c r="C198" s="0" t="s">
        <v>1357</v>
      </c>
      <c r="D198" s="0" t="s">
        <v>40</v>
      </c>
      <c r="G198" s="180" t="n">
        <f aca="false">$G$153*G197</f>
        <v>88.1689894686426</v>
      </c>
    </row>
    <row r="201" customFormat="false" ht="15" hidden="false" customHeight="false" outlineLevel="0" collapsed="false">
      <c r="C201" s="136" t="s">
        <v>1358</v>
      </c>
      <c r="D201" s="136"/>
      <c r="E201" s="278"/>
      <c r="F201" s="278"/>
      <c r="G201" s="278"/>
      <c r="H201" s="278"/>
      <c r="I201" s="278"/>
      <c r="J201" s="278"/>
      <c r="K201" s="278"/>
      <c r="L201" s="278"/>
      <c r="M201" s="278"/>
      <c r="N201" s="278"/>
      <c r="O201" s="278"/>
      <c r="P201" s="278"/>
      <c r="Q201" s="278"/>
      <c r="R201" s="278"/>
      <c r="S201" s="278"/>
      <c r="T201" s="278"/>
      <c r="U201" s="278"/>
      <c r="V201" s="278"/>
      <c r="W201" s="278"/>
      <c r="X201" s="278"/>
      <c r="Y201" s="278"/>
      <c r="Z201" s="278"/>
      <c r="AA201" s="278"/>
      <c r="AB201" s="278"/>
      <c r="AC201" s="278"/>
      <c r="AD201" s="278"/>
      <c r="AE201" s="278"/>
      <c r="AF201" s="278"/>
      <c r="AG201" s="278"/>
      <c r="AH201" s="278"/>
      <c r="AI201" s="278"/>
      <c r="AJ201" s="278"/>
      <c r="AK201" s="278"/>
      <c r="AL201" s="278"/>
      <c r="AM201" s="278"/>
      <c r="AN201" s="278"/>
      <c r="AO201" s="278"/>
      <c r="AP201" s="278"/>
      <c r="AQ201" s="278"/>
    </row>
    <row r="202" customFormat="false" ht="15" hidden="false" customHeight="false" outlineLevel="0" collapsed="false">
      <c r="C202" s="0" t="s">
        <v>1359</v>
      </c>
      <c r="D202" s="0" t="s">
        <v>125</v>
      </c>
      <c r="E202" s="146" t="n">
        <f aca="false">MOIC!$G$145</f>
        <v>40928.5898703443</v>
      </c>
      <c r="F202" s="146"/>
      <c r="G202" s="146" t="n">
        <f aca="false">SUM(H202:AQ202)</f>
        <v>-40928.5898703443</v>
      </c>
      <c r="H202" s="146" t="n">
        <f aca="false">-IF(H$5=YEAR(Inputs!$E$58),$E$202,0)</f>
        <v>-0</v>
      </c>
      <c r="I202" s="146" t="n">
        <f aca="false">-IF(I$5=YEAR(Inputs!$E$58),$E$202,0)</f>
        <v>-0</v>
      </c>
      <c r="J202" s="146" t="n">
        <f aca="false">-IF(J$5=YEAR(Inputs!$E$58),$E$202,0)</f>
        <v>-0</v>
      </c>
      <c r="K202" s="146" t="n">
        <f aca="false">-IF(K$5=YEAR(Inputs!$E$58),$E$202,0)</f>
        <v>-40928.5898703443</v>
      </c>
      <c r="L202" s="146" t="n">
        <f aca="false">-IF(L$5=YEAR(Inputs!$E$58),$E$202,0)</f>
        <v>-0</v>
      </c>
      <c r="M202" s="146" t="n">
        <f aca="false">-IF(M$5=YEAR(Inputs!$E$58),$E$202,0)</f>
        <v>-0</v>
      </c>
      <c r="N202" s="146" t="n">
        <f aca="false">-IF(N$5=YEAR(Inputs!$E$58),$E$202,0)</f>
        <v>-0</v>
      </c>
      <c r="O202" s="146" t="n">
        <f aca="false">-IF(O$5=YEAR(Inputs!$E$58),$E$202,0)</f>
        <v>-0</v>
      </c>
      <c r="P202" s="146" t="n">
        <f aca="false">-IF(P$5=YEAR(Inputs!$E$58),$E$202,0)</f>
        <v>-0</v>
      </c>
      <c r="Q202" s="146" t="n">
        <f aca="false">-IF(Q$5=YEAR(Inputs!$E$58),$E$202,0)</f>
        <v>-0</v>
      </c>
      <c r="R202" s="146" t="n">
        <f aca="false">-IF(R$5=YEAR(Inputs!$E$58),$E$202,0)</f>
        <v>-0</v>
      </c>
      <c r="S202" s="146" t="n">
        <f aca="false">-IF(S$5=YEAR(Inputs!$E$58),$E$202,0)</f>
        <v>-0</v>
      </c>
      <c r="T202" s="146" t="n">
        <f aca="false">-IF(T$5=YEAR(Inputs!$E$58),$E$202,0)</f>
        <v>-0</v>
      </c>
      <c r="U202" s="146" t="n">
        <f aca="false">-IF(U$5=YEAR(Inputs!$E$58),$E$202,0)</f>
        <v>-0</v>
      </c>
      <c r="V202" s="146" t="n">
        <f aca="false">-IF(V$5=YEAR(Inputs!$E$58),$E$202,0)</f>
        <v>-0</v>
      </c>
      <c r="W202" s="146" t="n">
        <f aca="false">-IF(W$5=YEAR(Inputs!$E$58),$E$202,0)</f>
        <v>-0</v>
      </c>
      <c r="X202" s="146" t="n">
        <f aca="false">-IF(X$5=YEAR(Inputs!$E$58),$E$202,0)</f>
        <v>-0</v>
      </c>
      <c r="Y202" s="146" t="n">
        <f aca="false">-IF(Y$5=YEAR(Inputs!$E$58),$E$202,0)</f>
        <v>-0</v>
      </c>
      <c r="Z202" s="146" t="n">
        <f aca="false">-IF(Z$5=YEAR(Inputs!$E$58),$E$202,0)</f>
        <v>-0</v>
      </c>
      <c r="AA202" s="146" t="n">
        <f aca="false">-IF(AA$5=YEAR(Inputs!$E$58),$E$202,0)</f>
        <v>-0</v>
      </c>
      <c r="AB202" s="146" t="n">
        <f aca="false">-IF(AB$5=YEAR(Inputs!$E$58),$E$202,0)</f>
        <v>-0</v>
      </c>
      <c r="AC202" s="146" t="n">
        <f aca="false">-IF(AC$5=YEAR(Inputs!$E$58),$E$202,0)</f>
        <v>-0</v>
      </c>
      <c r="AD202" s="146" t="n">
        <f aca="false">-IF(AD$5=YEAR(Inputs!$E$58),$E$202,0)</f>
        <v>-0</v>
      </c>
      <c r="AE202" s="146" t="n">
        <f aca="false">-IF(AE$5=YEAR(Inputs!$E$58),$E$202,0)</f>
        <v>-0</v>
      </c>
      <c r="AF202" s="146" t="n">
        <f aca="false">-IF(AF$5=YEAR(Inputs!$E$58),$E$202,0)</f>
        <v>-0</v>
      </c>
      <c r="AG202" s="146" t="n">
        <f aca="false">-IF(AG$5=YEAR(Inputs!$E$58),$E$202,0)</f>
        <v>-0</v>
      </c>
      <c r="AH202" s="146" t="n">
        <f aca="false">-IF(AH$5=YEAR(Inputs!$E$58),$E$202,0)</f>
        <v>-0</v>
      </c>
      <c r="AI202" s="146" t="n">
        <f aca="false">-IF(AI$5=YEAR(Inputs!$E$58),$E$202,0)</f>
        <v>-0</v>
      </c>
      <c r="AJ202" s="146" t="n">
        <f aca="false">-IF(AJ$5=YEAR(Inputs!$E$58),$E$202,0)</f>
        <v>-0</v>
      </c>
      <c r="AK202" s="146" t="n">
        <f aca="false">-IF(AK$5=YEAR(Inputs!$E$58),$E$202,0)</f>
        <v>-0</v>
      </c>
      <c r="AL202" s="146" t="n">
        <f aca="false">-IF(AL$5=YEAR(Inputs!$E$58),$E$202,0)</f>
        <v>-0</v>
      </c>
      <c r="AM202" s="146" t="n">
        <f aca="false">-IF(AM$5=YEAR(Inputs!$E$58),$E$202,0)</f>
        <v>-0</v>
      </c>
      <c r="AN202" s="146" t="n">
        <f aca="false">-IF(AN$5=YEAR(Inputs!$E$58),$E$202,0)</f>
        <v>-0</v>
      </c>
      <c r="AO202" s="146" t="n">
        <f aca="false">-IF(AO$5=YEAR(Inputs!$E$58),$E$202,0)</f>
        <v>-0</v>
      </c>
      <c r="AP202" s="146" t="n">
        <f aca="false">-IF(AP$5=YEAR(Inputs!$E$58),$E$202,0)</f>
        <v>-0</v>
      </c>
      <c r="AQ202" s="146" t="n">
        <f aca="false">-IF(AQ$5=YEAR(Inputs!$E$58),$E$202,0)</f>
        <v>-0</v>
      </c>
    </row>
    <row r="203" customFormat="false" ht="15" hidden="false" customHeight="false" outlineLevel="0" collapsed="false">
      <c r="C203" s="0" t="s">
        <v>1360</v>
      </c>
      <c r="D203" s="0" t="s">
        <v>125</v>
      </c>
      <c r="E203" s="146"/>
      <c r="F203" s="146"/>
      <c r="G203" s="146" t="n">
        <f aca="false">SUM(H203:AQ203)</f>
        <v>0</v>
      </c>
      <c r="H203" s="146" t="n">
        <f aca="false" t="array" ref="H203:H203">-SUMPRODUCT((YEAR(Deposits!$K$7:$K$18)=H$5)*(Deposits!$N$7:$N$18=1)*((Deposits!$R$7:$R$18&lt;&gt;"Connection fee")*Deposits!$P$7:$P$18+(Deposits!$R$7:$R$18="Connection fee"))*Deposits!$M$7:$M$18)</f>
        <v>-0</v>
      </c>
      <c r="I203" s="146" t="n">
        <f aca="false" t="array" ref="I203:I203">-SUMPRODUCT((YEAR(Deposits!$K$7:$K$18)=I$5)*(Deposits!$N$7:$N$18=1)*((Deposits!$R$7:$R$18&lt;&gt;"Connection fee")*Deposits!$P$7:$P$18+(Deposits!$R$7:$R$18="Connection fee"))*Deposits!$M$7:$M$18)</f>
        <v>-0</v>
      </c>
      <c r="J203" s="146" t="n">
        <f aca="false" t="array" ref="J203:J203">-SUMPRODUCT((YEAR(Deposits!$K$7:$K$18)=J$5)*(Deposits!$N$7:$N$18=1)*((Deposits!$R$7:$R$18&lt;&gt;"Connection fee")*Deposits!$P$7:$P$18+(Deposits!$R$7:$R$18="Connection fee"))*Deposits!$M$7:$M$18)</f>
        <v>-0</v>
      </c>
      <c r="K203" s="146" t="n">
        <f aca="false" t="array" ref="K203:K203">-SUMPRODUCT((YEAR(Deposits!$K$7:$K$18)=K$5)*(Deposits!$N$7:$N$18=1)*((Deposits!$R$7:$R$18&lt;&gt;"Connection fee")*Deposits!$P$7:$P$18+(Deposits!$R$7:$R$18="Connection fee"))*Deposits!$M$7:$M$18)</f>
        <v>-0</v>
      </c>
      <c r="L203" s="146" t="n">
        <f aca="false" t="array" ref="L203:L203">-SUMPRODUCT((YEAR(Deposits!$K$7:$K$18)=L$5)*(Deposits!$N$7:$N$18=1)*((Deposits!$R$7:$R$18&lt;&gt;"Connection fee")*Deposits!$P$7:$P$18+(Deposits!$R$7:$R$18="Connection fee"))*Deposits!$M$7:$M$18)</f>
        <v>-0</v>
      </c>
      <c r="M203" s="146" t="n">
        <f aca="false" t="array" ref="M203:M203">-SUMPRODUCT((YEAR(Deposits!$K$7:$K$18)=M$5)*(Deposits!$N$7:$N$18=1)*((Deposits!$R$7:$R$18&lt;&gt;"Connection fee")*Deposits!$P$7:$P$18+(Deposits!$R$7:$R$18="Connection fee"))*Deposits!$M$7:$M$18)</f>
        <v>-0</v>
      </c>
      <c r="N203" s="146" t="n">
        <f aca="false" t="array" ref="N203:N203">-SUMPRODUCT((YEAR(Deposits!$K$7:$K$18)=N$5)*(Deposits!$N$7:$N$18=1)*((Deposits!$R$7:$R$18&lt;&gt;"Connection fee")*Deposits!$P$7:$P$18+(Deposits!$R$7:$R$18="Connection fee"))*Deposits!$M$7:$M$18)</f>
        <v>-0</v>
      </c>
      <c r="O203" s="146" t="n">
        <f aca="false" t="array" ref="O203:O203">-SUMPRODUCT((YEAR(Deposits!$K$7:$K$18)=O$5)*(Deposits!$N$7:$N$18=1)*((Deposits!$R$7:$R$18&lt;&gt;"Connection fee")*Deposits!$P$7:$P$18+(Deposits!$R$7:$R$18="Connection fee"))*Deposits!$M$7:$M$18)</f>
        <v>-0</v>
      </c>
      <c r="P203" s="146" t="n">
        <f aca="false" t="array" ref="P203:P203">-SUMPRODUCT((YEAR(Deposits!$K$7:$K$18)=P$5)*(Deposits!$N$7:$N$18=1)*((Deposits!$R$7:$R$18&lt;&gt;"Connection fee")*Deposits!$P$7:$P$18+(Deposits!$R$7:$R$18="Connection fee"))*Deposits!$M$7:$M$18)</f>
        <v>-0</v>
      </c>
      <c r="Q203" s="146" t="n">
        <f aca="false" t="array" ref="Q203:Q203">-SUMPRODUCT((YEAR(Deposits!$K$7:$K$18)=Q$5)*(Deposits!$N$7:$N$18=1)*((Deposits!$R$7:$R$18&lt;&gt;"Connection fee")*Deposits!$P$7:$P$18+(Deposits!$R$7:$R$18="Connection fee"))*Deposits!$M$7:$M$18)</f>
        <v>-0</v>
      </c>
      <c r="R203" s="146" t="n">
        <f aca="false" t="array" ref="R203:R203">-SUMPRODUCT((YEAR(Deposits!$K$7:$K$18)=R$5)*(Deposits!$N$7:$N$18=1)*((Deposits!$R$7:$R$18&lt;&gt;"Connection fee")*Deposits!$P$7:$P$18+(Deposits!$R$7:$R$18="Connection fee"))*Deposits!$M$7:$M$18)</f>
        <v>-0</v>
      </c>
      <c r="S203" s="146" t="n">
        <f aca="false" t="array" ref="S203:S203">-SUMPRODUCT((YEAR(Deposits!$K$7:$K$18)=S$5)*(Deposits!$N$7:$N$18=1)*((Deposits!$R$7:$R$18&lt;&gt;"Connection fee")*Deposits!$P$7:$P$18+(Deposits!$R$7:$R$18="Connection fee"))*Deposits!$M$7:$M$18)</f>
        <v>-0</v>
      </c>
      <c r="T203" s="146" t="n">
        <f aca="false" t="array" ref="T203:T203">-SUMPRODUCT((YEAR(Deposits!$K$7:$K$18)=T$5)*(Deposits!$N$7:$N$18=1)*((Deposits!$R$7:$R$18&lt;&gt;"Connection fee")*Deposits!$P$7:$P$18+(Deposits!$R$7:$R$18="Connection fee"))*Deposits!$M$7:$M$18)</f>
        <v>-0</v>
      </c>
      <c r="U203" s="146" t="n">
        <f aca="false" t="array" ref="U203:U203">-SUMPRODUCT((YEAR(Deposits!$K$7:$K$18)=U$5)*(Deposits!$N$7:$N$18=1)*((Deposits!$R$7:$R$18&lt;&gt;"Connection fee")*Deposits!$P$7:$P$18+(Deposits!$R$7:$R$18="Connection fee"))*Deposits!$M$7:$M$18)</f>
        <v>-0</v>
      </c>
      <c r="V203" s="146" t="n">
        <f aca="false" t="array" ref="V203:V203">-SUMPRODUCT((YEAR(Deposits!$K$7:$K$18)=V$5)*(Deposits!$N$7:$N$18=1)*((Deposits!$R$7:$R$18&lt;&gt;"Connection fee")*Deposits!$P$7:$P$18+(Deposits!$R$7:$R$18="Connection fee"))*Deposits!$M$7:$M$18)</f>
        <v>-0</v>
      </c>
      <c r="W203" s="146" t="n">
        <f aca="false" t="array" ref="W203:W203">-SUMPRODUCT((YEAR(Deposits!$K$7:$K$18)=W$5)*(Deposits!$N$7:$N$18=1)*((Deposits!$R$7:$R$18&lt;&gt;"Connection fee")*Deposits!$P$7:$P$18+(Deposits!$R$7:$R$18="Connection fee"))*Deposits!$M$7:$M$18)</f>
        <v>-0</v>
      </c>
      <c r="X203" s="146" t="n">
        <f aca="false" t="array" ref="X203:X203">-SUMPRODUCT((YEAR(Deposits!$K$7:$K$18)=X$5)*(Deposits!$N$7:$N$18=1)*((Deposits!$R$7:$R$18&lt;&gt;"Connection fee")*Deposits!$P$7:$P$18+(Deposits!$R$7:$R$18="Connection fee"))*Deposits!$M$7:$M$18)</f>
        <v>-0</v>
      </c>
      <c r="Y203" s="146" t="n">
        <f aca="false" t="array" ref="Y203:Y203">-SUMPRODUCT((YEAR(Deposits!$K$7:$K$18)=Y$5)*(Deposits!$N$7:$N$18=1)*((Deposits!$R$7:$R$18&lt;&gt;"Connection fee")*Deposits!$P$7:$P$18+(Deposits!$R$7:$R$18="Connection fee"))*Deposits!$M$7:$M$18)</f>
        <v>-0</v>
      </c>
      <c r="Z203" s="146" t="n">
        <f aca="false" t="array" ref="Z203:Z203">-SUMPRODUCT((YEAR(Deposits!$K$7:$K$18)=Z$5)*(Deposits!$N$7:$N$18=1)*((Deposits!$R$7:$R$18&lt;&gt;"Connection fee")*Deposits!$P$7:$P$18+(Deposits!$R$7:$R$18="Connection fee"))*Deposits!$M$7:$M$18)</f>
        <v>-0</v>
      </c>
      <c r="AA203" s="146" t="n">
        <f aca="false" t="array" ref="AA203:AA203">-SUMPRODUCT((YEAR(Deposits!$K$7:$K$18)=AA$5)*(Deposits!$N$7:$N$18=1)*((Deposits!$R$7:$R$18&lt;&gt;"Connection fee")*Deposits!$P$7:$P$18+(Deposits!$R$7:$R$18="Connection fee"))*Deposits!$M$7:$M$18)</f>
        <v>-0</v>
      </c>
      <c r="AB203" s="146" t="n">
        <f aca="false" t="array" ref="AB203:AB203">-SUMPRODUCT((YEAR(Deposits!$K$7:$K$18)=AB$5)*(Deposits!$N$7:$N$18=1)*((Deposits!$R$7:$R$18&lt;&gt;"Connection fee")*Deposits!$P$7:$P$18+(Deposits!$R$7:$R$18="Connection fee"))*Deposits!$M$7:$M$18)</f>
        <v>-0</v>
      </c>
      <c r="AC203" s="146" t="n">
        <f aca="false" t="array" ref="AC203:AC203">-SUMPRODUCT((YEAR(Deposits!$K$7:$K$18)=AC$5)*(Deposits!$N$7:$N$18=1)*((Deposits!$R$7:$R$18&lt;&gt;"Connection fee")*Deposits!$P$7:$P$18+(Deposits!$R$7:$R$18="Connection fee"))*Deposits!$M$7:$M$18)</f>
        <v>-0</v>
      </c>
      <c r="AD203" s="146" t="n">
        <f aca="false" t="array" ref="AD203:AD203">-SUMPRODUCT((YEAR(Deposits!$K$7:$K$18)=AD$5)*(Deposits!$N$7:$N$18=1)*((Deposits!$R$7:$R$18&lt;&gt;"Connection fee")*Deposits!$P$7:$P$18+(Deposits!$R$7:$R$18="Connection fee"))*Deposits!$M$7:$M$18)</f>
        <v>-0</v>
      </c>
      <c r="AE203" s="146" t="n">
        <f aca="false" t="array" ref="AE203:AE203">-SUMPRODUCT((YEAR(Deposits!$K$7:$K$18)=AE$5)*(Deposits!$N$7:$N$18=1)*((Deposits!$R$7:$R$18&lt;&gt;"Connection fee")*Deposits!$P$7:$P$18+(Deposits!$R$7:$R$18="Connection fee"))*Deposits!$M$7:$M$18)</f>
        <v>-0</v>
      </c>
      <c r="AF203" s="146" t="n">
        <f aca="false" t="array" ref="AF203:AF203">-SUMPRODUCT((YEAR(Deposits!$K$7:$K$18)=AF$5)*(Deposits!$N$7:$N$18=1)*((Deposits!$R$7:$R$18&lt;&gt;"Connection fee")*Deposits!$P$7:$P$18+(Deposits!$R$7:$R$18="Connection fee"))*Deposits!$M$7:$M$18)</f>
        <v>-0</v>
      </c>
      <c r="AG203" s="146" t="n">
        <f aca="false" t="array" ref="AG203:AG203">-SUMPRODUCT((YEAR(Deposits!$K$7:$K$18)=AG$5)*(Deposits!$N$7:$N$18=1)*((Deposits!$R$7:$R$18&lt;&gt;"Connection fee")*Deposits!$P$7:$P$18+(Deposits!$R$7:$R$18="Connection fee"))*Deposits!$M$7:$M$18)</f>
        <v>-0</v>
      </c>
      <c r="AH203" s="146" t="n">
        <f aca="false" t="array" ref="AH203:AH203">-SUMPRODUCT((YEAR(Deposits!$K$7:$K$18)=AH$5)*(Deposits!$N$7:$N$18=1)*((Deposits!$R$7:$R$18&lt;&gt;"Connection fee")*Deposits!$P$7:$P$18+(Deposits!$R$7:$R$18="Connection fee"))*Deposits!$M$7:$M$18)</f>
        <v>-0</v>
      </c>
      <c r="AI203" s="146" t="n">
        <f aca="false" t="array" ref="AI203:AI203">-SUMPRODUCT((YEAR(Deposits!$K$7:$K$18)=AI$5)*(Deposits!$N$7:$N$18=1)*((Deposits!$R$7:$R$18&lt;&gt;"Connection fee")*Deposits!$P$7:$P$18+(Deposits!$R$7:$R$18="Connection fee"))*Deposits!$M$7:$M$18)</f>
        <v>-0</v>
      </c>
      <c r="AJ203" s="146" t="n">
        <f aca="false" t="array" ref="AJ203:AJ203">-SUMPRODUCT((YEAR(Deposits!$K$7:$K$18)=AJ$5)*(Deposits!$N$7:$N$18=1)*((Deposits!$R$7:$R$18&lt;&gt;"Connection fee")*Deposits!$P$7:$P$18+(Deposits!$R$7:$R$18="Connection fee"))*Deposits!$M$7:$M$18)</f>
        <v>-0</v>
      </c>
      <c r="AK203" s="146" t="n">
        <f aca="false" t="array" ref="AK203:AK203">-SUMPRODUCT((YEAR(Deposits!$K$7:$K$18)=AK$5)*(Deposits!$N$7:$N$18=1)*((Deposits!$R$7:$R$18&lt;&gt;"Connection fee")*Deposits!$P$7:$P$18+(Deposits!$R$7:$R$18="Connection fee"))*Deposits!$M$7:$M$18)</f>
        <v>-0</v>
      </c>
      <c r="AL203" s="146" t="n">
        <f aca="false" t="array" ref="AL203:AL203">-SUMPRODUCT((YEAR(Deposits!$K$7:$K$18)=AL$5)*(Deposits!$N$7:$N$18=1)*((Deposits!$R$7:$R$18&lt;&gt;"Connection fee")*Deposits!$P$7:$P$18+(Deposits!$R$7:$R$18="Connection fee"))*Deposits!$M$7:$M$18)</f>
        <v>-0</v>
      </c>
      <c r="AM203" s="146" t="n">
        <f aca="false" t="array" ref="AM203:AM203">-SUMPRODUCT((YEAR(Deposits!$K$7:$K$18)=AM$5)*(Deposits!$N$7:$N$18=1)*((Deposits!$R$7:$R$18&lt;&gt;"Connection fee")*Deposits!$P$7:$P$18+(Deposits!$R$7:$R$18="Connection fee"))*Deposits!$M$7:$M$18)</f>
        <v>-0</v>
      </c>
      <c r="AN203" s="146" t="n">
        <f aca="false" t="array" ref="AN203:AN203">-SUMPRODUCT((YEAR(Deposits!$K$7:$K$18)=AN$5)*(Deposits!$N$7:$N$18=1)*((Deposits!$R$7:$R$18&lt;&gt;"Connection fee")*Deposits!$P$7:$P$18+(Deposits!$R$7:$R$18="Connection fee"))*Deposits!$M$7:$M$18)</f>
        <v>-0</v>
      </c>
      <c r="AO203" s="146" t="n">
        <f aca="false" t="array" ref="AO203:AO203">-SUMPRODUCT((YEAR(Deposits!$K$7:$K$18)=AO$5)*(Deposits!$N$7:$N$18=1)*((Deposits!$R$7:$R$18&lt;&gt;"Connection fee")*Deposits!$P$7:$P$18+(Deposits!$R$7:$R$18="Connection fee"))*Deposits!$M$7:$M$18)</f>
        <v>-0</v>
      </c>
      <c r="AP203" s="146" t="n">
        <f aca="false" t="array" ref="AP203:AP203">-SUMPRODUCT((YEAR(Deposits!$K$7:$K$18)=AP$5)*(Deposits!$N$7:$N$18=1)*((Deposits!$R$7:$R$18&lt;&gt;"Connection fee")*Deposits!$P$7:$P$18+(Deposits!$R$7:$R$18="Connection fee"))*Deposits!$M$7:$M$18)</f>
        <v>-0</v>
      </c>
      <c r="AQ203" s="146" t="n">
        <f aca="false" t="array" ref="AQ203:AQ203">-SUMPRODUCT((YEAR(Deposits!$K$7:$K$18)=AQ$5)*(Deposits!$N$7:$N$18=1)*((Deposits!$R$7:$R$18&lt;&gt;"Connection fee")*Deposits!$P$7:$P$18+(Deposits!$R$7:$R$18="Connection fee"))*Deposits!$M$7:$M$18)</f>
        <v>-0</v>
      </c>
    </row>
    <row r="204" customFormat="false" ht="15" hidden="false" customHeight="false" outlineLevel="0" collapsed="false">
      <c r="C204" s="0" t="s">
        <v>1209</v>
      </c>
      <c r="D204" s="0" t="s">
        <v>125</v>
      </c>
      <c r="E204" s="146"/>
      <c r="F204" s="146"/>
      <c r="G204" s="146" t="n">
        <f aca="false">SUM(H204:AQ204)</f>
        <v>0</v>
      </c>
      <c r="H204" s="146" t="n">
        <f aca="false" t="array" ref="H204:H204">IF(H$5=YEAR(Inputs!$E$155),SUMPRODUCT(((Deposits!$R$7:$R$18="Security")+(Deposits!$R$7:$R$18="Refund"))*Deposits!$P$7:$P$18*Deposits!$M$7:$M$18)-Deposits!$P$11*Deposits!$M$11,0)</f>
        <v>0</v>
      </c>
      <c r="I204" s="146" t="n">
        <f aca="false" t="array" ref="I204:I204">IF(I$5=YEAR(Inputs!$E$155),SUMPRODUCT(((Deposits!$R$7:$R$18="Security")+(Deposits!$R$7:$R$18="Refund"))*Deposits!$P$7:$P$18*Deposits!$M$7:$M$18)-Deposits!$P$11*Deposits!$M$11,0)</f>
        <v>0</v>
      </c>
      <c r="J204" s="146" t="n">
        <f aca="false" t="array" ref="J204:J204">IF(J$5=YEAR(Inputs!$E$155),SUMPRODUCT(((Deposits!$R$7:$R$18="Security")+(Deposits!$R$7:$R$18="Refund"))*Deposits!$P$7:$P$18*Deposits!$M$7:$M$18)-Deposits!$P$11*Deposits!$M$11,0)</f>
        <v>0</v>
      </c>
      <c r="K204" s="146" t="n">
        <f aca="false" t="array" ref="K204:K204">IF(K$5=YEAR(Inputs!$E$155),SUMPRODUCT(((Deposits!$R$7:$R$18="Security")+(Deposits!$R$7:$R$18="Refund"))*Deposits!$P$7:$P$18*Deposits!$M$7:$M$18)-Deposits!$P$11*Deposits!$M$11,0)</f>
        <v>0</v>
      </c>
      <c r="L204" s="146" t="n">
        <f aca="false" t="array" ref="L204:L204">IF(L$5=YEAR(Inputs!$E$155),SUMPRODUCT(((Deposits!$R$7:$R$18="Security")+(Deposits!$R$7:$R$18="Refund"))*Deposits!$P$7:$P$18*Deposits!$M$7:$M$18)-Deposits!$P$11*Deposits!$M$11,0)</f>
        <v>0</v>
      </c>
      <c r="M204" s="146" t="n">
        <f aca="false" t="array" ref="M204:M204">IF(M$5=YEAR(Inputs!$E$155),SUMPRODUCT(((Deposits!$R$7:$R$18="Security")+(Deposits!$R$7:$R$18="Refund"))*Deposits!$P$7:$P$18*Deposits!$M$7:$M$18)-Deposits!$P$11*Deposits!$M$11,0)</f>
        <v>0</v>
      </c>
      <c r="N204" s="146" t="n">
        <f aca="false" t="array" ref="N204:N204">IF(N$5=YEAR(Inputs!$E$155),SUMPRODUCT(((Deposits!$R$7:$R$18="Security")+(Deposits!$R$7:$R$18="Refund"))*Deposits!$P$7:$P$18*Deposits!$M$7:$M$18)-Deposits!$P$11*Deposits!$M$11,0)</f>
        <v>0</v>
      </c>
      <c r="O204" s="146" t="n">
        <f aca="false" t="array" ref="O204:O204">IF(O$5=YEAR(Inputs!$E$155),SUMPRODUCT(((Deposits!$R$7:$R$18="Security")+(Deposits!$R$7:$R$18="Refund"))*Deposits!$P$7:$P$18*Deposits!$M$7:$M$18)-Deposits!$P$11*Deposits!$M$11,0)</f>
        <v>0</v>
      </c>
      <c r="P204" s="146" t="n">
        <f aca="false" t="array" ref="P204:P204">IF(P$5=YEAR(Inputs!$E$155),SUMPRODUCT(((Deposits!$R$7:$R$18="Security")+(Deposits!$R$7:$R$18="Refund"))*Deposits!$P$7:$P$18*Deposits!$M$7:$M$18)-Deposits!$P$11*Deposits!$M$11,0)</f>
        <v>0</v>
      </c>
      <c r="Q204" s="146" t="n">
        <f aca="false" t="array" ref="Q204:Q204">IF(Q$5=YEAR(Inputs!$E$155),SUMPRODUCT(((Deposits!$R$7:$R$18="Security")+(Deposits!$R$7:$R$18="Refund"))*Deposits!$P$7:$P$18*Deposits!$M$7:$M$18)-Deposits!$P$11*Deposits!$M$11,0)</f>
        <v>0</v>
      </c>
      <c r="R204" s="146" t="n">
        <f aca="false" t="array" ref="R204:R204">IF(R$5=YEAR(Inputs!$E$155),SUMPRODUCT(((Deposits!$R$7:$R$18="Security")+(Deposits!$R$7:$R$18="Refund"))*Deposits!$P$7:$P$18*Deposits!$M$7:$M$18)-Deposits!$P$11*Deposits!$M$11,0)</f>
        <v>0</v>
      </c>
      <c r="S204" s="146" t="n">
        <f aca="false" t="array" ref="S204:S204">IF(S$5=YEAR(Inputs!$E$155),SUMPRODUCT(((Deposits!$R$7:$R$18="Security")+(Deposits!$R$7:$R$18="Refund"))*Deposits!$P$7:$P$18*Deposits!$M$7:$M$18)-Deposits!$P$11*Deposits!$M$11,0)</f>
        <v>0</v>
      </c>
      <c r="T204" s="146" t="n">
        <f aca="false" t="array" ref="T204:T204">IF(T$5=YEAR(Inputs!$E$155),SUMPRODUCT(((Deposits!$R$7:$R$18="Security")+(Deposits!$R$7:$R$18="Refund"))*Deposits!$P$7:$P$18*Deposits!$M$7:$M$18)-Deposits!$P$11*Deposits!$M$11,0)</f>
        <v>0</v>
      </c>
      <c r="U204" s="146" t="n">
        <f aca="false" t="array" ref="U204:U204">IF(U$5=YEAR(Inputs!$E$155),SUMPRODUCT(((Deposits!$R$7:$R$18="Security")+(Deposits!$R$7:$R$18="Refund"))*Deposits!$P$7:$P$18*Deposits!$M$7:$M$18)-Deposits!$P$11*Deposits!$M$11,0)</f>
        <v>0</v>
      </c>
      <c r="V204" s="146" t="n">
        <f aca="false" t="array" ref="V204:V204">IF(V$5=YEAR(Inputs!$E$155),SUMPRODUCT(((Deposits!$R$7:$R$18="Security")+(Deposits!$R$7:$R$18="Refund"))*Deposits!$P$7:$P$18*Deposits!$M$7:$M$18)-Deposits!$P$11*Deposits!$M$11,0)</f>
        <v>0</v>
      </c>
      <c r="W204" s="146" t="n">
        <f aca="false" t="array" ref="W204:W204">IF(W$5=YEAR(Inputs!$E$155),SUMPRODUCT(((Deposits!$R$7:$R$18="Security")+(Deposits!$R$7:$R$18="Refund"))*Deposits!$P$7:$P$18*Deposits!$M$7:$M$18)-Deposits!$P$11*Deposits!$M$11,0)</f>
        <v>0</v>
      </c>
      <c r="X204" s="146" t="n">
        <f aca="false" t="array" ref="X204:X204">IF(X$5=YEAR(Inputs!$E$155),SUMPRODUCT(((Deposits!$R$7:$R$18="Security")+(Deposits!$R$7:$R$18="Refund"))*Deposits!$P$7:$P$18*Deposits!$M$7:$M$18)-Deposits!$P$11*Deposits!$M$11,0)</f>
        <v>0</v>
      </c>
      <c r="Y204" s="146" t="n">
        <f aca="false" t="array" ref="Y204:Y204">IF(Y$5=YEAR(Inputs!$E$155),SUMPRODUCT(((Deposits!$R$7:$R$18="Security")+(Deposits!$R$7:$R$18="Refund"))*Deposits!$P$7:$P$18*Deposits!$M$7:$M$18)-Deposits!$P$11*Deposits!$M$11,0)</f>
        <v>0</v>
      </c>
      <c r="Z204" s="146" t="n">
        <f aca="false" t="array" ref="Z204:Z204">IF(Z$5=YEAR(Inputs!$E$155),SUMPRODUCT(((Deposits!$R$7:$R$18="Security")+(Deposits!$R$7:$R$18="Refund"))*Deposits!$P$7:$P$18*Deposits!$M$7:$M$18)-Deposits!$P$11*Deposits!$M$11,0)</f>
        <v>0</v>
      </c>
      <c r="AA204" s="146" t="n">
        <f aca="false" t="array" ref="AA204:AA204">IF(AA$5=YEAR(Inputs!$E$155),SUMPRODUCT(((Deposits!$R$7:$R$18="Security")+(Deposits!$R$7:$R$18="Refund"))*Deposits!$P$7:$P$18*Deposits!$M$7:$M$18)-Deposits!$P$11*Deposits!$M$11,0)</f>
        <v>0</v>
      </c>
      <c r="AB204" s="146" t="n">
        <f aca="false" t="array" ref="AB204:AB204">IF(AB$5=YEAR(Inputs!$E$155),SUMPRODUCT(((Deposits!$R$7:$R$18="Security")+(Deposits!$R$7:$R$18="Refund"))*Deposits!$P$7:$P$18*Deposits!$M$7:$M$18)-Deposits!$P$11*Deposits!$M$11,0)</f>
        <v>0</v>
      </c>
      <c r="AC204" s="146" t="n">
        <f aca="false" t="array" ref="AC204:AC204">IF(AC$5=YEAR(Inputs!$E$155),SUMPRODUCT(((Deposits!$R$7:$R$18="Security")+(Deposits!$R$7:$R$18="Refund"))*Deposits!$P$7:$P$18*Deposits!$M$7:$M$18)-Deposits!$P$11*Deposits!$M$11,0)</f>
        <v>0</v>
      </c>
      <c r="AD204" s="146" t="n">
        <f aca="false" t="array" ref="AD204:AD204">IF(AD$5=YEAR(Inputs!$E$155),SUMPRODUCT(((Deposits!$R$7:$R$18="Security")+(Deposits!$R$7:$R$18="Refund"))*Deposits!$P$7:$P$18*Deposits!$M$7:$M$18)-Deposits!$P$11*Deposits!$M$11,0)</f>
        <v>0</v>
      </c>
      <c r="AE204" s="146" t="n">
        <f aca="false" t="array" ref="AE204:AE204">IF(AE$5=YEAR(Inputs!$E$155),SUMPRODUCT(((Deposits!$R$7:$R$18="Security")+(Deposits!$R$7:$R$18="Refund"))*Deposits!$P$7:$P$18*Deposits!$M$7:$M$18)-Deposits!$P$11*Deposits!$M$11,0)</f>
        <v>0</v>
      </c>
      <c r="AF204" s="146" t="n">
        <f aca="false" t="array" ref="AF204:AF204">IF(AF$5=YEAR(Inputs!$E$155),SUMPRODUCT(((Deposits!$R$7:$R$18="Security")+(Deposits!$R$7:$R$18="Refund"))*Deposits!$P$7:$P$18*Deposits!$M$7:$M$18)-Deposits!$P$11*Deposits!$M$11,0)</f>
        <v>0</v>
      </c>
      <c r="AG204" s="146" t="n">
        <f aca="false" t="array" ref="AG204:AG204">IF(AG$5=YEAR(Inputs!$E$155),SUMPRODUCT(((Deposits!$R$7:$R$18="Security")+(Deposits!$R$7:$R$18="Refund"))*Deposits!$P$7:$P$18*Deposits!$M$7:$M$18)-Deposits!$P$11*Deposits!$M$11,0)</f>
        <v>0</v>
      </c>
      <c r="AH204" s="146" t="n">
        <f aca="false" t="array" ref="AH204:AH204">IF(AH$5=YEAR(Inputs!$E$155),SUMPRODUCT(((Deposits!$R$7:$R$18="Security")+(Deposits!$R$7:$R$18="Refund"))*Deposits!$P$7:$P$18*Deposits!$M$7:$M$18)-Deposits!$P$11*Deposits!$M$11,0)</f>
        <v>0</v>
      </c>
      <c r="AI204" s="146" t="n">
        <f aca="false" t="array" ref="AI204:AI204">IF(AI$5=YEAR(Inputs!$E$155),SUMPRODUCT(((Deposits!$R$7:$R$18="Security")+(Deposits!$R$7:$R$18="Refund"))*Deposits!$P$7:$P$18*Deposits!$M$7:$M$18)-Deposits!$P$11*Deposits!$M$11,0)</f>
        <v>0</v>
      </c>
      <c r="AJ204" s="146" t="n">
        <f aca="false" t="array" ref="AJ204:AJ204">IF(AJ$5=YEAR(Inputs!$E$155),SUMPRODUCT(((Deposits!$R$7:$R$18="Security")+(Deposits!$R$7:$R$18="Refund"))*Deposits!$P$7:$P$18*Deposits!$M$7:$M$18)-Deposits!$P$11*Deposits!$M$11,0)</f>
        <v>0</v>
      </c>
      <c r="AK204" s="146" t="n">
        <f aca="false" t="array" ref="AK204:AK204">IF(AK$5=YEAR(Inputs!$E$155),SUMPRODUCT(((Deposits!$R$7:$R$18="Security")+(Deposits!$R$7:$R$18="Refund"))*Deposits!$P$7:$P$18*Deposits!$M$7:$M$18)-Deposits!$P$11*Deposits!$M$11,0)</f>
        <v>0</v>
      </c>
      <c r="AL204" s="146" t="n">
        <f aca="false" t="array" ref="AL204:AL204">IF(AL$5=YEAR(Inputs!$E$155),SUMPRODUCT(((Deposits!$R$7:$R$18="Security")+(Deposits!$R$7:$R$18="Refund"))*Deposits!$P$7:$P$18*Deposits!$M$7:$M$18)-Deposits!$P$11*Deposits!$M$11,0)</f>
        <v>0</v>
      </c>
      <c r="AM204" s="146" t="n">
        <f aca="false" t="array" ref="AM204:AM204">IF(AM$5=YEAR(Inputs!$E$155),SUMPRODUCT(((Deposits!$R$7:$R$18="Security")+(Deposits!$R$7:$R$18="Refund"))*Deposits!$P$7:$P$18*Deposits!$M$7:$M$18)-Deposits!$P$11*Deposits!$M$11,0)</f>
        <v>0</v>
      </c>
      <c r="AN204" s="146" t="n">
        <f aca="false" t="array" ref="AN204:AN204">IF(AN$5=YEAR(Inputs!$E$155),SUMPRODUCT(((Deposits!$R$7:$R$18="Security")+(Deposits!$R$7:$R$18="Refund"))*Deposits!$P$7:$P$18*Deposits!$M$7:$M$18)-Deposits!$P$11*Deposits!$M$11,0)</f>
        <v>0</v>
      </c>
      <c r="AO204" s="146" t="n">
        <f aca="false" t="array" ref="AO204:AO204">IF(AO$5=YEAR(Inputs!$E$155),SUMPRODUCT(((Deposits!$R$7:$R$18="Security")+(Deposits!$R$7:$R$18="Refund"))*Deposits!$P$7:$P$18*Deposits!$M$7:$M$18)-Deposits!$P$11*Deposits!$M$11,0)</f>
        <v>0</v>
      </c>
      <c r="AP204" s="146" t="n">
        <f aca="false" t="array" ref="AP204:AP204">IF(AP$5=YEAR(Inputs!$E$155),SUMPRODUCT(((Deposits!$R$7:$R$18="Security")+(Deposits!$R$7:$R$18="Refund"))*Deposits!$P$7:$P$18*Deposits!$M$7:$M$18)-Deposits!$P$11*Deposits!$M$11,0)</f>
        <v>0</v>
      </c>
      <c r="AQ204" s="146" t="n">
        <f aca="false" t="array" ref="AQ204:AQ204">IF(AQ$5=YEAR(Inputs!$E$155),SUMPRODUCT(((Deposits!$R$7:$R$18="Security")+(Deposits!$R$7:$R$18="Refund"))*Deposits!$P$7:$P$18*Deposits!$M$7:$M$18)-Deposits!$P$11*Deposits!$M$11,0)</f>
        <v>0</v>
      </c>
    </row>
    <row r="205" customFormat="false" ht="15" hidden="false" customHeight="false" outlineLevel="0" collapsed="false">
      <c r="C205" s="0" t="s">
        <v>1361</v>
      </c>
      <c r="D205" s="0" t="s">
        <v>125</v>
      </c>
      <c r="E205" s="146"/>
      <c r="F205" s="146"/>
      <c r="G205" s="146" t="n">
        <f aca="false">SUM(H205:AQ205)</f>
        <v>-145304.225</v>
      </c>
      <c r="H205" s="146" t="n">
        <f aca="false">H27+H29</f>
        <v>-0</v>
      </c>
      <c r="I205" s="146" t="n">
        <f aca="false">I27+I29</f>
        <v>-0</v>
      </c>
      <c r="J205" s="146" t="n">
        <f aca="false">J27+J29</f>
        <v>-0</v>
      </c>
      <c r="K205" s="146" t="n">
        <f aca="false">K27+K29</f>
        <v>-35364.3526027397</v>
      </c>
      <c r="L205" s="146" t="n">
        <f aca="false">L27+L29</f>
        <v>-70152.1125</v>
      </c>
      <c r="M205" s="146" t="n">
        <f aca="false">M27+M29</f>
        <v>-39787.7598972603</v>
      </c>
      <c r="N205" s="146" t="n">
        <f aca="false">N27+N29</f>
        <v>-0</v>
      </c>
      <c r="O205" s="146" t="n">
        <f aca="false">O27+O29</f>
        <v>-0</v>
      </c>
      <c r="P205" s="146" t="n">
        <f aca="false">P27+P29</f>
        <v>-0</v>
      </c>
      <c r="Q205" s="146" t="n">
        <f aca="false">Q27+Q29</f>
        <v>-0</v>
      </c>
      <c r="R205" s="146" t="n">
        <f aca="false">R27+R29</f>
        <v>-0</v>
      </c>
      <c r="S205" s="146" t="n">
        <f aca="false">S27+S29</f>
        <v>-0</v>
      </c>
      <c r="T205" s="146" t="n">
        <f aca="false">T27+T29</f>
        <v>-0</v>
      </c>
      <c r="U205" s="146" t="n">
        <f aca="false">U27+U29</f>
        <v>-0</v>
      </c>
      <c r="V205" s="146" t="n">
        <f aca="false">V27+V29</f>
        <v>-0</v>
      </c>
      <c r="W205" s="146" t="n">
        <f aca="false">W27+W29</f>
        <v>-0</v>
      </c>
      <c r="X205" s="146" t="n">
        <f aca="false">X27+X29</f>
        <v>-0</v>
      </c>
      <c r="Y205" s="146" t="n">
        <f aca="false">Y27+Y29</f>
        <v>-0</v>
      </c>
      <c r="Z205" s="146" t="n">
        <f aca="false">Z27+Z29</f>
        <v>-0</v>
      </c>
      <c r="AA205" s="146" t="n">
        <f aca="false">AA27+AA29</f>
        <v>-0</v>
      </c>
      <c r="AB205" s="146" t="n">
        <f aca="false">AB27+AB29</f>
        <v>-0</v>
      </c>
      <c r="AC205" s="146" t="n">
        <f aca="false">AC27+AC29</f>
        <v>-0</v>
      </c>
      <c r="AD205" s="146" t="n">
        <f aca="false">AD27+AD29</f>
        <v>-0</v>
      </c>
      <c r="AE205" s="146" t="n">
        <f aca="false">AE27+AE29</f>
        <v>-0</v>
      </c>
      <c r="AF205" s="146" t="n">
        <f aca="false">AF27+AF29</f>
        <v>-0</v>
      </c>
      <c r="AG205" s="146" t="n">
        <f aca="false">AG27+AG29</f>
        <v>-0</v>
      </c>
      <c r="AH205" s="146" t="n">
        <f aca="false">AH27+AH29</f>
        <v>-0</v>
      </c>
      <c r="AI205" s="146" t="n">
        <f aca="false">AI27+AI29</f>
        <v>-0</v>
      </c>
      <c r="AJ205" s="146" t="n">
        <f aca="false">AJ27+AJ29</f>
        <v>-0</v>
      </c>
      <c r="AK205" s="146" t="n">
        <f aca="false">AK27+AK29</f>
        <v>-0</v>
      </c>
      <c r="AL205" s="146" t="n">
        <f aca="false">AL27+AL29</f>
        <v>-0</v>
      </c>
      <c r="AM205" s="146" t="n">
        <f aca="false">AM27+AM29</f>
        <v>-0</v>
      </c>
      <c r="AN205" s="146" t="n">
        <f aca="false">AN27+AN29</f>
        <v>-0</v>
      </c>
      <c r="AO205" s="146" t="n">
        <f aca="false">AO27+AO29</f>
        <v>-0</v>
      </c>
      <c r="AP205" s="146" t="n">
        <f aca="false">AP27+AP29</f>
        <v>-0</v>
      </c>
      <c r="AQ205" s="146" t="n">
        <f aca="false">AQ27+AQ29</f>
        <v>-0</v>
      </c>
    </row>
    <row r="206" customFormat="false" ht="15" hidden="false" customHeight="false" outlineLevel="0" collapsed="false">
      <c r="C206" s="0" t="s">
        <v>24</v>
      </c>
      <c r="D206" s="0" t="s">
        <v>125</v>
      </c>
      <c r="E206" s="146"/>
      <c r="F206" s="146"/>
      <c r="G206" s="146" t="n">
        <f aca="false">SUM(H206:AQ206)</f>
        <v>82393.6241465754</v>
      </c>
      <c r="H206" s="146" t="n">
        <f aca="false">H77</f>
        <v>0</v>
      </c>
      <c r="I206" s="146" t="n">
        <f aca="false">I77</f>
        <v>0</v>
      </c>
      <c r="J206" s="146" t="n">
        <f aca="false">J77</f>
        <v>0</v>
      </c>
      <c r="K206" s="146" t="n">
        <f aca="false">K77</f>
        <v>20767.7080040683</v>
      </c>
      <c r="L206" s="146" t="n">
        <f aca="false">L77</f>
        <v>41196.8120732877</v>
      </c>
      <c r="M206" s="146" t="n">
        <f aca="false">M77</f>
        <v>20429.1040692194</v>
      </c>
      <c r="N206" s="146" t="n">
        <f aca="false">N77</f>
        <v>0</v>
      </c>
      <c r="O206" s="146" t="n">
        <f aca="false">O77</f>
        <v>0</v>
      </c>
      <c r="P206" s="146" t="n">
        <f aca="false">P77</f>
        <v>0</v>
      </c>
      <c r="Q206" s="146" t="n">
        <f aca="false">Q77</f>
        <v>0</v>
      </c>
      <c r="R206" s="146" t="n">
        <f aca="false">R77</f>
        <v>0</v>
      </c>
      <c r="S206" s="146" t="n">
        <f aca="false">S77</f>
        <v>0</v>
      </c>
      <c r="T206" s="146" t="n">
        <f aca="false">T77</f>
        <v>0</v>
      </c>
      <c r="U206" s="146" t="n">
        <f aca="false">U77</f>
        <v>0</v>
      </c>
      <c r="V206" s="146" t="n">
        <f aca="false">V77</f>
        <v>0</v>
      </c>
      <c r="W206" s="146" t="n">
        <f aca="false">W77</f>
        <v>0</v>
      </c>
      <c r="X206" s="146" t="n">
        <f aca="false">X77</f>
        <v>0</v>
      </c>
      <c r="Y206" s="146" t="n">
        <f aca="false">Y77</f>
        <v>0</v>
      </c>
      <c r="Z206" s="146" t="n">
        <f aca="false">Z77</f>
        <v>0</v>
      </c>
      <c r="AA206" s="146" t="n">
        <f aca="false">AA77</f>
        <v>0</v>
      </c>
      <c r="AB206" s="146" t="n">
        <f aca="false">AB77</f>
        <v>0</v>
      </c>
      <c r="AC206" s="146" t="n">
        <f aca="false">AC77</f>
        <v>0</v>
      </c>
      <c r="AD206" s="146" t="n">
        <f aca="false">AD77</f>
        <v>0</v>
      </c>
      <c r="AE206" s="146" t="n">
        <f aca="false">AE77</f>
        <v>0</v>
      </c>
      <c r="AF206" s="146" t="n">
        <f aca="false">AF77</f>
        <v>0</v>
      </c>
      <c r="AG206" s="146" t="n">
        <f aca="false">AG77</f>
        <v>0</v>
      </c>
      <c r="AH206" s="146" t="n">
        <f aca="false">AH77</f>
        <v>0</v>
      </c>
      <c r="AI206" s="146" t="n">
        <f aca="false">AI77</f>
        <v>0</v>
      </c>
      <c r="AJ206" s="146" t="n">
        <f aca="false">AJ77</f>
        <v>0</v>
      </c>
      <c r="AK206" s="146" t="n">
        <f aca="false">AK77</f>
        <v>0</v>
      </c>
      <c r="AL206" s="146" t="n">
        <f aca="false">AL77</f>
        <v>0</v>
      </c>
      <c r="AM206" s="146" t="n">
        <f aca="false">AM77</f>
        <v>0</v>
      </c>
      <c r="AN206" s="146" t="n">
        <f aca="false">AN77</f>
        <v>0</v>
      </c>
      <c r="AO206" s="146" t="n">
        <f aca="false">AO77</f>
        <v>0</v>
      </c>
      <c r="AP206" s="146" t="n">
        <f aca="false">AP77</f>
        <v>0</v>
      </c>
      <c r="AQ206" s="146" t="n">
        <f aca="false">AQ77</f>
        <v>0</v>
      </c>
    </row>
    <row r="207" customFormat="false" ht="15" hidden="false" customHeight="false" outlineLevel="0" collapsed="false">
      <c r="C207" s="0" t="s">
        <v>1290</v>
      </c>
      <c r="D207" s="0" t="s">
        <v>125</v>
      </c>
      <c r="E207" s="146"/>
      <c r="F207" s="146"/>
      <c r="G207" s="146" t="n">
        <f aca="false">SUM(H207:AQ207)</f>
        <v>-2167.09440656277</v>
      </c>
      <c r="H207" s="146" t="n">
        <f aca="false">H117</f>
        <v>-0</v>
      </c>
      <c r="I207" s="146" t="n">
        <f aca="false">I117</f>
        <v>-0</v>
      </c>
      <c r="J207" s="146" t="n">
        <f aca="false">J117</f>
        <v>-0</v>
      </c>
      <c r="K207" s="146" t="n">
        <f aca="false">K117</f>
        <v>-1768.59576327565</v>
      </c>
      <c r="L207" s="146" t="n">
        <f aca="false">L117</f>
        <v>-364.574856651854</v>
      </c>
      <c r="M207" s="146" t="n">
        <f aca="false">M117</f>
        <v>-33.9237866352718</v>
      </c>
      <c r="N207" s="146" t="n">
        <f aca="false">N117</f>
        <v>-0</v>
      </c>
      <c r="O207" s="146" t="n">
        <f aca="false">O117</f>
        <v>-0</v>
      </c>
      <c r="P207" s="146" t="n">
        <f aca="false">P117</f>
        <v>-0</v>
      </c>
      <c r="Q207" s="146" t="n">
        <f aca="false">Q117</f>
        <v>-0</v>
      </c>
      <c r="R207" s="146" t="n">
        <f aca="false">R117</f>
        <v>-0</v>
      </c>
      <c r="S207" s="146" t="n">
        <f aca="false">S117</f>
        <v>-0</v>
      </c>
      <c r="T207" s="146" t="n">
        <f aca="false">T117</f>
        <v>-0</v>
      </c>
      <c r="U207" s="146" t="n">
        <f aca="false">U117</f>
        <v>-0</v>
      </c>
      <c r="V207" s="146" t="n">
        <f aca="false">V117</f>
        <v>-0</v>
      </c>
      <c r="W207" s="146" t="n">
        <f aca="false">W117</f>
        <v>-0</v>
      </c>
      <c r="X207" s="146" t="n">
        <f aca="false">X117</f>
        <v>-0</v>
      </c>
      <c r="Y207" s="146" t="n">
        <f aca="false">Y117</f>
        <v>-0</v>
      </c>
      <c r="Z207" s="146" t="n">
        <f aca="false">Z117</f>
        <v>-0</v>
      </c>
      <c r="AA207" s="146" t="n">
        <f aca="false">AA117</f>
        <v>-0</v>
      </c>
      <c r="AB207" s="146" t="n">
        <f aca="false">AB117</f>
        <v>-0</v>
      </c>
      <c r="AC207" s="146" t="n">
        <f aca="false">AC117</f>
        <v>-0</v>
      </c>
      <c r="AD207" s="146" t="n">
        <f aca="false">AD117</f>
        <v>-0</v>
      </c>
      <c r="AE207" s="146" t="n">
        <f aca="false">AE117</f>
        <v>-0</v>
      </c>
      <c r="AF207" s="146" t="n">
        <f aca="false">AF117</f>
        <v>-0</v>
      </c>
      <c r="AG207" s="146" t="n">
        <f aca="false">AG117</f>
        <v>-0</v>
      </c>
      <c r="AH207" s="146" t="n">
        <f aca="false">AH117</f>
        <v>-0</v>
      </c>
      <c r="AI207" s="146" t="n">
        <f aca="false">AI117</f>
        <v>-0</v>
      </c>
      <c r="AJ207" s="146" t="n">
        <f aca="false">AJ117</f>
        <v>-0</v>
      </c>
      <c r="AK207" s="146" t="n">
        <f aca="false">AK117</f>
        <v>-0</v>
      </c>
      <c r="AL207" s="146" t="n">
        <f aca="false">AL117</f>
        <v>-0</v>
      </c>
      <c r="AM207" s="146" t="n">
        <f aca="false">AM117</f>
        <v>-0</v>
      </c>
      <c r="AN207" s="146" t="n">
        <f aca="false">AN117</f>
        <v>-0</v>
      </c>
      <c r="AO207" s="146" t="n">
        <f aca="false">AO117</f>
        <v>-0</v>
      </c>
      <c r="AP207" s="146" t="n">
        <f aca="false">AP117</f>
        <v>-0</v>
      </c>
      <c r="AQ207" s="146" t="n">
        <f aca="false">AQ117</f>
        <v>-0</v>
      </c>
    </row>
    <row r="208" customFormat="false" ht="15" hidden="false" customHeight="false" outlineLevel="0" collapsed="false">
      <c r="C208" s="0" t="s">
        <v>1362</v>
      </c>
      <c r="D208" s="0" t="s">
        <v>125</v>
      </c>
      <c r="E208" s="146"/>
      <c r="F208" s="146"/>
      <c r="G208" s="146" t="n">
        <f aca="false">SUM(H208:AQ208)</f>
        <v>632066.796466656</v>
      </c>
      <c r="H208" s="146" t="n">
        <f aca="false">H70</f>
        <v>0</v>
      </c>
      <c r="I208" s="146" t="n">
        <f aca="false">I70</f>
        <v>0</v>
      </c>
      <c r="J208" s="146" t="n">
        <f aca="false">J70</f>
        <v>0</v>
      </c>
      <c r="K208" s="146" t="n">
        <f aca="false">K70</f>
        <v>-205.403215633226</v>
      </c>
      <c r="L208" s="146" t="n">
        <f aca="false">L70</f>
        <v>-417.643902439025</v>
      </c>
      <c r="M208" s="146" t="n">
        <f aca="false">M70</f>
        <v>13714.9337026661</v>
      </c>
      <c r="N208" s="146" t="n">
        <f aca="false">N70</f>
        <v>20433.3534313765</v>
      </c>
      <c r="O208" s="146" t="n">
        <f aca="false">O70</f>
        <v>20493.2276776395</v>
      </c>
      <c r="P208" s="146" t="n">
        <f aca="false">P70</f>
        <v>20551.2786676024</v>
      </c>
      <c r="Q208" s="146" t="n">
        <f aca="false">Q70</f>
        <v>20607.440059031</v>
      </c>
      <c r="R208" s="146" t="n">
        <f aca="false">R70</f>
        <v>20661.6437398434</v>
      </c>
      <c r="S208" s="146" t="n">
        <f aca="false">S70</f>
        <v>20713.819783877</v>
      </c>
      <c r="T208" s="146" t="n">
        <f aca="false">T70</f>
        <v>20763.8964055665</v>
      </c>
      <c r="U208" s="146" t="n">
        <f aca="false">U70</f>
        <v>20811.7999135077</v>
      </c>
      <c r="V208" s="146" t="n">
        <f aca="false">V70</f>
        <v>20857.454662877</v>
      </c>
      <c r="W208" s="146" t="n">
        <f aca="false">W70</f>
        <v>20900.7830066815</v>
      </c>
      <c r="X208" s="146" t="n">
        <f aca="false">X70</f>
        <v>20941.7052458091</v>
      </c>
      <c r="Y208" s="146" t="n">
        <f aca="false">Y70</f>
        <v>20980.1395778493</v>
      </c>
      <c r="Z208" s="146" t="n">
        <f aca="false">Z70</f>
        <v>21016.0020446558</v>
      </c>
      <c r="AA208" s="146" t="n">
        <f aca="false">AA70</f>
        <v>21049.2064786182</v>
      </c>
      <c r="AB208" s="146" t="n">
        <f aca="false">AB70</f>
        <v>21079.6644476126</v>
      </c>
      <c r="AC208" s="146" t="n">
        <f aca="false">AC70</f>
        <v>21107.2851985976</v>
      </c>
      <c r="AD208" s="146" t="n">
        <f aca="false">AD70</f>
        <v>21131.9755998237</v>
      </c>
      <c r="AE208" s="146" t="n">
        <f aca="false">AE70</f>
        <v>21153.6400816205</v>
      </c>
      <c r="AF208" s="146" t="n">
        <f aca="false">AF70</f>
        <v>21172.1805757282</v>
      </c>
      <c r="AG208" s="146" t="n">
        <f aca="false">AG70</f>
        <v>21187.4964531364</v>
      </c>
      <c r="AH208" s="146" t="n">
        <f aca="false">AH70</f>
        <v>21199.4844603948</v>
      </c>
      <c r="AI208" s="146" t="n">
        <f aca="false">AI70</f>
        <v>21208.0386543575</v>
      </c>
      <c r="AJ208" s="146" t="n">
        <f aca="false">AJ70</f>
        <v>21213.0503353224</v>
      </c>
      <c r="AK208" s="146" t="n">
        <f aca="false">AK70</f>
        <v>21214.4079785268</v>
      </c>
      <c r="AL208" s="146" t="n">
        <f aca="false">AL70</f>
        <v>21211.9971639586</v>
      </c>
      <c r="AM208" s="146" t="n">
        <f aca="false">AM70</f>
        <v>21205.7005044412</v>
      </c>
      <c r="AN208" s="146" t="n">
        <f aca="false">AN70</f>
        <v>21195.3975719509</v>
      </c>
      <c r="AO208" s="146" t="n">
        <f aca="false">AO70</f>
        <v>21180.9648221222</v>
      </c>
      <c r="AP208" s="146" t="n">
        <f aca="false">AP70</f>
        <v>21162.2755168973</v>
      </c>
      <c r="AQ208" s="146" t="n">
        <f aca="false">AQ70</f>
        <v>10569.599822637</v>
      </c>
    </row>
    <row r="209" customFormat="false" ht="15" hidden="false" customHeight="false" outlineLevel="0" collapsed="false">
      <c r="C209" s="0" t="s">
        <v>1363</v>
      </c>
      <c r="D209" s="0" t="s">
        <v>125</v>
      </c>
      <c r="E209" s="146"/>
      <c r="F209" s="146"/>
      <c r="G209" s="146" t="n">
        <f aca="false">SUM(H209:AQ209)</f>
        <v>-127709.361718582</v>
      </c>
      <c r="H209" s="146" t="n">
        <f aca="false">H119+H120</f>
        <v>-0</v>
      </c>
      <c r="I209" s="146" t="n">
        <f aca="false">I119+I120</f>
        <v>-0</v>
      </c>
      <c r="J209" s="146" t="n">
        <f aca="false">J119+J120</f>
        <v>-0</v>
      </c>
      <c r="K209" s="146" t="n">
        <f aca="false">K119+K120</f>
        <v>-0</v>
      </c>
      <c r="L209" s="146" t="n">
        <f aca="false">L119+L120</f>
        <v>-0</v>
      </c>
      <c r="M209" s="146" t="n">
        <f aca="false">M119+M120</f>
        <v>-2171.72948910804</v>
      </c>
      <c r="N209" s="146" t="n">
        <f aca="false">N119+N120</f>
        <v>-8369.17548196495</v>
      </c>
      <c r="O209" s="146" t="n">
        <f aca="false">O119+O120</f>
        <v>-8369.17548196495</v>
      </c>
      <c r="P209" s="146" t="n">
        <f aca="false">P119+P120</f>
        <v>-8369.17548196495</v>
      </c>
      <c r="Q209" s="146" t="n">
        <f aca="false">Q119+Q120</f>
        <v>-8369.17548196495</v>
      </c>
      <c r="R209" s="146" t="n">
        <f aca="false">R119+R120</f>
        <v>-8369.17548196495</v>
      </c>
      <c r="S209" s="146" t="n">
        <f aca="false">S119+S120</f>
        <v>-8369.17548196495</v>
      </c>
      <c r="T209" s="146" t="n">
        <f aca="false">T119+T120</f>
        <v>-8369.17548196495</v>
      </c>
      <c r="U209" s="146" t="n">
        <f aca="false">U119+U120</f>
        <v>-8369.17548196495</v>
      </c>
      <c r="V209" s="146" t="n">
        <f aca="false">V119+V120</f>
        <v>-8369.17548196495</v>
      </c>
      <c r="W209" s="146" t="n">
        <f aca="false">W119+W120</f>
        <v>-8369.17548196495</v>
      </c>
      <c r="X209" s="146" t="n">
        <f aca="false">X119+X120</f>
        <v>-8369.17548196495</v>
      </c>
      <c r="Y209" s="146" t="n">
        <f aca="false">Y119+Y120</f>
        <v>-8369.17548196495</v>
      </c>
      <c r="Z209" s="146" t="n">
        <f aca="false">Z119+Z120</f>
        <v>-8369.17548196495</v>
      </c>
      <c r="AA209" s="146" t="n">
        <f aca="false">AA119+AA120</f>
        <v>-8369.17548196495</v>
      </c>
      <c r="AB209" s="146" t="n">
        <f aca="false">AB119+AB120</f>
        <v>-8369.17548196491</v>
      </c>
      <c r="AC209" s="146" t="n">
        <f aca="false">AC119+AC120</f>
        <v>-0</v>
      </c>
      <c r="AD209" s="146" t="n">
        <f aca="false">AD119+AD120</f>
        <v>-0</v>
      </c>
      <c r="AE209" s="146" t="n">
        <f aca="false">AE119+AE120</f>
        <v>-0</v>
      </c>
      <c r="AF209" s="146" t="n">
        <f aca="false">AF119+AF120</f>
        <v>-0</v>
      </c>
      <c r="AG209" s="146" t="n">
        <f aca="false">AG119+AG120</f>
        <v>-0</v>
      </c>
      <c r="AH209" s="146" t="n">
        <f aca="false">AH119+AH120</f>
        <v>-0</v>
      </c>
      <c r="AI209" s="146" t="n">
        <f aca="false">AI119+AI120</f>
        <v>-0</v>
      </c>
      <c r="AJ209" s="146" t="n">
        <f aca="false">AJ119+AJ120</f>
        <v>-0</v>
      </c>
      <c r="AK209" s="146" t="n">
        <f aca="false">AK119+AK120</f>
        <v>-0</v>
      </c>
      <c r="AL209" s="146" t="n">
        <f aca="false">AL119+AL120</f>
        <v>-0</v>
      </c>
      <c r="AM209" s="146" t="n">
        <f aca="false">AM119+AM120</f>
        <v>-0</v>
      </c>
      <c r="AN209" s="146" t="n">
        <f aca="false">AN119+AN120</f>
        <v>-0</v>
      </c>
      <c r="AO209" s="146" t="n">
        <f aca="false">AO119+AO120</f>
        <v>-0</v>
      </c>
      <c r="AP209" s="146" t="n">
        <f aca="false">AP119+AP120</f>
        <v>-0</v>
      </c>
      <c r="AQ209" s="146" t="n">
        <f aca="false">AQ119+AQ120</f>
        <v>-0</v>
      </c>
    </row>
    <row r="210" customFormat="false" ht="15" hidden="false" customHeight="false" outlineLevel="0" collapsed="false">
      <c r="C210" s="0" t="s">
        <v>1364</v>
      </c>
      <c r="D210" s="0" t="s">
        <v>125</v>
      </c>
      <c r="E210" s="146"/>
      <c r="F210" s="146"/>
      <c r="G210" s="146" t="n">
        <f aca="false">SUM(H210:AQ210)</f>
        <v>-62552.9874782598</v>
      </c>
      <c r="H210" s="146" t="n">
        <f aca="false">H100</f>
        <v>-0</v>
      </c>
      <c r="I210" s="146" t="n">
        <f aca="false">I100</f>
        <v>-0</v>
      </c>
      <c r="J210" s="146" t="n">
        <f aca="false">J100</f>
        <v>-0</v>
      </c>
      <c r="K210" s="146" t="n">
        <f aca="false">K100</f>
        <v>-0</v>
      </c>
      <c r="L210" s="146" t="n">
        <f aca="false">L100</f>
        <v>-0</v>
      </c>
      <c r="M210" s="146" t="n">
        <f aca="false">M100</f>
        <v>-543.516631225659</v>
      </c>
      <c r="N210" s="146" t="n">
        <f aca="false">N100</f>
        <v>-1033.26209119433</v>
      </c>
      <c r="O210" s="146" t="n">
        <f aca="false">O100</f>
        <v>-1173.94057551744</v>
      </c>
      <c r="P210" s="146" t="n">
        <f aca="false">P100</f>
        <v>-1214.35074147889</v>
      </c>
      <c r="Q210" s="146" t="n">
        <f aca="false">Q100</f>
        <v>-1256.06259353356</v>
      </c>
      <c r="R210" s="146" t="n">
        <f aca="false">R100</f>
        <v>-1299.14517116281</v>
      </c>
      <c r="S210" s="146" t="n">
        <f aca="false">S100</f>
        <v>-1343.67120455061</v>
      </c>
      <c r="T210" s="146" t="n">
        <f aca="false">T100</f>
        <v>-1389.71730592594</v>
      </c>
      <c r="U210" s="146" t="n">
        <f aca="false">U100</f>
        <v>-1437.36417064511</v>
      </c>
      <c r="V210" s="146" t="n">
        <f aca="false">V100</f>
        <v>-1486.6967885049</v>
      </c>
      <c r="W210" s="146" t="n">
        <f aca="false">W100</f>
        <v>-1537.80466580269</v>
      </c>
      <c r="X210" s="146" t="n">
        <f aca="false">X100</f>
        <v>-1590.7820586853</v>
      </c>
      <c r="Y210" s="146" t="n">
        <f aca="false">Y100</f>
        <v>-1645.72821835548</v>
      </c>
      <c r="Z210" s="146" t="n">
        <f aca="false">Z100</f>
        <v>-1702.74764873381</v>
      </c>
      <c r="AA210" s="146" t="n">
        <f aca="false">AA100</f>
        <v>-1761.95037720339</v>
      </c>
      <c r="AB210" s="146" t="n">
        <f aca="false">AB100</f>
        <v>-1823.45223909651</v>
      </c>
      <c r="AC210" s="146" t="n">
        <f aca="false">AC100</f>
        <v>-1887.37517661544</v>
      </c>
      <c r="AD210" s="146" t="n">
        <f aca="false">AD100</f>
        <v>-1891.07873679936</v>
      </c>
      <c r="AE210" s="146" t="n">
        <f aca="false">AE100</f>
        <v>-1894.32840906889</v>
      </c>
      <c r="AF210" s="146" t="n">
        <f aca="false">AF100</f>
        <v>-1897.10948318504</v>
      </c>
      <c r="AG210" s="146" t="n">
        <f aca="false">AG100</f>
        <v>-2538.76566638336</v>
      </c>
      <c r="AH210" s="146" t="n">
        <f aca="false">AH100</f>
        <v>-3179.92266905922</v>
      </c>
      <c r="AI210" s="146" t="n">
        <f aca="false">AI100</f>
        <v>-3181.20579815362</v>
      </c>
      <c r="AJ210" s="146" t="n">
        <f aca="false">AJ100</f>
        <v>-3181.95755029835</v>
      </c>
      <c r="AK210" s="146" t="n">
        <f aca="false">AK100</f>
        <v>-3182.16119677902</v>
      </c>
      <c r="AL210" s="146" t="n">
        <f aca="false">AL100</f>
        <v>-3181.79957459379</v>
      </c>
      <c r="AM210" s="146" t="n">
        <f aca="false">AM100</f>
        <v>-3180.85507566618</v>
      </c>
      <c r="AN210" s="146" t="n">
        <f aca="false">AN100</f>
        <v>-3179.30963579264</v>
      </c>
      <c r="AO210" s="146" t="n">
        <f aca="false">AO100</f>
        <v>-3177.14472331833</v>
      </c>
      <c r="AP210" s="146" t="n">
        <f aca="false">AP100</f>
        <v>-3174.3413275346</v>
      </c>
      <c r="AQ210" s="146" t="n">
        <f aca="false">AQ100</f>
        <v>-1585.43997339554</v>
      </c>
    </row>
    <row r="211" customFormat="false" ht="15" hidden="false" customHeight="false" outlineLevel="0" collapsed="false">
      <c r="C211" s="0" t="s">
        <v>26</v>
      </c>
      <c r="D211" s="0" t="s">
        <v>125</v>
      </c>
      <c r="E211" s="146"/>
      <c r="F211" s="146"/>
      <c r="G211" s="146" t="n">
        <f aca="false">SUM(H211:AQ211)</f>
        <v>-4077</v>
      </c>
      <c r="H211" s="146" t="n">
        <f aca="false">H122</f>
        <v>0</v>
      </c>
      <c r="I211" s="146" t="n">
        <f aca="false">I122</f>
        <v>0</v>
      </c>
      <c r="J211" s="146" t="n">
        <f aca="false">J122</f>
        <v>0</v>
      </c>
      <c r="K211" s="146" t="n">
        <f aca="false">K122</f>
        <v>0</v>
      </c>
      <c r="L211" s="146" t="n">
        <f aca="false">L122</f>
        <v>0</v>
      </c>
      <c r="M211" s="146" t="n">
        <f aca="false">M122</f>
        <v>0</v>
      </c>
      <c r="N211" s="146" t="n">
        <f aca="false">N122</f>
        <v>0</v>
      </c>
      <c r="O211" s="146" t="n">
        <f aca="false">O122</f>
        <v>0</v>
      </c>
      <c r="P211" s="146" t="n">
        <f aca="false">P122</f>
        <v>0</v>
      </c>
      <c r="Q211" s="146" t="n">
        <f aca="false">Q122</f>
        <v>0</v>
      </c>
      <c r="R211" s="146" t="n">
        <f aca="false">R122</f>
        <v>0</v>
      </c>
      <c r="S211" s="146" t="n">
        <f aca="false">S122</f>
        <v>0</v>
      </c>
      <c r="T211" s="146" t="n">
        <f aca="false">T122</f>
        <v>0</v>
      </c>
      <c r="U211" s="146" t="n">
        <f aca="false">U122</f>
        <v>0</v>
      </c>
      <c r="V211" s="146" t="n">
        <f aca="false">V122</f>
        <v>0</v>
      </c>
      <c r="W211" s="146" t="n">
        <f aca="false">W122</f>
        <v>0</v>
      </c>
      <c r="X211" s="146" t="n">
        <f aca="false">X122</f>
        <v>0</v>
      </c>
      <c r="Y211" s="146" t="n">
        <f aca="false">Y122</f>
        <v>0</v>
      </c>
      <c r="Z211" s="146" t="n">
        <f aca="false">Z122</f>
        <v>0</v>
      </c>
      <c r="AA211" s="146" t="n">
        <f aca="false">AA122</f>
        <v>0</v>
      </c>
      <c r="AB211" s="146" t="n">
        <f aca="false">AB122</f>
        <v>0</v>
      </c>
      <c r="AC211" s="146" t="n">
        <f aca="false">AC122</f>
        <v>0</v>
      </c>
      <c r="AD211" s="146" t="n">
        <f aca="false">AD122</f>
        <v>0</v>
      </c>
      <c r="AE211" s="146" t="n">
        <f aca="false">AE122</f>
        <v>0</v>
      </c>
      <c r="AF211" s="146" t="n">
        <f aca="false">AF122</f>
        <v>0</v>
      </c>
      <c r="AG211" s="146" t="n">
        <f aca="false">AG122</f>
        <v>0</v>
      </c>
      <c r="AH211" s="146" t="n">
        <f aca="false">AH122</f>
        <v>0</v>
      </c>
      <c r="AI211" s="146" t="n">
        <f aca="false">AI122</f>
        <v>0</v>
      </c>
      <c r="AJ211" s="146" t="n">
        <f aca="false">AJ122</f>
        <v>0</v>
      </c>
      <c r="AK211" s="146" t="n">
        <f aca="false">AK122</f>
        <v>0</v>
      </c>
      <c r="AL211" s="146" t="n">
        <f aca="false">AL122</f>
        <v>0</v>
      </c>
      <c r="AM211" s="146" t="n">
        <f aca="false">AM122</f>
        <v>0</v>
      </c>
      <c r="AN211" s="146" t="n">
        <f aca="false">AN122</f>
        <v>0</v>
      </c>
      <c r="AO211" s="146" t="n">
        <f aca="false">AO122</f>
        <v>0</v>
      </c>
      <c r="AP211" s="146" t="n">
        <f aca="false">AP122</f>
        <v>0</v>
      </c>
      <c r="AQ211" s="146" t="n">
        <f aca="false">AQ122</f>
        <v>-4077</v>
      </c>
    </row>
    <row r="212" customFormat="false" ht="15" hidden="false" customHeight="false" outlineLevel="0" collapsed="false">
      <c r="C212" s="205" t="s">
        <v>1365</v>
      </c>
      <c r="D212" s="205" t="s">
        <v>125</v>
      </c>
      <c r="E212" s="277"/>
      <c r="F212" s="277"/>
      <c r="G212" s="277" t="n">
        <f aca="false">SUM(H212:AQ212)</f>
        <v>331721.162139482</v>
      </c>
      <c r="H212" s="277" t="n">
        <f aca="false">SUM(H202:H211)</f>
        <v>0</v>
      </c>
      <c r="I212" s="277" t="n">
        <f aca="false">SUM(I202:I211)</f>
        <v>0</v>
      </c>
      <c r="J212" s="277" t="n">
        <f aca="false">SUM(J202:J211)</f>
        <v>0</v>
      </c>
      <c r="K212" s="277" t="n">
        <f aca="false">SUM(K202:K211)</f>
        <v>-57499.2334479246</v>
      </c>
      <c r="L212" s="277" t="n">
        <f aca="false">SUM(L202:L211)</f>
        <v>-29737.5191858032</v>
      </c>
      <c r="M212" s="277" t="n">
        <f aca="false">SUM(M202:M211)</f>
        <v>-8392.89203234381</v>
      </c>
      <c r="N212" s="277" t="n">
        <f aca="false">SUM(N202:N211)</f>
        <v>11030.9158582172</v>
      </c>
      <c r="O212" s="277" t="n">
        <f aca="false">SUM(O202:O211)</f>
        <v>10950.1116201571</v>
      </c>
      <c r="P212" s="277" t="n">
        <f aca="false">SUM(P202:P211)</f>
        <v>10967.7524441585</v>
      </c>
      <c r="Q212" s="277" t="n">
        <f aca="false">SUM(Q202:Q211)</f>
        <v>10982.2019835325</v>
      </c>
      <c r="R212" s="277" t="n">
        <f aca="false">SUM(R202:R211)</f>
        <v>10993.3230867156</v>
      </c>
      <c r="S212" s="277" t="n">
        <f aca="false">SUM(S202:S211)</f>
        <v>11000.9730973614</v>
      </c>
      <c r="T212" s="277" t="n">
        <f aca="false">SUM(T202:T211)</f>
        <v>11005.0036176756</v>
      </c>
      <c r="U212" s="277" t="n">
        <f aca="false">SUM(U202:U211)</f>
        <v>11005.2602608976</v>
      </c>
      <c r="V212" s="277" t="n">
        <f aca="false">SUM(V202:V211)</f>
        <v>11001.5823924071</v>
      </c>
      <c r="W212" s="277" t="n">
        <f aca="false">SUM(W202:W211)</f>
        <v>10993.8028589139</v>
      </c>
      <c r="X212" s="277" t="n">
        <f aca="false">SUM(X202:X211)</f>
        <v>10981.7477051588</v>
      </c>
      <c r="Y212" s="277" t="n">
        <f aca="false">SUM(Y202:Y211)</f>
        <v>10965.2358775289</v>
      </c>
      <c r="Z212" s="277" t="n">
        <f aca="false">SUM(Z202:Z211)</f>
        <v>10944.0789139571</v>
      </c>
      <c r="AA212" s="277" t="n">
        <f aca="false">SUM(AA202:AA211)</f>
        <v>10918.0806194499</v>
      </c>
      <c r="AB212" s="277" t="n">
        <f aca="false">SUM(AB202:AB211)</f>
        <v>10887.0367265511</v>
      </c>
      <c r="AC212" s="277" t="n">
        <f aca="false">SUM(AC202:AC211)</f>
        <v>19219.9100219821</v>
      </c>
      <c r="AD212" s="277" t="n">
        <f aca="false">SUM(AD202:AD211)</f>
        <v>19240.8968630243</v>
      </c>
      <c r="AE212" s="277" t="n">
        <f aca="false">SUM(AE202:AE211)</f>
        <v>19259.3116725516</v>
      </c>
      <c r="AF212" s="277" t="n">
        <f aca="false">SUM(AF202:AF211)</f>
        <v>19275.0710925432</v>
      </c>
      <c r="AG212" s="277" t="n">
        <f aca="false">SUM(AG202:AG211)</f>
        <v>18648.730786753</v>
      </c>
      <c r="AH212" s="277" t="n">
        <f aca="false">SUM(AH202:AH211)</f>
        <v>18019.5617913356</v>
      </c>
      <c r="AI212" s="277" t="n">
        <f aca="false">SUM(AI202:AI211)</f>
        <v>18026.8328562038</v>
      </c>
      <c r="AJ212" s="277" t="n">
        <f aca="false">SUM(AJ202:AJ211)</f>
        <v>18031.092785024</v>
      </c>
      <c r="AK212" s="277" t="n">
        <f aca="false">SUM(AK202:AK211)</f>
        <v>18032.2467817478</v>
      </c>
      <c r="AL212" s="277" t="n">
        <f aca="false">SUM(AL202:AL211)</f>
        <v>18030.1975893648</v>
      </c>
      <c r="AM212" s="277" t="n">
        <f aca="false">SUM(AM202:AM211)</f>
        <v>18024.845428775</v>
      </c>
      <c r="AN212" s="277" t="n">
        <f aca="false">SUM(AN202:AN211)</f>
        <v>18016.0879361583</v>
      </c>
      <c r="AO212" s="277" t="n">
        <f aca="false">SUM(AO202:AO211)</f>
        <v>18003.8200988039</v>
      </c>
      <c r="AP212" s="277" t="n">
        <f aca="false">SUM(AP202:AP211)</f>
        <v>17987.9341893627</v>
      </c>
      <c r="AQ212" s="277" t="n">
        <f aca="false">SUM(AQ202:AQ211)</f>
        <v>4907.15984924141</v>
      </c>
    </row>
    <row r="213" customFormat="false" ht="15" hidden="false" customHeight="false" outlineLevel="0" collapsed="false">
      <c r="C213" s="205" t="s">
        <v>1366</v>
      </c>
      <c r="D213" s="205" t="s">
        <v>125</v>
      </c>
      <c r="E213" s="277"/>
      <c r="F213" s="277"/>
      <c r="G213" s="277" t="n">
        <f aca="false">SUM(H213:AQ213)</f>
        <v>372427.857122086</v>
      </c>
      <c r="H213" s="277" t="n">
        <f aca="false">H202+H203+H204+H205+H208+H101+H211</f>
        <v>0</v>
      </c>
      <c r="I213" s="277" t="n">
        <f aca="false">I202+I203+I204+I205+I208+I101+I211</f>
        <v>0</v>
      </c>
      <c r="J213" s="277" t="n">
        <f aca="false">J202+J203+J204+J205+J208+J101+J211</f>
        <v>0</v>
      </c>
      <c r="K213" s="277" t="n">
        <f aca="false">K202+K203+K204+K205+K208+K101+K211</f>
        <v>-76498.3456887173</v>
      </c>
      <c r="L213" s="277" t="n">
        <f aca="false">L202+L203+L204+L205+L208+L101+L211</f>
        <v>-70569.756402439</v>
      </c>
      <c r="M213" s="277" t="n">
        <f aca="false">M202+M203+M204+M205+M208+M101+M211</f>
        <v>-27490.707448407</v>
      </c>
      <c r="N213" s="277" t="n">
        <f aca="false">N202+N203+N204+N205+N208+N101+N211</f>
        <v>18647.0680198442</v>
      </c>
      <c r="O213" s="277" t="n">
        <f aca="false">O202+O203+O204+O205+O208+O101+O211</f>
        <v>18697.9611291677</v>
      </c>
      <c r="P213" s="277" t="n">
        <f aca="false">P202+P203+P204+P205+P208+P101+P211</f>
        <v>18747.3044706362</v>
      </c>
      <c r="Q213" s="277" t="n">
        <f aca="false">Q202+Q203+Q204+Q205+Q208+Q101+Q211</f>
        <v>18795.0416533505</v>
      </c>
      <c r="R213" s="277" t="n">
        <f aca="false">R202+R203+R204+R205+R208+R101+R211</f>
        <v>18841.1147820411</v>
      </c>
      <c r="S213" s="277" t="n">
        <f aca="false">S202+S203+S204+S205+S208+S101+S211</f>
        <v>18885.4644194696</v>
      </c>
      <c r="T213" s="277" t="n">
        <f aca="false">T202+T203+T204+T205+T208+T101+T211</f>
        <v>18928.0295479057</v>
      </c>
      <c r="U213" s="277" t="n">
        <f aca="false">U202+U203+U204+U205+U208+U101+U211</f>
        <v>18968.7475296557</v>
      </c>
      <c r="V213" s="277" t="n">
        <f aca="false">V202+V203+V204+V205+V208+V101+V211</f>
        <v>19007.5540666196</v>
      </c>
      <c r="W213" s="277" t="n">
        <f aca="false">W202+W203+W204+W205+W208+W101+W211</f>
        <v>19044.3831588535</v>
      </c>
      <c r="X213" s="277" t="n">
        <f aca="false">X202+X203+X204+X205+X208+X101+X211</f>
        <v>19079.1670621119</v>
      </c>
      <c r="Y213" s="277" t="n">
        <f aca="false">Y202+Y203+Y204+Y205+Y208+Y101+Y211</f>
        <v>19111.8362443461</v>
      </c>
      <c r="Z213" s="277" t="n">
        <f aca="false">Z202+Z203+Z204+Z205+Z208+Z101+Z211</f>
        <v>19142.3193411317</v>
      </c>
      <c r="AA213" s="277" t="n">
        <f aca="false">AA202+AA203+AA204+AA205+AA208+AA101+AA211</f>
        <v>19170.5431099997</v>
      </c>
      <c r="AB213" s="277" t="n">
        <f aca="false">AB202+AB203+AB204+AB205+AB208+AB101+AB211</f>
        <v>19196.4323836449</v>
      </c>
      <c r="AC213" s="277" t="n">
        <f aca="false">AC202+AC203+AC204+AC205+AC208+AC101+AC211</f>
        <v>19219.9100219821</v>
      </c>
      <c r="AD213" s="277" t="n">
        <f aca="false">AD202+AD203+AD204+AD205+AD208+AD101+AD211</f>
        <v>19240.8968630243</v>
      </c>
      <c r="AE213" s="277" t="n">
        <f aca="false">AE202+AE203+AE204+AE205+AE208+AE101+AE211</f>
        <v>19259.3116725516</v>
      </c>
      <c r="AF213" s="277" t="n">
        <f aca="false">AF202+AF203+AF204+AF205+AF208+AF101+AF211</f>
        <v>19275.0710925432</v>
      </c>
      <c r="AG213" s="277" t="n">
        <f aca="false">AG202+AG203+AG204+AG205+AG208+AG101+AG211</f>
        <v>18648.730786753</v>
      </c>
      <c r="AH213" s="277" t="n">
        <f aca="false">AH202+AH203+AH204+AH205+AH208+AH101+AH211</f>
        <v>18019.5617913356</v>
      </c>
      <c r="AI213" s="277" t="n">
        <f aca="false">AI202+AI203+AI204+AI205+AI208+AI101+AI211</f>
        <v>18026.8328562038</v>
      </c>
      <c r="AJ213" s="277" t="n">
        <f aca="false">AJ202+AJ203+AJ204+AJ205+AJ208+AJ101+AJ211</f>
        <v>18031.092785024</v>
      </c>
      <c r="AK213" s="277" t="n">
        <f aca="false">AK202+AK203+AK204+AK205+AK208+AK101+AK211</f>
        <v>18032.2467817478</v>
      </c>
      <c r="AL213" s="277" t="n">
        <f aca="false">AL202+AL203+AL204+AL205+AL208+AL101+AL211</f>
        <v>18030.1975893648</v>
      </c>
      <c r="AM213" s="277" t="n">
        <f aca="false">AM202+AM203+AM204+AM205+AM208+AM101+AM211</f>
        <v>18024.845428775</v>
      </c>
      <c r="AN213" s="277" t="n">
        <f aca="false">AN202+AN203+AN204+AN205+AN208+AN101+AN211</f>
        <v>18016.0879361583</v>
      </c>
      <c r="AO213" s="277" t="n">
        <f aca="false">AO202+AO203+AO204+AO205+AO208+AO101+AO211</f>
        <v>18003.8200988039</v>
      </c>
      <c r="AP213" s="277" t="n">
        <f aca="false">AP202+AP203+AP204+AP205+AP208+AP101+AP211</f>
        <v>17987.9341893627</v>
      </c>
      <c r="AQ213" s="277" t="n">
        <f aca="false">AQ202+AQ203+AQ204+AQ205+AQ208+AQ101+AQ211</f>
        <v>4907.15984924141</v>
      </c>
    </row>
    <row r="215" customFormat="false" ht="15" hidden="false" customHeight="false" outlineLevel="0" collapsed="false">
      <c r="C215" s="0" t="s">
        <v>1367</v>
      </c>
      <c r="D215" s="0" t="s">
        <v>51</v>
      </c>
      <c r="G215" s="267" t="n">
        <f aca="false">IFERROR(IRR(H213:AQ213),"n/a")</f>
        <v>0.0884750482607149</v>
      </c>
    </row>
    <row r="216" customFormat="false" ht="15" hidden="false" customHeight="false" outlineLevel="0" collapsed="false">
      <c r="C216" s="0" t="s">
        <v>1368</v>
      </c>
      <c r="D216" s="0" t="s">
        <v>51</v>
      </c>
      <c r="G216" s="267" t="n">
        <f aca="false">IFERROR(IRR(H212:AQ212),"n/a")</f>
        <v>0.10485942586378</v>
      </c>
    </row>
    <row r="217" customFormat="false" ht="15" hidden="false" customHeight="false" outlineLevel="0" collapsed="false">
      <c r="C217" s="0" t="s">
        <v>1369</v>
      </c>
      <c r="D217" s="0" t="s">
        <v>125</v>
      </c>
      <c r="G217" s="282" t="n">
        <f aca="false">SUMPRODUCT(H212:AQ212,H13:AQ13)/INDEX($H$13:$AQ$13,MATCH(YEAR(Inputs!$E$58),$H$5:$AQ$5,0))</f>
        <v>30141.1963552963</v>
      </c>
    </row>
    <row r="218" customFormat="false" ht="15" hidden="false" customHeight="false" outlineLevel="0" collapsed="false">
      <c r="C218" s="0" t="s">
        <v>1370</v>
      </c>
      <c r="D218" s="0" t="s">
        <v>7</v>
      </c>
      <c r="G218" s="266" t="n">
        <f aca="false" t="array" ref="G218:G218">IFERROR(SUMPRODUCT(H212:AQ212/(1+Inputs!$E$255)^H4:AQ4)/-SUMPRODUCT((H212:AQ212&lt;0)*H212:AQ212/(1+Inputs!$E$255)^H4:AQ4),"n/a")</f>
        <v>0.326806368816301</v>
      </c>
    </row>
    <row r="219" customFormat="false" ht="15" hidden="false" customHeight="false" outlineLevel="0" collapsed="false">
      <c r="C219" s="0" t="s">
        <v>1371</v>
      </c>
      <c r="D219" s="0" t="s">
        <v>125</v>
      </c>
      <c r="G219" s="282" t="n">
        <f aca="false">SUMPRODUCT(H213:AQ213,H12:AQ12)/INDEX($H$12:$AQ$12,MATCH(YEAR(Inputs!$E$58),$H$5:$AQ$5,0))</f>
        <v>15031.6690269903</v>
      </c>
    </row>
    <row r="220" customFormat="false" ht="15" hidden="false" customHeight="false" outlineLevel="0" collapsed="false">
      <c r="C220" s="0" t="s">
        <v>1372</v>
      </c>
      <c r="D220" s="0" t="s">
        <v>2</v>
      </c>
      <c r="G220" s="285" t="n">
        <f aca="false">Inputs!$E$141</f>
        <v>200</v>
      </c>
    </row>
    <row r="221" customFormat="false" ht="15" hidden="false" customHeight="false" outlineLevel="0" collapsed="false">
      <c r="C221" s="0" t="s">
        <v>1373</v>
      </c>
      <c r="D221" s="0" t="s">
        <v>2</v>
      </c>
      <c r="G221" s="285" t="n">
        <f aca="false">G220+G219/Dash_MVA</f>
        <v>350.316690269903</v>
      </c>
    </row>
    <row r="222" customFormat="false" ht="15" hidden="false" customHeight="false" outlineLevel="0" collapsed="false">
      <c r="C222" s="0" t="s">
        <v>1374</v>
      </c>
      <c r="D222" s="0" t="s">
        <v>2</v>
      </c>
      <c r="G222" s="285" t="n">
        <f aca="false">G220+G217/Dash_MVA</f>
        <v>501.411963552963</v>
      </c>
    </row>
    <row r="223" customFormat="false" ht="15" hidden="false" customHeight="false" outlineLevel="0" collapsed="false">
      <c r="C223" s="0" t="s">
        <v>1375</v>
      </c>
      <c r="D223" s="0" t="s">
        <v>11</v>
      </c>
      <c r="G223" s="285" t="n">
        <f aca="false">E202/Inputs!$E$18</f>
        <v>271.050264042015</v>
      </c>
    </row>
    <row r="225" customFormat="false" ht="15" hidden="false" customHeight="false" outlineLevel="0" collapsed="false">
      <c r="C225" s="205" t="s">
        <v>1376</v>
      </c>
    </row>
    <row r="226" customFormat="false" ht="15" hidden="false" customHeight="false" outlineLevel="0" collapsed="false">
      <c r="C226" s="253" t="s">
        <v>1333</v>
      </c>
      <c r="D226" s="253" t="s">
        <v>1377</v>
      </c>
      <c r="E226" s="253" t="s">
        <v>1378</v>
      </c>
      <c r="F226" s="253" t="s">
        <v>1379</v>
      </c>
      <c r="G226" s="253" t="s">
        <v>1380</v>
      </c>
      <c r="H226" s="257"/>
      <c r="I226" s="257"/>
      <c r="J226" s="257"/>
      <c r="K226" s="257"/>
      <c r="L226" s="257"/>
      <c r="M226" s="257"/>
      <c r="N226" s="257"/>
      <c r="O226" s="257"/>
      <c r="P226" s="257"/>
      <c r="Q226" s="257"/>
      <c r="R226" s="257"/>
      <c r="S226" s="257"/>
      <c r="T226" s="257"/>
      <c r="U226" s="257"/>
      <c r="V226" s="257"/>
      <c r="W226" s="257"/>
      <c r="X226" s="257"/>
      <c r="Y226" s="257"/>
      <c r="Z226" s="257"/>
      <c r="AA226" s="257"/>
      <c r="AB226" s="257"/>
      <c r="AC226" s="257"/>
      <c r="AD226" s="257"/>
      <c r="AE226" s="257"/>
      <c r="AF226" s="257"/>
      <c r="AG226" s="257"/>
      <c r="AH226" s="257"/>
      <c r="AI226" s="257"/>
      <c r="AJ226" s="257"/>
      <c r="AK226" s="257"/>
      <c r="AL226" s="257"/>
      <c r="AM226" s="257"/>
      <c r="AN226" s="257"/>
      <c r="AO226" s="257"/>
      <c r="AP226" s="257"/>
      <c r="AQ226" s="257"/>
    </row>
    <row r="227" customFormat="false" ht="15" hidden="false" customHeight="false" outlineLevel="0" collapsed="false">
      <c r="C227" s="0" t="s">
        <v>1381</v>
      </c>
      <c r="D227" s="291" t="n">
        <f aca="false">Dashboard!$E$155</f>
        <v>50</v>
      </c>
      <c r="E227" s="138" t="n">
        <f aca="false">D227*Dash_MVA+MOIC!$G$144</f>
        <v>25928.5898703443</v>
      </c>
      <c r="F227" s="141" t="n">
        <f aca="false">IFERROR(IRR(H227:AQ227),"n/a")</f>
        <v>0.0983152007864325</v>
      </c>
      <c r="G227" s="146" t="n">
        <f aca="false">SUMPRODUCT(H227:AQ227,$H$12:$AQ$12)/INDEX($H$12:$AQ$12,MATCH(YEAR(Inputs!$E$58),$H$5:$AQ$5,0))</f>
        <v>30031.6690269903</v>
      </c>
      <c r="H227" s="146" t="n">
        <f aca="false">H$213+(H$5=YEAR(Inputs!$E$58))*($E$202-$E227)</f>
        <v>0</v>
      </c>
      <c r="I227" s="146" t="n">
        <f aca="false">I$213+(I$5=YEAR(Inputs!$E$58))*($E$202-$E227)</f>
        <v>0</v>
      </c>
      <c r="J227" s="146" t="n">
        <f aca="false">J$213+(J$5=YEAR(Inputs!$E$58))*($E$202-$E227)</f>
        <v>0</v>
      </c>
      <c r="K227" s="146" t="n">
        <f aca="false">K$213+(K$5=YEAR(Inputs!$E$58))*($E$202-$E227)</f>
        <v>-61498.3456887173</v>
      </c>
      <c r="L227" s="146" t="n">
        <f aca="false">L$213+(L$5=YEAR(Inputs!$E$58))*($E$202-$E227)</f>
        <v>-70569.756402439</v>
      </c>
      <c r="M227" s="146" t="n">
        <f aca="false">M$213+(M$5=YEAR(Inputs!$E$58))*($E$202-$E227)</f>
        <v>-27490.707448407</v>
      </c>
      <c r="N227" s="146" t="n">
        <f aca="false">N$213+(N$5=YEAR(Inputs!$E$58))*($E$202-$E227)</f>
        <v>18647.0680198442</v>
      </c>
      <c r="O227" s="146" t="n">
        <f aca="false">O$213+(O$5=YEAR(Inputs!$E$58))*($E$202-$E227)</f>
        <v>18697.9611291677</v>
      </c>
      <c r="P227" s="146" t="n">
        <f aca="false">P$213+(P$5=YEAR(Inputs!$E$58))*($E$202-$E227)</f>
        <v>18747.3044706362</v>
      </c>
      <c r="Q227" s="146" t="n">
        <f aca="false">Q$213+(Q$5=YEAR(Inputs!$E$58))*($E$202-$E227)</f>
        <v>18795.0416533505</v>
      </c>
      <c r="R227" s="146" t="n">
        <f aca="false">R$213+(R$5=YEAR(Inputs!$E$58))*($E$202-$E227)</f>
        <v>18841.1147820411</v>
      </c>
      <c r="S227" s="146" t="n">
        <f aca="false">S$213+(S$5=YEAR(Inputs!$E$58))*($E$202-$E227)</f>
        <v>18885.4644194696</v>
      </c>
      <c r="T227" s="146" t="n">
        <f aca="false">T$213+(T$5=YEAR(Inputs!$E$58))*($E$202-$E227)</f>
        <v>18928.0295479057</v>
      </c>
      <c r="U227" s="146" t="n">
        <f aca="false">U$213+(U$5=YEAR(Inputs!$E$58))*($E$202-$E227)</f>
        <v>18968.7475296557</v>
      </c>
      <c r="V227" s="146" t="n">
        <f aca="false">V$213+(V$5=YEAR(Inputs!$E$58))*($E$202-$E227)</f>
        <v>19007.5540666196</v>
      </c>
      <c r="W227" s="146" t="n">
        <f aca="false">W$213+(W$5=YEAR(Inputs!$E$58))*($E$202-$E227)</f>
        <v>19044.3831588535</v>
      </c>
      <c r="X227" s="146" t="n">
        <f aca="false">X$213+(X$5=YEAR(Inputs!$E$58))*($E$202-$E227)</f>
        <v>19079.1670621119</v>
      </c>
      <c r="Y227" s="146" t="n">
        <f aca="false">Y$213+(Y$5=YEAR(Inputs!$E$58))*($E$202-$E227)</f>
        <v>19111.8362443461</v>
      </c>
      <c r="Z227" s="146" t="n">
        <f aca="false">Z$213+(Z$5=YEAR(Inputs!$E$58))*($E$202-$E227)</f>
        <v>19142.3193411317</v>
      </c>
      <c r="AA227" s="146" t="n">
        <f aca="false">AA$213+(AA$5=YEAR(Inputs!$E$58))*($E$202-$E227)</f>
        <v>19170.5431099997</v>
      </c>
      <c r="AB227" s="146" t="n">
        <f aca="false">AB$213+(AB$5=YEAR(Inputs!$E$58))*($E$202-$E227)</f>
        <v>19196.4323836449</v>
      </c>
      <c r="AC227" s="146" t="n">
        <f aca="false">AC$213+(AC$5=YEAR(Inputs!$E$58))*($E$202-$E227)</f>
        <v>19219.9100219821</v>
      </c>
      <c r="AD227" s="146" t="n">
        <f aca="false">AD$213+(AD$5=YEAR(Inputs!$E$58))*($E$202-$E227)</f>
        <v>19240.8968630243</v>
      </c>
      <c r="AE227" s="146" t="n">
        <f aca="false">AE$213+(AE$5=YEAR(Inputs!$E$58))*($E$202-$E227)</f>
        <v>19259.3116725516</v>
      </c>
      <c r="AF227" s="146" t="n">
        <f aca="false">AF$213+(AF$5=YEAR(Inputs!$E$58))*($E$202-$E227)</f>
        <v>19275.0710925432</v>
      </c>
      <c r="AG227" s="146" t="n">
        <f aca="false">AG$213+(AG$5=YEAR(Inputs!$E$58))*($E$202-$E227)</f>
        <v>18648.730786753</v>
      </c>
      <c r="AH227" s="146" t="n">
        <f aca="false">AH$213+(AH$5=YEAR(Inputs!$E$58))*($E$202-$E227)</f>
        <v>18019.5617913356</v>
      </c>
      <c r="AI227" s="146" t="n">
        <f aca="false">AI$213+(AI$5=YEAR(Inputs!$E$58))*($E$202-$E227)</f>
        <v>18026.8328562038</v>
      </c>
      <c r="AJ227" s="146" t="n">
        <f aca="false">AJ$213+(AJ$5=YEAR(Inputs!$E$58))*($E$202-$E227)</f>
        <v>18031.092785024</v>
      </c>
      <c r="AK227" s="146" t="n">
        <f aca="false">AK$213+(AK$5=YEAR(Inputs!$E$58))*($E$202-$E227)</f>
        <v>18032.2467817478</v>
      </c>
      <c r="AL227" s="146" t="n">
        <f aca="false">AL$213+(AL$5=YEAR(Inputs!$E$58))*($E$202-$E227)</f>
        <v>18030.1975893648</v>
      </c>
      <c r="AM227" s="146" t="n">
        <f aca="false">AM$213+(AM$5=YEAR(Inputs!$E$58))*($E$202-$E227)</f>
        <v>18024.845428775</v>
      </c>
      <c r="AN227" s="146" t="n">
        <f aca="false">AN$213+(AN$5=YEAR(Inputs!$E$58))*($E$202-$E227)</f>
        <v>18016.0879361583</v>
      </c>
      <c r="AO227" s="146" t="n">
        <f aca="false">AO$213+(AO$5=YEAR(Inputs!$E$58))*($E$202-$E227)</f>
        <v>18003.8200988039</v>
      </c>
      <c r="AP227" s="146" t="n">
        <f aca="false">AP$213+(AP$5=YEAR(Inputs!$E$58))*($E$202-$E227)</f>
        <v>17987.9341893627</v>
      </c>
      <c r="AQ227" s="146" t="n">
        <f aca="false">AQ$213+(AQ$5=YEAR(Inputs!$E$58))*($E$202-$E227)</f>
        <v>4907.15984924141</v>
      </c>
    </row>
    <row r="228" customFormat="false" ht="15" hidden="false" customHeight="false" outlineLevel="0" collapsed="false">
      <c r="C228" s="0" t="s">
        <v>1382</v>
      </c>
      <c r="D228" s="291" t="n">
        <f aca="false">Dashboard!$F$155</f>
        <v>75</v>
      </c>
      <c r="E228" s="138" t="n">
        <f aca="false">D228*Dash_MVA+MOIC!$G$144</f>
        <v>28428.5898703443</v>
      </c>
      <c r="F228" s="141" t="n">
        <f aca="false">IFERROR(IRR(H228:AQ228),"n/a")</f>
        <v>0.0965619469814401</v>
      </c>
      <c r="G228" s="146" t="n">
        <f aca="false">SUMPRODUCT(H228:AQ228,$H$12:$AQ$12)/INDEX($H$12:$AQ$12,MATCH(YEAR(Inputs!$E$58),$H$5:$AQ$5,0))</f>
        <v>27531.6690269903</v>
      </c>
      <c r="H228" s="146" t="n">
        <f aca="false">H$213+(H$5=YEAR(Inputs!$E$58))*($E$202-$E228)</f>
        <v>0</v>
      </c>
      <c r="I228" s="146" t="n">
        <f aca="false">I$213+(I$5=YEAR(Inputs!$E$58))*($E$202-$E228)</f>
        <v>0</v>
      </c>
      <c r="J228" s="146" t="n">
        <f aca="false">J$213+(J$5=YEAR(Inputs!$E$58))*($E$202-$E228)</f>
        <v>0</v>
      </c>
      <c r="K228" s="146" t="n">
        <f aca="false">K$213+(K$5=YEAR(Inputs!$E$58))*($E$202-$E228)</f>
        <v>-63998.3456887173</v>
      </c>
      <c r="L228" s="146" t="n">
        <f aca="false">L$213+(L$5=YEAR(Inputs!$E$58))*($E$202-$E228)</f>
        <v>-70569.756402439</v>
      </c>
      <c r="M228" s="146" t="n">
        <f aca="false">M$213+(M$5=YEAR(Inputs!$E$58))*($E$202-$E228)</f>
        <v>-27490.707448407</v>
      </c>
      <c r="N228" s="146" t="n">
        <f aca="false">N$213+(N$5=YEAR(Inputs!$E$58))*($E$202-$E228)</f>
        <v>18647.0680198442</v>
      </c>
      <c r="O228" s="146" t="n">
        <f aca="false">O$213+(O$5=YEAR(Inputs!$E$58))*($E$202-$E228)</f>
        <v>18697.9611291677</v>
      </c>
      <c r="P228" s="146" t="n">
        <f aca="false">P$213+(P$5=YEAR(Inputs!$E$58))*($E$202-$E228)</f>
        <v>18747.3044706362</v>
      </c>
      <c r="Q228" s="146" t="n">
        <f aca="false">Q$213+(Q$5=YEAR(Inputs!$E$58))*($E$202-$E228)</f>
        <v>18795.0416533505</v>
      </c>
      <c r="R228" s="146" t="n">
        <f aca="false">R$213+(R$5=YEAR(Inputs!$E$58))*($E$202-$E228)</f>
        <v>18841.1147820411</v>
      </c>
      <c r="S228" s="146" t="n">
        <f aca="false">S$213+(S$5=YEAR(Inputs!$E$58))*($E$202-$E228)</f>
        <v>18885.4644194696</v>
      </c>
      <c r="T228" s="146" t="n">
        <f aca="false">T$213+(T$5=YEAR(Inputs!$E$58))*($E$202-$E228)</f>
        <v>18928.0295479057</v>
      </c>
      <c r="U228" s="146" t="n">
        <f aca="false">U$213+(U$5=YEAR(Inputs!$E$58))*($E$202-$E228)</f>
        <v>18968.7475296557</v>
      </c>
      <c r="V228" s="146" t="n">
        <f aca="false">V$213+(V$5=YEAR(Inputs!$E$58))*($E$202-$E228)</f>
        <v>19007.5540666196</v>
      </c>
      <c r="W228" s="146" t="n">
        <f aca="false">W$213+(W$5=YEAR(Inputs!$E$58))*($E$202-$E228)</f>
        <v>19044.3831588535</v>
      </c>
      <c r="X228" s="146" t="n">
        <f aca="false">X$213+(X$5=YEAR(Inputs!$E$58))*($E$202-$E228)</f>
        <v>19079.1670621119</v>
      </c>
      <c r="Y228" s="146" t="n">
        <f aca="false">Y$213+(Y$5=YEAR(Inputs!$E$58))*($E$202-$E228)</f>
        <v>19111.8362443461</v>
      </c>
      <c r="Z228" s="146" t="n">
        <f aca="false">Z$213+(Z$5=YEAR(Inputs!$E$58))*($E$202-$E228)</f>
        <v>19142.3193411317</v>
      </c>
      <c r="AA228" s="146" t="n">
        <f aca="false">AA$213+(AA$5=YEAR(Inputs!$E$58))*($E$202-$E228)</f>
        <v>19170.5431099997</v>
      </c>
      <c r="AB228" s="146" t="n">
        <f aca="false">AB$213+(AB$5=YEAR(Inputs!$E$58))*($E$202-$E228)</f>
        <v>19196.4323836449</v>
      </c>
      <c r="AC228" s="146" t="n">
        <f aca="false">AC$213+(AC$5=YEAR(Inputs!$E$58))*($E$202-$E228)</f>
        <v>19219.9100219821</v>
      </c>
      <c r="AD228" s="146" t="n">
        <f aca="false">AD$213+(AD$5=YEAR(Inputs!$E$58))*($E$202-$E228)</f>
        <v>19240.8968630243</v>
      </c>
      <c r="AE228" s="146" t="n">
        <f aca="false">AE$213+(AE$5=YEAR(Inputs!$E$58))*($E$202-$E228)</f>
        <v>19259.3116725516</v>
      </c>
      <c r="AF228" s="146" t="n">
        <f aca="false">AF$213+(AF$5=YEAR(Inputs!$E$58))*($E$202-$E228)</f>
        <v>19275.0710925432</v>
      </c>
      <c r="AG228" s="146" t="n">
        <f aca="false">AG$213+(AG$5=YEAR(Inputs!$E$58))*($E$202-$E228)</f>
        <v>18648.730786753</v>
      </c>
      <c r="AH228" s="146" t="n">
        <f aca="false">AH$213+(AH$5=YEAR(Inputs!$E$58))*($E$202-$E228)</f>
        <v>18019.5617913356</v>
      </c>
      <c r="AI228" s="146" t="n">
        <f aca="false">AI$213+(AI$5=YEAR(Inputs!$E$58))*($E$202-$E228)</f>
        <v>18026.8328562038</v>
      </c>
      <c r="AJ228" s="146" t="n">
        <f aca="false">AJ$213+(AJ$5=YEAR(Inputs!$E$58))*($E$202-$E228)</f>
        <v>18031.092785024</v>
      </c>
      <c r="AK228" s="146" t="n">
        <f aca="false">AK$213+(AK$5=YEAR(Inputs!$E$58))*($E$202-$E228)</f>
        <v>18032.2467817478</v>
      </c>
      <c r="AL228" s="146" t="n">
        <f aca="false">AL$213+(AL$5=YEAR(Inputs!$E$58))*($E$202-$E228)</f>
        <v>18030.1975893648</v>
      </c>
      <c r="AM228" s="146" t="n">
        <f aca="false">AM$213+(AM$5=YEAR(Inputs!$E$58))*($E$202-$E228)</f>
        <v>18024.845428775</v>
      </c>
      <c r="AN228" s="146" t="n">
        <f aca="false">AN$213+(AN$5=YEAR(Inputs!$E$58))*($E$202-$E228)</f>
        <v>18016.0879361583</v>
      </c>
      <c r="AO228" s="146" t="n">
        <f aca="false">AO$213+(AO$5=YEAR(Inputs!$E$58))*($E$202-$E228)</f>
        <v>18003.8200988039</v>
      </c>
      <c r="AP228" s="146" t="n">
        <f aca="false">AP$213+(AP$5=YEAR(Inputs!$E$58))*($E$202-$E228)</f>
        <v>17987.9341893627</v>
      </c>
      <c r="AQ228" s="146" t="n">
        <f aca="false">AQ$213+(AQ$5=YEAR(Inputs!$E$58))*($E$202-$E228)</f>
        <v>4907.15984924141</v>
      </c>
    </row>
    <row r="229" customFormat="false" ht="15" hidden="false" customHeight="false" outlineLevel="0" collapsed="false">
      <c r="C229" s="0" t="s">
        <v>1383</v>
      </c>
      <c r="D229" s="291" t="n">
        <f aca="false">Dashboard!$G$155</f>
        <v>100</v>
      </c>
      <c r="E229" s="138" t="n">
        <f aca="false">D229*Dash_MVA+MOIC!$G$144</f>
        <v>30928.5898703443</v>
      </c>
      <c r="F229" s="141" t="n">
        <f aca="false">IFERROR(IRR(H229:AQ229),"n/a")</f>
        <v>0.0948569344927693</v>
      </c>
      <c r="G229" s="146" t="n">
        <f aca="false">SUMPRODUCT(H229:AQ229,$H$12:$AQ$12)/INDEX($H$12:$AQ$12,MATCH(YEAR(Inputs!$E$58),$H$5:$AQ$5,0))</f>
        <v>25031.6690269903</v>
      </c>
      <c r="H229" s="146" t="n">
        <f aca="false">H$213+(H$5=YEAR(Inputs!$E$58))*($E$202-$E229)</f>
        <v>0</v>
      </c>
      <c r="I229" s="146" t="n">
        <f aca="false">I$213+(I$5=YEAR(Inputs!$E$58))*($E$202-$E229)</f>
        <v>0</v>
      </c>
      <c r="J229" s="146" t="n">
        <f aca="false">J$213+(J$5=YEAR(Inputs!$E$58))*($E$202-$E229)</f>
        <v>0</v>
      </c>
      <c r="K229" s="146" t="n">
        <f aca="false">K$213+(K$5=YEAR(Inputs!$E$58))*($E$202-$E229)</f>
        <v>-66498.3456887173</v>
      </c>
      <c r="L229" s="146" t="n">
        <f aca="false">L$213+(L$5=YEAR(Inputs!$E$58))*($E$202-$E229)</f>
        <v>-70569.756402439</v>
      </c>
      <c r="M229" s="146" t="n">
        <f aca="false">M$213+(M$5=YEAR(Inputs!$E$58))*($E$202-$E229)</f>
        <v>-27490.707448407</v>
      </c>
      <c r="N229" s="146" t="n">
        <f aca="false">N$213+(N$5=YEAR(Inputs!$E$58))*($E$202-$E229)</f>
        <v>18647.0680198442</v>
      </c>
      <c r="O229" s="146" t="n">
        <f aca="false">O$213+(O$5=YEAR(Inputs!$E$58))*($E$202-$E229)</f>
        <v>18697.9611291677</v>
      </c>
      <c r="P229" s="146" t="n">
        <f aca="false">P$213+(P$5=YEAR(Inputs!$E$58))*($E$202-$E229)</f>
        <v>18747.3044706362</v>
      </c>
      <c r="Q229" s="146" t="n">
        <f aca="false">Q$213+(Q$5=YEAR(Inputs!$E$58))*($E$202-$E229)</f>
        <v>18795.0416533505</v>
      </c>
      <c r="R229" s="146" t="n">
        <f aca="false">R$213+(R$5=YEAR(Inputs!$E$58))*($E$202-$E229)</f>
        <v>18841.1147820411</v>
      </c>
      <c r="S229" s="146" t="n">
        <f aca="false">S$213+(S$5=YEAR(Inputs!$E$58))*($E$202-$E229)</f>
        <v>18885.4644194696</v>
      </c>
      <c r="T229" s="146" t="n">
        <f aca="false">T$213+(T$5=YEAR(Inputs!$E$58))*($E$202-$E229)</f>
        <v>18928.0295479057</v>
      </c>
      <c r="U229" s="146" t="n">
        <f aca="false">U$213+(U$5=YEAR(Inputs!$E$58))*($E$202-$E229)</f>
        <v>18968.7475296557</v>
      </c>
      <c r="V229" s="146" t="n">
        <f aca="false">V$213+(V$5=YEAR(Inputs!$E$58))*($E$202-$E229)</f>
        <v>19007.5540666196</v>
      </c>
      <c r="W229" s="146" t="n">
        <f aca="false">W$213+(W$5=YEAR(Inputs!$E$58))*($E$202-$E229)</f>
        <v>19044.3831588535</v>
      </c>
      <c r="X229" s="146" t="n">
        <f aca="false">X$213+(X$5=YEAR(Inputs!$E$58))*($E$202-$E229)</f>
        <v>19079.1670621119</v>
      </c>
      <c r="Y229" s="146" t="n">
        <f aca="false">Y$213+(Y$5=YEAR(Inputs!$E$58))*($E$202-$E229)</f>
        <v>19111.8362443461</v>
      </c>
      <c r="Z229" s="146" t="n">
        <f aca="false">Z$213+(Z$5=YEAR(Inputs!$E$58))*($E$202-$E229)</f>
        <v>19142.3193411317</v>
      </c>
      <c r="AA229" s="146" t="n">
        <f aca="false">AA$213+(AA$5=YEAR(Inputs!$E$58))*($E$202-$E229)</f>
        <v>19170.5431099997</v>
      </c>
      <c r="AB229" s="146" t="n">
        <f aca="false">AB$213+(AB$5=YEAR(Inputs!$E$58))*($E$202-$E229)</f>
        <v>19196.4323836449</v>
      </c>
      <c r="AC229" s="146" t="n">
        <f aca="false">AC$213+(AC$5=YEAR(Inputs!$E$58))*($E$202-$E229)</f>
        <v>19219.9100219821</v>
      </c>
      <c r="AD229" s="146" t="n">
        <f aca="false">AD$213+(AD$5=YEAR(Inputs!$E$58))*($E$202-$E229)</f>
        <v>19240.8968630243</v>
      </c>
      <c r="AE229" s="146" t="n">
        <f aca="false">AE$213+(AE$5=YEAR(Inputs!$E$58))*($E$202-$E229)</f>
        <v>19259.3116725516</v>
      </c>
      <c r="AF229" s="146" t="n">
        <f aca="false">AF$213+(AF$5=YEAR(Inputs!$E$58))*($E$202-$E229)</f>
        <v>19275.0710925432</v>
      </c>
      <c r="AG229" s="146" t="n">
        <f aca="false">AG$213+(AG$5=YEAR(Inputs!$E$58))*($E$202-$E229)</f>
        <v>18648.730786753</v>
      </c>
      <c r="AH229" s="146" t="n">
        <f aca="false">AH$213+(AH$5=YEAR(Inputs!$E$58))*($E$202-$E229)</f>
        <v>18019.5617913356</v>
      </c>
      <c r="AI229" s="146" t="n">
        <f aca="false">AI$213+(AI$5=YEAR(Inputs!$E$58))*($E$202-$E229)</f>
        <v>18026.8328562038</v>
      </c>
      <c r="AJ229" s="146" t="n">
        <f aca="false">AJ$213+(AJ$5=YEAR(Inputs!$E$58))*($E$202-$E229)</f>
        <v>18031.092785024</v>
      </c>
      <c r="AK229" s="146" t="n">
        <f aca="false">AK$213+(AK$5=YEAR(Inputs!$E$58))*($E$202-$E229)</f>
        <v>18032.2467817478</v>
      </c>
      <c r="AL229" s="146" t="n">
        <f aca="false">AL$213+(AL$5=YEAR(Inputs!$E$58))*($E$202-$E229)</f>
        <v>18030.1975893648</v>
      </c>
      <c r="AM229" s="146" t="n">
        <f aca="false">AM$213+(AM$5=YEAR(Inputs!$E$58))*($E$202-$E229)</f>
        <v>18024.845428775</v>
      </c>
      <c r="AN229" s="146" t="n">
        <f aca="false">AN$213+(AN$5=YEAR(Inputs!$E$58))*($E$202-$E229)</f>
        <v>18016.0879361583</v>
      </c>
      <c r="AO229" s="146" t="n">
        <f aca="false">AO$213+(AO$5=YEAR(Inputs!$E$58))*($E$202-$E229)</f>
        <v>18003.8200988039</v>
      </c>
      <c r="AP229" s="146" t="n">
        <f aca="false">AP$213+(AP$5=YEAR(Inputs!$E$58))*($E$202-$E229)</f>
        <v>17987.9341893627</v>
      </c>
      <c r="AQ229" s="146" t="n">
        <f aca="false">AQ$213+(AQ$5=YEAR(Inputs!$E$58))*($E$202-$E229)</f>
        <v>4907.15984924141</v>
      </c>
    </row>
    <row r="230" customFormat="false" ht="15" hidden="false" customHeight="false" outlineLevel="0" collapsed="false">
      <c r="C230" s="287" t="s">
        <v>1384</v>
      </c>
      <c r="D230" s="184" t="n">
        <f aca="false">Dashboard!$H$155</f>
        <v>125</v>
      </c>
      <c r="E230" s="290" t="n">
        <f aca="false">D230*Dash_MVA+MOIC!$G$144</f>
        <v>33428.5898703443</v>
      </c>
      <c r="F230" s="177" t="n">
        <f aca="false">IFERROR(IRR(H230:AQ230),"n/a")</f>
        <v>0.0931978366239253</v>
      </c>
      <c r="G230" s="288" t="n">
        <f aca="false">SUMPRODUCT(H230:AQ230,$H$12:$AQ$12)/INDEX($H$12:$AQ$12,MATCH(YEAR(Inputs!$E$58),$H$5:$AQ$5,0))</f>
        <v>22531.6690269903</v>
      </c>
      <c r="H230" s="146" t="n">
        <f aca="false">H$213+(H$5=YEAR(Inputs!$E$58))*($E$202-$E230)</f>
        <v>0</v>
      </c>
      <c r="I230" s="146" t="n">
        <f aca="false">I$213+(I$5=YEAR(Inputs!$E$58))*($E$202-$E230)</f>
        <v>0</v>
      </c>
      <c r="J230" s="146" t="n">
        <f aca="false">J$213+(J$5=YEAR(Inputs!$E$58))*($E$202-$E230)</f>
        <v>0</v>
      </c>
      <c r="K230" s="146" t="n">
        <f aca="false">K$213+(K$5=YEAR(Inputs!$E$58))*($E$202-$E230)</f>
        <v>-68998.3456887173</v>
      </c>
      <c r="L230" s="146" t="n">
        <f aca="false">L$213+(L$5=YEAR(Inputs!$E$58))*($E$202-$E230)</f>
        <v>-70569.756402439</v>
      </c>
      <c r="M230" s="146" t="n">
        <f aca="false">M$213+(M$5=YEAR(Inputs!$E$58))*($E$202-$E230)</f>
        <v>-27490.707448407</v>
      </c>
      <c r="N230" s="146" t="n">
        <f aca="false">N$213+(N$5=YEAR(Inputs!$E$58))*($E$202-$E230)</f>
        <v>18647.0680198442</v>
      </c>
      <c r="O230" s="146" t="n">
        <f aca="false">O$213+(O$5=YEAR(Inputs!$E$58))*($E$202-$E230)</f>
        <v>18697.9611291677</v>
      </c>
      <c r="P230" s="146" t="n">
        <f aca="false">P$213+(P$5=YEAR(Inputs!$E$58))*($E$202-$E230)</f>
        <v>18747.3044706362</v>
      </c>
      <c r="Q230" s="146" t="n">
        <f aca="false">Q$213+(Q$5=YEAR(Inputs!$E$58))*($E$202-$E230)</f>
        <v>18795.0416533505</v>
      </c>
      <c r="R230" s="146" t="n">
        <f aca="false">R$213+(R$5=YEAR(Inputs!$E$58))*($E$202-$E230)</f>
        <v>18841.1147820411</v>
      </c>
      <c r="S230" s="146" t="n">
        <f aca="false">S$213+(S$5=YEAR(Inputs!$E$58))*($E$202-$E230)</f>
        <v>18885.4644194696</v>
      </c>
      <c r="T230" s="146" t="n">
        <f aca="false">T$213+(T$5=YEAR(Inputs!$E$58))*($E$202-$E230)</f>
        <v>18928.0295479057</v>
      </c>
      <c r="U230" s="146" t="n">
        <f aca="false">U$213+(U$5=YEAR(Inputs!$E$58))*($E$202-$E230)</f>
        <v>18968.7475296557</v>
      </c>
      <c r="V230" s="146" t="n">
        <f aca="false">V$213+(V$5=YEAR(Inputs!$E$58))*($E$202-$E230)</f>
        <v>19007.5540666196</v>
      </c>
      <c r="W230" s="146" t="n">
        <f aca="false">W$213+(W$5=YEAR(Inputs!$E$58))*($E$202-$E230)</f>
        <v>19044.3831588535</v>
      </c>
      <c r="X230" s="146" t="n">
        <f aca="false">X$213+(X$5=YEAR(Inputs!$E$58))*($E$202-$E230)</f>
        <v>19079.1670621119</v>
      </c>
      <c r="Y230" s="146" t="n">
        <f aca="false">Y$213+(Y$5=YEAR(Inputs!$E$58))*($E$202-$E230)</f>
        <v>19111.8362443461</v>
      </c>
      <c r="Z230" s="146" t="n">
        <f aca="false">Z$213+(Z$5=YEAR(Inputs!$E$58))*($E$202-$E230)</f>
        <v>19142.3193411317</v>
      </c>
      <c r="AA230" s="146" t="n">
        <f aca="false">AA$213+(AA$5=YEAR(Inputs!$E$58))*($E$202-$E230)</f>
        <v>19170.5431099997</v>
      </c>
      <c r="AB230" s="146" t="n">
        <f aca="false">AB$213+(AB$5=YEAR(Inputs!$E$58))*($E$202-$E230)</f>
        <v>19196.4323836449</v>
      </c>
      <c r="AC230" s="146" t="n">
        <f aca="false">AC$213+(AC$5=YEAR(Inputs!$E$58))*($E$202-$E230)</f>
        <v>19219.9100219821</v>
      </c>
      <c r="AD230" s="146" t="n">
        <f aca="false">AD$213+(AD$5=YEAR(Inputs!$E$58))*($E$202-$E230)</f>
        <v>19240.8968630243</v>
      </c>
      <c r="AE230" s="146" t="n">
        <f aca="false">AE$213+(AE$5=YEAR(Inputs!$E$58))*($E$202-$E230)</f>
        <v>19259.3116725516</v>
      </c>
      <c r="AF230" s="146" t="n">
        <f aca="false">AF$213+(AF$5=YEAR(Inputs!$E$58))*($E$202-$E230)</f>
        <v>19275.0710925432</v>
      </c>
      <c r="AG230" s="146" t="n">
        <f aca="false">AG$213+(AG$5=YEAR(Inputs!$E$58))*($E$202-$E230)</f>
        <v>18648.730786753</v>
      </c>
      <c r="AH230" s="146" t="n">
        <f aca="false">AH$213+(AH$5=YEAR(Inputs!$E$58))*($E$202-$E230)</f>
        <v>18019.5617913356</v>
      </c>
      <c r="AI230" s="146" t="n">
        <f aca="false">AI$213+(AI$5=YEAR(Inputs!$E$58))*($E$202-$E230)</f>
        <v>18026.8328562038</v>
      </c>
      <c r="AJ230" s="146" t="n">
        <f aca="false">AJ$213+(AJ$5=YEAR(Inputs!$E$58))*($E$202-$E230)</f>
        <v>18031.092785024</v>
      </c>
      <c r="AK230" s="146" t="n">
        <f aca="false">AK$213+(AK$5=YEAR(Inputs!$E$58))*($E$202-$E230)</f>
        <v>18032.2467817478</v>
      </c>
      <c r="AL230" s="146" t="n">
        <f aca="false">AL$213+(AL$5=YEAR(Inputs!$E$58))*($E$202-$E230)</f>
        <v>18030.1975893648</v>
      </c>
      <c r="AM230" s="146" t="n">
        <f aca="false">AM$213+(AM$5=YEAR(Inputs!$E$58))*($E$202-$E230)</f>
        <v>18024.845428775</v>
      </c>
      <c r="AN230" s="146" t="n">
        <f aca="false">AN$213+(AN$5=YEAR(Inputs!$E$58))*($E$202-$E230)</f>
        <v>18016.0879361583</v>
      </c>
      <c r="AO230" s="146" t="n">
        <f aca="false">AO$213+(AO$5=YEAR(Inputs!$E$58))*($E$202-$E230)</f>
        <v>18003.8200988039</v>
      </c>
      <c r="AP230" s="146" t="n">
        <f aca="false">AP$213+(AP$5=YEAR(Inputs!$E$58))*($E$202-$E230)</f>
        <v>17987.9341893627</v>
      </c>
      <c r="AQ230" s="146" t="n">
        <f aca="false">AQ$213+(AQ$5=YEAR(Inputs!$E$58))*($E$202-$E230)</f>
        <v>4907.15984924141</v>
      </c>
    </row>
    <row r="231" customFormat="false" ht="15" hidden="false" customHeight="false" outlineLevel="0" collapsed="false">
      <c r="C231" s="0" t="s">
        <v>1385</v>
      </c>
      <c r="D231" s="291" t="n">
        <f aca="false">Dashboard!$I$155</f>
        <v>150</v>
      </c>
      <c r="E231" s="138" t="n">
        <f aca="false">D231*Dash_MVA+MOIC!$G$144</f>
        <v>35928.5898703443</v>
      </c>
      <c r="F231" s="141" t="n">
        <f aca="false">IFERROR(IRR(H231:AQ231),"n/a")</f>
        <v>0.0915824843412319</v>
      </c>
      <c r="G231" s="146" t="n">
        <f aca="false">SUMPRODUCT(H231:AQ231,$H$12:$AQ$12)/INDEX($H$12:$AQ$12,MATCH(YEAR(Inputs!$E$58),$H$5:$AQ$5,0))</f>
        <v>20031.6690269903</v>
      </c>
      <c r="H231" s="146" t="n">
        <f aca="false">H$213+(H$5=YEAR(Inputs!$E$58))*($E$202-$E231)</f>
        <v>0</v>
      </c>
      <c r="I231" s="146" t="n">
        <f aca="false">I$213+(I$5=YEAR(Inputs!$E$58))*($E$202-$E231)</f>
        <v>0</v>
      </c>
      <c r="J231" s="146" t="n">
        <f aca="false">J$213+(J$5=YEAR(Inputs!$E$58))*($E$202-$E231)</f>
        <v>0</v>
      </c>
      <c r="K231" s="146" t="n">
        <f aca="false">K$213+(K$5=YEAR(Inputs!$E$58))*($E$202-$E231)</f>
        <v>-71498.3456887173</v>
      </c>
      <c r="L231" s="146" t="n">
        <f aca="false">L$213+(L$5=YEAR(Inputs!$E$58))*($E$202-$E231)</f>
        <v>-70569.756402439</v>
      </c>
      <c r="M231" s="146" t="n">
        <f aca="false">M$213+(M$5=YEAR(Inputs!$E$58))*($E$202-$E231)</f>
        <v>-27490.707448407</v>
      </c>
      <c r="N231" s="146" t="n">
        <f aca="false">N$213+(N$5=YEAR(Inputs!$E$58))*($E$202-$E231)</f>
        <v>18647.0680198442</v>
      </c>
      <c r="O231" s="146" t="n">
        <f aca="false">O$213+(O$5=YEAR(Inputs!$E$58))*($E$202-$E231)</f>
        <v>18697.9611291677</v>
      </c>
      <c r="P231" s="146" t="n">
        <f aca="false">P$213+(P$5=YEAR(Inputs!$E$58))*($E$202-$E231)</f>
        <v>18747.3044706362</v>
      </c>
      <c r="Q231" s="146" t="n">
        <f aca="false">Q$213+(Q$5=YEAR(Inputs!$E$58))*($E$202-$E231)</f>
        <v>18795.0416533505</v>
      </c>
      <c r="R231" s="146" t="n">
        <f aca="false">R$213+(R$5=YEAR(Inputs!$E$58))*($E$202-$E231)</f>
        <v>18841.1147820411</v>
      </c>
      <c r="S231" s="146" t="n">
        <f aca="false">S$213+(S$5=YEAR(Inputs!$E$58))*($E$202-$E231)</f>
        <v>18885.4644194696</v>
      </c>
      <c r="T231" s="146" t="n">
        <f aca="false">T$213+(T$5=YEAR(Inputs!$E$58))*($E$202-$E231)</f>
        <v>18928.0295479057</v>
      </c>
      <c r="U231" s="146" t="n">
        <f aca="false">U$213+(U$5=YEAR(Inputs!$E$58))*($E$202-$E231)</f>
        <v>18968.7475296557</v>
      </c>
      <c r="V231" s="146" t="n">
        <f aca="false">V$213+(V$5=YEAR(Inputs!$E$58))*($E$202-$E231)</f>
        <v>19007.5540666196</v>
      </c>
      <c r="W231" s="146" t="n">
        <f aca="false">W$213+(W$5=YEAR(Inputs!$E$58))*($E$202-$E231)</f>
        <v>19044.3831588535</v>
      </c>
      <c r="X231" s="146" t="n">
        <f aca="false">X$213+(X$5=YEAR(Inputs!$E$58))*($E$202-$E231)</f>
        <v>19079.1670621119</v>
      </c>
      <c r="Y231" s="146" t="n">
        <f aca="false">Y$213+(Y$5=YEAR(Inputs!$E$58))*($E$202-$E231)</f>
        <v>19111.8362443461</v>
      </c>
      <c r="Z231" s="146" t="n">
        <f aca="false">Z$213+(Z$5=YEAR(Inputs!$E$58))*($E$202-$E231)</f>
        <v>19142.3193411317</v>
      </c>
      <c r="AA231" s="146" t="n">
        <f aca="false">AA$213+(AA$5=YEAR(Inputs!$E$58))*($E$202-$E231)</f>
        <v>19170.5431099997</v>
      </c>
      <c r="AB231" s="146" t="n">
        <f aca="false">AB$213+(AB$5=YEAR(Inputs!$E$58))*($E$202-$E231)</f>
        <v>19196.4323836449</v>
      </c>
      <c r="AC231" s="146" t="n">
        <f aca="false">AC$213+(AC$5=YEAR(Inputs!$E$58))*($E$202-$E231)</f>
        <v>19219.9100219821</v>
      </c>
      <c r="AD231" s="146" t="n">
        <f aca="false">AD$213+(AD$5=YEAR(Inputs!$E$58))*($E$202-$E231)</f>
        <v>19240.8968630243</v>
      </c>
      <c r="AE231" s="146" t="n">
        <f aca="false">AE$213+(AE$5=YEAR(Inputs!$E$58))*($E$202-$E231)</f>
        <v>19259.3116725516</v>
      </c>
      <c r="AF231" s="146" t="n">
        <f aca="false">AF$213+(AF$5=YEAR(Inputs!$E$58))*($E$202-$E231)</f>
        <v>19275.0710925432</v>
      </c>
      <c r="AG231" s="146" t="n">
        <f aca="false">AG$213+(AG$5=YEAR(Inputs!$E$58))*($E$202-$E231)</f>
        <v>18648.730786753</v>
      </c>
      <c r="AH231" s="146" t="n">
        <f aca="false">AH$213+(AH$5=YEAR(Inputs!$E$58))*($E$202-$E231)</f>
        <v>18019.5617913356</v>
      </c>
      <c r="AI231" s="146" t="n">
        <f aca="false">AI$213+(AI$5=YEAR(Inputs!$E$58))*($E$202-$E231)</f>
        <v>18026.8328562038</v>
      </c>
      <c r="AJ231" s="146" t="n">
        <f aca="false">AJ$213+(AJ$5=YEAR(Inputs!$E$58))*($E$202-$E231)</f>
        <v>18031.092785024</v>
      </c>
      <c r="AK231" s="146" t="n">
        <f aca="false">AK$213+(AK$5=YEAR(Inputs!$E$58))*($E$202-$E231)</f>
        <v>18032.2467817478</v>
      </c>
      <c r="AL231" s="146" t="n">
        <f aca="false">AL$213+(AL$5=YEAR(Inputs!$E$58))*($E$202-$E231)</f>
        <v>18030.1975893648</v>
      </c>
      <c r="AM231" s="146" t="n">
        <f aca="false">AM$213+(AM$5=YEAR(Inputs!$E$58))*($E$202-$E231)</f>
        <v>18024.845428775</v>
      </c>
      <c r="AN231" s="146" t="n">
        <f aca="false">AN$213+(AN$5=YEAR(Inputs!$E$58))*($E$202-$E231)</f>
        <v>18016.0879361583</v>
      </c>
      <c r="AO231" s="146" t="n">
        <f aca="false">AO$213+(AO$5=YEAR(Inputs!$E$58))*($E$202-$E231)</f>
        <v>18003.8200988039</v>
      </c>
      <c r="AP231" s="146" t="n">
        <f aca="false">AP$213+(AP$5=YEAR(Inputs!$E$58))*($E$202-$E231)</f>
        <v>17987.9341893627</v>
      </c>
      <c r="AQ231" s="146" t="n">
        <f aca="false">AQ$213+(AQ$5=YEAR(Inputs!$E$58))*($E$202-$E231)</f>
        <v>4907.15984924141</v>
      </c>
    </row>
    <row r="232" customFormat="false" ht="15" hidden="false" customHeight="false" outlineLevel="0" collapsed="false">
      <c r="C232" s="0" t="s">
        <v>1386</v>
      </c>
      <c r="D232" s="291" t="n">
        <f aca="false">Dashboard!$J$155</f>
        <v>175</v>
      </c>
      <c r="E232" s="138" t="n">
        <f aca="false">D232*Dash_MVA+MOIC!$G$144</f>
        <v>38428.5898703443</v>
      </c>
      <c r="F232" s="141" t="n">
        <f aca="false">IFERROR(IRR(H232:AQ232),"n/a")</f>
        <v>0.0900088526267387</v>
      </c>
      <c r="G232" s="146" t="n">
        <f aca="false">SUMPRODUCT(H232:AQ232,$H$12:$AQ$12)/INDEX($H$12:$AQ$12,MATCH(YEAR(Inputs!$E$58),$H$5:$AQ$5,0))</f>
        <v>17531.6690269903</v>
      </c>
      <c r="H232" s="146" t="n">
        <f aca="false">H$213+(H$5=YEAR(Inputs!$E$58))*($E$202-$E232)</f>
        <v>0</v>
      </c>
      <c r="I232" s="146" t="n">
        <f aca="false">I$213+(I$5=YEAR(Inputs!$E$58))*($E$202-$E232)</f>
        <v>0</v>
      </c>
      <c r="J232" s="146" t="n">
        <f aca="false">J$213+(J$5=YEAR(Inputs!$E$58))*($E$202-$E232)</f>
        <v>0</v>
      </c>
      <c r="K232" s="146" t="n">
        <f aca="false">K$213+(K$5=YEAR(Inputs!$E$58))*($E$202-$E232)</f>
        <v>-73998.3456887173</v>
      </c>
      <c r="L232" s="146" t="n">
        <f aca="false">L$213+(L$5=YEAR(Inputs!$E$58))*($E$202-$E232)</f>
        <v>-70569.756402439</v>
      </c>
      <c r="M232" s="146" t="n">
        <f aca="false">M$213+(M$5=YEAR(Inputs!$E$58))*($E$202-$E232)</f>
        <v>-27490.707448407</v>
      </c>
      <c r="N232" s="146" t="n">
        <f aca="false">N$213+(N$5=YEAR(Inputs!$E$58))*($E$202-$E232)</f>
        <v>18647.0680198442</v>
      </c>
      <c r="O232" s="146" t="n">
        <f aca="false">O$213+(O$5=YEAR(Inputs!$E$58))*($E$202-$E232)</f>
        <v>18697.9611291677</v>
      </c>
      <c r="P232" s="146" t="n">
        <f aca="false">P$213+(P$5=YEAR(Inputs!$E$58))*($E$202-$E232)</f>
        <v>18747.3044706362</v>
      </c>
      <c r="Q232" s="146" t="n">
        <f aca="false">Q$213+(Q$5=YEAR(Inputs!$E$58))*($E$202-$E232)</f>
        <v>18795.0416533505</v>
      </c>
      <c r="R232" s="146" t="n">
        <f aca="false">R$213+(R$5=YEAR(Inputs!$E$58))*($E$202-$E232)</f>
        <v>18841.1147820411</v>
      </c>
      <c r="S232" s="146" t="n">
        <f aca="false">S$213+(S$5=YEAR(Inputs!$E$58))*($E$202-$E232)</f>
        <v>18885.4644194696</v>
      </c>
      <c r="T232" s="146" t="n">
        <f aca="false">T$213+(T$5=YEAR(Inputs!$E$58))*($E$202-$E232)</f>
        <v>18928.0295479057</v>
      </c>
      <c r="U232" s="146" t="n">
        <f aca="false">U$213+(U$5=YEAR(Inputs!$E$58))*($E$202-$E232)</f>
        <v>18968.7475296557</v>
      </c>
      <c r="V232" s="146" t="n">
        <f aca="false">V$213+(V$5=YEAR(Inputs!$E$58))*($E$202-$E232)</f>
        <v>19007.5540666196</v>
      </c>
      <c r="W232" s="146" t="n">
        <f aca="false">W$213+(W$5=YEAR(Inputs!$E$58))*($E$202-$E232)</f>
        <v>19044.3831588535</v>
      </c>
      <c r="X232" s="146" t="n">
        <f aca="false">X$213+(X$5=YEAR(Inputs!$E$58))*($E$202-$E232)</f>
        <v>19079.1670621119</v>
      </c>
      <c r="Y232" s="146" t="n">
        <f aca="false">Y$213+(Y$5=YEAR(Inputs!$E$58))*($E$202-$E232)</f>
        <v>19111.8362443461</v>
      </c>
      <c r="Z232" s="146" t="n">
        <f aca="false">Z$213+(Z$5=YEAR(Inputs!$E$58))*($E$202-$E232)</f>
        <v>19142.3193411317</v>
      </c>
      <c r="AA232" s="146" t="n">
        <f aca="false">AA$213+(AA$5=YEAR(Inputs!$E$58))*($E$202-$E232)</f>
        <v>19170.5431099997</v>
      </c>
      <c r="AB232" s="146" t="n">
        <f aca="false">AB$213+(AB$5=YEAR(Inputs!$E$58))*($E$202-$E232)</f>
        <v>19196.4323836449</v>
      </c>
      <c r="AC232" s="146" t="n">
        <f aca="false">AC$213+(AC$5=YEAR(Inputs!$E$58))*($E$202-$E232)</f>
        <v>19219.9100219821</v>
      </c>
      <c r="AD232" s="146" t="n">
        <f aca="false">AD$213+(AD$5=YEAR(Inputs!$E$58))*($E$202-$E232)</f>
        <v>19240.8968630243</v>
      </c>
      <c r="AE232" s="146" t="n">
        <f aca="false">AE$213+(AE$5=YEAR(Inputs!$E$58))*($E$202-$E232)</f>
        <v>19259.3116725516</v>
      </c>
      <c r="AF232" s="146" t="n">
        <f aca="false">AF$213+(AF$5=YEAR(Inputs!$E$58))*($E$202-$E232)</f>
        <v>19275.0710925432</v>
      </c>
      <c r="AG232" s="146" t="n">
        <f aca="false">AG$213+(AG$5=YEAR(Inputs!$E$58))*($E$202-$E232)</f>
        <v>18648.730786753</v>
      </c>
      <c r="AH232" s="146" t="n">
        <f aca="false">AH$213+(AH$5=YEAR(Inputs!$E$58))*($E$202-$E232)</f>
        <v>18019.5617913356</v>
      </c>
      <c r="AI232" s="146" t="n">
        <f aca="false">AI$213+(AI$5=YEAR(Inputs!$E$58))*($E$202-$E232)</f>
        <v>18026.8328562038</v>
      </c>
      <c r="AJ232" s="146" t="n">
        <f aca="false">AJ$213+(AJ$5=YEAR(Inputs!$E$58))*($E$202-$E232)</f>
        <v>18031.092785024</v>
      </c>
      <c r="AK232" s="146" t="n">
        <f aca="false">AK$213+(AK$5=YEAR(Inputs!$E$58))*($E$202-$E232)</f>
        <v>18032.2467817478</v>
      </c>
      <c r="AL232" s="146" t="n">
        <f aca="false">AL$213+(AL$5=YEAR(Inputs!$E$58))*($E$202-$E232)</f>
        <v>18030.1975893648</v>
      </c>
      <c r="AM232" s="146" t="n">
        <f aca="false">AM$213+(AM$5=YEAR(Inputs!$E$58))*($E$202-$E232)</f>
        <v>18024.845428775</v>
      </c>
      <c r="AN232" s="146" t="n">
        <f aca="false">AN$213+(AN$5=YEAR(Inputs!$E$58))*($E$202-$E232)</f>
        <v>18016.0879361583</v>
      </c>
      <c r="AO232" s="146" t="n">
        <f aca="false">AO$213+(AO$5=YEAR(Inputs!$E$58))*($E$202-$E232)</f>
        <v>18003.8200988039</v>
      </c>
      <c r="AP232" s="146" t="n">
        <f aca="false">AP$213+(AP$5=YEAR(Inputs!$E$58))*($E$202-$E232)</f>
        <v>17987.9341893627</v>
      </c>
      <c r="AQ232" s="146" t="n">
        <f aca="false">AQ$213+(AQ$5=YEAR(Inputs!$E$58))*($E$202-$E232)</f>
        <v>4907.15984924141</v>
      </c>
    </row>
    <row r="233" customFormat="false" ht="15" hidden="false" customHeight="false" outlineLevel="0" collapsed="false">
      <c r="C233" s="0" t="s">
        <v>1387</v>
      </c>
      <c r="D233" s="291" t="n">
        <f aca="false">Dashboard!$K$155</f>
        <v>200</v>
      </c>
      <c r="E233" s="138" t="n">
        <f aca="false">D233*Dash_MVA+MOIC!$G$144</f>
        <v>40928.5898703443</v>
      </c>
      <c r="F233" s="141" t="n">
        <f aca="false">IFERROR(IRR(H233:AQ233),"n/a")</f>
        <v>0.0884750482607149</v>
      </c>
      <c r="G233" s="146" t="n">
        <f aca="false">SUMPRODUCT(H233:AQ233,$H$12:$AQ$12)/INDEX($H$12:$AQ$12,MATCH(YEAR(Inputs!$E$58),$H$5:$AQ$5,0))</f>
        <v>15031.6690269903</v>
      </c>
      <c r="H233" s="146" t="n">
        <f aca="false">H$213+(H$5=YEAR(Inputs!$E$58))*($E$202-$E233)</f>
        <v>0</v>
      </c>
      <c r="I233" s="146" t="n">
        <f aca="false">I$213+(I$5=YEAR(Inputs!$E$58))*($E$202-$E233)</f>
        <v>0</v>
      </c>
      <c r="J233" s="146" t="n">
        <f aca="false">J$213+(J$5=YEAR(Inputs!$E$58))*($E$202-$E233)</f>
        <v>0</v>
      </c>
      <c r="K233" s="146" t="n">
        <f aca="false">K$213+(K$5=YEAR(Inputs!$E$58))*($E$202-$E233)</f>
        <v>-76498.3456887173</v>
      </c>
      <c r="L233" s="146" t="n">
        <f aca="false">L$213+(L$5=YEAR(Inputs!$E$58))*($E$202-$E233)</f>
        <v>-70569.756402439</v>
      </c>
      <c r="M233" s="146" t="n">
        <f aca="false">M$213+(M$5=YEAR(Inputs!$E$58))*($E$202-$E233)</f>
        <v>-27490.707448407</v>
      </c>
      <c r="N233" s="146" t="n">
        <f aca="false">N$213+(N$5=YEAR(Inputs!$E$58))*($E$202-$E233)</f>
        <v>18647.0680198442</v>
      </c>
      <c r="O233" s="146" t="n">
        <f aca="false">O$213+(O$5=YEAR(Inputs!$E$58))*($E$202-$E233)</f>
        <v>18697.9611291677</v>
      </c>
      <c r="P233" s="146" t="n">
        <f aca="false">P$213+(P$5=YEAR(Inputs!$E$58))*($E$202-$E233)</f>
        <v>18747.3044706362</v>
      </c>
      <c r="Q233" s="146" t="n">
        <f aca="false">Q$213+(Q$5=YEAR(Inputs!$E$58))*($E$202-$E233)</f>
        <v>18795.0416533505</v>
      </c>
      <c r="R233" s="146" t="n">
        <f aca="false">R$213+(R$5=YEAR(Inputs!$E$58))*($E$202-$E233)</f>
        <v>18841.1147820411</v>
      </c>
      <c r="S233" s="146" t="n">
        <f aca="false">S$213+(S$5=YEAR(Inputs!$E$58))*($E$202-$E233)</f>
        <v>18885.4644194696</v>
      </c>
      <c r="T233" s="146" t="n">
        <f aca="false">T$213+(T$5=YEAR(Inputs!$E$58))*($E$202-$E233)</f>
        <v>18928.0295479057</v>
      </c>
      <c r="U233" s="146" t="n">
        <f aca="false">U$213+(U$5=YEAR(Inputs!$E$58))*($E$202-$E233)</f>
        <v>18968.7475296557</v>
      </c>
      <c r="V233" s="146" t="n">
        <f aca="false">V$213+(V$5=YEAR(Inputs!$E$58))*($E$202-$E233)</f>
        <v>19007.5540666196</v>
      </c>
      <c r="W233" s="146" t="n">
        <f aca="false">W$213+(W$5=YEAR(Inputs!$E$58))*($E$202-$E233)</f>
        <v>19044.3831588535</v>
      </c>
      <c r="X233" s="146" t="n">
        <f aca="false">X$213+(X$5=YEAR(Inputs!$E$58))*($E$202-$E233)</f>
        <v>19079.1670621119</v>
      </c>
      <c r="Y233" s="146" t="n">
        <f aca="false">Y$213+(Y$5=YEAR(Inputs!$E$58))*($E$202-$E233)</f>
        <v>19111.8362443461</v>
      </c>
      <c r="Z233" s="146" t="n">
        <f aca="false">Z$213+(Z$5=YEAR(Inputs!$E$58))*($E$202-$E233)</f>
        <v>19142.3193411317</v>
      </c>
      <c r="AA233" s="146" t="n">
        <f aca="false">AA$213+(AA$5=YEAR(Inputs!$E$58))*($E$202-$E233)</f>
        <v>19170.5431099997</v>
      </c>
      <c r="AB233" s="146" t="n">
        <f aca="false">AB$213+(AB$5=YEAR(Inputs!$E$58))*($E$202-$E233)</f>
        <v>19196.4323836449</v>
      </c>
      <c r="AC233" s="146" t="n">
        <f aca="false">AC$213+(AC$5=YEAR(Inputs!$E$58))*($E$202-$E233)</f>
        <v>19219.9100219821</v>
      </c>
      <c r="AD233" s="146" t="n">
        <f aca="false">AD$213+(AD$5=YEAR(Inputs!$E$58))*($E$202-$E233)</f>
        <v>19240.8968630243</v>
      </c>
      <c r="AE233" s="146" t="n">
        <f aca="false">AE$213+(AE$5=YEAR(Inputs!$E$58))*($E$202-$E233)</f>
        <v>19259.3116725516</v>
      </c>
      <c r="AF233" s="146" t="n">
        <f aca="false">AF$213+(AF$5=YEAR(Inputs!$E$58))*($E$202-$E233)</f>
        <v>19275.0710925432</v>
      </c>
      <c r="AG233" s="146" t="n">
        <f aca="false">AG$213+(AG$5=YEAR(Inputs!$E$58))*($E$202-$E233)</f>
        <v>18648.730786753</v>
      </c>
      <c r="AH233" s="146" t="n">
        <f aca="false">AH$213+(AH$5=YEAR(Inputs!$E$58))*($E$202-$E233)</f>
        <v>18019.5617913356</v>
      </c>
      <c r="AI233" s="146" t="n">
        <f aca="false">AI$213+(AI$5=YEAR(Inputs!$E$58))*($E$202-$E233)</f>
        <v>18026.8328562038</v>
      </c>
      <c r="AJ233" s="146" t="n">
        <f aca="false">AJ$213+(AJ$5=YEAR(Inputs!$E$58))*($E$202-$E233)</f>
        <v>18031.092785024</v>
      </c>
      <c r="AK233" s="146" t="n">
        <f aca="false">AK$213+(AK$5=YEAR(Inputs!$E$58))*($E$202-$E233)</f>
        <v>18032.2467817478</v>
      </c>
      <c r="AL233" s="146" t="n">
        <f aca="false">AL$213+(AL$5=YEAR(Inputs!$E$58))*($E$202-$E233)</f>
        <v>18030.1975893648</v>
      </c>
      <c r="AM233" s="146" t="n">
        <f aca="false">AM$213+(AM$5=YEAR(Inputs!$E$58))*($E$202-$E233)</f>
        <v>18024.845428775</v>
      </c>
      <c r="AN233" s="146" t="n">
        <f aca="false">AN$213+(AN$5=YEAR(Inputs!$E$58))*($E$202-$E233)</f>
        <v>18016.0879361583</v>
      </c>
      <c r="AO233" s="146" t="n">
        <f aca="false">AO$213+(AO$5=YEAR(Inputs!$E$58))*($E$202-$E233)</f>
        <v>18003.8200988039</v>
      </c>
      <c r="AP233" s="146" t="n">
        <f aca="false">AP$213+(AP$5=YEAR(Inputs!$E$58))*($E$202-$E233)</f>
        <v>17987.9341893627</v>
      </c>
      <c r="AQ233" s="146" t="n">
        <f aca="false">AQ$213+(AQ$5=YEAR(Inputs!$E$58))*($E$202-$E233)</f>
        <v>4907.15984924141</v>
      </c>
    </row>
    <row r="235" customFormat="false" ht="15" hidden="false" customHeight="false" outlineLevel="0" collapsed="false">
      <c r="C235" s="205" t="s">
        <v>1388</v>
      </c>
    </row>
    <row r="236" customFormat="false" ht="15" hidden="false" customHeight="false" outlineLevel="0" collapsed="false">
      <c r="C236" s="253" t="s">
        <v>1333</v>
      </c>
      <c r="D236" s="253" t="s">
        <v>1377</v>
      </c>
      <c r="E236" s="253" t="s">
        <v>1378</v>
      </c>
      <c r="F236" s="253" t="s">
        <v>1389</v>
      </c>
      <c r="G236" s="253" t="s">
        <v>1390</v>
      </c>
      <c r="H236" s="257"/>
      <c r="I236" s="257"/>
      <c r="J236" s="257"/>
      <c r="K236" s="257"/>
      <c r="L236" s="257"/>
      <c r="M236" s="257"/>
      <c r="N236" s="257"/>
      <c r="O236" s="257"/>
      <c r="P236" s="257"/>
      <c r="Q236" s="257"/>
      <c r="R236" s="257"/>
      <c r="S236" s="257"/>
      <c r="T236" s="257"/>
      <c r="U236" s="257"/>
      <c r="V236" s="257"/>
      <c r="W236" s="257"/>
      <c r="X236" s="257"/>
      <c r="Y236" s="257"/>
      <c r="Z236" s="257"/>
      <c r="AA236" s="257"/>
      <c r="AB236" s="257"/>
      <c r="AC236" s="257"/>
      <c r="AD236" s="257"/>
      <c r="AE236" s="257"/>
      <c r="AF236" s="257"/>
      <c r="AG236" s="257"/>
      <c r="AH236" s="257"/>
      <c r="AI236" s="257"/>
      <c r="AJ236" s="257"/>
      <c r="AK236" s="257"/>
      <c r="AL236" s="257"/>
      <c r="AM236" s="257"/>
      <c r="AN236" s="257"/>
      <c r="AO236" s="257"/>
      <c r="AP236" s="257"/>
      <c r="AQ236" s="257"/>
    </row>
    <row r="237" customFormat="false" ht="15" hidden="false" customHeight="false" outlineLevel="0" collapsed="false">
      <c r="C237" s="0" t="s">
        <v>1381</v>
      </c>
      <c r="D237" s="291" t="n">
        <f aca="false">Dashboard!$E$155</f>
        <v>50</v>
      </c>
      <c r="E237" s="138" t="n">
        <f aca="false">D237*Dash_MVA+MOIC!$G$144</f>
        <v>25928.5898703443</v>
      </c>
      <c r="F237" s="141" t="n">
        <f aca="false">IFERROR(IRR(H237:AQ237),"n/a")</f>
        <v>0.122725295637879</v>
      </c>
      <c r="G237" s="162" t="n">
        <f aca="false" t="array" ref="G237:G237">IFERROR(SUMPRODUCT(H237:AQ237/(1+Inputs!$E$255)^$H$4:$AQ$4)/-SUMPRODUCT((H237:AQ237&lt;0)*H237:AQ237/(1+Inputs!$E$255)^$H$4:$AQ$4),"n/a")</f>
        <v>0.584506974647216</v>
      </c>
      <c r="H237" s="146" t="n">
        <f aca="false">H$212+(H$5=YEAR(Inputs!$E$58))*($E$202-$E237)</f>
        <v>0</v>
      </c>
      <c r="I237" s="146" t="n">
        <f aca="false">I$212+(I$5=YEAR(Inputs!$E$58))*($E$202-$E237)</f>
        <v>0</v>
      </c>
      <c r="J237" s="146" t="n">
        <f aca="false">J$212+(J$5=YEAR(Inputs!$E$58))*($E$202-$E237)</f>
        <v>0</v>
      </c>
      <c r="K237" s="146" t="n">
        <f aca="false">K$212+(K$5=YEAR(Inputs!$E$58))*($E$202-$E237)</f>
        <v>-42499.2334479246</v>
      </c>
      <c r="L237" s="146" t="n">
        <f aca="false">L$212+(L$5=YEAR(Inputs!$E$58))*($E$202-$E237)</f>
        <v>-29737.5191858032</v>
      </c>
      <c r="M237" s="146" t="n">
        <f aca="false">M$212+(M$5=YEAR(Inputs!$E$58))*($E$202-$E237)</f>
        <v>-8392.89203234381</v>
      </c>
      <c r="N237" s="146" t="n">
        <f aca="false">N$212+(N$5=YEAR(Inputs!$E$58))*($E$202-$E237)</f>
        <v>11030.9158582172</v>
      </c>
      <c r="O237" s="146" t="n">
        <f aca="false">O$212+(O$5=YEAR(Inputs!$E$58))*($E$202-$E237)</f>
        <v>10950.1116201571</v>
      </c>
      <c r="P237" s="146" t="n">
        <f aca="false">P$212+(P$5=YEAR(Inputs!$E$58))*($E$202-$E237)</f>
        <v>10967.7524441585</v>
      </c>
      <c r="Q237" s="146" t="n">
        <f aca="false">Q$212+(Q$5=YEAR(Inputs!$E$58))*($E$202-$E237)</f>
        <v>10982.2019835325</v>
      </c>
      <c r="R237" s="146" t="n">
        <f aca="false">R$212+(R$5=YEAR(Inputs!$E$58))*($E$202-$E237)</f>
        <v>10993.3230867156</v>
      </c>
      <c r="S237" s="146" t="n">
        <f aca="false">S$212+(S$5=YEAR(Inputs!$E$58))*($E$202-$E237)</f>
        <v>11000.9730973614</v>
      </c>
      <c r="T237" s="146" t="n">
        <f aca="false">T$212+(T$5=YEAR(Inputs!$E$58))*($E$202-$E237)</f>
        <v>11005.0036176756</v>
      </c>
      <c r="U237" s="146" t="n">
        <f aca="false">U$212+(U$5=YEAR(Inputs!$E$58))*($E$202-$E237)</f>
        <v>11005.2602608976</v>
      </c>
      <c r="V237" s="146" t="n">
        <f aca="false">V$212+(V$5=YEAR(Inputs!$E$58))*($E$202-$E237)</f>
        <v>11001.5823924071</v>
      </c>
      <c r="W237" s="146" t="n">
        <f aca="false">W$212+(W$5=YEAR(Inputs!$E$58))*($E$202-$E237)</f>
        <v>10993.8028589139</v>
      </c>
      <c r="X237" s="146" t="n">
        <f aca="false">X$212+(X$5=YEAR(Inputs!$E$58))*($E$202-$E237)</f>
        <v>10981.7477051588</v>
      </c>
      <c r="Y237" s="146" t="n">
        <f aca="false">Y$212+(Y$5=YEAR(Inputs!$E$58))*($E$202-$E237)</f>
        <v>10965.2358775289</v>
      </c>
      <c r="Z237" s="146" t="n">
        <f aca="false">Z$212+(Z$5=YEAR(Inputs!$E$58))*($E$202-$E237)</f>
        <v>10944.0789139571</v>
      </c>
      <c r="AA237" s="146" t="n">
        <f aca="false">AA$212+(AA$5=YEAR(Inputs!$E$58))*($E$202-$E237)</f>
        <v>10918.0806194499</v>
      </c>
      <c r="AB237" s="146" t="n">
        <f aca="false">AB$212+(AB$5=YEAR(Inputs!$E$58))*($E$202-$E237)</f>
        <v>10887.0367265511</v>
      </c>
      <c r="AC237" s="146" t="n">
        <f aca="false">AC$212+(AC$5=YEAR(Inputs!$E$58))*($E$202-$E237)</f>
        <v>19219.9100219821</v>
      </c>
      <c r="AD237" s="146" t="n">
        <f aca="false">AD$212+(AD$5=YEAR(Inputs!$E$58))*($E$202-$E237)</f>
        <v>19240.8968630243</v>
      </c>
      <c r="AE237" s="146" t="n">
        <f aca="false">AE$212+(AE$5=YEAR(Inputs!$E$58))*($E$202-$E237)</f>
        <v>19259.3116725516</v>
      </c>
      <c r="AF237" s="146" t="n">
        <f aca="false">AF$212+(AF$5=YEAR(Inputs!$E$58))*($E$202-$E237)</f>
        <v>19275.0710925432</v>
      </c>
      <c r="AG237" s="146" t="n">
        <f aca="false">AG$212+(AG$5=YEAR(Inputs!$E$58))*($E$202-$E237)</f>
        <v>18648.730786753</v>
      </c>
      <c r="AH237" s="146" t="n">
        <f aca="false">AH$212+(AH$5=YEAR(Inputs!$E$58))*($E$202-$E237)</f>
        <v>18019.5617913356</v>
      </c>
      <c r="AI237" s="146" t="n">
        <f aca="false">AI$212+(AI$5=YEAR(Inputs!$E$58))*($E$202-$E237)</f>
        <v>18026.8328562038</v>
      </c>
      <c r="AJ237" s="146" t="n">
        <f aca="false">AJ$212+(AJ$5=YEAR(Inputs!$E$58))*($E$202-$E237)</f>
        <v>18031.092785024</v>
      </c>
      <c r="AK237" s="146" t="n">
        <f aca="false">AK$212+(AK$5=YEAR(Inputs!$E$58))*($E$202-$E237)</f>
        <v>18032.2467817478</v>
      </c>
      <c r="AL237" s="146" t="n">
        <f aca="false">AL$212+(AL$5=YEAR(Inputs!$E$58))*($E$202-$E237)</f>
        <v>18030.1975893648</v>
      </c>
      <c r="AM237" s="146" t="n">
        <f aca="false">AM$212+(AM$5=YEAR(Inputs!$E$58))*($E$202-$E237)</f>
        <v>18024.845428775</v>
      </c>
      <c r="AN237" s="146" t="n">
        <f aca="false">AN$212+(AN$5=YEAR(Inputs!$E$58))*($E$202-$E237)</f>
        <v>18016.0879361583</v>
      </c>
      <c r="AO237" s="146" t="n">
        <f aca="false">AO$212+(AO$5=YEAR(Inputs!$E$58))*($E$202-$E237)</f>
        <v>18003.8200988039</v>
      </c>
      <c r="AP237" s="146" t="n">
        <f aca="false">AP$212+(AP$5=YEAR(Inputs!$E$58))*($E$202-$E237)</f>
        <v>17987.9341893627</v>
      </c>
      <c r="AQ237" s="146" t="n">
        <f aca="false">AQ$212+(AQ$5=YEAR(Inputs!$E$58))*($E$202-$E237)</f>
        <v>4907.15984924141</v>
      </c>
    </row>
    <row r="238" customFormat="false" ht="15" hidden="false" customHeight="false" outlineLevel="0" collapsed="false">
      <c r="C238" s="0" t="s">
        <v>1382</v>
      </c>
      <c r="D238" s="291" t="n">
        <f aca="false">Dashboard!$F$155</f>
        <v>75</v>
      </c>
      <c r="E238" s="138" t="n">
        <f aca="false">D238*Dash_MVA+MOIC!$G$144</f>
        <v>28428.5898703443</v>
      </c>
      <c r="F238" s="141" t="n">
        <f aca="false">IFERROR(IRR(H238:AQ238),"n/a")</f>
        <v>0.119364319346043</v>
      </c>
      <c r="G238" s="162" t="n">
        <f aca="false" t="array" ref="G238:G238">IFERROR(SUMPRODUCT(H238:AQ238/(1+Inputs!$E$255)^$H$4:$AQ$4)/-SUMPRODUCT((H238:AQ238&lt;0)*H238:AQ238/(1+Inputs!$E$255)^$H$4:$AQ$4),"n/a")</f>
        <v>0.53482315416329</v>
      </c>
      <c r="H238" s="146" t="n">
        <f aca="false">H$212+(H$5=YEAR(Inputs!$E$58))*($E$202-$E238)</f>
        <v>0</v>
      </c>
      <c r="I238" s="146" t="n">
        <f aca="false">I$212+(I$5=YEAR(Inputs!$E$58))*($E$202-$E238)</f>
        <v>0</v>
      </c>
      <c r="J238" s="146" t="n">
        <f aca="false">J$212+(J$5=YEAR(Inputs!$E$58))*($E$202-$E238)</f>
        <v>0</v>
      </c>
      <c r="K238" s="146" t="n">
        <f aca="false">K$212+(K$5=YEAR(Inputs!$E$58))*($E$202-$E238)</f>
        <v>-44999.2334479246</v>
      </c>
      <c r="L238" s="146" t="n">
        <f aca="false">L$212+(L$5=YEAR(Inputs!$E$58))*($E$202-$E238)</f>
        <v>-29737.5191858032</v>
      </c>
      <c r="M238" s="146" t="n">
        <f aca="false">M$212+(M$5=YEAR(Inputs!$E$58))*($E$202-$E238)</f>
        <v>-8392.89203234381</v>
      </c>
      <c r="N238" s="146" t="n">
        <f aca="false">N$212+(N$5=YEAR(Inputs!$E$58))*($E$202-$E238)</f>
        <v>11030.9158582172</v>
      </c>
      <c r="O238" s="146" t="n">
        <f aca="false">O$212+(O$5=YEAR(Inputs!$E$58))*($E$202-$E238)</f>
        <v>10950.1116201571</v>
      </c>
      <c r="P238" s="146" t="n">
        <f aca="false">P$212+(P$5=YEAR(Inputs!$E$58))*($E$202-$E238)</f>
        <v>10967.7524441585</v>
      </c>
      <c r="Q238" s="146" t="n">
        <f aca="false">Q$212+(Q$5=YEAR(Inputs!$E$58))*($E$202-$E238)</f>
        <v>10982.2019835325</v>
      </c>
      <c r="R238" s="146" t="n">
        <f aca="false">R$212+(R$5=YEAR(Inputs!$E$58))*($E$202-$E238)</f>
        <v>10993.3230867156</v>
      </c>
      <c r="S238" s="146" t="n">
        <f aca="false">S$212+(S$5=YEAR(Inputs!$E$58))*($E$202-$E238)</f>
        <v>11000.9730973614</v>
      </c>
      <c r="T238" s="146" t="n">
        <f aca="false">T$212+(T$5=YEAR(Inputs!$E$58))*($E$202-$E238)</f>
        <v>11005.0036176756</v>
      </c>
      <c r="U238" s="146" t="n">
        <f aca="false">U$212+(U$5=YEAR(Inputs!$E$58))*($E$202-$E238)</f>
        <v>11005.2602608976</v>
      </c>
      <c r="V238" s="146" t="n">
        <f aca="false">V$212+(V$5=YEAR(Inputs!$E$58))*($E$202-$E238)</f>
        <v>11001.5823924071</v>
      </c>
      <c r="W238" s="146" t="n">
        <f aca="false">W$212+(W$5=YEAR(Inputs!$E$58))*($E$202-$E238)</f>
        <v>10993.8028589139</v>
      </c>
      <c r="X238" s="146" t="n">
        <f aca="false">X$212+(X$5=YEAR(Inputs!$E$58))*($E$202-$E238)</f>
        <v>10981.7477051588</v>
      </c>
      <c r="Y238" s="146" t="n">
        <f aca="false">Y$212+(Y$5=YEAR(Inputs!$E$58))*($E$202-$E238)</f>
        <v>10965.2358775289</v>
      </c>
      <c r="Z238" s="146" t="n">
        <f aca="false">Z$212+(Z$5=YEAR(Inputs!$E$58))*($E$202-$E238)</f>
        <v>10944.0789139571</v>
      </c>
      <c r="AA238" s="146" t="n">
        <f aca="false">AA$212+(AA$5=YEAR(Inputs!$E$58))*($E$202-$E238)</f>
        <v>10918.0806194499</v>
      </c>
      <c r="AB238" s="146" t="n">
        <f aca="false">AB$212+(AB$5=YEAR(Inputs!$E$58))*($E$202-$E238)</f>
        <v>10887.0367265511</v>
      </c>
      <c r="AC238" s="146" t="n">
        <f aca="false">AC$212+(AC$5=YEAR(Inputs!$E$58))*($E$202-$E238)</f>
        <v>19219.9100219821</v>
      </c>
      <c r="AD238" s="146" t="n">
        <f aca="false">AD$212+(AD$5=YEAR(Inputs!$E$58))*($E$202-$E238)</f>
        <v>19240.8968630243</v>
      </c>
      <c r="AE238" s="146" t="n">
        <f aca="false">AE$212+(AE$5=YEAR(Inputs!$E$58))*($E$202-$E238)</f>
        <v>19259.3116725516</v>
      </c>
      <c r="AF238" s="146" t="n">
        <f aca="false">AF$212+(AF$5=YEAR(Inputs!$E$58))*($E$202-$E238)</f>
        <v>19275.0710925432</v>
      </c>
      <c r="AG238" s="146" t="n">
        <f aca="false">AG$212+(AG$5=YEAR(Inputs!$E$58))*($E$202-$E238)</f>
        <v>18648.730786753</v>
      </c>
      <c r="AH238" s="146" t="n">
        <f aca="false">AH$212+(AH$5=YEAR(Inputs!$E$58))*($E$202-$E238)</f>
        <v>18019.5617913356</v>
      </c>
      <c r="AI238" s="146" t="n">
        <f aca="false">AI$212+(AI$5=YEAR(Inputs!$E$58))*($E$202-$E238)</f>
        <v>18026.8328562038</v>
      </c>
      <c r="AJ238" s="146" t="n">
        <f aca="false">AJ$212+(AJ$5=YEAR(Inputs!$E$58))*($E$202-$E238)</f>
        <v>18031.092785024</v>
      </c>
      <c r="AK238" s="146" t="n">
        <f aca="false">AK$212+(AK$5=YEAR(Inputs!$E$58))*($E$202-$E238)</f>
        <v>18032.2467817478</v>
      </c>
      <c r="AL238" s="146" t="n">
        <f aca="false">AL$212+(AL$5=YEAR(Inputs!$E$58))*($E$202-$E238)</f>
        <v>18030.1975893648</v>
      </c>
      <c r="AM238" s="146" t="n">
        <f aca="false">AM$212+(AM$5=YEAR(Inputs!$E$58))*($E$202-$E238)</f>
        <v>18024.845428775</v>
      </c>
      <c r="AN238" s="146" t="n">
        <f aca="false">AN$212+(AN$5=YEAR(Inputs!$E$58))*($E$202-$E238)</f>
        <v>18016.0879361583</v>
      </c>
      <c r="AO238" s="146" t="n">
        <f aca="false">AO$212+(AO$5=YEAR(Inputs!$E$58))*($E$202-$E238)</f>
        <v>18003.8200988039</v>
      </c>
      <c r="AP238" s="146" t="n">
        <f aca="false">AP$212+(AP$5=YEAR(Inputs!$E$58))*($E$202-$E238)</f>
        <v>17987.9341893627</v>
      </c>
      <c r="AQ238" s="146" t="n">
        <f aca="false">AQ$212+(AQ$5=YEAR(Inputs!$E$58))*($E$202-$E238)</f>
        <v>4907.15984924141</v>
      </c>
    </row>
    <row r="239" customFormat="false" ht="15" hidden="false" customHeight="false" outlineLevel="0" collapsed="false">
      <c r="C239" s="0" t="s">
        <v>1383</v>
      </c>
      <c r="D239" s="291" t="n">
        <f aca="false">Dashboard!$G$155</f>
        <v>100</v>
      </c>
      <c r="E239" s="138" t="n">
        <f aca="false">D239*Dash_MVA+MOIC!$G$144</f>
        <v>30928.5898703443</v>
      </c>
      <c r="F239" s="141" t="n">
        <f aca="false">IFERROR(IRR(H239:AQ239),"n/a")</f>
        <v>0.116175003658551</v>
      </c>
      <c r="G239" s="162" t="n">
        <f aca="false" t="array" ref="G239:G239">IFERROR(SUMPRODUCT(H239:AQ239/(1+Inputs!$E$255)^$H$4:$AQ$4)/-SUMPRODUCT((H239:AQ239&lt;0)*H239:AQ239/(1+Inputs!$E$255)^$H$4:$AQ$4),"n/a")</f>
        <v>0.488160378743665</v>
      </c>
      <c r="H239" s="146" t="n">
        <f aca="false">H$212+(H$5=YEAR(Inputs!$E$58))*($E$202-$E239)</f>
        <v>0</v>
      </c>
      <c r="I239" s="146" t="n">
        <f aca="false">I$212+(I$5=YEAR(Inputs!$E$58))*($E$202-$E239)</f>
        <v>0</v>
      </c>
      <c r="J239" s="146" t="n">
        <f aca="false">J$212+(J$5=YEAR(Inputs!$E$58))*($E$202-$E239)</f>
        <v>0</v>
      </c>
      <c r="K239" s="146" t="n">
        <f aca="false">K$212+(K$5=YEAR(Inputs!$E$58))*($E$202-$E239)</f>
        <v>-47499.2334479246</v>
      </c>
      <c r="L239" s="146" t="n">
        <f aca="false">L$212+(L$5=YEAR(Inputs!$E$58))*($E$202-$E239)</f>
        <v>-29737.5191858032</v>
      </c>
      <c r="M239" s="146" t="n">
        <f aca="false">M$212+(M$5=YEAR(Inputs!$E$58))*($E$202-$E239)</f>
        <v>-8392.89203234381</v>
      </c>
      <c r="N239" s="146" t="n">
        <f aca="false">N$212+(N$5=YEAR(Inputs!$E$58))*($E$202-$E239)</f>
        <v>11030.9158582172</v>
      </c>
      <c r="O239" s="146" t="n">
        <f aca="false">O$212+(O$5=YEAR(Inputs!$E$58))*($E$202-$E239)</f>
        <v>10950.1116201571</v>
      </c>
      <c r="P239" s="146" t="n">
        <f aca="false">P$212+(P$5=YEAR(Inputs!$E$58))*($E$202-$E239)</f>
        <v>10967.7524441585</v>
      </c>
      <c r="Q239" s="146" t="n">
        <f aca="false">Q$212+(Q$5=YEAR(Inputs!$E$58))*($E$202-$E239)</f>
        <v>10982.2019835325</v>
      </c>
      <c r="R239" s="146" t="n">
        <f aca="false">R$212+(R$5=YEAR(Inputs!$E$58))*($E$202-$E239)</f>
        <v>10993.3230867156</v>
      </c>
      <c r="S239" s="146" t="n">
        <f aca="false">S$212+(S$5=YEAR(Inputs!$E$58))*($E$202-$E239)</f>
        <v>11000.9730973614</v>
      </c>
      <c r="T239" s="146" t="n">
        <f aca="false">T$212+(T$5=YEAR(Inputs!$E$58))*($E$202-$E239)</f>
        <v>11005.0036176756</v>
      </c>
      <c r="U239" s="146" t="n">
        <f aca="false">U$212+(U$5=YEAR(Inputs!$E$58))*($E$202-$E239)</f>
        <v>11005.2602608976</v>
      </c>
      <c r="V239" s="146" t="n">
        <f aca="false">V$212+(V$5=YEAR(Inputs!$E$58))*($E$202-$E239)</f>
        <v>11001.5823924071</v>
      </c>
      <c r="W239" s="146" t="n">
        <f aca="false">W$212+(W$5=YEAR(Inputs!$E$58))*($E$202-$E239)</f>
        <v>10993.8028589139</v>
      </c>
      <c r="X239" s="146" t="n">
        <f aca="false">X$212+(X$5=YEAR(Inputs!$E$58))*($E$202-$E239)</f>
        <v>10981.7477051588</v>
      </c>
      <c r="Y239" s="146" t="n">
        <f aca="false">Y$212+(Y$5=YEAR(Inputs!$E$58))*($E$202-$E239)</f>
        <v>10965.2358775289</v>
      </c>
      <c r="Z239" s="146" t="n">
        <f aca="false">Z$212+(Z$5=YEAR(Inputs!$E$58))*($E$202-$E239)</f>
        <v>10944.0789139571</v>
      </c>
      <c r="AA239" s="146" t="n">
        <f aca="false">AA$212+(AA$5=YEAR(Inputs!$E$58))*($E$202-$E239)</f>
        <v>10918.0806194499</v>
      </c>
      <c r="AB239" s="146" t="n">
        <f aca="false">AB$212+(AB$5=YEAR(Inputs!$E$58))*($E$202-$E239)</f>
        <v>10887.0367265511</v>
      </c>
      <c r="AC239" s="146" t="n">
        <f aca="false">AC$212+(AC$5=YEAR(Inputs!$E$58))*($E$202-$E239)</f>
        <v>19219.9100219821</v>
      </c>
      <c r="AD239" s="146" t="n">
        <f aca="false">AD$212+(AD$5=YEAR(Inputs!$E$58))*($E$202-$E239)</f>
        <v>19240.8968630243</v>
      </c>
      <c r="AE239" s="146" t="n">
        <f aca="false">AE$212+(AE$5=YEAR(Inputs!$E$58))*($E$202-$E239)</f>
        <v>19259.3116725516</v>
      </c>
      <c r="AF239" s="146" t="n">
        <f aca="false">AF$212+(AF$5=YEAR(Inputs!$E$58))*($E$202-$E239)</f>
        <v>19275.0710925432</v>
      </c>
      <c r="AG239" s="146" t="n">
        <f aca="false">AG$212+(AG$5=YEAR(Inputs!$E$58))*($E$202-$E239)</f>
        <v>18648.730786753</v>
      </c>
      <c r="AH239" s="146" t="n">
        <f aca="false">AH$212+(AH$5=YEAR(Inputs!$E$58))*($E$202-$E239)</f>
        <v>18019.5617913356</v>
      </c>
      <c r="AI239" s="146" t="n">
        <f aca="false">AI$212+(AI$5=YEAR(Inputs!$E$58))*($E$202-$E239)</f>
        <v>18026.8328562038</v>
      </c>
      <c r="AJ239" s="146" t="n">
        <f aca="false">AJ$212+(AJ$5=YEAR(Inputs!$E$58))*($E$202-$E239)</f>
        <v>18031.092785024</v>
      </c>
      <c r="AK239" s="146" t="n">
        <f aca="false">AK$212+(AK$5=YEAR(Inputs!$E$58))*($E$202-$E239)</f>
        <v>18032.2467817478</v>
      </c>
      <c r="AL239" s="146" t="n">
        <f aca="false">AL$212+(AL$5=YEAR(Inputs!$E$58))*($E$202-$E239)</f>
        <v>18030.1975893648</v>
      </c>
      <c r="AM239" s="146" t="n">
        <f aca="false">AM$212+(AM$5=YEAR(Inputs!$E$58))*($E$202-$E239)</f>
        <v>18024.845428775</v>
      </c>
      <c r="AN239" s="146" t="n">
        <f aca="false">AN$212+(AN$5=YEAR(Inputs!$E$58))*($E$202-$E239)</f>
        <v>18016.0879361583</v>
      </c>
      <c r="AO239" s="146" t="n">
        <f aca="false">AO$212+(AO$5=YEAR(Inputs!$E$58))*($E$202-$E239)</f>
        <v>18003.8200988039</v>
      </c>
      <c r="AP239" s="146" t="n">
        <f aca="false">AP$212+(AP$5=YEAR(Inputs!$E$58))*($E$202-$E239)</f>
        <v>17987.9341893627</v>
      </c>
      <c r="AQ239" s="146" t="n">
        <f aca="false">AQ$212+(AQ$5=YEAR(Inputs!$E$58))*($E$202-$E239)</f>
        <v>4907.15984924141</v>
      </c>
    </row>
    <row r="240" customFormat="false" ht="15" hidden="false" customHeight="false" outlineLevel="0" collapsed="false">
      <c r="C240" s="287" t="s">
        <v>1384</v>
      </c>
      <c r="D240" s="184" t="n">
        <f aca="false">Dashboard!$H$155</f>
        <v>125</v>
      </c>
      <c r="E240" s="290" t="n">
        <f aca="false">D240*Dash_MVA+MOIC!$G$144</f>
        <v>33428.5898703443</v>
      </c>
      <c r="F240" s="177" t="n">
        <f aca="false">IFERROR(IRR(H240:AQ240),"n/a")</f>
        <v>0.113142327862352</v>
      </c>
      <c r="G240" s="292" t="n">
        <f aca="false" t="array" ref="G240:G240">IFERROR(SUMPRODUCT(H240:AQ240/(1+Inputs!$E$255)^$H$4:$AQ$4)/-SUMPRODUCT((H240:AQ240&lt;0)*H240:AQ240/(1+Inputs!$E$255)^$H$4:$AQ$4),"n/a")</f>
        <v>0.444251234664203</v>
      </c>
      <c r="H240" s="146" t="n">
        <f aca="false">H$212+(H$5=YEAR(Inputs!$E$58))*($E$202-$E240)</f>
        <v>0</v>
      </c>
      <c r="I240" s="146" t="n">
        <f aca="false">I$212+(I$5=YEAR(Inputs!$E$58))*($E$202-$E240)</f>
        <v>0</v>
      </c>
      <c r="J240" s="146" t="n">
        <f aca="false">J$212+(J$5=YEAR(Inputs!$E$58))*($E$202-$E240)</f>
        <v>0</v>
      </c>
      <c r="K240" s="146" t="n">
        <f aca="false">K$212+(K$5=YEAR(Inputs!$E$58))*($E$202-$E240)</f>
        <v>-49999.2334479246</v>
      </c>
      <c r="L240" s="146" t="n">
        <f aca="false">L$212+(L$5=YEAR(Inputs!$E$58))*($E$202-$E240)</f>
        <v>-29737.5191858032</v>
      </c>
      <c r="M240" s="146" t="n">
        <f aca="false">M$212+(M$5=YEAR(Inputs!$E$58))*($E$202-$E240)</f>
        <v>-8392.89203234381</v>
      </c>
      <c r="N240" s="146" t="n">
        <f aca="false">N$212+(N$5=YEAR(Inputs!$E$58))*($E$202-$E240)</f>
        <v>11030.9158582172</v>
      </c>
      <c r="O240" s="146" t="n">
        <f aca="false">O$212+(O$5=YEAR(Inputs!$E$58))*($E$202-$E240)</f>
        <v>10950.1116201571</v>
      </c>
      <c r="P240" s="146" t="n">
        <f aca="false">P$212+(P$5=YEAR(Inputs!$E$58))*($E$202-$E240)</f>
        <v>10967.7524441585</v>
      </c>
      <c r="Q240" s="146" t="n">
        <f aca="false">Q$212+(Q$5=YEAR(Inputs!$E$58))*($E$202-$E240)</f>
        <v>10982.2019835325</v>
      </c>
      <c r="R240" s="146" t="n">
        <f aca="false">R$212+(R$5=YEAR(Inputs!$E$58))*($E$202-$E240)</f>
        <v>10993.3230867156</v>
      </c>
      <c r="S240" s="146" t="n">
        <f aca="false">S$212+(S$5=YEAR(Inputs!$E$58))*($E$202-$E240)</f>
        <v>11000.9730973614</v>
      </c>
      <c r="T240" s="146" t="n">
        <f aca="false">T$212+(T$5=YEAR(Inputs!$E$58))*($E$202-$E240)</f>
        <v>11005.0036176756</v>
      </c>
      <c r="U240" s="146" t="n">
        <f aca="false">U$212+(U$5=YEAR(Inputs!$E$58))*($E$202-$E240)</f>
        <v>11005.2602608976</v>
      </c>
      <c r="V240" s="146" t="n">
        <f aca="false">V$212+(V$5=YEAR(Inputs!$E$58))*($E$202-$E240)</f>
        <v>11001.5823924071</v>
      </c>
      <c r="W240" s="146" t="n">
        <f aca="false">W$212+(W$5=YEAR(Inputs!$E$58))*($E$202-$E240)</f>
        <v>10993.8028589139</v>
      </c>
      <c r="X240" s="146" t="n">
        <f aca="false">X$212+(X$5=YEAR(Inputs!$E$58))*($E$202-$E240)</f>
        <v>10981.7477051588</v>
      </c>
      <c r="Y240" s="146" t="n">
        <f aca="false">Y$212+(Y$5=YEAR(Inputs!$E$58))*($E$202-$E240)</f>
        <v>10965.2358775289</v>
      </c>
      <c r="Z240" s="146" t="n">
        <f aca="false">Z$212+(Z$5=YEAR(Inputs!$E$58))*($E$202-$E240)</f>
        <v>10944.0789139571</v>
      </c>
      <c r="AA240" s="146" t="n">
        <f aca="false">AA$212+(AA$5=YEAR(Inputs!$E$58))*($E$202-$E240)</f>
        <v>10918.0806194499</v>
      </c>
      <c r="AB240" s="146" t="n">
        <f aca="false">AB$212+(AB$5=YEAR(Inputs!$E$58))*($E$202-$E240)</f>
        <v>10887.0367265511</v>
      </c>
      <c r="AC240" s="146" t="n">
        <f aca="false">AC$212+(AC$5=YEAR(Inputs!$E$58))*($E$202-$E240)</f>
        <v>19219.9100219821</v>
      </c>
      <c r="AD240" s="146" t="n">
        <f aca="false">AD$212+(AD$5=YEAR(Inputs!$E$58))*($E$202-$E240)</f>
        <v>19240.8968630243</v>
      </c>
      <c r="AE240" s="146" t="n">
        <f aca="false">AE$212+(AE$5=YEAR(Inputs!$E$58))*($E$202-$E240)</f>
        <v>19259.3116725516</v>
      </c>
      <c r="AF240" s="146" t="n">
        <f aca="false">AF$212+(AF$5=YEAR(Inputs!$E$58))*($E$202-$E240)</f>
        <v>19275.0710925432</v>
      </c>
      <c r="AG240" s="146" t="n">
        <f aca="false">AG$212+(AG$5=YEAR(Inputs!$E$58))*($E$202-$E240)</f>
        <v>18648.730786753</v>
      </c>
      <c r="AH240" s="146" t="n">
        <f aca="false">AH$212+(AH$5=YEAR(Inputs!$E$58))*($E$202-$E240)</f>
        <v>18019.5617913356</v>
      </c>
      <c r="AI240" s="146" t="n">
        <f aca="false">AI$212+(AI$5=YEAR(Inputs!$E$58))*($E$202-$E240)</f>
        <v>18026.8328562038</v>
      </c>
      <c r="AJ240" s="146" t="n">
        <f aca="false">AJ$212+(AJ$5=YEAR(Inputs!$E$58))*($E$202-$E240)</f>
        <v>18031.092785024</v>
      </c>
      <c r="AK240" s="146" t="n">
        <f aca="false">AK$212+(AK$5=YEAR(Inputs!$E$58))*($E$202-$E240)</f>
        <v>18032.2467817478</v>
      </c>
      <c r="AL240" s="146" t="n">
        <f aca="false">AL$212+(AL$5=YEAR(Inputs!$E$58))*($E$202-$E240)</f>
        <v>18030.1975893648</v>
      </c>
      <c r="AM240" s="146" t="n">
        <f aca="false">AM$212+(AM$5=YEAR(Inputs!$E$58))*($E$202-$E240)</f>
        <v>18024.845428775</v>
      </c>
      <c r="AN240" s="146" t="n">
        <f aca="false">AN$212+(AN$5=YEAR(Inputs!$E$58))*($E$202-$E240)</f>
        <v>18016.0879361583</v>
      </c>
      <c r="AO240" s="146" t="n">
        <f aca="false">AO$212+(AO$5=YEAR(Inputs!$E$58))*($E$202-$E240)</f>
        <v>18003.8200988039</v>
      </c>
      <c r="AP240" s="146" t="n">
        <f aca="false">AP$212+(AP$5=YEAR(Inputs!$E$58))*($E$202-$E240)</f>
        <v>17987.9341893627</v>
      </c>
      <c r="AQ240" s="146" t="n">
        <f aca="false">AQ$212+(AQ$5=YEAR(Inputs!$E$58))*($E$202-$E240)</f>
        <v>4907.15984924141</v>
      </c>
    </row>
    <row r="241" customFormat="false" ht="15" hidden="false" customHeight="false" outlineLevel="0" collapsed="false">
      <c r="C241" s="0" t="s">
        <v>1385</v>
      </c>
      <c r="D241" s="291" t="n">
        <f aca="false">Dashboard!$I$155</f>
        <v>150</v>
      </c>
      <c r="E241" s="138" t="n">
        <f aca="false">D241*Dash_MVA+MOIC!$G$144</f>
        <v>35928.5898703443</v>
      </c>
      <c r="F241" s="141" t="n">
        <f aca="false">IFERROR(IRR(H241:AQ241),"n/a")</f>
        <v>0.110253076010907</v>
      </c>
      <c r="G241" s="162" t="n">
        <f aca="false" t="array" ref="G241:G241">IFERROR(SUMPRODUCT(H241:AQ241/(1+Inputs!$E$255)^$H$4:$AQ$4)/-SUMPRODUCT((H241:AQ241&lt;0)*H241:AQ241/(1+Inputs!$E$255)^$H$4:$AQ$4),"n/a")</f>
        <v>0.402858964532129</v>
      </c>
      <c r="H241" s="146" t="n">
        <f aca="false">H$212+(H$5=YEAR(Inputs!$E$58))*($E$202-$E241)</f>
        <v>0</v>
      </c>
      <c r="I241" s="146" t="n">
        <f aca="false">I$212+(I$5=YEAR(Inputs!$E$58))*($E$202-$E241)</f>
        <v>0</v>
      </c>
      <c r="J241" s="146" t="n">
        <f aca="false">J$212+(J$5=YEAR(Inputs!$E$58))*($E$202-$E241)</f>
        <v>0</v>
      </c>
      <c r="K241" s="146" t="n">
        <f aca="false">K$212+(K$5=YEAR(Inputs!$E$58))*($E$202-$E241)</f>
        <v>-52499.2334479246</v>
      </c>
      <c r="L241" s="146" t="n">
        <f aca="false">L$212+(L$5=YEAR(Inputs!$E$58))*($E$202-$E241)</f>
        <v>-29737.5191858032</v>
      </c>
      <c r="M241" s="146" t="n">
        <f aca="false">M$212+(M$5=YEAR(Inputs!$E$58))*($E$202-$E241)</f>
        <v>-8392.89203234381</v>
      </c>
      <c r="N241" s="146" t="n">
        <f aca="false">N$212+(N$5=YEAR(Inputs!$E$58))*($E$202-$E241)</f>
        <v>11030.9158582172</v>
      </c>
      <c r="O241" s="146" t="n">
        <f aca="false">O$212+(O$5=YEAR(Inputs!$E$58))*($E$202-$E241)</f>
        <v>10950.1116201571</v>
      </c>
      <c r="P241" s="146" t="n">
        <f aca="false">P$212+(P$5=YEAR(Inputs!$E$58))*($E$202-$E241)</f>
        <v>10967.7524441585</v>
      </c>
      <c r="Q241" s="146" t="n">
        <f aca="false">Q$212+(Q$5=YEAR(Inputs!$E$58))*($E$202-$E241)</f>
        <v>10982.2019835325</v>
      </c>
      <c r="R241" s="146" t="n">
        <f aca="false">R$212+(R$5=YEAR(Inputs!$E$58))*($E$202-$E241)</f>
        <v>10993.3230867156</v>
      </c>
      <c r="S241" s="146" t="n">
        <f aca="false">S$212+(S$5=YEAR(Inputs!$E$58))*($E$202-$E241)</f>
        <v>11000.9730973614</v>
      </c>
      <c r="T241" s="146" t="n">
        <f aca="false">T$212+(T$5=YEAR(Inputs!$E$58))*($E$202-$E241)</f>
        <v>11005.0036176756</v>
      </c>
      <c r="U241" s="146" t="n">
        <f aca="false">U$212+(U$5=YEAR(Inputs!$E$58))*($E$202-$E241)</f>
        <v>11005.2602608976</v>
      </c>
      <c r="V241" s="146" t="n">
        <f aca="false">V$212+(V$5=YEAR(Inputs!$E$58))*($E$202-$E241)</f>
        <v>11001.5823924071</v>
      </c>
      <c r="W241" s="146" t="n">
        <f aca="false">W$212+(W$5=YEAR(Inputs!$E$58))*($E$202-$E241)</f>
        <v>10993.8028589139</v>
      </c>
      <c r="X241" s="146" t="n">
        <f aca="false">X$212+(X$5=YEAR(Inputs!$E$58))*($E$202-$E241)</f>
        <v>10981.7477051588</v>
      </c>
      <c r="Y241" s="146" t="n">
        <f aca="false">Y$212+(Y$5=YEAR(Inputs!$E$58))*($E$202-$E241)</f>
        <v>10965.2358775289</v>
      </c>
      <c r="Z241" s="146" t="n">
        <f aca="false">Z$212+(Z$5=YEAR(Inputs!$E$58))*($E$202-$E241)</f>
        <v>10944.0789139571</v>
      </c>
      <c r="AA241" s="146" t="n">
        <f aca="false">AA$212+(AA$5=YEAR(Inputs!$E$58))*($E$202-$E241)</f>
        <v>10918.0806194499</v>
      </c>
      <c r="AB241" s="146" t="n">
        <f aca="false">AB$212+(AB$5=YEAR(Inputs!$E$58))*($E$202-$E241)</f>
        <v>10887.0367265511</v>
      </c>
      <c r="AC241" s="146" t="n">
        <f aca="false">AC$212+(AC$5=YEAR(Inputs!$E$58))*($E$202-$E241)</f>
        <v>19219.9100219821</v>
      </c>
      <c r="AD241" s="146" t="n">
        <f aca="false">AD$212+(AD$5=YEAR(Inputs!$E$58))*($E$202-$E241)</f>
        <v>19240.8968630243</v>
      </c>
      <c r="AE241" s="146" t="n">
        <f aca="false">AE$212+(AE$5=YEAR(Inputs!$E$58))*($E$202-$E241)</f>
        <v>19259.3116725516</v>
      </c>
      <c r="AF241" s="146" t="n">
        <f aca="false">AF$212+(AF$5=YEAR(Inputs!$E$58))*($E$202-$E241)</f>
        <v>19275.0710925432</v>
      </c>
      <c r="AG241" s="146" t="n">
        <f aca="false">AG$212+(AG$5=YEAR(Inputs!$E$58))*($E$202-$E241)</f>
        <v>18648.730786753</v>
      </c>
      <c r="AH241" s="146" t="n">
        <f aca="false">AH$212+(AH$5=YEAR(Inputs!$E$58))*($E$202-$E241)</f>
        <v>18019.5617913356</v>
      </c>
      <c r="AI241" s="146" t="n">
        <f aca="false">AI$212+(AI$5=YEAR(Inputs!$E$58))*($E$202-$E241)</f>
        <v>18026.8328562038</v>
      </c>
      <c r="AJ241" s="146" t="n">
        <f aca="false">AJ$212+(AJ$5=YEAR(Inputs!$E$58))*($E$202-$E241)</f>
        <v>18031.092785024</v>
      </c>
      <c r="AK241" s="146" t="n">
        <f aca="false">AK$212+(AK$5=YEAR(Inputs!$E$58))*($E$202-$E241)</f>
        <v>18032.2467817478</v>
      </c>
      <c r="AL241" s="146" t="n">
        <f aca="false">AL$212+(AL$5=YEAR(Inputs!$E$58))*($E$202-$E241)</f>
        <v>18030.1975893648</v>
      </c>
      <c r="AM241" s="146" t="n">
        <f aca="false">AM$212+(AM$5=YEAR(Inputs!$E$58))*($E$202-$E241)</f>
        <v>18024.845428775</v>
      </c>
      <c r="AN241" s="146" t="n">
        <f aca="false">AN$212+(AN$5=YEAR(Inputs!$E$58))*($E$202-$E241)</f>
        <v>18016.0879361583</v>
      </c>
      <c r="AO241" s="146" t="n">
        <f aca="false">AO$212+(AO$5=YEAR(Inputs!$E$58))*($E$202-$E241)</f>
        <v>18003.8200988039</v>
      </c>
      <c r="AP241" s="146" t="n">
        <f aca="false">AP$212+(AP$5=YEAR(Inputs!$E$58))*($E$202-$E241)</f>
        <v>17987.9341893627</v>
      </c>
      <c r="AQ241" s="146" t="n">
        <f aca="false">AQ$212+(AQ$5=YEAR(Inputs!$E$58))*($E$202-$E241)</f>
        <v>4907.15984924141</v>
      </c>
    </row>
    <row r="242" customFormat="false" ht="15" hidden="false" customHeight="false" outlineLevel="0" collapsed="false">
      <c r="C242" s="0" t="s">
        <v>1386</v>
      </c>
      <c r="D242" s="291" t="n">
        <f aca="false">Dashboard!$J$155</f>
        <v>175</v>
      </c>
      <c r="E242" s="138" t="n">
        <f aca="false">D242*Dash_MVA+MOIC!$G$144</f>
        <v>38428.5898703443</v>
      </c>
      <c r="F242" s="141" t="n">
        <f aca="false">IFERROR(IRR(H242:AQ242),"n/a")</f>
        <v>0.107495565816832</v>
      </c>
      <c r="G242" s="162" t="n">
        <f aca="false" t="array" ref="G242:G242">IFERROR(SUMPRODUCT(H242:AQ242/(1+Inputs!$E$255)^$H$4:$AQ$4)/-SUMPRODUCT((H242:AQ242&lt;0)*H242:AQ242/(1+Inputs!$E$255)^$H$4:$AQ$4),"n/a")</f>
        <v>0.36377319662775</v>
      </c>
      <c r="H242" s="146" t="n">
        <f aca="false">H$212+(H$5=YEAR(Inputs!$E$58))*($E$202-$E242)</f>
        <v>0</v>
      </c>
      <c r="I242" s="146" t="n">
        <f aca="false">I$212+(I$5=YEAR(Inputs!$E$58))*($E$202-$E242)</f>
        <v>0</v>
      </c>
      <c r="J242" s="146" t="n">
        <f aca="false">J$212+(J$5=YEAR(Inputs!$E$58))*($E$202-$E242)</f>
        <v>0</v>
      </c>
      <c r="K242" s="146" t="n">
        <f aca="false">K$212+(K$5=YEAR(Inputs!$E$58))*($E$202-$E242)</f>
        <v>-54999.2334479246</v>
      </c>
      <c r="L242" s="146" t="n">
        <f aca="false">L$212+(L$5=YEAR(Inputs!$E$58))*($E$202-$E242)</f>
        <v>-29737.5191858032</v>
      </c>
      <c r="M242" s="146" t="n">
        <f aca="false">M$212+(M$5=YEAR(Inputs!$E$58))*($E$202-$E242)</f>
        <v>-8392.89203234381</v>
      </c>
      <c r="N242" s="146" t="n">
        <f aca="false">N$212+(N$5=YEAR(Inputs!$E$58))*($E$202-$E242)</f>
        <v>11030.9158582172</v>
      </c>
      <c r="O242" s="146" t="n">
        <f aca="false">O$212+(O$5=YEAR(Inputs!$E$58))*($E$202-$E242)</f>
        <v>10950.1116201571</v>
      </c>
      <c r="P242" s="146" t="n">
        <f aca="false">P$212+(P$5=YEAR(Inputs!$E$58))*($E$202-$E242)</f>
        <v>10967.7524441585</v>
      </c>
      <c r="Q242" s="146" t="n">
        <f aca="false">Q$212+(Q$5=YEAR(Inputs!$E$58))*($E$202-$E242)</f>
        <v>10982.2019835325</v>
      </c>
      <c r="R242" s="146" t="n">
        <f aca="false">R$212+(R$5=YEAR(Inputs!$E$58))*($E$202-$E242)</f>
        <v>10993.3230867156</v>
      </c>
      <c r="S242" s="146" t="n">
        <f aca="false">S$212+(S$5=YEAR(Inputs!$E$58))*($E$202-$E242)</f>
        <v>11000.9730973614</v>
      </c>
      <c r="T242" s="146" t="n">
        <f aca="false">T$212+(T$5=YEAR(Inputs!$E$58))*($E$202-$E242)</f>
        <v>11005.0036176756</v>
      </c>
      <c r="U242" s="146" t="n">
        <f aca="false">U$212+(U$5=YEAR(Inputs!$E$58))*($E$202-$E242)</f>
        <v>11005.2602608976</v>
      </c>
      <c r="V242" s="146" t="n">
        <f aca="false">V$212+(V$5=YEAR(Inputs!$E$58))*($E$202-$E242)</f>
        <v>11001.5823924071</v>
      </c>
      <c r="W242" s="146" t="n">
        <f aca="false">W$212+(W$5=YEAR(Inputs!$E$58))*($E$202-$E242)</f>
        <v>10993.8028589139</v>
      </c>
      <c r="X242" s="146" t="n">
        <f aca="false">X$212+(X$5=YEAR(Inputs!$E$58))*($E$202-$E242)</f>
        <v>10981.7477051588</v>
      </c>
      <c r="Y242" s="146" t="n">
        <f aca="false">Y$212+(Y$5=YEAR(Inputs!$E$58))*($E$202-$E242)</f>
        <v>10965.2358775289</v>
      </c>
      <c r="Z242" s="146" t="n">
        <f aca="false">Z$212+(Z$5=YEAR(Inputs!$E$58))*($E$202-$E242)</f>
        <v>10944.0789139571</v>
      </c>
      <c r="AA242" s="146" t="n">
        <f aca="false">AA$212+(AA$5=YEAR(Inputs!$E$58))*($E$202-$E242)</f>
        <v>10918.0806194499</v>
      </c>
      <c r="AB242" s="146" t="n">
        <f aca="false">AB$212+(AB$5=YEAR(Inputs!$E$58))*($E$202-$E242)</f>
        <v>10887.0367265511</v>
      </c>
      <c r="AC242" s="146" t="n">
        <f aca="false">AC$212+(AC$5=YEAR(Inputs!$E$58))*($E$202-$E242)</f>
        <v>19219.9100219821</v>
      </c>
      <c r="AD242" s="146" t="n">
        <f aca="false">AD$212+(AD$5=YEAR(Inputs!$E$58))*($E$202-$E242)</f>
        <v>19240.8968630243</v>
      </c>
      <c r="AE242" s="146" t="n">
        <f aca="false">AE$212+(AE$5=YEAR(Inputs!$E$58))*($E$202-$E242)</f>
        <v>19259.3116725516</v>
      </c>
      <c r="AF242" s="146" t="n">
        <f aca="false">AF$212+(AF$5=YEAR(Inputs!$E$58))*($E$202-$E242)</f>
        <v>19275.0710925432</v>
      </c>
      <c r="AG242" s="146" t="n">
        <f aca="false">AG$212+(AG$5=YEAR(Inputs!$E$58))*($E$202-$E242)</f>
        <v>18648.730786753</v>
      </c>
      <c r="AH242" s="146" t="n">
        <f aca="false">AH$212+(AH$5=YEAR(Inputs!$E$58))*($E$202-$E242)</f>
        <v>18019.5617913356</v>
      </c>
      <c r="AI242" s="146" t="n">
        <f aca="false">AI$212+(AI$5=YEAR(Inputs!$E$58))*($E$202-$E242)</f>
        <v>18026.8328562038</v>
      </c>
      <c r="AJ242" s="146" t="n">
        <f aca="false">AJ$212+(AJ$5=YEAR(Inputs!$E$58))*($E$202-$E242)</f>
        <v>18031.092785024</v>
      </c>
      <c r="AK242" s="146" t="n">
        <f aca="false">AK$212+(AK$5=YEAR(Inputs!$E$58))*($E$202-$E242)</f>
        <v>18032.2467817478</v>
      </c>
      <c r="AL242" s="146" t="n">
        <f aca="false">AL$212+(AL$5=YEAR(Inputs!$E$58))*($E$202-$E242)</f>
        <v>18030.1975893648</v>
      </c>
      <c r="AM242" s="146" t="n">
        <f aca="false">AM$212+(AM$5=YEAR(Inputs!$E$58))*($E$202-$E242)</f>
        <v>18024.845428775</v>
      </c>
      <c r="AN242" s="146" t="n">
        <f aca="false">AN$212+(AN$5=YEAR(Inputs!$E$58))*($E$202-$E242)</f>
        <v>18016.0879361583</v>
      </c>
      <c r="AO242" s="146" t="n">
        <f aca="false">AO$212+(AO$5=YEAR(Inputs!$E$58))*($E$202-$E242)</f>
        <v>18003.8200988039</v>
      </c>
      <c r="AP242" s="146" t="n">
        <f aca="false">AP$212+(AP$5=YEAR(Inputs!$E$58))*($E$202-$E242)</f>
        <v>17987.9341893627</v>
      </c>
      <c r="AQ242" s="146" t="n">
        <f aca="false">AQ$212+(AQ$5=YEAR(Inputs!$E$58))*($E$202-$E242)</f>
        <v>4907.15984924141</v>
      </c>
    </row>
    <row r="243" customFormat="false" ht="15" hidden="false" customHeight="false" outlineLevel="0" collapsed="false">
      <c r="C243" s="0" t="s">
        <v>1387</v>
      </c>
      <c r="D243" s="291" t="n">
        <f aca="false">Dashboard!$K$155</f>
        <v>200</v>
      </c>
      <c r="E243" s="138" t="n">
        <f aca="false">D243*Dash_MVA+MOIC!$G$144</f>
        <v>40928.5898703443</v>
      </c>
      <c r="F243" s="141" t="n">
        <f aca="false">IFERROR(IRR(H243:AQ243),"n/a")</f>
        <v>0.10485942586378</v>
      </c>
      <c r="G243" s="162" t="n">
        <f aca="false" t="array" ref="G243:G243">IFERROR(SUMPRODUCT(H243:AQ243/(1+Inputs!$E$255)^$H$4:$AQ$4)/-SUMPRODUCT((H243:AQ243&lt;0)*H243:AQ243/(1+Inputs!$E$255)^$H$4:$AQ$4),"n/a")</f>
        <v>0.326806368816301</v>
      </c>
      <c r="H243" s="146" t="n">
        <f aca="false">H$212+(H$5=YEAR(Inputs!$E$58))*($E$202-$E243)</f>
        <v>0</v>
      </c>
      <c r="I243" s="146" t="n">
        <f aca="false">I$212+(I$5=YEAR(Inputs!$E$58))*($E$202-$E243)</f>
        <v>0</v>
      </c>
      <c r="J243" s="146" t="n">
        <f aca="false">J$212+(J$5=YEAR(Inputs!$E$58))*($E$202-$E243)</f>
        <v>0</v>
      </c>
      <c r="K243" s="146" t="n">
        <f aca="false">K$212+(K$5=YEAR(Inputs!$E$58))*($E$202-$E243)</f>
        <v>-57499.2334479246</v>
      </c>
      <c r="L243" s="146" t="n">
        <f aca="false">L$212+(L$5=YEAR(Inputs!$E$58))*($E$202-$E243)</f>
        <v>-29737.5191858032</v>
      </c>
      <c r="M243" s="146" t="n">
        <f aca="false">M$212+(M$5=YEAR(Inputs!$E$58))*($E$202-$E243)</f>
        <v>-8392.89203234381</v>
      </c>
      <c r="N243" s="146" t="n">
        <f aca="false">N$212+(N$5=YEAR(Inputs!$E$58))*($E$202-$E243)</f>
        <v>11030.9158582172</v>
      </c>
      <c r="O243" s="146" t="n">
        <f aca="false">O$212+(O$5=YEAR(Inputs!$E$58))*($E$202-$E243)</f>
        <v>10950.1116201571</v>
      </c>
      <c r="P243" s="146" t="n">
        <f aca="false">P$212+(P$5=YEAR(Inputs!$E$58))*($E$202-$E243)</f>
        <v>10967.7524441585</v>
      </c>
      <c r="Q243" s="146" t="n">
        <f aca="false">Q$212+(Q$5=YEAR(Inputs!$E$58))*($E$202-$E243)</f>
        <v>10982.2019835325</v>
      </c>
      <c r="R243" s="146" t="n">
        <f aca="false">R$212+(R$5=YEAR(Inputs!$E$58))*($E$202-$E243)</f>
        <v>10993.3230867156</v>
      </c>
      <c r="S243" s="146" t="n">
        <f aca="false">S$212+(S$5=YEAR(Inputs!$E$58))*($E$202-$E243)</f>
        <v>11000.9730973614</v>
      </c>
      <c r="T243" s="146" t="n">
        <f aca="false">T$212+(T$5=YEAR(Inputs!$E$58))*($E$202-$E243)</f>
        <v>11005.0036176756</v>
      </c>
      <c r="U243" s="146" t="n">
        <f aca="false">U$212+(U$5=YEAR(Inputs!$E$58))*($E$202-$E243)</f>
        <v>11005.2602608976</v>
      </c>
      <c r="V243" s="146" t="n">
        <f aca="false">V$212+(V$5=YEAR(Inputs!$E$58))*($E$202-$E243)</f>
        <v>11001.5823924071</v>
      </c>
      <c r="W243" s="146" t="n">
        <f aca="false">W$212+(W$5=YEAR(Inputs!$E$58))*($E$202-$E243)</f>
        <v>10993.8028589139</v>
      </c>
      <c r="X243" s="146" t="n">
        <f aca="false">X$212+(X$5=YEAR(Inputs!$E$58))*($E$202-$E243)</f>
        <v>10981.7477051588</v>
      </c>
      <c r="Y243" s="146" t="n">
        <f aca="false">Y$212+(Y$5=YEAR(Inputs!$E$58))*($E$202-$E243)</f>
        <v>10965.2358775289</v>
      </c>
      <c r="Z243" s="146" t="n">
        <f aca="false">Z$212+(Z$5=YEAR(Inputs!$E$58))*($E$202-$E243)</f>
        <v>10944.0789139571</v>
      </c>
      <c r="AA243" s="146" t="n">
        <f aca="false">AA$212+(AA$5=YEAR(Inputs!$E$58))*($E$202-$E243)</f>
        <v>10918.0806194499</v>
      </c>
      <c r="AB243" s="146" t="n">
        <f aca="false">AB$212+(AB$5=YEAR(Inputs!$E$58))*($E$202-$E243)</f>
        <v>10887.0367265511</v>
      </c>
      <c r="AC243" s="146" t="n">
        <f aca="false">AC$212+(AC$5=YEAR(Inputs!$E$58))*($E$202-$E243)</f>
        <v>19219.9100219821</v>
      </c>
      <c r="AD243" s="146" t="n">
        <f aca="false">AD$212+(AD$5=YEAR(Inputs!$E$58))*($E$202-$E243)</f>
        <v>19240.8968630243</v>
      </c>
      <c r="AE243" s="146" t="n">
        <f aca="false">AE$212+(AE$5=YEAR(Inputs!$E$58))*($E$202-$E243)</f>
        <v>19259.3116725516</v>
      </c>
      <c r="AF243" s="146" t="n">
        <f aca="false">AF$212+(AF$5=YEAR(Inputs!$E$58))*($E$202-$E243)</f>
        <v>19275.0710925432</v>
      </c>
      <c r="AG243" s="146" t="n">
        <f aca="false">AG$212+(AG$5=YEAR(Inputs!$E$58))*($E$202-$E243)</f>
        <v>18648.730786753</v>
      </c>
      <c r="AH243" s="146" t="n">
        <f aca="false">AH$212+(AH$5=YEAR(Inputs!$E$58))*($E$202-$E243)</f>
        <v>18019.5617913356</v>
      </c>
      <c r="AI243" s="146" t="n">
        <f aca="false">AI$212+(AI$5=YEAR(Inputs!$E$58))*($E$202-$E243)</f>
        <v>18026.8328562038</v>
      </c>
      <c r="AJ243" s="146" t="n">
        <f aca="false">AJ$212+(AJ$5=YEAR(Inputs!$E$58))*($E$202-$E243)</f>
        <v>18031.092785024</v>
      </c>
      <c r="AK243" s="146" t="n">
        <f aca="false">AK$212+(AK$5=YEAR(Inputs!$E$58))*($E$202-$E243)</f>
        <v>18032.2467817478</v>
      </c>
      <c r="AL243" s="146" t="n">
        <f aca="false">AL$212+(AL$5=YEAR(Inputs!$E$58))*($E$202-$E243)</f>
        <v>18030.1975893648</v>
      </c>
      <c r="AM243" s="146" t="n">
        <f aca="false">AM$212+(AM$5=YEAR(Inputs!$E$58))*($E$202-$E243)</f>
        <v>18024.845428775</v>
      </c>
      <c r="AN243" s="146" t="n">
        <f aca="false">AN$212+(AN$5=YEAR(Inputs!$E$58))*($E$202-$E243)</f>
        <v>18016.0879361583</v>
      </c>
      <c r="AO243" s="146" t="n">
        <f aca="false">AO$212+(AO$5=YEAR(Inputs!$E$58))*($E$202-$E243)</f>
        <v>18003.8200988039</v>
      </c>
      <c r="AP243" s="146" t="n">
        <f aca="false">AP$212+(AP$5=YEAR(Inputs!$E$58))*($E$202-$E243)</f>
        <v>17987.9341893627</v>
      </c>
      <c r="AQ243" s="146" t="n">
        <f aca="false">AQ$212+(AQ$5=YEAR(Inputs!$E$58))*($E$202-$E243)</f>
        <v>4907.15984924141</v>
      </c>
    </row>
    <row r="246" customFormat="false" ht="15" hidden="false" customHeight="false" outlineLevel="0" collapsed="false">
      <c r="C246" s="205" t="s">
        <v>1391</v>
      </c>
    </row>
    <row r="247" customFormat="false" ht="15" hidden="false" customHeight="false" outlineLevel="0" collapsed="false">
      <c r="C247" s="253" t="s">
        <v>1333</v>
      </c>
      <c r="D247" s="253" t="s">
        <v>1392</v>
      </c>
      <c r="E247" s="253" t="s">
        <v>1393</v>
      </c>
      <c r="F247" s="253" t="s">
        <v>184</v>
      </c>
      <c r="G247" s="253" t="s">
        <v>1394</v>
      </c>
      <c r="H247" s="253" t="s">
        <v>1395</v>
      </c>
      <c r="I247" s="253" t="s">
        <v>1396</v>
      </c>
      <c r="J247" s="253" t="s">
        <v>1397</v>
      </c>
      <c r="K247" s="257"/>
      <c r="L247" s="257"/>
      <c r="M247" s="257"/>
      <c r="N247" s="257"/>
      <c r="O247" s="257"/>
      <c r="P247" s="257"/>
      <c r="Q247" s="257"/>
      <c r="R247" s="257"/>
      <c r="S247" s="257"/>
      <c r="T247" s="257"/>
      <c r="U247" s="257"/>
      <c r="V247" s="257"/>
      <c r="W247" s="257"/>
      <c r="X247" s="257"/>
      <c r="Y247" s="257"/>
      <c r="Z247" s="257"/>
      <c r="AA247" s="257"/>
      <c r="AB247" s="257"/>
      <c r="AC247" s="257"/>
      <c r="AD247" s="257"/>
      <c r="AE247" s="257"/>
      <c r="AF247" s="257"/>
      <c r="AG247" s="257"/>
      <c r="AH247" s="257"/>
      <c r="AI247" s="257"/>
      <c r="AJ247" s="257"/>
      <c r="AK247" s="257"/>
      <c r="AL247" s="257"/>
      <c r="AM247" s="257"/>
      <c r="AN247" s="257"/>
      <c r="AO247" s="257"/>
      <c r="AP247" s="257"/>
      <c r="AQ247" s="257"/>
    </row>
    <row r="248" customFormat="false" ht="15" hidden="false" customHeight="false" outlineLevel="0" collapsed="false">
      <c r="C248" s="0" t="s">
        <v>754</v>
      </c>
      <c r="D248" s="29" t="n">
        <f aca="false">Dashboard!$E$149</f>
        <v>0</v>
      </c>
      <c r="E248" s="146" t="n">
        <f aca="false">$G$157*$E$259</f>
        <v>0</v>
      </c>
      <c r="F248" s="141" t="n">
        <f aca="false">IFERROR(IRR(H263:AQ263),"n/a")</f>
        <v>0.0952972453423904</v>
      </c>
      <c r="G248" s="162" t="n">
        <f aca="false" t="array" ref="G248:G248">IFERROR(SUMPRODUCT(H263:AQ263/(1+Inputs!$E$255)^$H$4:$AQ$4)/-SUMPRODUCT((H263:AQ263&lt;0)*H263:AQ263/(1+Inputs!$E$255)^$H$4:$AQ$4),"n/a")</f>
        <v>0.166964895518314</v>
      </c>
      <c r="H248" s="162" t="str">
        <f aca="false">IF(COUNT(H264:AQ264)=0,"n/a",MIN(H264:AQ264))</f>
        <v>n/a</v>
      </c>
      <c r="I248" s="146" t="n">
        <f aca="false" t="array" ref="I248:I248">SUMPRODUCT(H263:AQ263/(1+Inputs!$E$255)^$H$4:$AQ$4)</f>
        <v>20462.5031178294</v>
      </c>
      <c r="J248" s="146" t="str">
        <f aca="false">IF(ISNUMBER(H248),IF(H248&gt;=Inputs!$E$253,"OK","BELOW"),"n/a")</f>
        <v>n/a</v>
      </c>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46"/>
      <c r="AK248" s="146"/>
      <c r="AL248" s="146"/>
      <c r="AM248" s="146"/>
      <c r="AN248" s="146"/>
      <c r="AO248" s="146"/>
      <c r="AP248" s="146"/>
      <c r="AQ248" s="146"/>
    </row>
    <row r="249" customFormat="false" ht="15" hidden="false" customHeight="false" outlineLevel="0" collapsed="false">
      <c r="C249" s="0" t="s">
        <v>756</v>
      </c>
      <c r="D249" s="29" t="n">
        <f aca="false">Dashboard!$F$149</f>
        <v>0.3</v>
      </c>
      <c r="E249" s="146" t="n">
        <f aca="false">$G$157*$E$266</f>
        <v>52121.5077385929</v>
      </c>
      <c r="F249" s="141" t="n">
        <f aca="false">IFERROR(IRR(H270:AQ270),"n/a")</f>
        <v>0.105855025178232</v>
      </c>
      <c r="G249" s="162" t="n">
        <f aca="false" t="array" ref="G249:G249">IFERROR(SUMPRODUCT(H270:AQ270/(1+Inputs!$E$255)^$H$4:$AQ$4)/-SUMPRODUCT((H270:AQ270&lt;0)*H270:AQ270/(1+Inputs!$E$255)^$H$4:$AQ$4),"n/a")</f>
        <v>0.315197379996428</v>
      </c>
      <c r="H249" s="162" t="n">
        <f aca="false">IF(COUNT(H271:AQ271)=0,"n/a",MIN(H271:AQ271))</f>
        <v>3.78861547803746</v>
      </c>
      <c r="I249" s="146" t="n">
        <f aca="false" t="array" ref="I249:I249">SUMPRODUCT(H270:AQ270/(1+Inputs!$E$255)^$H$4:$AQ$4)</f>
        <v>27669.4589757355</v>
      </c>
      <c r="J249" s="146" t="str">
        <f aca="false">IF(ISNUMBER(H249),IF(H249&gt;=Inputs!$E$253,"OK","BELOW"),"n/a")</f>
        <v>OK</v>
      </c>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46"/>
      <c r="AK249" s="146"/>
      <c r="AL249" s="146"/>
      <c r="AM249" s="146"/>
      <c r="AN249" s="146"/>
      <c r="AO249" s="146"/>
      <c r="AP249" s="146"/>
      <c r="AQ249" s="146"/>
    </row>
    <row r="250" customFormat="false" ht="15" hidden="false" customHeight="false" outlineLevel="0" collapsed="false">
      <c r="C250" s="0" t="s">
        <v>757</v>
      </c>
      <c r="D250" s="29" t="n">
        <f aca="false">Dashboard!$G$149</f>
        <v>0.4</v>
      </c>
      <c r="E250" s="146" t="n">
        <f aca="false">$G$157*$E$273</f>
        <v>69495.3436514572</v>
      </c>
      <c r="F250" s="141" t="n">
        <f aca="false">IFERROR(IRR(H277:AQ277),"n/a")</f>
        <v>0.110752357063429</v>
      </c>
      <c r="G250" s="162" t="n">
        <f aca="false" t="array" ref="G250:G250">IFERROR(SUMPRODUCT(H277:AQ277/(1+Inputs!$E$255)^$H$4:$AQ$4)/-SUMPRODUCT((H277:AQ277&lt;0)*H277:AQ277/(1+Inputs!$E$255)^$H$4:$AQ$4),"n/a")</f>
        <v>0.394661527884704</v>
      </c>
      <c r="H250" s="162" t="n">
        <f aca="false">IF(COUNT(H278:AQ278)=0,"n/a",MIN(H278:AQ278))</f>
        <v>2.8623363239293</v>
      </c>
      <c r="I250" s="146" t="n">
        <f aca="false" t="array" ref="I250:I250">SUMPRODUCT(H277:AQ277/(1+Inputs!$E$255)^$H$4:$AQ$4)</f>
        <v>30071.6391481524</v>
      </c>
      <c r="J250" s="146" t="str">
        <f aca="false">IF(ISNUMBER(H250),IF(H250&gt;=Inputs!$E$253,"OK","BELOW"),"n/a")</f>
        <v>OK</v>
      </c>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46"/>
      <c r="AK250" s="146"/>
      <c r="AL250" s="146"/>
      <c r="AM250" s="146"/>
      <c r="AN250" s="146"/>
      <c r="AO250" s="146"/>
      <c r="AP250" s="146"/>
      <c r="AQ250" s="146"/>
    </row>
    <row r="251" customFormat="false" ht="15" hidden="false" customHeight="false" outlineLevel="0" collapsed="false">
      <c r="C251" s="287" t="s">
        <v>758</v>
      </c>
      <c r="D251" s="197" t="n">
        <f aca="false">Dashboard!$H$149</f>
        <v>0.5</v>
      </c>
      <c r="E251" s="288" t="n">
        <f aca="false">$G$157*$E$280</f>
        <v>86869.1795643214</v>
      </c>
      <c r="F251" s="177" t="n">
        <f aca="false">IFERROR(IRR(H284:AQ284),"n/a")</f>
        <v>0.116754376727805</v>
      </c>
      <c r="G251" s="292" t="n">
        <f aca="false" t="array" ref="G251:G251">IFERROR(SUMPRODUCT(H284:AQ284/(1+Inputs!$E$255)^$H$4:$AQ$4)/-SUMPRODUCT((H284:AQ284&lt;0)*H284:AQ284/(1+Inputs!$E$255)^$H$4:$AQ$4),"n/a")</f>
        <v>0.50204964383823</v>
      </c>
      <c r="H251" s="162" t="n">
        <f aca="false">IF(COUNT(H285:AQ285)=0,"n/a",MIN(H285:AQ285))</f>
        <v>2.30084937877239</v>
      </c>
      <c r="I251" s="146" t="n">
        <f aca="false" t="array" ref="I251:I251">SUMPRODUCT(H284:AQ284/(1+Inputs!$E$255)^$H$4:$AQ$4)</f>
        <v>32468.9790114389</v>
      </c>
      <c r="J251" s="146" t="str">
        <f aca="false">IF(ISNUMBER(H251),IF(H251&gt;=Inputs!$E$253,"OK","BELOW"),"n/a")</f>
        <v>OK</v>
      </c>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46"/>
      <c r="AK251" s="146"/>
      <c r="AL251" s="146"/>
      <c r="AM251" s="146"/>
      <c r="AN251" s="146"/>
      <c r="AO251" s="146"/>
      <c r="AP251" s="146"/>
      <c r="AQ251" s="146"/>
    </row>
    <row r="252" customFormat="false" ht="15" hidden="false" customHeight="false" outlineLevel="0" collapsed="false">
      <c r="C252" s="0" t="s">
        <v>759</v>
      </c>
      <c r="D252" s="29" t="n">
        <f aca="false">Dashboard!$I$149</f>
        <v>0.55</v>
      </c>
      <c r="E252" s="146" t="n">
        <f aca="false">$G$157*$E$287</f>
        <v>95556.0975207536</v>
      </c>
      <c r="F252" s="141" t="n">
        <f aca="false">IFERROR(IRR(H291:AQ291),"n/a")</f>
        <v>0.120314112593015</v>
      </c>
      <c r="G252" s="162" t="n">
        <f aca="false" t="array" ref="G252:G252">IFERROR(SUMPRODUCT(H291:AQ291/(1+Inputs!$E$255)^$H$4:$AQ$4)/-SUMPRODUCT((H291:AQ291&lt;0)*H291:AQ291/(1+Inputs!$E$255)^$H$4:$AQ$4),"n/a")</f>
        <v>0.571497725165799</v>
      </c>
      <c r="H252" s="162" t="n">
        <f aca="false">IF(COUNT(H292:AQ292)=0,"n/a",MIN(H292:AQ292))</f>
        <v>2.09269521766159</v>
      </c>
      <c r="I252" s="146" t="n">
        <f aca="false" t="array" ref="I252:I252">SUMPRODUCT(H291:AQ291/(1+Inputs!$E$255)^$H$4:$AQ$4)</f>
        <v>33667.6489430822</v>
      </c>
      <c r="J252" s="146" t="str">
        <f aca="false">IF(ISNUMBER(H252),IF(H252&gt;=Inputs!$E$253,"OK","BELOW"),"n/a")</f>
        <v>OK</v>
      </c>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46"/>
      <c r="AK252" s="146"/>
      <c r="AL252" s="146"/>
      <c r="AM252" s="146"/>
      <c r="AN252" s="146"/>
      <c r="AO252" s="146"/>
      <c r="AP252" s="146"/>
      <c r="AQ252" s="146"/>
    </row>
    <row r="253" customFormat="false" ht="15" hidden="false" customHeight="false" outlineLevel="0" collapsed="false">
      <c r="C253" s="0" t="s">
        <v>760</v>
      </c>
      <c r="D253" s="29" t="n">
        <f aca="false">Dashboard!$J$149</f>
        <v>0.6</v>
      </c>
      <c r="E253" s="146" t="n">
        <f aca="false">$G$157*$E$294</f>
        <v>104243.015477186</v>
      </c>
      <c r="F253" s="141" t="n">
        <f aca="false">IFERROR(IRR(H298:AQ298),"n/a")</f>
        <v>0.124357687630866</v>
      </c>
      <c r="G253" s="162" t="n">
        <f aca="false" t="array" ref="G253:G253">IFERROR(SUMPRODUCT(H298:AQ298/(1+Inputs!$E$255)^$H$4:$AQ$4)/-SUMPRODUCT((H298:AQ298&lt;0)*H298:AQ298/(1+Inputs!$E$255)^$H$4:$AQ$4),"n/a")</f>
        <v>0.656002582356003</v>
      </c>
      <c r="H253" s="162" t="n">
        <f aca="false">IF(COUNT(H299:AQ299)=0,"n/a",MIN(H299:AQ299))</f>
        <v>1.91923341673593</v>
      </c>
      <c r="I253" s="146" t="n">
        <f aca="false" t="array" ref="I253:I253">SUMPRODUCT(H298:AQ298/(1+Inputs!$E$255)^$H$4:$AQ$4)</f>
        <v>34866.3188747254</v>
      </c>
      <c r="J253" s="146" t="str">
        <f aca="false">IF(ISNUMBER(H253),IF(H253&gt;=Inputs!$E$253,"OK","BELOW"),"n/a")</f>
        <v>OK</v>
      </c>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46"/>
      <c r="AK253" s="146"/>
      <c r="AL253" s="146"/>
      <c r="AM253" s="146"/>
      <c r="AN253" s="146"/>
      <c r="AO253" s="146"/>
      <c r="AP253" s="146"/>
      <c r="AQ253" s="146"/>
    </row>
    <row r="254" customFormat="false" ht="15" hidden="false" customHeight="false" outlineLevel="0" collapsed="false">
      <c r="C254" s="0" t="s">
        <v>761</v>
      </c>
      <c r="D254" s="29" t="n">
        <f aca="false">Dashboard!$K$149</f>
        <v>0.65</v>
      </c>
      <c r="E254" s="146" t="n">
        <f aca="false">$G$157*$E$301</f>
        <v>112929.933433618</v>
      </c>
      <c r="F254" s="141" t="n">
        <f aca="false">IFERROR(IRR(H305:AQ305),"n/a")</f>
        <v>0.129004867964907</v>
      </c>
      <c r="G254" s="162" t="n">
        <f aca="false" t="array" ref="G254:G254">IFERROR(SUMPRODUCT(H305:AQ305/(1+Inputs!$E$255)^$H$4:$AQ$4)/-SUMPRODUCT((H305:AQ305&lt;0)*H305:AQ305/(1+Inputs!$E$255)^$H$4:$AQ$4),"n/a")</f>
        <v>0.761056163614887</v>
      </c>
      <c r="H254" s="162" t="n">
        <f aca="false">IF(COUNT(H306:AQ306)=0,"n/a",MIN(H306:AQ306))</f>
        <v>1.77245804672191</v>
      </c>
      <c r="I254" s="146" t="n">
        <f aca="false" t="array" ref="I254:I254">SUMPRODUCT(H305:AQ305/(1+Inputs!$E$255)^$H$4:$AQ$4)</f>
        <v>36064.9888063687</v>
      </c>
      <c r="J254" s="146" t="str">
        <f aca="false">IF(ISNUMBER(H254),IF(H254&gt;=Inputs!$E$253,"OK","BELOW"),"n/a")</f>
        <v>OK</v>
      </c>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46"/>
      <c r="AK254" s="146"/>
      <c r="AL254" s="146"/>
      <c r="AM254" s="146"/>
      <c r="AN254" s="146"/>
      <c r="AO254" s="146"/>
      <c r="AP254" s="146"/>
      <c r="AQ254" s="146"/>
    </row>
    <row r="255" customFormat="false" ht="15" hidden="false" customHeight="false" outlineLevel="0" collapsed="false">
      <c r="C255" s="0" t="s">
        <v>1398</v>
      </c>
      <c r="D255" s="0" t="s">
        <v>51</v>
      </c>
      <c r="E255" s="293" t="n">
        <f aca="false" t="array" ref="E255:E255">IFERROR(MATCH(TRUE(),INDEX(F248:F254&gt;=Inputs!$E$254,0),0),0)</f>
        <v>3</v>
      </c>
      <c r="G255" s="267" t="n">
        <f aca="false" t="array" ref="G255:G255">IF(E255=0,"none in range",IF(E255=1,D248,INDEX(D248:D254,E255-1)+(Inputs!$E$254-INDEX(F248:F254,E255-1))/(INDEX(F248:F254,E255)-INDEX(F248:F254,E255-1))*(INDEX(D248:D254,E255)-INDEX(D248:D254,E255-1))))</f>
        <v>0.38463740908181</v>
      </c>
    </row>
    <row r="256" customFormat="false" ht="15" hidden="false" customHeight="false" outlineLevel="0" collapsed="false">
      <c r="C256" s="0" t="s">
        <v>1399</v>
      </c>
      <c r="D256" s="0" t="s">
        <v>51</v>
      </c>
      <c r="E256" s="293" t="n">
        <f aca="false" t="array" ref="E256:E256">IFERROR(LOOKUP(2,1/(ISNUMBER(H248:H254)*(H248:H254&gt;=Inputs!$E$253)),ROW(H248:H254)-ROW(H248)+1),0)</f>
        <v>7</v>
      </c>
      <c r="G256" s="267" t="n">
        <f aca="false" t="array" ref="G256:G256">IF(E256=0,"none in range",IF(E256=7,D254,INDEX(D248:D254,E256)+(INDEX(H248:H254,E256)-Inputs!$E$253)/(INDEX(H248:H254,E256)-INDEX(H248:H254,E256+1))*(INDEX(D248:D254,E256+1)-INDEX(D248:D254,E256))))</f>
        <v>0.65</v>
      </c>
    </row>
    <row r="257" customFormat="false" ht="15" hidden="false" customHeight="false" outlineLevel="0" collapsed="false">
      <c r="C257" s="0" t="s">
        <v>1400</v>
      </c>
      <c r="D257" s="0" t="s">
        <v>194</v>
      </c>
      <c r="G257" s="286" t="str">
        <f aca="false">IFERROR(IF(ABS(INDEX(F248:F254,MATCH(Inputs!$E$219,D248:D254,0))-G139)&lt;0.00001,"OK","FAIL"),"n/a – live gearing not in scenarios")</f>
        <v>OK</v>
      </c>
    </row>
    <row r="258" customFormat="false" ht="15" hidden="false" customHeight="false" outlineLevel="0" collapsed="false">
      <c r="C258" s="0" t="s">
        <v>1401</v>
      </c>
      <c r="D258" s="0" t="s">
        <v>125</v>
      </c>
      <c r="E258" s="278" t="n">
        <f aca="false">Deposits!$P$11*Deposits!$M$11*$E$15</f>
        <v>1232.87671232877</v>
      </c>
    </row>
    <row r="259" customFormat="false" ht="15" hidden="false" customHeight="false" outlineLevel="0" collapsed="false">
      <c r="C259" s="136" t="str">
        <f aca="false">"15."&amp;1&amp;" Gearing scenario 1 – "&amp;TEXT(D248,"0%")&amp;" (debt scale factor vs live case in E)"</f>
        <v>15.1 Gearing scenario 1 – 0% (debt scale factor vs live case in E)</v>
      </c>
      <c r="D259" s="136" t="s">
        <v>7</v>
      </c>
      <c r="E259" s="278" t="n">
        <f aca="false">IF(Inputs!$E$219=0,0,D248/Inputs!$E$219)</f>
        <v>0</v>
      </c>
      <c r="F259" s="278"/>
      <c r="G259" s="278"/>
      <c r="H259" s="278"/>
      <c r="I259" s="278"/>
      <c r="J259" s="278"/>
      <c r="K259" s="278"/>
      <c r="L259" s="278"/>
      <c r="M259" s="278"/>
      <c r="N259" s="278"/>
      <c r="O259" s="278"/>
      <c r="P259" s="278"/>
      <c r="Q259" s="278"/>
      <c r="R259" s="278"/>
      <c r="S259" s="278"/>
      <c r="T259" s="278"/>
      <c r="U259" s="278"/>
      <c r="V259" s="278"/>
      <c r="W259" s="278"/>
      <c r="X259" s="278"/>
      <c r="Y259" s="278"/>
      <c r="Z259" s="278"/>
      <c r="AA259" s="278"/>
      <c r="AB259" s="278"/>
      <c r="AC259" s="278"/>
      <c r="AD259" s="278"/>
      <c r="AE259" s="278"/>
      <c r="AF259" s="278"/>
      <c r="AG259" s="278"/>
      <c r="AH259" s="278"/>
      <c r="AI259" s="278"/>
      <c r="AJ259" s="278"/>
      <c r="AK259" s="278"/>
      <c r="AL259" s="278"/>
      <c r="AM259" s="278"/>
      <c r="AN259" s="278"/>
      <c r="AO259" s="278"/>
      <c r="AP259" s="278"/>
      <c r="AQ259" s="278"/>
    </row>
    <row r="260" customFormat="false" ht="15" hidden="false" customHeight="false" outlineLevel="0" collapsed="false">
      <c r="C260" s="0" t="s">
        <v>1402</v>
      </c>
      <c r="D260" s="0" t="s">
        <v>125</v>
      </c>
      <c r="E260" s="146"/>
      <c r="F260" s="146"/>
      <c r="G260" s="146"/>
      <c r="H260" s="146" t="n">
        <f aca="false">H$70+H$16-(-$G$30+$E$259*$G$79+$E$258)/$E$92*H$90-$E$259*H$81+$E$259*H$85</f>
        <v>-88.6216216216216</v>
      </c>
      <c r="I260" s="146" t="n">
        <f aca="false">I$70+I$16-(-$G$30+$E$259*$G$79+$E$258)/$E$92*I$90-$E$259*I$81+$E$259*I$85</f>
        <v>-428.165540540541</v>
      </c>
      <c r="J260" s="146" t="n">
        <f aca="false">J$70+J$16-(-$G$30+$E$259*$G$79+$E$258)/$E$92*J$90-$E$259*J$81+$E$259*J$85</f>
        <v>-876.865528442527</v>
      </c>
      <c r="K260" s="146" t="n">
        <f aca="false">K$70+K$16-(-$G$30+$E$259*$G$79+$E$258)/$E$92*K$90-$E$259*K$81+$E$259*K$85</f>
        <v>-355.673485903496</v>
      </c>
      <c r="L260" s="146" t="n">
        <f aca="false">L$70+L$16-(-$G$30+$E$259*$G$79+$E$258)/$E$92*L$90-$E$259*L$81+$E$259*L$85</f>
        <v>-417.643902439025</v>
      </c>
      <c r="M260" s="146" t="n">
        <f aca="false">M$70+M$16-(-$G$30+$E$259*$G$79+$E$258)/$E$92*M$90-$E$259*M$81+$E$259*M$85</f>
        <v>9564.43057752909</v>
      </c>
      <c r="N260" s="146" t="n">
        <f aca="false">N$70+N$16-(-$G$30+$E$259*$G$79+$E$258)/$E$92*N$90-$E$259*N$81+$E$259*N$85</f>
        <v>12132.3471811025</v>
      </c>
      <c r="O260" s="146" t="n">
        <f aca="false">O$70+O$16-(-$G$30+$E$259*$G$79+$E$258)/$E$92*O$90-$E$259*O$81+$E$259*O$85</f>
        <v>12192.2214273655</v>
      </c>
      <c r="P260" s="146" t="n">
        <f aca="false">P$70+P$16-(-$G$30+$E$259*$G$79+$E$258)/$E$92*P$90-$E$259*P$81+$E$259*P$85</f>
        <v>12250.2724173284</v>
      </c>
      <c r="Q260" s="146" t="n">
        <f aca="false">Q$70+Q$16-(-$G$30+$E$259*$G$79+$E$258)/$E$92*Q$90-$E$259*Q$81+$E$259*Q$85</f>
        <v>12306.433808757</v>
      </c>
      <c r="R260" s="146" t="n">
        <f aca="false">R$70+R$16-(-$G$30+$E$259*$G$79+$E$258)/$E$92*R$90-$E$259*R$81+$E$259*R$85</f>
        <v>12360.6374895694</v>
      </c>
      <c r="S260" s="146" t="n">
        <f aca="false">S$70+S$16-(-$G$30+$E$259*$G$79+$E$258)/$E$92*S$90-$E$259*S$81+$E$259*S$85</f>
        <v>12412.813533603</v>
      </c>
      <c r="T260" s="146" t="n">
        <f aca="false">T$70+T$16-(-$G$30+$E$259*$G$79+$E$258)/$E$92*T$90-$E$259*T$81+$E$259*T$85</f>
        <v>12462.8901552925</v>
      </c>
      <c r="U260" s="146" t="n">
        <f aca="false">U$70+U$16-(-$G$30+$E$259*$G$79+$E$258)/$E$92*U$90-$E$259*U$81+$E$259*U$85</f>
        <v>12510.7936632337</v>
      </c>
      <c r="V260" s="146" t="n">
        <f aca="false">V$70+V$16-(-$G$30+$E$259*$G$79+$E$258)/$E$92*V$90-$E$259*V$81+$E$259*V$85</f>
        <v>12556.448412603</v>
      </c>
      <c r="W260" s="146" t="n">
        <f aca="false">W$70+W$16-(-$G$30+$E$259*$G$79+$E$258)/$E$92*W$90-$E$259*W$81+$E$259*W$85</f>
        <v>12599.7767564075</v>
      </c>
      <c r="X260" s="146" t="n">
        <f aca="false">X$70+X$16-(-$G$30+$E$259*$G$79+$E$258)/$E$92*X$90-$E$259*X$81+$E$259*X$85</f>
        <v>12640.6989955351</v>
      </c>
      <c r="Y260" s="146" t="n">
        <f aca="false">Y$70+Y$16-(-$G$30+$E$259*$G$79+$E$258)/$E$92*Y$90-$E$259*Y$81+$E$259*Y$85</f>
        <v>12679.1333275753</v>
      </c>
      <c r="Z260" s="146" t="n">
        <f aca="false">Z$70+Z$16-(-$G$30+$E$259*$G$79+$E$258)/$E$92*Z$90-$E$259*Z$81+$E$259*Z$85</f>
        <v>12714.9957943819</v>
      </c>
      <c r="AA260" s="146" t="n">
        <f aca="false">AA$70+AA$16-(-$G$30+$E$259*$G$79+$E$258)/$E$92*AA$90-$E$259*AA$81+$E$259*AA$85</f>
        <v>12748.2002283443</v>
      </c>
      <c r="AB260" s="146" t="n">
        <f aca="false">AB$70+AB$16-(-$G$30+$E$259*$G$79+$E$258)/$E$92*AB$90-$E$259*AB$81+$E$259*AB$85</f>
        <v>12778.6581973386</v>
      </c>
      <c r="AC260" s="146" t="n">
        <f aca="false">AC$70+AC$16-(-$G$30+$E$259*$G$79+$E$258)/$E$92*AC$90-$E$259*AC$81+$E$259*AC$85</f>
        <v>12806.2789483236</v>
      </c>
      <c r="AD260" s="146" t="n">
        <f aca="false">AD$70+AD$16-(-$G$30+$E$259*$G$79+$E$258)/$E$92*AD$90-$E$259*AD$81+$E$259*AD$85</f>
        <v>12830.9693495497</v>
      </c>
      <c r="AE260" s="146" t="n">
        <f aca="false">AE$70+AE$16-(-$G$30+$E$259*$G$79+$E$258)/$E$92*AE$90-$E$259*AE$81+$E$259*AE$85</f>
        <v>12852.6338313465</v>
      </c>
      <c r="AF260" s="146" t="n">
        <f aca="false">AF$70+AF$16-(-$G$30+$E$259*$G$79+$E$258)/$E$92*AF$90-$E$259*AF$81+$E$259*AF$85</f>
        <v>12871.1743254542</v>
      </c>
      <c r="AG260" s="146" t="n">
        <f aca="false">AG$70+AG$16-(-$G$30+$E$259*$G$79+$E$258)/$E$92*AG$90-$E$259*AG$81+$E$259*AG$85</f>
        <v>17036.9933279994</v>
      </c>
      <c r="AH260" s="146" t="n">
        <f aca="false">AH$70+AH$16-(-$G$30+$E$259*$G$79+$E$258)/$E$92*AH$90-$E$259*AH$81+$E$259*AH$85</f>
        <v>21199.4844603948</v>
      </c>
      <c r="AI260" s="146" t="n">
        <f aca="false">AI$70+AI$16-(-$G$30+$E$259*$G$79+$E$258)/$E$92*AI$90-$E$259*AI$81+$E$259*AI$85</f>
        <v>21208.0386543575</v>
      </c>
      <c r="AJ260" s="146" t="n">
        <f aca="false">AJ$70+AJ$16-(-$G$30+$E$259*$G$79+$E$258)/$E$92*AJ$90-$E$259*AJ$81+$E$259*AJ$85</f>
        <v>21213.0503353224</v>
      </c>
      <c r="AK260" s="146" t="n">
        <f aca="false">AK$70+AK$16-(-$G$30+$E$259*$G$79+$E$258)/$E$92*AK$90-$E$259*AK$81+$E$259*AK$85</f>
        <v>21214.4079785268</v>
      </c>
      <c r="AL260" s="146" t="n">
        <f aca="false">AL$70+AL$16-(-$G$30+$E$259*$G$79+$E$258)/$E$92*AL$90-$E$259*AL$81+$E$259*AL$85</f>
        <v>21211.9971639586</v>
      </c>
      <c r="AM260" s="146" t="n">
        <f aca="false">AM$70+AM$16-(-$G$30+$E$259*$G$79+$E$258)/$E$92*AM$90-$E$259*AM$81+$E$259*AM$85</f>
        <v>21205.7005044412</v>
      </c>
      <c r="AN260" s="146" t="n">
        <f aca="false">AN$70+AN$16-(-$G$30+$E$259*$G$79+$E$258)/$E$92*AN$90-$E$259*AN$81+$E$259*AN$85</f>
        <v>21195.3975719509</v>
      </c>
      <c r="AO260" s="146" t="n">
        <f aca="false">AO$70+AO$16-(-$G$30+$E$259*$G$79+$E$258)/$E$92*AO$90-$E$259*AO$81+$E$259*AO$85</f>
        <v>21180.9648221222</v>
      </c>
      <c r="AP260" s="146" t="n">
        <f aca="false">AP$70+AP$16-(-$G$30+$E$259*$G$79+$E$258)/$E$92*AP$90-$E$259*AP$81+$E$259*AP$85</f>
        <v>21162.2755168973</v>
      </c>
      <c r="AQ260" s="146" t="n">
        <f aca="false">AQ$70+AQ$16-(-$G$30+$E$259*$G$79+$E$258)/$E$92*AQ$90-$E$259*AQ$81+$E$259*AQ$85</f>
        <v>10569.599822637</v>
      </c>
    </row>
    <row r="261" customFormat="false" ht="15" hidden="false" customHeight="false" outlineLevel="0" collapsed="false">
      <c r="C261" s="0" t="s">
        <v>1275</v>
      </c>
      <c r="D261" s="0" t="s">
        <v>125</v>
      </c>
      <c r="E261" s="146"/>
      <c r="F261" s="146"/>
      <c r="G261" s="146" t="n">
        <v>0</v>
      </c>
      <c r="H261" s="146" t="n">
        <f aca="false">G261+MAX(-H260,0)-MIN(G261,MAX(H260,0)*$E$95)</f>
        <v>88.6216216216216</v>
      </c>
      <c r="I261" s="146" t="n">
        <f aca="false">H261+MAX(-I260,0)-MIN(H261,MAX(I260,0)*$E$95)</f>
        <v>516.787162162162</v>
      </c>
      <c r="J261" s="146" t="n">
        <f aca="false">I261+MAX(-J260,0)-MIN(I261,MAX(J260,0)*$E$95)</f>
        <v>1393.65269060469</v>
      </c>
      <c r="K261" s="146" t="n">
        <f aca="false">J261+MAX(-K260,0)-MIN(J261,MAX(K260,0)*$E$95)</f>
        <v>1749.32617650819</v>
      </c>
      <c r="L261" s="146" t="n">
        <f aca="false">K261+MAX(-L260,0)-MIN(K261,MAX(L260,0)*$E$95)</f>
        <v>2166.97007894721</v>
      </c>
      <c r="M261" s="146" t="n">
        <f aca="false">L261+MAX(-M260,0)-MIN(L261,MAX(M260,0)*$E$95)</f>
        <v>0</v>
      </c>
      <c r="N261" s="146" t="n">
        <f aca="false">M261+MAX(-N260,0)-MIN(M261,MAX(N260,0)*$E$95)</f>
        <v>0</v>
      </c>
      <c r="O261" s="146" t="n">
        <f aca="false">N261+MAX(-O260,0)-MIN(N261,MAX(O260,0)*$E$95)</f>
        <v>0</v>
      </c>
      <c r="P261" s="146" t="n">
        <f aca="false">O261+MAX(-P260,0)-MIN(O261,MAX(P260,0)*$E$95)</f>
        <v>0</v>
      </c>
      <c r="Q261" s="146" t="n">
        <f aca="false">P261+MAX(-Q260,0)-MIN(P261,MAX(Q260,0)*$E$95)</f>
        <v>0</v>
      </c>
      <c r="R261" s="146" t="n">
        <f aca="false">Q261+MAX(-R260,0)-MIN(Q261,MAX(R260,0)*$E$95)</f>
        <v>0</v>
      </c>
      <c r="S261" s="146" t="n">
        <f aca="false">R261+MAX(-S260,0)-MIN(R261,MAX(S260,0)*$E$95)</f>
        <v>0</v>
      </c>
      <c r="T261" s="146" t="n">
        <f aca="false">S261+MAX(-T260,0)-MIN(S261,MAX(T260,0)*$E$95)</f>
        <v>0</v>
      </c>
      <c r="U261" s="146" t="n">
        <f aca="false">T261+MAX(-U260,0)-MIN(T261,MAX(U260,0)*$E$95)</f>
        <v>0</v>
      </c>
      <c r="V261" s="146" t="n">
        <f aca="false">U261+MAX(-V260,0)-MIN(U261,MAX(V260,0)*$E$95)</f>
        <v>0</v>
      </c>
      <c r="W261" s="146" t="n">
        <f aca="false">V261+MAX(-W260,0)-MIN(V261,MAX(W260,0)*$E$95)</f>
        <v>0</v>
      </c>
      <c r="X261" s="146" t="n">
        <f aca="false">W261+MAX(-X260,0)-MIN(W261,MAX(X260,0)*$E$95)</f>
        <v>0</v>
      </c>
      <c r="Y261" s="146" t="n">
        <f aca="false">X261+MAX(-Y260,0)-MIN(X261,MAX(Y260,0)*$E$95)</f>
        <v>0</v>
      </c>
      <c r="Z261" s="146" t="n">
        <f aca="false">Y261+MAX(-Z260,0)-MIN(Y261,MAX(Z260,0)*$E$95)</f>
        <v>0</v>
      </c>
      <c r="AA261" s="146" t="n">
        <f aca="false">Z261+MAX(-AA260,0)-MIN(Z261,MAX(AA260,0)*$E$95)</f>
        <v>0</v>
      </c>
      <c r="AB261" s="146" t="n">
        <f aca="false">AA261+MAX(-AB260,0)-MIN(AA261,MAX(AB260,0)*$E$95)</f>
        <v>0</v>
      </c>
      <c r="AC261" s="146" t="n">
        <f aca="false">AB261+MAX(-AC260,0)-MIN(AB261,MAX(AC260,0)*$E$95)</f>
        <v>0</v>
      </c>
      <c r="AD261" s="146" t="n">
        <f aca="false">AC261+MAX(-AD260,0)-MIN(AC261,MAX(AD260,0)*$E$95)</f>
        <v>0</v>
      </c>
      <c r="AE261" s="146" t="n">
        <f aca="false">AD261+MAX(-AE260,0)-MIN(AD261,MAX(AE260,0)*$E$95)</f>
        <v>0</v>
      </c>
      <c r="AF261" s="146" t="n">
        <f aca="false">AE261+MAX(-AF260,0)-MIN(AE261,MAX(AF260,0)*$E$95)</f>
        <v>0</v>
      </c>
      <c r="AG261" s="146" t="n">
        <f aca="false">AF261+MAX(-AG260,0)-MIN(AF261,MAX(AG260,0)*$E$95)</f>
        <v>0</v>
      </c>
      <c r="AH261" s="146" t="n">
        <f aca="false">AG261+MAX(-AH260,0)-MIN(AG261,MAX(AH260,0)*$E$95)</f>
        <v>0</v>
      </c>
      <c r="AI261" s="146" t="n">
        <f aca="false">AH261+MAX(-AI260,0)-MIN(AH261,MAX(AI260,0)*$E$95)</f>
        <v>0</v>
      </c>
      <c r="AJ261" s="146" t="n">
        <f aca="false">AI261+MAX(-AJ260,0)-MIN(AI261,MAX(AJ260,0)*$E$95)</f>
        <v>0</v>
      </c>
      <c r="AK261" s="146" t="n">
        <f aca="false">AJ261+MAX(-AK260,0)-MIN(AJ261,MAX(AK260,0)*$E$95)</f>
        <v>0</v>
      </c>
      <c r="AL261" s="146" t="n">
        <f aca="false">AK261+MAX(-AL260,0)-MIN(AK261,MAX(AL260,0)*$E$95)</f>
        <v>0</v>
      </c>
      <c r="AM261" s="146" t="n">
        <f aca="false">AL261+MAX(-AM260,0)-MIN(AL261,MAX(AM260,0)*$E$95)</f>
        <v>0</v>
      </c>
      <c r="AN261" s="146" t="n">
        <f aca="false">AM261+MAX(-AN260,0)-MIN(AM261,MAX(AN260,0)*$E$95)</f>
        <v>0</v>
      </c>
      <c r="AO261" s="146" t="n">
        <f aca="false">AN261+MAX(-AO260,0)-MIN(AN261,MAX(AO260,0)*$E$95)</f>
        <v>0</v>
      </c>
      <c r="AP261" s="146" t="n">
        <f aca="false">AO261+MAX(-AP260,0)-MIN(AO261,MAX(AP260,0)*$E$95)</f>
        <v>0</v>
      </c>
      <c r="AQ261" s="146" t="n">
        <f aca="false">AP261+MAX(-AQ260,0)-MIN(AP261,MAX(AQ260,0)*$E$95)</f>
        <v>0</v>
      </c>
    </row>
    <row r="262" customFormat="false" ht="15" hidden="false" customHeight="false" outlineLevel="0" collapsed="false">
      <c r="C262" s="0" t="s">
        <v>1403</v>
      </c>
      <c r="D262" s="0" t="s">
        <v>125</v>
      </c>
      <c r="E262" s="146"/>
      <c r="F262" s="146"/>
      <c r="G262" s="146"/>
      <c r="H262" s="146" t="n">
        <f aca="false">-(MAX(H260,0)-MIN(G261,MAX(H260,0)*$E$95))*$E$91-MAX(H260,0)*$E$99</f>
        <v>-0</v>
      </c>
      <c r="I262" s="146" t="n">
        <f aca="false">-(MAX(I260,0)-MIN(H261,MAX(I260,0)*$E$95))*$E$91-MAX(I260,0)*$E$99</f>
        <v>-0</v>
      </c>
      <c r="J262" s="146" t="n">
        <f aca="false">-(MAX(J260,0)-MIN(I261,MAX(J260,0)*$E$95))*$E$91-MAX(J260,0)*$E$99</f>
        <v>-0</v>
      </c>
      <c r="K262" s="146" t="n">
        <f aca="false">-(MAX(K260,0)-MIN(J261,MAX(K260,0)*$E$95))*$E$91-MAX(K260,0)*$E$99</f>
        <v>-0</v>
      </c>
      <c r="L262" s="146" t="n">
        <f aca="false">-(MAX(L260,0)-MIN(K261,MAX(L260,0)*$E$95))*$E$91-MAX(L260,0)*$E$99</f>
        <v>-0</v>
      </c>
      <c r="M262" s="146" t="n">
        <f aca="false">-(MAX(M260,0)-MIN(L261,MAX(M260,0)*$E$95))*$E$91-MAX(M260,0)*$E$99</f>
        <v>-1109.61907478728</v>
      </c>
      <c r="N262" s="146" t="n">
        <f aca="false">-(MAX(N260,0)-MIN(M261,MAX(N260,0)*$E$95))*$E$91-MAX(N260,0)*$E$99</f>
        <v>-1819.85207716538</v>
      </c>
      <c r="O262" s="146" t="n">
        <f aca="false">-(MAX(O260,0)-MIN(N261,MAX(O260,0)*$E$95))*$E$91-MAX(O260,0)*$E$99</f>
        <v>-1828.83321410483</v>
      </c>
      <c r="P262" s="146" t="n">
        <f aca="false">-(MAX(P260,0)-MIN(O261,MAX(P260,0)*$E$95))*$E$91-MAX(P260,0)*$E$99</f>
        <v>-1837.54086259926</v>
      </c>
      <c r="Q262" s="146" t="n">
        <f aca="false">-(MAX(Q260,0)-MIN(P261,MAX(Q260,0)*$E$95))*$E$91-MAX(Q260,0)*$E$99</f>
        <v>-1845.96507131355</v>
      </c>
      <c r="R262" s="146" t="n">
        <f aca="false">-(MAX(R260,0)-MIN(Q261,MAX(R260,0)*$E$95))*$E$91-MAX(R260,0)*$E$99</f>
        <v>-1854.09562343541</v>
      </c>
      <c r="S262" s="146" t="n">
        <f aca="false">-(MAX(S260,0)-MIN(R261,MAX(S260,0)*$E$95))*$E$91-MAX(S260,0)*$E$99</f>
        <v>-1861.92203004045</v>
      </c>
      <c r="T262" s="146" t="n">
        <f aca="false">-(MAX(T260,0)-MIN(S261,MAX(T260,0)*$E$95))*$E$91-MAX(T260,0)*$E$99</f>
        <v>-1869.43352329388</v>
      </c>
      <c r="U262" s="146" t="n">
        <f aca="false">-(MAX(U260,0)-MIN(T261,MAX(U260,0)*$E$95))*$E$91-MAX(U260,0)*$E$99</f>
        <v>-1876.61904948506</v>
      </c>
      <c r="V262" s="146" t="n">
        <f aca="false">-(MAX(V260,0)-MIN(U261,MAX(V260,0)*$E$95))*$E$91-MAX(V260,0)*$E$99</f>
        <v>-1883.46726189045</v>
      </c>
      <c r="W262" s="146" t="n">
        <f aca="false">-(MAX(W260,0)-MIN(V261,MAX(W260,0)*$E$95))*$E$91-MAX(W260,0)*$E$99</f>
        <v>-1889.96651346113</v>
      </c>
      <c r="X262" s="146" t="n">
        <f aca="false">-(MAX(X260,0)-MIN(W261,MAX(X260,0)*$E$95))*$E$91-MAX(X260,0)*$E$99</f>
        <v>-1896.10484933026</v>
      </c>
      <c r="Y262" s="146" t="n">
        <f aca="false">-(MAX(Y260,0)-MIN(X261,MAX(Y260,0)*$E$95))*$E$91-MAX(Y260,0)*$E$99</f>
        <v>-1901.8699991363</v>
      </c>
      <c r="Z262" s="146" t="n">
        <f aca="false">-(MAX(Z260,0)-MIN(Y261,MAX(Z260,0)*$E$95))*$E$91-MAX(Z260,0)*$E$99</f>
        <v>-1907.24936915728</v>
      </c>
      <c r="AA262" s="146" t="n">
        <f aca="false">-(MAX(AA260,0)-MIN(Z261,MAX(AA260,0)*$E$95))*$E$91-MAX(AA260,0)*$E$99</f>
        <v>-1912.23003425164</v>
      </c>
      <c r="AB262" s="146" t="n">
        <f aca="false">-(MAX(AB260,0)-MIN(AA261,MAX(AB260,0)*$E$95))*$E$91-MAX(AB260,0)*$E$99</f>
        <v>-1916.79872960079</v>
      </c>
      <c r="AC262" s="146" t="n">
        <f aca="false">-(MAX(AC260,0)-MIN(AB261,MAX(AC260,0)*$E$95))*$E$91-MAX(AC260,0)*$E$99</f>
        <v>-1920.94184224854</v>
      </c>
      <c r="AD262" s="146" t="n">
        <f aca="false">-(MAX(AD260,0)-MIN(AC261,MAX(AD260,0)*$E$95))*$E$91-MAX(AD260,0)*$E$99</f>
        <v>-1924.64540243245</v>
      </c>
      <c r="AE262" s="146" t="n">
        <f aca="false">-(MAX(AE260,0)-MIN(AD261,MAX(AE260,0)*$E$95))*$E$91-MAX(AE260,0)*$E$99</f>
        <v>-1927.89507470198</v>
      </c>
      <c r="AF262" s="146" t="n">
        <f aca="false">-(MAX(AF260,0)-MIN(AE261,MAX(AF260,0)*$E$95))*$E$91-MAX(AF260,0)*$E$99</f>
        <v>-1930.67614881813</v>
      </c>
      <c r="AG262" s="146" t="n">
        <f aca="false">-(MAX(AG260,0)-MIN(AF261,MAX(AG260,0)*$E$95))*$E$91-MAX(AG260,0)*$E$99</f>
        <v>-2555.54899919991</v>
      </c>
      <c r="AH262" s="146" t="n">
        <f aca="false">-(MAX(AH260,0)-MIN(AG261,MAX(AH260,0)*$E$95))*$E$91-MAX(AH260,0)*$E$99</f>
        <v>-3179.92266905922</v>
      </c>
      <c r="AI262" s="146" t="n">
        <f aca="false">-(MAX(AI260,0)-MIN(AH261,MAX(AI260,0)*$E$95))*$E$91-MAX(AI260,0)*$E$99</f>
        <v>-3181.20579815362</v>
      </c>
      <c r="AJ262" s="146" t="n">
        <f aca="false">-(MAX(AJ260,0)-MIN(AI261,MAX(AJ260,0)*$E$95))*$E$91-MAX(AJ260,0)*$E$99</f>
        <v>-3181.95755029835</v>
      </c>
      <c r="AK262" s="146" t="n">
        <f aca="false">-(MAX(AK260,0)-MIN(AJ261,MAX(AK260,0)*$E$95))*$E$91-MAX(AK260,0)*$E$99</f>
        <v>-3182.16119677902</v>
      </c>
      <c r="AL262" s="146" t="n">
        <f aca="false">-(MAX(AL260,0)-MIN(AK261,MAX(AL260,0)*$E$95))*$E$91-MAX(AL260,0)*$E$99</f>
        <v>-3181.79957459379</v>
      </c>
      <c r="AM262" s="146" t="n">
        <f aca="false">-(MAX(AM260,0)-MIN(AL261,MAX(AM260,0)*$E$95))*$E$91-MAX(AM260,0)*$E$99</f>
        <v>-3180.85507566618</v>
      </c>
      <c r="AN262" s="146" t="n">
        <f aca="false">-(MAX(AN260,0)-MIN(AM261,MAX(AN260,0)*$E$95))*$E$91-MAX(AN260,0)*$E$99</f>
        <v>-3179.30963579264</v>
      </c>
      <c r="AO262" s="146" t="n">
        <f aca="false">-(MAX(AO260,0)-MIN(AN261,MAX(AO260,0)*$E$95))*$E$91-MAX(AO260,0)*$E$99</f>
        <v>-3177.14472331833</v>
      </c>
      <c r="AP262" s="146" t="n">
        <f aca="false">-(MAX(AP260,0)-MIN(AO261,MAX(AP260,0)*$E$95))*$E$91-MAX(AP260,0)*$E$99</f>
        <v>-3174.3413275346</v>
      </c>
      <c r="AQ262" s="146" t="n">
        <f aca="false">-(MAX(AQ260,0)-MIN(AP261,MAX(AQ260,0)*$E$95))*$E$91-MAX(AQ260,0)*$E$99</f>
        <v>-1585.43997339554</v>
      </c>
    </row>
    <row r="263" customFormat="false" ht="15" hidden="false" customHeight="false" outlineLevel="0" collapsed="false">
      <c r="C263" s="0" t="s">
        <v>1297</v>
      </c>
      <c r="D263" s="0" t="s">
        <v>125</v>
      </c>
      <c r="E263" s="146"/>
      <c r="F263" s="146"/>
      <c r="G263" s="146"/>
      <c r="H263" s="146" t="n">
        <f aca="false">(H$109+$E$259*(H$77+H$85-H$80+H$86-H$87+H$89)+H262)*$E$128</f>
        <v>-1570.61764901888</v>
      </c>
      <c r="I263" s="146" t="n">
        <f aca="false">(I$109+$E$259*(I$77+I$85-I$80+I$86-I$87+I$89)+I262)*$E$128</f>
        <v>-778.738143280267</v>
      </c>
      <c r="J263" s="146" t="n">
        <f aca="false">(J$109+$E$259*(J$77+J$85-J$80+J$86-J$87+J$89)+J262)*$E$128</f>
        <v>-1227.43813118225</v>
      </c>
      <c r="K263" s="146" t="n">
        <f aca="false">(K$109+$E$259*(K$77+K$85-K$80+K$86-K$87+K$89)+K262)*$E$128</f>
        <v>-61051.8514670827</v>
      </c>
      <c r="L263" s="146" t="n">
        <f aca="false">(L$109+$E$259*(L$77+L$85-L$80+L$86-L$87+L$89)+L262)*$E$128</f>
        <v>-70920.3290051788</v>
      </c>
      <c r="M263" s="146" t="n">
        <f aca="false">(M$109+$E$259*(M$77+M$85-M$80+M$86-M$87+M$89)+M262)*$E$128</f>
        <v>-27356.290861425</v>
      </c>
      <c r="N263" s="146" t="n">
        <f aca="false">(N$109+$E$259*(N$77+N$85-N$80+N$86-N$87+N$89)+N262)*$E$128</f>
        <v>18613.5013542111</v>
      </c>
      <c r="O263" s="146" t="n">
        <f aca="false">(O$109+$E$259*(O$77+O$85-O$80+O$86-O$87+O$89)+O262)*$E$128</f>
        <v>18664.3944635347</v>
      </c>
      <c r="P263" s="146" t="n">
        <f aca="false">(P$109+$E$259*(P$77+P$85-P$80+P$86-P$87+P$89)+P262)*$E$128</f>
        <v>18713.7378050031</v>
      </c>
      <c r="Q263" s="146" t="n">
        <f aca="false">(Q$109+$E$259*(Q$77+Q$85-Q$80+Q$86-Q$87+Q$89)+Q262)*$E$128</f>
        <v>18761.4749877174</v>
      </c>
      <c r="R263" s="146" t="n">
        <f aca="false">(R$109+$E$259*(R$77+R$85-R$80+R$86-R$87+R$89)+R262)*$E$128</f>
        <v>18807.548116408</v>
      </c>
      <c r="S263" s="146" t="n">
        <f aca="false">(S$109+$E$259*(S$77+S$85-S$80+S$86-S$87+S$89)+S262)*$E$128</f>
        <v>18851.8977538365</v>
      </c>
      <c r="T263" s="146" t="n">
        <f aca="false">(T$109+$E$259*(T$77+T$85-T$80+T$86-T$87+T$89)+T262)*$E$128</f>
        <v>18894.4628822726</v>
      </c>
      <c r="U263" s="146" t="n">
        <f aca="false">(U$109+$E$259*(U$77+U$85-U$80+U$86-U$87+U$89)+U262)*$E$128</f>
        <v>18935.1808640226</v>
      </c>
      <c r="V263" s="146" t="n">
        <f aca="false">(V$109+$E$259*(V$77+V$85-V$80+V$86-V$87+V$89)+V262)*$E$128</f>
        <v>18973.9874009865</v>
      </c>
      <c r="W263" s="146" t="n">
        <f aca="false">(W$109+$E$259*(W$77+W$85-W$80+W$86-W$87+W$89)+W262)*$E$128</f>
        <v>19010.8164932204</v>
      </c>
      <c r="X263" s="146" t="n">
        <f aca="false">(X$109+$E$259*(X$77+X$85-X$80+X$86-X$87+X$89)+X262)*$E$128</f>
        <v>19045.6003964788</v>
      </c>
      <c r="Y263" s="146" t="n">
        <f aca="false">(Y$109+$E$259*(Y$77+Y$85-Y$80+Y$86-Y$87+Y$89)+Y262)*$E$128</f>
        <v>19078.269578713</v>
      </c>
      <c r="Z263" s="146" t="n">
        <f aca="false">(Z$109+$E$259*(Z$77+Z$85-Z$80+Z$86-Z$87+Z$89)+Z262)*$E$128</f>
        <v>19108.7526754986</v>
      </c>
      <c r="AA263" s="146" t="n">
        <f aca="false">(AA$109+$E$259*(AA$77+AA$85-AA$80+AA$86-AA$87+AA$89)+AA262)*$E$128</f>
        <v>19136.9764443666</v>
      </c>
      <c r="AB263" s="146" t="n">
        <f aca="false">(AB$109+$E$259*(AB$77+AB$85-AB$80+AB$86-AB$87+AB$89)+AB262)*$E$128</f>
        <v>19162.8657180118</v>
      </c>
      <c r="AC263" s="146" t="n">
        <f aca="false">(AC$109+$E$259*(AC$77+AC$85-AC$80+AC$86-AC$87+AC$89)+AC262)*$E$128</f>
        <v>19186.343356349</v>
      </c>
      <c r="AD263" s="146" t="n">
        <f aca="false">(AD$109+$E$259*(AD$77+AD$85-AD$80+AD$86-AD$87+AD$89)+AD262)*$E$128</f>
        <v>19207.3301973912</v>
      </c>
      <c r="AE263" s="146" t="n">
        <f aca="false">(AE$109+$E$259*(AE$77+AE$85-AE$80+AE$86-AE$87+AE$89)+AE262)*$E$128</f>
        <v>19225.7450069185</v>
      </c>
      <c r="AF263" s="146" t="n">
        <f aca="false">(AF$109+$E$259*(AF$77+AF$85-AF$80+AF$86-AF$87+AF$89)+AF262)*$E$128</f>
        <v>19241.5044269101</v>
      </c>
      <c r="AG263" s="146" t="n">
        <f aca="false">(AG$109+$E$259*(AG$77+AG$85-AG$80+AG$86-AG$87+AG$89)+AG262)*$E$128</f>
        <v>18631.9474539365</v>
      </c>
      <c r="AH263" s="146" t="n">
        <f aca="false">(AH$109+$E$259*(AH$77+AH$85-AH$80+AH$86-AH$87+AH$89)+AH262)*$E$128</f>
        <v>18019.5617913356</v>
      </c>
      <c r="AI263" s="146" t="n">
        <f aca="false">(AI$109+$E$259*(AI$77+AI$85-AI$80+AI$86-AI$87+AI$89)+AI262)*$E$128</f>
        <v>18026.8328562038</v>
      </c>
      <c r="AJ263" s="146" t="n">
        <f aca="false">(AJ$109+$E$259*(AJ$77+AJ$85-AJ$80+AJ$86-AJ$87+AJ$89)+AJ262)*$E$128</f>
        <v>18031.092785024</v>
      </c>
      <c r="AK263" s="146" t="n">
        <f aca="false">(AK$109+$E$259*(AK$77+AK$85-AK$80+AK$86-AK$87+AK$89)+AK262)*$E$128</f>
        <v>18032.2467817478</v>
      </c>
      <c r="AL263" s="146" t="n">
        <f aca="false">(AL$109+$E$259*(AL$77+AL$85-AL$80+AL$86-AL$87+AL$89)+AL262)*$E$128</f>
        <v>18030.1975893648</v>
      </c>
      <c r="AM263" s="146" t="n">
        <f aca="false">(AM$109+$E$259*(AM$77+AM$85-AM$80+AM$86-AM$87+AM$89)+AM262)*$E$128</f>
        <v>18024.845428775</v>
      </c>
      <c r="AN263" s="146" t="n">
        <f aca="false">(AN$109+$E$259*(AN$77+AN$85-AN$80+AN$86-AN$87+AN$89)+AN262)*$E$128</f>
        <v>18016.0879361583</v>
      </c>
      <c r="AO263" s="146" t="n">
        <f aca="false">(AO$109+$E$259*(AO$77+AO$85-AO$80+AO$86-AO$87+AO$89)+AO262)*$E$128</f>
        <v>18003.8200988039</v>
      </c>
      <c r="AP263" s="146" t="n">
        <f aca="false">(AP$109+$E$259*(AP$77+AP$85-AP$80+AP$86-AP$87+AP$89)+AP262)*$E$128</f>
        <v>17987.9341893627</v>
      </c>
      <c r="AQ263" s="146" t="n">
        <f aca="false">(AQ$109+$E$259*(AQ$77+AQ$85-AQ$80+AQ$86-AQ$87+AQ$89)+AQ262)*$E$128</f>
        <v>4907.15984924141</v>
      </c>
    </row>
    <row r="264" customFormat="false" ht="15" hidden="false" customHeight="false" outlineLevel="0" collapsed="false">
      <c r="C264" s="0" t="s">
        <v>1294</v>
      </c>
      <c r="D264" s="0" t="s">
        <v>7</v>
      </c>
      <c r="E264" s="146"/>
      <c r="F264" s="146"/>
      <c r="G264" s="162"/>
      <c r="H264" s="162" t="str">
        <f aca="false">IF(AND(H$9&gt;=1,H$86&lt;-0.01,$E$259&gt;0),(H$70+H262)/(-$E$259*H$86),"")</f>
        <v/>
      </c>
      <c r="I264" s="162" t="str">
        <f aca="false">IF(AND(I$9&gt;=1,I$86&lt;-0.01,$E$259&gt;0),(I$70+I262)/(-$E$259*I$86),"")</f>
        <v/>
      </c>
      <c r="J264" s="162" t="str">
        <f aca="false">IF(AND(J$9&gt;=1,J$86&lt;-0.01,$E$259&gt;0),(J$70+J262)/(-$E$259*J$86),"")</f>
        <v/>
      </c>
      <c r="K264" s="162" t="str">
        <f aca="false">IF(AND(K$9&gt;=1,K$86&lt;-0.01,$E$259&gt;0),(K$70+K262)/(-$E$259*K$86),"")</f>
        <v/>
      </c>
      <c r="L264" s="162" t="str">
        <f aca="false">IF(AND(L$9&gt;=1,L$86&lt;-0.01,$E$259&gt;0),(L$70+L262)/(-$E$259*L$86),"")</f>
        <v/>
      </c>
      <c r="M264" s="162" t="str">
        <f aca="false">IF(AND(M$9&gt;=1,M$86&lt;-0.01,$E$259&gt;0),(M$70+M262)/(-$E$259*M$86),"")</f>
        <v/>
      </c>
      <c r="N264" s="162" t="str">
        <f aca="false">IF(AND(N$9&gt;=1,N$86&lt;-0.01,$E$259&gt;0),(N$70+N262)/(-$E$259*N$86),"")</f>
        <v/>
      </c>
      <c r="O264" s="162" t="str">
        <f aca="false">IF(AND(O$9&gt;=1,O$86&lt;-0.01,$E$259&gt;0),(O$70+O262)/(-$E$259*O$86),"")</f>
        <v/>
      </c>
      <c r="P264" s="162" t="str">
        <f aca="false">IF(AND(P$9&gt;=1,P$86&lt;-0.01,$E$259&gt;0),(P$70+P262)/(-$E$259*P$86),"")</f>
        <v/>
      </c>
      <c r="Q264" s="162" t="str">
        <f aca="false">IF(AND(Q$9&gt;=1,Q$86&lt;-0.01,$E$259&gt;0),(Q$70+Q262)/(-$E$259*Q$86),"")</f>
        <v/>
      </c>
      <c r="R264" s="162" t="str">
        <f aca="false">IF(AND(R$9&gt;=1,R$86&lt;-0.01,$E$259&gt;0),(R$70+R262)/(-$E$259*R$86),"")</f>
        <v/>
      </c>
      <c r="S264" s="162" t="str">
        <f aca="false">IF(AND(S$9&gt;=1,S$86&lt;-0.01,$E$259&gt;0),(S$70+S262)/(-$E$259*S$86),"")</f>
        <v/>
      </c>
      <c r="T264" s="162" t="str">
        <f aca="false">IF(AND(T$9&gt;=1,T$86&lt;-0.01,$E$259&gt;0),(T$70+T262)/(-$E$259*T$86),"")</f>
        <v/>
      </c>
      <c r="U264" s="162" t="str">
        <f aca="false">IF(AND(U$9&gt;=1,U$86&lt;-0.01,$E$259&gt;0),(U$70+U262)/(-$E$259*U$86),"")</f>
        <v/>
      </c>
      <c r="V264" s="162" t="str">
        <f aca="false">IF(AND(V$9&gt;=1,V$86&lt;-0.01,$E$259&gt;0),(V$70+V262)/(-$E$259*V$86),"")</f>
        <v/>
      </c>
      <c r="W264" s="162" t="str">
        <f aca="false">IF(AND(W$9&gt;=1,W$86&lt;-0.01,$E$259&gt;0),(W$70+W262)/(-$E$259*W$86),"")</f>
        <v/>
      </c>
      <c r="X264" s="162" t="str">
        <f aca="false">IF(AND(X$9&gt;=1,X$86&lt;-0.01,$E$259&gt;0),(X$70+X262)/(-$E$259*X$86),"")</f>
        <v/>
      </c>
      <c r="Y264" s="162" t="str">
        <f aca="false">IF(AND(Y$9&gt;=1,Y$86&lt;-0.01,$E$259&gt;0),(Y$70+Y262)/(-$E$259*Y$86),"")</f>
        <v/>
      </c>
      <c r="Z264" s="162" t="str">
        <f aca="false">IF(AND(Z$9&gt;=1,Z$86&lt;-0.01,$E$259&gt;0),(Z$70+Z262)/(-$E$259*Z$86),"")</f>
        <v/>
      </c>
      <c r="AA264" s="162" t="str">
        <f aca="false">IF(AND(AA$9&gt;=1,AA$86&lt;-0.01,$E$259&gt;0),(AA$70+AA262)/(-$E$259*AA$86),"")</f>
        <v/>
      </c>
      <c r="AB264" s="162" t="str">
        <f aca="false">IF(AND(AB$9&gt;=1,AB$86&lt;-0.01,$E$259&gt;0),(AB$70+AB262)/(-$E$259*AB$86),"")</f>
        <v/>
      </c>
      <c r="AC264" s="162" t="str">
        <f aca="false">IF(AND(AC$9&gt;=1,AC$86&lt;-0.01,$E$259&gt;0),(AC$70+AC262)/(-$E$259*AC$86),"")</f>
        <v/>
      </c>
      <c r="AD264" s="162" t="str">
        <f aca="false">IF(AND(AD$9&gt;=1,AD$86&lt;-0.01,$E$259&gt;0),(AD$70+AD262)/(-$E$259*AD$86),"")</f>
        <v/>
      </c>
      <c r="AE264" s="162" t="str">
        <f aca="false">IF(AND(AE$9&gt;=1,AE$86&lt;-0.01,$E$259&gt;0),(AE$70+AE262)/(-$E$259*AE$86),"")</f>
        <v/>
      </c>
      <c r="AF264" s="162" t="str">
        <f aca="false">IF(AND(AF$9&gt;=1,AF$86&lt;-0.01,$E$259&gt;0),(AF$70+AF262)/(-$E$259*AF$86),"")</f>
        <v/>
      </c>
      <c r="AG264" s="162" t="str">
        <f aca="false">IF(AND(AG$9&gt;=1,AG$86&lt;-0.01,$E$259&gt;0),(AG$70+AG262)/(-$E$259*AG$86),"")</f>
        <v/>
      </c>
      <c r="AH264" s="162" t="str">
        <f aca="false">IF(AND(AH$9&gt;=1,AH$86&lt;-0.01,$E$259&gt;0),(AH$70+AH262)/(-$E$259*AH$86),"")</f>
        <v/>
      </c>
      <c r="AI264" s="162" t="str">
        <f aca="false">IF(AND(AI$9&gt;=1,AI$86&lt;-0.01,$E$259&gt;0),(AI$70+AI262)/(-$E$259*AI$86),"")</f>
        <v/>
      </c>
      <c r="AJ264" s="162" t="str">
        <f aca="false">IF(AND(AJ$9&gt;=1,AJ$86&lt;-0.01,$E$259&gt;0),(AJ$70+AJ262)/(-$E$259*AJ$86),"")</f>
        <v/>
      </c>
      <c r="AK264" s="162" t="str">
        <f aca="false">IF(AND(AK$9&gt;=1,AK$86&lt;-0.01,$E$259&gt;0),(AK$70+AK262)/(-$E$259*AK$86),"")</f>
        <v/>
      </c>
      <c r="AL264" s="162" t="str">
        <f aca="false">IF(AND(AL$9&gt;=1,AL$86&lt;-0.01,$E$259&gt;0),(AL$70+AL262)/(-$E$259*AL$86),"")</f>
        <v/>
      </c>
      <c r="AM264" s="162" t="str">
        <f aca="false">IF(AND(AM$9&gt;=1,AM$86&lt;-0.01,$E$259&gt;0),(AM$70+AM262)/(-$E$259*AM$86),"")</f>
        <v/>
      </c>
      <c r="AN264" s="162" t="str">
        <f aca="false">IF(AND(AN$9&gt;=1,AN$86&lt;-0.01,$E$259&gt;0),(AN$70+AN262)/(-$E$259*AN$86),"")</f>
        <v/>
      </c>
      <c r="AO264" s="162" t="str">
        <f aca="false">IF(AND(AO$9&gt;=1,AO$86&lt;-0.01,$E$259&gt;0),(AO$70+AO262)/(-$E$259*AO$86),"")</f>
        <v/>
      </c>
      <c r="AP264" s="162" t="str">
        <f aca="false">IF(AND(AP$9&gt;=1,AP$86&lt;-0.01,$E$259&gt;0),(AP$70+AP262)/(-$E$259*AP$86),"")</f>
        <v/>
      </c>
      <c r="AQ264" s="162" t="str">
        <f aca="false">IF(AND(AQ$9&gt;=1,AQ$86&lt;-0.01,$E$259&gt;0),(AQ$70+AQ262)/(-$E$259*AQ$86),"")</f>
        <v/>
      </c>
    </row>
    <row r="266" customFormat="false" ht="15" hidden="false" customHeight="false" outlineLevel="0" collapsed="false">
      <c r="C266" s="136" t="str">
        <f aca="false">"15."&amp;2&amp;" Gearing scenario 2 – "&amp;TEXT(D249,"0%")&amp;" (debt scale factor vs live case in E)"</f>
        <v>15.2 Gearing scenario 2 – 30% (debt scale factor vs live case in E)</v>
      </c>
      <c r="D266" s="136" t="s">
        <v>7</v>
      </c>
      <c r="E266" s="278" t="n">
        <f aca="false">IF(Inputs!$E$219=0,0,D249/Inputs!$E$219)</f>
        <v>0.6</v>
      </c>
      <c r="F266" s="278"/>
      <c r="G266" s="278"/>
      <c r="H266" s="278"/>
      <c r="I266" s="278"/>
      <c r="J266" s="278"/>
      <c r="K266" s="278"/>
      <c r="L266" s="278"/>
      <c r="M266" s="278"/>
      <c r="N266" s="278"/>
      <c r="O266" s="278"/>
      <c r="P266" s="278"/>
      <c r="Q266" s="278"/>
      <c r="R266" s="278"/>
      <c r="S266" s="278"/>
      <c r="T266" s="278"/>
      <c r="U266" s="278"/>
      <c r="V266" s="278"/>
      <c r="W266" s="278"/>
      <c r="X266" s="278"/>
      <c r="Y266" s="278"/>
      <c r="Z266" s="278"/>
      <c r="AA266" s="278"/>
      <c r="AB266" s="278"/>
      <c r="AC266" s="278"/>
      <c r="AD266" s="278"/>
      <c r="AE266" s="278"/>
      <c r="AF266" s="278"/>
      <c r="AG266" s="278"/>
      <c r="AH266" s="278"/>
      <c r="AI266" s="278"/>
      <c r="AJ266" s="278"/>
      <c r="AK266" s="278"/>
      <c r="AL266" s="278"/>
      <c r="AM266" s="278"/>
      <c r="AN266" s="278"/>
      <c r="AO266" s="278"/>
      <c r="AP266" s="278"/>
      <c r="AQ266" s="278"/>
    </row>
    <row r="267" customFormat="false" ht="15" hidden="false" customHeight="false" outlineLevel="0" collapsed="false">
      <c r="C267" s="0" t="s">
        <v>1402</v>
      </c>
      <c r="D267" s="0" t="s">
        <v>125</v>
      </c>
      <c r="E267" s="146"/>
      <c r="F267" s="146"/>
      <c r="G267" s="146"/>
      <c r="H267" s="146" t="n">
        <f aca="false">H$70+H$16-(-$G$30+$E$266*$G$79+$E$258)/$E$92*H$90-$E$266*H$81+$E$266*H$85</f>
        <v>-88.6216216216216</v>
      </c>
      <c r="I267" s="146" t="n">
        <f aca="false">I$70+I$16-(-$G$30+$E$266*$G$79+$E$258)/$E$92*I$90-$E$266*I$81+$E$266*I$85</f>
        <v>-428.165540540541</v>
      </c>
      <c r="J267" s="146" t="n">
        <f aca="false">J$70+J$16-(-$G$30+$E$266*$G$79+$E$258)/$E$92*J$90-$E$266*J$81+$E$266*J$85</f>
        <v>-876.865528442527</v>
      </c>
      <c r="K267" s="146" t="n">
        <f aca="false">K$70+K$16-(-$G$30+$E$266*$G$79+$E$258)/$E$92*K$90-$E$266*K$81+$E$266*K$85</f>
        <v>-1416.83094386888</v>
      </c>
      <c r="L267" s="146" t="n">
        <f aca="false">L$70+L$16-(-$G$30+$E$266*$G$79+$E$258)/$E$92*L$90-$E$266*L$81+$E$266*L$85</f>
        <v>-636.388816430137</v>
      </c>
      <c r="M267" s="146" t="n">
        <f aca="false">M$70+M$16-(-$G$30+$E$266*$G$79+$E$258)/$E$92*M$90-$E$266*M$81+$E$266*M$85</f>
        <v>8173.90528081691</v>
      </c>
      <c r="N267" s="146" t="n">
        <f aca="false">N$70+N$16-(-$G$30+$E$266*$G$79+$E$258)/$E$92*N$90-$E$266*N$81+$E$266*N$85</f>
        <v>9392.0051316405</v>
      </c>
      <c r="O267" s="146" t="n">
        <f aca="false">O$70+O$16-(-$G$30+$E$266*$G$79+$E$258)/$E$92*O$90-$E$266*O$81+$E$266*O$85</f>
        <v>9572.65087301594</v>
      </c>
      <c r="P267" s="146" t="n">
        <f aca="false">P$70+P$16-(-$G$30+$E$266*$G$79+$E$258)/$E$92*P$90-$E$266*P$81+$E$266*P$85</f>
        <v>9757.51193284693</v>
      </c>
      <c r="Q267" s="146" t="n">
        <f aca="false">Q$70+Q$16-(-$G$30+$E$266*$G$79+$E$258)/$E$92*Q$90-$E$266*Q$81+$E$266*Q$85</f>
        <v>9946.82389763703</v>
      </c>
      <c r="R267" s="146" t="n">
        <f aca="false">R$70+R$16-(-$G$30+$E$266*$G$79+$E$258)/$E$92*R$90-$E$266*R$81+$E$266*R$85</f>
        <v>10140.835680479</v>
      </c>
      <c r="S267" s="146" t="n">
        <f aca="false">S$70+S$16-(-$G$30+$E$266*$G$79+$E$258)/$E$92*S$90-$E$266*S$81+$E$266*S$85</f>
        <v>10339.8102316436</v>
      </c>
      <c r="T267" s="146" t="n">
        <f aca="false">T$70+T$16-(-$G$30+$E$266*$G$79+$E$258)/$E$92*T$90-$E$266*T$81+$E$266*T$85</f>
        <v>10544.0252858208</v>
      </c>
      <c r="U267" s="146" t="n">
        <f aca="false">U$70+U$16-(-$G$30+$E$266*$G$79+$E$258)/$E$92*U$90-$E$266*U$81+$E$266*U$85</f>
        <v>10753.7741478739</v>
      </c>
      <c r="V267" s="146" t="n">
        <f aca="false">V$70+V$16-(-$G$30+$E$266*$G$79+$E$258)/$E$92*V$90-$E$266*V$81+$E$266*V$85</f>
        <v>10969.3665190608</v>
      </c>
      <c r="W267" s="146" t="n">
        <f aca="false">W$70+W$16-(-$G$30+$E$266*$G$79+$E$258)/$E$92*W$90-$E$266*W$81+$E$266*W$85</f>
        <v>11191.1293657738</v>
      </c>
      <c r="X267" s="146" t="n">
        <f aca="false">X$70+X$16-(-$G$30+$E$266*$G$79+$E$258)/$E$92*X$90-$E$266*X$81+$E$266*X$85</f>
        <v>11419.4078329552</v>
      </c>
      <c r="Y267" s="146" t="n">
        <f aca="false">Y$70+Y$16-(-$G$30+$E$266*$G$79+$E$258)/$E$92*Y$90-$E$266*Y$81+$E$266*Y$85</f>
        <v>11654.5662044521</v>
      </c>
      <c r="Z267" s="146" t="n">
        <f aca="false">Z$70+Z$16-(-$G$30+$E$266*$G$79+$E$258)/$E$92*Z$90-$E$266*Z$81+$E$266*Z$85</f>
        <v>11896.988912688</v>
      </c>
      <c r="AA267" s="146" t="n">
        <f aca="false">AA$70+AA$16-(-$G$30+$E$266*$G$79+$E$258)/$E$92*AA$90-$E$266*AA$81+$E$266*AA$85</f>
        <v>12147.0816001513</v>
      </c>
      <c r="AB267" s="146" t="n">
        <f aca="false">AB$70+AB$16-(-$G$30+$E$266*$G$79+$E$258)/$E$92*AB$90-$E$266*AB$81+$E$266*AB$85</f>
        <v>12405.2722353215</v>
      </c>
      <c r="AC267" s="146" t="n">
        <f aca="false">AC$70+AC$16-(-$G$30+$E$266*$G$79+$E$258)/$E$92*AC$90-$E$266*AC$81+$E$266*AC$85</f>
        <v>12672.0122857912</v>
      </c>
      <c r="AD267" s="146" t="n">
        <f aca="false">AD$70+AD$16-(-$G$30+$E$266*$G$79+$E$258)/$E$92*AD$90-$E$266*AD$81+$E$266*AD$85</f>
        <v>12696.7026870173</v>
      </c>
      <c r="AE267" s="146" t="n">
        <f aca="false">AE$70+AE$16-(-$G$30+$E$266*$G$79+$E$258)/$E$92*AE$90-$E$266*AE$81+$E$266*AE$85</f>
        <v>12718.3671688142</v>
      </c>
      <c r="AF267" s="146" t="n">
        <f aca="false">AF$70+AF$16-(-$G$30+$E$266*$G$79+$E$258)/$E$92*AF$90-$E$266*AF$81+$E$266*AF$85</f>
        <v>12736.9076629218</v>
      </c>
      <c r="AG267" s="146" t="n">
        <f aca="false">AG$70+AG$16-(-$G$30+$E$266*$G$79+$E$258)/$E$92*AG$90-$E$266*AG$81+$E$266*AG$85</f>
        <v>16969.8599967332</v>
      </c>
      <c r="AH267" s="146" t="n">
        <f aca="false">AH$70+AH$16-(-$G$30+$E$266*$G$79+$E$258)/$E$92*AH$90-$E$266*AH$81+$E$266*AH$85</f>
        <v>21199.4844603948</v>
      </c>
      <c r="AI267" s="146" t="n">
        <f aca="false">AI$70+AI$16-(-$G$30+$E$266*$G$79+$E$258)/$E$92*AI$90-$E$266*AI$81+$E$266*AI$85</f>
        <v>21208.0386543575</v>
      </c>
      <c r="AJ267" s="146" t="n">
        <f aca="false">AJ$70+AJ$16-(-$G$30+$E$266*$G$79+$E$258)/$E$92*AJ$90-$E$266*AJ$81+$E$266*AJ$85</f>
        <v>21213.0503353224</v>
      </c>
      <c r="AK267" s="146" t="n">
        <f aca="false">AK$70+AK$16-(-$G$30+$E$266*$G$79+$E$258)/$E$92*AK$90-$E$266*AK$81+$E$266*AK$85</f>
        <v>21214.4079785268</v>
      </c>
      <c r="AL267" s="146" t="n">
        <f aca="false">AL$70+AL$16-(-$G$30+$E$266*$G$79+$E$258)/$E$92*AL$90-$E$266*AL$81+$E$266*AL$85</f>
        <v>21211.9971639586</v>
      </c>
      <c r="AM267" s="146" t="n">
        <f aca="false">AM$70+AM$16-(-$G$30+$E$266*$G$79+$E$258)/$E$92*AM$90-$E$266*AM$81+$E$266*AM$85</f>
        <v>21205.7005044412</v>
      </c>
      <c r="AN267" s="146" t="n">
        <f aca="false">AN$70+AN$16-(-$G$30+$E$266*$G$79+$E$258)/$E$92*AN$90-$E$266*AN$81+$E$266*AN$85</f>
        <v>21195.3975719509</v>
      </c>
      <c r="AO267" s="146" t="n">
        <f aca="false">AO$70+AO$16-(-$G$30+$E$266*$G$79+$E$258)/$E$92*AO$90-$E$266*AO$81+$E$266*AO$85</f>
        <v>21180.9648221222</v>
      </c>
      <c r="AP267" s="146" t="n">
        <f aca="false">AP$70+AP$16-(-$G$30+$E$266*$G$79+$E$258)/$E$92*AP$90-$E$266*AP$81+$E$266*AP$85</f>
        <v>21162.2755168973</v>
      </c>
      <c r="AQ267" s="146" t="n">
        <f aca="false">AQ$70+AQ$16-(-$G$30+$E$266*$G$79+$E$258)/$E$92*AQ$90-$E$266*AQ$81+$E$266*AQ$85</f>
        <v>10569.599822637</v>
      </c>
    </row>
    <row r="268" customFormat="false" ht="15" hidden="false" customHeight="false" outlineLevel="0" collapsed="false">
      <c r="C268" s="0" t="s">
        <v>1275</v>
      </c>
      <c r="D268" s="0" t="s">
        <v>125</v>
      </c>
      <c r="E268" s="146"/>
      <c r="F268" s="146"/>
      <c r="G268" s="146" t="n">
        <v>0</v>
      </c>
      <c r="H268" s="146" t="n">
        <f aca="false">G268+MAX(-H267,0)-MIN(G268,MAX(H267,0)*$E$95)</f>
        <v>88.6216216216216</v>
      </c>
      <c r="I268" s="146" t="n">
        <f aca="false">H268+MAX(-I267,0)-MIN(H268,MAX(I267,0)*$E$95)</f>
        <v>516.787162162162</v>
      </c>
      <c r="J268" s="146" t="n">
        <f aca="false">I268+MAX(-J267,0)-MIN(I268,MAX(J267,0)*$E$95)</f>
        <v>1393.65269060469</v>
      </c>
      <c r="K268" s="146" t="n">
        <f aca="false">J268+MAX(-K267,0)-MIN(J268,MAX(K267,0)*$E$95)</f>
        <v>2810.48363447357</v>
      </c>
      <c r="L268" s="146" t="n">
        <f aca="false">K268+MAX(-L267,0)-MIN(K268,MAX(L267,0)*$E$95)</f>
        <v>3446.87245090371</v>
      </c>
      <c r="M268" s="146" t="n">
        <f aca="false">L268+MAX(-M267,0)-MIN(L268,MAX(M267,0)*$E$95)</f>
        <v>0</v>
      </c>
      <c r="N268" s="146" t="n">
        <f aca="false">M268+MAX(-N267,0)-MIN(M268,MAX(N267,0)*$E$95)</f>
        <v>0</v>
      </c>
      <c r="O268" s="146" t="n">
        <f aca="false">N268+MAX(-O267,0)-MIN(N268,MAX(O267,0)*$E$95)</f>
        <v>0</v>
      </c>
      <c r="P268" s="146" t="n">
        <f aca="false">O268+MAX(-P267,0)-MIN(O268,MAX(P267,0)*$E$95)</f>
        <v>0</v>
      </c>
      <c r="Q268" s="146" t="n">
        <f aca="false">P268+MAX(-Q267,0)-MIN(P268,MAX(Q267,0)*$E$95)</f>
        <v>0</v>
      </c>
      <c r="R268" s="146" t="n">
        <f aca="false">Q268+MAX(-R267,0)-MIN(Q268,MAX(R267,0)*$E$95)</f>
        <v>0</v>
      </c>
      <c r="S268" s="146" t="n">
        <f aca="false">R268+MAX(-S267,0)-MIN(R268,MAX(S267,0)*$E$95)</f>
        <v>0</v>
      </c>
      <c r="T268" s="146" t="n">
        <f aca="false">S268+MAX(-T267,0)-MIN(S268,MAX(T267,0)*$E$95)</f>
        <v>0</v>
      </c>
      <c r="U268" s="146" t="n">
        <f aca="false">T268+MAX(-U267,0)-MIN(T268,MAX(U267,0)*$E$95)</f>
        <v>0</v>
      </c>
      <c r="V268" s="146" t="n">
        <f aca="false">U268+MAX(-V267,0)-MIN(U268,MAX(V267,0)*$E$95)</f>
        <v>0</v>
      </c>
      <c r="W268" s="146" t="n">
        <f aca="false">V268+MAX(-W267,0)-MIN(V268,MAX(W267,0)*$E$95)</f>
        <v>0</v>
      </c>
      <c r="X268" s="146" t="n">
        <f aca="false">W268+MAX(-X267,0)-MIN(W268,MAX(X267,0)*$E$95)</f>
        <v>0</v>
      </c>
      <c r="Y268" s="146" t="n">
        <f aca="false">X268+MAX(-Y267,0)-MIN(X268,MAX(Y267,0)*$E$95)</f>
        <v>0</v>
      </c>
      <c r="Z268" s="146" t="n">
        <f aca="false">Y268+MAX(-Z267,0)-MIN(Y268,MAX(Z267,0)*$E$95)</f>
        <v>0</v>
      </c>
      <c r="AA268" s="146" t="n">
        <f aca="false">Z268+MAX(-AA267,0)-MIN(Z268,MAX(AA267,0)*$E$95)</f>
        <v>0</v>
      </c>
      <c r="AB268" s="146" t="n">
        <f aca="false">AA268+MAX(-AB267,0)-MIN(AA268,MAX(AB267,0)*$E$95)</f>
        <v>0</v>
      </c>
      <c r="AC268" s="146" t="n">
        <f aca="false">AB268+MAX(-AC267,0)-MIN(AB268,MAX(AC267,0)*$E$95)</f>
        <v>0</v>
      </c>
      <c r="AD268" s="146" t="n">
        <f aca="false">AC268+MAX(-AD267,0)-MIN(AC268,MAX(AD267,0)*$E$95)</f>
        <v>0</v>
      </c>
      <c r="AE268" s="146" t="n">
        <f aca="false">AD268+MAX(-AE267,0)-MIN(AD268,MAX(AE267,0)*$E$95)</f>
        <v>0</v>
      </c>
      <c r="AF268" s="146" t="n">
        <f aca="false">AE268+MAX(-AF267,0)-MIN(AE268,MAX(AF267,0)*$E$95)</f>
        <v>0</v>
      </c>
      <c r="AG268" s="146" t="n">
        <f aca="false">AF268+MAX(-AG267,0)-MIN(AF268,MAX(AG267,0)*$E$95)</f>
        <v>0</v>
      </c>
      <c r="AH268" s="146" t="n">
        <f aca="false">AG268+MAX(-AH267,0)-MIN(AG268,MAX(AH267,0)*$E$95)</f>
        <v>0</v>
      </c>
      <c r="AI268" s="146" t="n">
        <f aca="false">AH268+MAX(-AI267,0)-MIN(AH268,MAX(AI267,0)*$E$95)</f>
        <v>0</v>
      </c>
      <c r="AJ268" s="146" t="n">
        <f aca="false">AI268+MAX(-AJ267,0)-MIN(AI268,MAX(AJ267,0)*$E$95)</f>
        <v>0</v>
      </c>
      <c r="AK268" s="146" t="n">
        <f aca="false">AJ268+MAX(-AK267,0)-MIN(AJ268,MAX(AK267,0)*$E$95)</f>
        <v>0</v>
      </c>
      <c r="AL268" s="146" t="n">
        <f aca="false">AK268+MAX(-AL267,0)-MIN(AK268,MAX(AL267,0)*$E$95)</f>
        <v>0</v>
      </c>
      <c r="AM268" s="146" t="n">
        <f aca="false">AL268+MAX(-AM267,0)-MIN(AL268,MAX(AM267,0)*$E$95)</f>
        <v>0</v>
      </c>
      <c r="AN268" s="146" t="n">
        <f aca="false">AM268+MAX(-AN267,0)-MIN(AM268,MAX(AN267,0)*$E$95)</f>
        <v>0</v>
      </c>
      <c r="AO268" s="146" t="n">
        <f aca="false">AN268+MAX(-AO267,0)-MIN(AN268,MAX(AO267,0)*$E$95)</f>
        <v>0</v>
      </c>
      <c r="AP268" s="146" t="n">
        <f aca="false">AO268+MAX(-AP267,0)-MIN(AO268,MAX(AP267,0)*$E$95)</f>
        <v>0</v>
      </c>
      <c r="AQ268" s="146" t="n">
        <f aca="false">AP268+MAX(-AQ267,0)-MIN(AP268,MAX(AQ267,0)*$E$95)</f>
        <v>0</v>
      </c>
    </row>
    <row r="269" customFormat="false" ht="15" hidden="false" customHeight="false" outlineLevel="0" collapsed="false">
      <c r="C269" s="0" t="s">
        <v>1403</v>
      </c>
      <c r="D269" s="0" t="s">
        <v>125</v>
      </c>
      <c r="E269" s="146"/>
      <c r="F269" s="146"/>
      <c r="G269" s="146"/>
      <c r="H269" s="146" t="n">
        <f aca="false">-(MAX(H267,0)-MIN(G268,MAX(H267,0)*$E$95))*$E$91-MAX(H267,0)*$E$99</f>
        <v>-0</v>
      </c>
      <c r="I269" s="146" t="n">
        <f aca="false">-(MAX(I267,0)-MIN(H268,MAX(I267,0)*$E$95))*$E$91-MAX(I267,0)*$E$99</f>
        <v>-0</v>
      </c>
      <c r="J269" s="146" t="n">
        <f aca="false">-(MAX(J267,0)-MIN(I268,MAX(J267,0)*$E$95))*$E$91-MAX(J267,0)*$E$99</f>
        <v>-0</v>
      </c>
      <c r="K269" s="146" t="n">
        <f aca="false">-(MAX(K267,0)-MIN(J268,MAX(K267,0)*$E$95))*$E$91-MAX(K267,0)*$E$99</f>
        <v>-0</v>
      </c>
      <c r="L269" s="146" t="n">
        <f aca="false">-(MAX(L267,0)-MIN(K268,MAX(L267,0)*$E$95))*$E$91-MAX(L267,0)*$E$99</f>
        <v>-0</v>
      </c>
      <c r="M269" s="146" t="n">
        <f aca="false">-(MAX(M267,0)-MIN(L268,MAX(M267,0)*$E$95))*$E$91-MAX(M267,0)*$E$99</f>
        <v>-709.05492448698</v>
      </c>
      <c r="N269" s="146" t="n">
        <f aca="false">-(MAX(N267,0)-MIN(M268,MAX(N267,0)*$E$95))*$E$91-MAX(N267,0)*$E$99</f>
        <v>-1408.80076974608</v>
      </c>
      <c r="O269" s="146" t="n">
        <f aca="false">-(MAX(O267,0)-MIN(N268,MAX(O267,0)*$E$95))*$E$91-MAX(O267,0)*$E$99</f>
        <v>-1435.89763095239</v>
      </c>
      <c r="P269" s="146" t="n">
        <f aca="false">-(MAX(P267,0)-MIN(O268,MAX(P267,0)*$E$95))*$E$91-MAX(P267,0)*$E$99</f>
        <v>-1463.62678992704</v>
      </c>
      <c r="Q269" s="146" t="n">
        <f aca="false">-(MAX(Q267,0)-MIN(P268,MAX(Q267,0)*$E$95))*$E$91-MAX(Q267,0)*$E$99</f>
        <v>-1492.02358464555</v>
      </c>
      <c r="R269" s="146" t="n">
        <f aca="false">-(MAX(R267,0)-MIN(Q268,MAX(R267,0)*$E$95))*$E$91-MAX(R267,0)*$E$99</f>
        <v>-1521.12535207185</v>
      </c>
      <c r="S269" s="146" t="n">
        <f aca="false">-(MAX(S267,0)-MIN(R268,MAX(S267,0)*$E$95))*$E$91-MAX(S267,0)*$E$99</f>
        <v>-1550.97153474654</v>
      </c>
      <c r="T269" s="146" t="n">
        <f aca="false">-(MAX(T267,0)-MIN(S268,MAX(T267,0)*$E$95))*$E$91-MAX(T267,0)*$E$99</f>
        <v>-1581.60379287312</v>
      </c>
      <c r="U269" s="146" t="n">
        <f aca="false">-(MAX(U267,0)-MIN(T268,MAX(U267,0)*$E$95))*$E$91-MAX(U267,0)*$E$99</f>
        <v>-1613.06612218109</v>
      </c>
      <c r="V269" s="146" t="n">
        <f aca="false">-(MAX(V267,0)-MIN(U268,MAX(V267,0)*$E$95))*$E$91-MAX(V267,0)*$E$99</f>
        <v>-1645.40497785912</v>
      </c>
      <c r="W269" s="146" t="n">
        <f aca="false">-(MAX(W267,0)-MIN(V268,MAX(W267,0)*$E$95))*$E$91-MAX(W267,0)*$E$99</f>
        <v>-1678.66940486607</v>
      </c>
      <c r="X269" s="146" t="n">
        <f aca="false">-(MAX(X267,0)-MIN(W268,MAX(X267,0)*$E$95))*$E$91-MAX(X267,0)*$E$99</f>
        <v>-1712.91117494328</v>
      </c>
      <c r="Y269" s="146" t="n">
        <f aca="false">-(MAX(Y267,0)-MIN(X268,MAX(Y267,0)*$E$95))*$E$91-MAX(Y267,0)*$E$99</f>
        <v>-1748.18493066781</v>
      </c>
      <c r="Z269" s="146" t="n">
        <f aca="false">-(MAX(Z267,0)-MIN(Y268,MAX(Z267,0)*$E$95))*$E$91-MAX(Z267,0)*$E$99</f>
        <v>-1784.5483369032</v>
      </c>
      <c r="AA269" s="146" t="n">
        <f aca="false">-(MAX(AA267,0)-MIN(Z268,MAX(AA267,0)*$E$95))*$E$91-MAX(AA267,0)*$E$99</f>
        <v>-1822.06224002269</v>
      </c>
      <c r="AB269" s="146" t="n">
        <f aca="false">-(MAX(AB267,0)-MIN(AA268,MAX(AB267,0)*$E$95))*$E$91-MAX(AB267,0)*$E$99</f>
        <v>-1860.79083529822</v>
      </c>
      <c r="AC269" s="146" t="n">
        <f aca="false">-(MAX(AC267,0)-MIN(AB268,MAX(AC267,0)*$E$95))*$E$91-MAX(AC267,0)*$E$99</f>
        <v>-1900.80184286868</v>
      </c>
      <c r="AD269" s="146" t="n">
        <f aca="false">-(MAX(AD267,0)-MIN(AC268,MAX(AD267,0)*$E$95))*$E$91-MAX(AD267,0)*$E$99</f>
        <v>-1904.5054030526</v>
      </c>
      <c r="AE269" s="146" t="n">
        <f aca="false">-(MAX(AE267,0)-MIN(AD268,MAX(AE267,0)*$E$95))*$E$91-MAX(AE267,0)*$E$99</f>
        <v>-1907.75507532212</v>
      </c>
      <c r="AF269" s="146" t="n">
        <f aca="false">-(MAX(AF267,0)-MIN(AE268,MAX(AF267,0)*$E$95))*$E$91-MAX(AF267,0)*$E$99</f>
        <v>-1910.53614943828</v>
      </c>
      <c r="AG269" s="146" t="n">
        <f aca="false">-(MAX(AG267,0)-MIN(AF268,MAX(AG267,0)*$E$95))*$E$91-MAX(AG267,0)*$E$99</f>
        <v>-2545.47899950998</v>
      </c>
      <c r="AH269" s="146" t="n">
        <f aca="false">-(MAX(AH267,0)-MIN(AG268,MAX(AH267,0)*$E$95))*$E$91-MAX(AH267,0)*$E$99</f>
        <v>-3179.92266905922</v>
      </c>
      <c r="AI269" s="146" t="n">
        <f aca="false">-(MAX(AI267,0)-MIN(AH268,MAX(AI267,0)*$E$95))*$E$91-MAX(AI267,0)*$E$99</f>
        <v>-3181.20579815362</v>
      </c>
      <c r="AJ269" s="146" t="n">
        <f aca="false">-(MAX(AJ267,0)-MIN(AI268,MAX(AJ267,0)*$E$95))*$E$91-MAX(AJ267,0)*$E$99</f>
        <v>-3181.95755029835</v>
      </c>
      <c r="AK269" s="146" t="n">
        <f aca="false">-(MAX(AK267,0)-MIN(AJ268,MAX(AK267,0)*$E$95))*$E$91-MAX(AK267,0)*$E$99</f>
        <v>-3182.16119677902</v>
      </c>
      <c r="AL269" s="146" t="n">
        <f aca="false">-(MAX(AL267,0)-MIN(AK268,MAX(AL267,0)*$E$95))*$E$91-MAX(AL267,0)*$E$99</f>
        <v>-3181.79957459379</v>
      </c>
      <c r="AM269" s="146" t="n">
        <f aca="false">-(MAX(AM267,0)-MIN(AL268,MAX(AM267,0)*$E$95))*$E$91-MAX(AM267,0)*$E$99</f>
        <v>-3180.85507566618</v>
      </c>
      <c r="AN269" s="146" t="n">
        <f aca="false">-(MAX(AN267,0)-MIN(AM268,MAX(AN267,0)*$E$95))*$E$91-MAX(AN267,0)*$E$99</f>
        <v>-3179.30963579264</v>
      </c>
      <c r="AO269" s="146" t="n">
        <f aca="false">-(MAX(AO267,0)-MIN(AN268,MAX(AO267,0)*$E$95))*$E$91-MAX(AO267,0)*$E$99</f>
        <v>-3177.14472331833</v>
      </c>
      <c r="AP269" s="146" t="n">
        <f aca="false">-(MAX(AP267,0)-MIN(AO268,MAX(AP267,0)*$E$95))*$E$91-MAX(AP267,0)*$E$99</f>
        <v>-3174.3413275346</v>
      </c>
      <c r="AQ269" s="146" t="n">
        <f aca="false">-(MAX(AQ267,0)-MIN(AP268,MAX(AQ267,0)*$E$95))*$E$91-MAX(AQ267,0)*$E$99</f>
        <v>-1585.43997339554</v>
      </c>
    </row>
    <row r="270" customFormat="false" ht="15" hidden="false" customHeight="false" outlineLevel="0" collapsed="false">
      <c r="C270" s="0" t="s">
        <v>1297</v>
      </c>
      <c r="D270" s="0" t="s">
        <v>125</v>
      </c>
      <c r="E270" s="146"/>
      <c r="F270" s="146"/>
      <c r="G270" s="146"/>
      <c r="H270" s="146" t="n">
        <f aca="false">(H$109+$E$266*(H$77+H$85-H$80+H$86-H$87+H$89)+H269)*$E$128</f>
        <v>-1570.61764901888</v>
      </c>
      <c r="I270" s="146" t="n">
        <f aca="false">(I$109+$E$266*(I$77+I$85-I$80+I$86-I$87+I$89)+I269)*$E$128</f>
        <v>-778.738143280267</v>
      </c>
      <c r="J270" s="146" t="n">
        <f aca="false">(J$109+$E$266*(J$77+J$85-J$80+J$86-J$87+J$89)+J269)*$E$128</f>
        <v>-1227.43813118225</v>
      </c>
      <c r="K270" s="146" t="n">
        <f aca="false">(K$109+$E$266*(K$77+K$85-K$80+K$86-K$87+K$89)+K269)*$E$128</f>
        <v>-49652.3841226071</v>
      </c>
      <c r="L270" s="146" t="n">
        <f aca="false">(L$109+$E$266*(L$77+L$85-L$80+L$86-L$87+L$89)+L269)*$E$128</f>
        <v>-46420.9866751973</v>
      </c>
      <c r="M270" s="146" t="n">
        <f aca="false">(M$109+$E$266*(M$77+M$85-M$80+M$86-M$87+M$89)+M269)*$E$128</f>
        <v>-16021.6562350391</v>
      </c>
      <c r="N270" s="146" t="n">
        <f aca="false">(N$109+$E$266*(N$77+N$85-N$80+N$86-N$87+N$89)+N269)*$E$128</f>
        <v>14003.0473724515</v>
      </c>
      <c r="O270" s="146" t="n">
        <f aca="false">(O$109+$E$266*(O$77+O$85-O$80+O$86-O$87+O$89)+O269)*$E$128</f>
        <v>14035.8247575081</v>
      </c>
      <c r="P270" s="146" t="n">
        <f aca="false">(P$109+$E$266*(P$77+P$85-P$80+P$86-P$87+P$89)+P269)*$E$128</f>
        <v>14066.1465884964</v>
      </c>
      <c r="Q270" s="146" t="n">
        <f aca="false">(Q$109+$E$266*(Q$77+Q$85-Q$80+Q$86-Q$87+Q$89)+Q269)*$E$128</f>
        <v>14093.9111852065</v>
      </c>
      <c r="R270" s="146" t="n">
        <f aca="false">(R$109+$E$266*(R$77+R$85-R$80+R$86-R$87+R$89)+R269)*$E$128</f>
        <v>14119.0130985926</v>
      </c>
      <c r="S270" s="146" t="n">
        <f aca="false">(S$109+$E$266*(S$77+S$85-S$80+S$86-S$87+S$89)+S269)*$E$128</f>
        <v>14141.3429599514</v>
      </c>
      <c r="T270" s="146" t="n">
        <f aca="false">(T$109+$E$266*(T$77+T$85-T$80+T$86-T$87+T$89)+T269)*$E$128</f>
        <v>14160.7873235144</v>
      </c>
      <c r="U270" s="146" t="n">
        <f aca="false">(U$109+$E$266*(U$77+U$85-U$80+U$86-U$87+U$89)+U269)*$E$128</f>
        <v>14177.2285021476</v>
      </c>
      <c r="V270" s="146" t="n">
        <f aca="false">(V$109+$E$266*(V$77+V$85-V$80+V$86-V$87+V$89)+V269)*$E$128</f>
        <v>14190.5443958389</v>
      </c>
      <c r="W270" s="146" t="n">
        <f aca="false">(W$109+$E$266*(W$77+W$85-W$80+W$86-W$87+W$89)+W269)*$E$128</f>
        <v>14200.6083126365</v>
      </c>
      <c r="X270" s="146" t="n">
        <f aca="false">(X$109+$E$266*(X$77+X$85-X$80+X$86-X$87+X$89)+X269)*$E$128</f>
        <v>14207.2887816868</v>
      </c>
      <c r="Y270" s="146" t="n">
        <f aca="false">(Y$109+$E$266*(Y$77+Y$85-Y$80+Y$86-Y$87+Y$89)+Y269)*$E$128</f>
        <v>14210.4493580025</v>
      </c>
      <c r="Z270" s="146" t="n">
        <f aca="false">(Z$109+$E$266*(Z$77+Z$85-Z$80+Z$86-Z$87+Z$89)+Z269)*$E$128</f>
        <v>14209.9484185737</v>
      </c>
      <c r="AA270" s="146" t="n">
        <f aca="false">(AA$109+$E$266*(AA$77+AA$85-AA$80+AA$86-AA$87+AA$89)+AA269)*$E$128</f>
        <v>14205.6389494166</v>
      </c>
      <c r="AB270" s="146" t="n">
        <f aca="false">(AB$109+$E$266*(AB$77+AB$85-AB$80+AB$86-AB$87+AB$89)+AB269)*$E$128</f>
        <v>14197.3683231354</v>
      </c>
      <c r="AC270" s="146" t="n">
        <f aca="false">(AC$109+$E$266*(AC$77+AC$85-AC$80+AC$86-AC$87+AC$89)+AC269)*$E$128</f>
        <v>19206.4833557289</v>
      </c>
      <c r="AD270" s="146" t="n">
        <f aca="false">(AD$109+$E$266*(AD$77+AD$85-AD$80+AD$86-AD$87+AD$89)+AD269)*$E$128</f>
        <v>19227.4701967711</v>
      </c>
      <c r="AE270" s="146" t="n">
        <f aca="false">(AE$109+$E$266*(AE$77+AE$85-AE$80+AE$86-AE$87+AE$89)+AE269)*$E$128</f>
        <v>19245.8850062984</v>
      </c>
      <c r="AF270" s="146" t="n">
        <f aca="false">(AF$109+$E$266*(AF$77+AF$85-AF$80+AF$86-AF$87+AF$89)+AF269)*$E$128</f>
        <v>19261.6444262899</v>
      </c>
      <c r="AG270" s="146" t="n">
        <f aca="false">(AG$109+$E$266*(AG$77+AG$85-AG$80+AG$86-AG$87+AG$89)+AG269)*$E$128</f>
        <v>18642.0174536264</v>
      </c>
      <c r="AH270" s="146" t="n">
        <f aca="false">(AH$109+$E$266*(AH$77+AH$85-AH$80+AH$86-AH$87+AH$89)+AH269)*$E$128</f>
        <v>18019.5617913356</v>
      </c>
      <c r="AI270" s="146" t="n">
        <f aca="false">(AI$109+$E$266*(AI$77+AI$85-AI$80+AI$86-AI$87+AI$89)+AI269)*$E$128</f>
        <v>18026.8328562038</v>
      </c>
      <c r="AJ270" s="146" t="n">
        <f aca="false">(AJ$109+$E$266*(AJ$77+AJ$85-AJ$80+AJ$86-AJ$87+AJ$89)+AJ269)*$E$128</f>
        <v>18031.092785024</v>
      </c>
      <c r="AK270" s="146" t="n">
        <f aca="false">(AK$109+$E$266*(AK$77+AK$85-AK$80+AK$86-AK$87+AK$89)+AK269)*$E$128</f>
        <v>18032.2467817478</v>
      </c>
      <c r="AL270" s="146" t="n">
        <f aca="false">(AL$109+$E$266*(AL$77+AL$85-AL$80+AL$86-AL$87+AL$89)+AL269)*$E$128</f>
        <v>18030.1975893648</v>
      </c>
      <c r="AM270" s="146" t="n">
        <f aca="false">(AM$109+$E$266*(AM$77+AM$85-AM$80+AM$86-AM$87+AM$89)+AM269)*$E$128</f>
        <v>18024.845428775</v>
      </c>
      <c r="AN270" s="146" t="n">
        <f aca="false">(AN$109+$E$266*(AN$77+AN$85-AN$80+AN$86-AN$87+AN$89)+AN269)*$E$128</f>
        <v>18016.0879361583</v>
      </c>
      <c r="AO270" s="146" t="n">
        <f aca="false">(AO$109+$E$266*(AO$77+AO$85-AO$80+AO$86-AO$87+AO$89)+AO269)*$E$128</f>
        <v>18003.8200988039</v>
      </c>
      <c r="AP270" s="146" t="n">
        <f aca="false">(AP$109+$E$266*(AP$77+AP$85-AP$80+AP$86-AP$87+AP$89)+AP269)*$E$128</f>
        <v>17987.9341893627</v>
      </c>
      <c r="AQ270" s="146" t="n">
        <f aca="false">(AQ$109+$E$266*(AQ$77+AQ$85-AQ$80+AQ$86-AQ$87+AQ$89)+AQ269)*$E$128</f>
        <v>4907.15984924141</v>
      </c>
    </row>
    <row r="271" customFormat="false" ht="15" hidden="false" customHeight="false" outlineLevel="0" collapsed="false">
      <c r="C271" s="0" t="s">
        <v>1294</v>
      </c>
      <c r="D271" s="0" t="s">
        <v>7</v>
      </c>
      <c r="E271" s="146"/>
      <c r="F271" s="146"/>
      <c r="G271" s="162"/>
      <c r="H271" s="162" t="str">
        <f aca="false">IF(AND(H$9&gt;=1,H$86&lt;-0.01,$E$266&gt;0),(H$70+H269)/(-$E$266*H$86),"")</f>
        <v/>
      </c>
      <c r="I271" s="162" t="str">
        <f aca="false">IF(AND(I$9&gt;=1,I$86&lt;-0.01,$E$266&gt;0),(I$70+I269)/(-$E$266*I$86),"")</f>
        <v/>
      </c>
      <c r="J271" s="162" t="str">
        <f aca="false">IF(AND(J$9&gt;=1,J$86&lt;-0.01,$E$266&gt;0),(J$70+J269)/(-$E$266*J$86),"")</f>
        <v/>
      </c>
      <c r="K271" s="162" t="str">
        <f aca="false">IF(AND(K$9&gt;=1,K$86&lt;-0.01,$E$266&gt;0),(K$70+K269)/(-$E$266*K$86),"")</f>
        <v/>
      </c>
      <c r="L271" s="162" t="str">
        <f aca="false">IF(AND(L$9&gt;=1,L$86&lt;-0.01,$E$266&gt;0),(L$70+L269)/(-$E$266*L$86),"")</f>
        <v/>
      </c>
      <c r="M271" s="162" t="str">
        <f aca="false">IF(AND(M$9&gt;=1,M$86&lt;-0.01,$E$266&gt;0),(M$70+M269)/(-$E$266*M$86),"")</f>
        <v/>
      </c>
      <c r="N271" s="162" t="n">
        <f aca="false">IF(AND(N$9&gt;=1,N$86&lt;-0.01,$E$266&gt;0),(N$70+N269)/(-$E$266*N$86),"")</f>
        <v>3.78861547803746</v>
      </c>
      <c r="O271" s="162" t="n">
        <f aca="false">IF(AND(O$9&gt;=1,O$86&lt;-0.01,$E$266&gt;0),(O$70+O269)/(-$E$266*O$86),"")</f>
        <v>3.79514288031408</v>
      </c>
      <c r="P271" s="162" t="n">
        <f aca="false">IF(AND(P$9&gt;=1,P$86&lt;-0.01,$E$266&gt;0),(P$70+P269)/(-$E$266*P$86),"")</f>
        <v>3.80118127502684</v>
      </c>
      <c r="Q271" s="162" t="n">
        <f aca="false">IF(AND(Q$9&gt;=1,Q$86&lt;-0.01,$E$266&gt;0),(Q$70+Q269)/(-$E$266*Q$86),"")</f>
        <v>3.80671041322568</v>
      </c>
      <c r="R271" s="162" t="n">
        <f aca="false">IF(AND(R$9&gt;=1,R$86&lt;-0.01,$E$266&gt;0),(R$70+R269)/(-$E$266*R$86),"")</f>
        <v>3.81170929542147</v>
      </c>
      <c r="S271" s="162" t="n">
        <f aca="false">IF(AND(S$9&gt;=1,S$86&lt;-0.01,$E$266&gt;0),(S$70+S269)/(-$E$266*S$86),"")</f>
        <v>3.81615614155085</v>
      </c>
      <c r="T271" s="162" t="n">
        <f aca="false">IF(AND(T$9&gt;=1,T$86&lt;-0.01,$E$266&gt;0),(T$70+T269)/(-$E$266*T$86),"")</f>
        <v>3.82002835962954</v>
      </c>
      <c r="U271" s="162" t="n">
        <f aca="false">IF(AND(U$9&gt;=1,U$86&lt;-0.01,$E$266&gt;0),(U$70+U269)/(-$E$266*U$86),"")</f>
        <v>3.82330251303303</v>
      </c>
      <c r="V271" s="162" t="n">
        <f aca="false">IF(AND(V$9&gt;=1,V$86&lt;-0.01,$E$266&gt;0),(V$70+V269)/(-$E$266*V$86),"")</f>
        <v>3.82595428634091</v>
      </c>
      <c r="W271" s="162" t="n">
        <f aca="false">IF(AND(W$9&gt;=1,W$86&lt;-0.01,$E$266&gt;0),(W$70+W269)/(-$E$266*W$86),"")</f>
        <v>3.827958449678</v>
      </c>
      <c r="X271" s="162" t="n">
        <f aca="false">IF(AND(X$9&gt;=1,X$86&lt;-0.01,$E$266&gt;0),(X$70+X269)/(-$E$266*X$86),"")</f>
        <v>3.829288821482</v>
      </c>
      <c r="Y271" s="162" t="n">
        <f aca="false">IF(AND(Y$9&gt;=1,Y$86&lt;-0.01,$E$266&gt;0),(Y$70+Y269)/(-$E$266*Y$86),"")</f>
        <v>3.82991822962432</v>
      </c>
      <c r="Z271" s="162" t="n">
        <f aca="false">IF(AND(Z$9&gt;=1,Z$86&lt;-0.01,$E$266&gt;0),(Z$70+Z269)/(-$E$266*Z$86),"")</f>
        <v>3.829818470807</v>
      </c>
      <c r="AA271" s="162" t="n">
        <f aca="false">IF(AND(AA$9&gt;=1,AA$86&lt;-0.01,$E$266&gt;0),(AA$70+AA269)/(-$E$266*AA$86),"")</f>
        <v>3.82896026815482</v>
      </c>
      <c r="AB271" s="162" t="n">
        <f aca="false">IF(AND(AB$9&gt;=1,AB$86&lt;-0.01,$E$266&gt;0),(AB$70+AB269)/(-$E$266*AB$86),"")</f>
        <v>3.82731322691821</v>
      </c>
      <c r="AC271" s="162" t="str">
        <f aca="false">IF(AND(AC$9&gt;=1,AC$86&lt;-0.01,$E$266&gt;0),(AC$70+AC269)/(-$E$266*AC$86),"")</f>
        <v/>
      </c>
      <c r="AD271" s="162" t="str">
        <f aca="false">IF(AND(AD$9&gt;=1,AD$86&lt;-0.01,$E$266&gt;0),(AD$70+AD269)/(-$E$266*AD$86),"")</f>
        <v/>
      </c>
      <c r="AE271" s="162" t="str">
        <f aca="false">IF(AND(AE$9&gt;=1,AE$86&lt;-0.01,$E$266&gt;0),(AE$70+AE269)/(-$E$266*AE$86),"")</f>
        <v/>
      </c>
      <c r="AF271" s="162" t="str">
        <f aca="false">IF(AND(AF$9&gt;=1,AF$86&lt;-0.01,$E$266&gt;0),(AF$70+AF269)/(-$E$266*AF$86),"")</f>
        <v/>
      </c>
      <c r="AG271" s="162" t="str">
        <f aca="false">IF(AND(AG$9&gt;=1,AG$86&lt;-0.01,$E$266&gt;0),(AG$70+AG269)/(-$E$266*AG$86),"")</f>
        <v/>
      </c>
      <c r="AH271" s="162" t="str">
        <f aca="false">IF(AND(AH$9&gt;=1,AH$86&lt;-0.01,$E$266&gt;0),(AH$70+AH269)/(-$E$266*AH$86),"")</f>
        <v/>
      </c>
      <c r="AI271" s="162" t="str">
        <f aca="false">IF(AND(AI$9&gt;=1,AI$86&lt;-0.01,$E$266&gt;0),(AI$70+AI269)/(-$E$266*AI$86),"")</f>
        <v/>
      </c>
      <c r="AJ271" s="162" t="str">
        <f aca="false">IF(AND(AJ$9&gt;=1,AJ$86&lt;-0.01,$E$266&gt;0),(AJ$70+AJ269)/(-$E$266*AJ$86),"")</f>
        <v/>
      </c>
      <c r="AK271" s="162" t="str">
        <f aca="false">IF(AND(AK$9&gt;=1,AK$86&lt;-0.01,$E$266&gt;0),(AK$70+AK269)/(-$E$266*AK$86),"")</f>
        <v/>
      </c>
      <c r="AL271" s="162" t="str">
        <f aca="false">IF(AND(AL$9&gt;=1,AL$86&lt;-0.01,$E$266&gt;0),(AL$70+AL269)/(-$E$266*AL$86),"")</f>
        <v/>
      </c>
      <c r="AM271" s="162" t="str">
        <f aca="false">IF(AND(AM$9&gt;=1,AM$86&lt;-0.01,$E$266&gt;0),(AM$70+AM269)/(-$E$266*AM$86),"")</f>
        <v/>
      </c>
      <c r="AN271" s="162" t="str">
        <f aca="false">IF(AND(AN$9&gt;=1,AN$86&lt;-0.01,$E$266&gt;0),(AN$70+AN269)/(-$E$266*AN$86),"")</f>
        <v/>
      </c>
      <c r="AO271" s="162" t="str">
        <f aca="false">IF(AND(AO$9&gt;=1,AO$86&lt;-0.01,$E$266&gt;0),(AO$70+AO269)/(-$E$266*AO$86),"")</f>
        <v/>
      </c>
      <c r="AP271" s="162" t="str">
        <f aca="false">IF(AND(AP$9&gt;=1,AP$86&lt;-0.01,$E$266&gt;0),(AP$70+AP269)/(-$E$266*AP$86),"")</f>
        <v/>
      </c>
      <c r="AQ271" s="162" t="str">
        <f aca="false">IF(AND(AQ$9&gt;=1,AQ$86&lt;-0.01,$E$266&gt;0),(AQ$70+AQ269)/(-$E$266*AQ$86),"")</f>
        <v/>
      </c>
    </row>
    <row r="273" customFormat="false" ht="15" hidden="false" customHeight="false" outlineLevel="0" collapsed="false">
      <c r="C273" s="136" t="str">
        <f aca="false">"15."&amp;3&amp;" Gearing scenario 3 – "&amp;TEXT(D250,"0%")&amp;" (debt scale factor vs live case in E)"</f>
        <v>15.3 Gearing scenario 3 – 40% (debt scale factor vs live case in E)</v>
      </c>
      <c r="D273" s="136" t="s">
        <v>7</v>
      </c>
      <c r="E273" s="278" t="n">
        <f aca="false">IF(Inputs!$E$219=0,0,D250/Inputs!$E$219)</f>
        <v>0.8</v>
      </c>
      <c r="F273" s="278"/>
      <c r="G273" s="278"/>
      <c r="H273" s="278"/>
      <c r="I273" s="278"/>
      <c r="J273" s="278"/>
      <c r="K273" s="278"/>
      <c r="L273" s="278"/>
      <c r="M273" s="278"/>
      <c r="N273" s="278"/>
      <c r="O273" s="278"/>
      <c r="P273" s="278"/>
      <c r="Q273" s="278"/>
      <c r="R273" s="278"/>
      <c r="S273" s="278"/>
      <c r="T273" s="278"/>
      <c r="U273" s="278"/>
      <c r="V273" s="278"/>
      <c r="W273" s="278"/>
      <c r="X273" s="278"/>
      <c r="Y273" s="278"/>
      <c r="Z273" s="278"/>
      <c r="AA273" s="278"/>
      <c r="AB273" s="278"/>
      <c r="AC273" s="278"/>
      <c r="AD273" s="278"/>
      <c r="AE273" s="278"/>
      <c r="AF273" s="278"/>
      <c r="AG273" s="278"/>
      <c r="AH273" s="278"/>
      <c r="AI273" s="278"/>
      <c r="AJ273" s="278"/>
      <c r="AK273" s="278"/>
      <c r="AL273" s="278"/>
      <c r="AM273" s="278"/>
      <c r="AN273" s="278"/>
      <c r="AO273" s="278"/>
      <c r="AP273" s="278"/>
      <c r="AQ273" s="278"/>
    </row>
    <row r="274" customFormat="false" ht="15" hidden="false" customHeight="false" outlineLevel="0" collapsed="false">
      <c r="C274" s="0" t="s">
        <v>1402</v>
      </c>
      <c r="D274" s="0" t="s">
        <v>125</v>
      </c>
      <c r="E274" s="146"/>
      <c r="F274" s="146"/>
      <c r="G274" s="146"/>
      <c r="H274" s="146" t="n">
        <f aca="false">H$70+H$16-(-$G$30+$E$273*$G$79+$E$258)/$E$92*H$90-$E$273*H$81+$E$273*H$85</f>
        <v>-88.6216216216216</v>
      </c>
      <c r="I274" s="146" t="n">
        <f aca="false">I$70+I$16-(-$G$30+$E$273*$G$79+$E$258)/$E$92*I$90-$E$273*I$81+$E$273*I$85</f>
        <v>-428.165540540541</v>
      </c>
      <c r="J274" s="146" t="n">
        <f aca="false">J$70+J$16-(-$G$30+$E$273*$G$79+$E$258)/$E$92*J$90-$E$273*J$81+$E$273*J$85</f>
        <v>-876.865528442527</v>
      </c>
      <c r="K274" s="146" t="n">
        <f aca="false">K$70+K$16-(-$G$30+$E$273*$G$79+$E$258)/$E$92*K$90-$E$273*K$81+$E$273*K$85</f>
        <v>-1770.55009652401</v>
      </c>
      <c r="L274" s="146" t="n">
        <f aca="false">L$70+L$16-(-$G$30+$E$273*$G$79+$E$258)/$E$92*L$90-$E$273*L$81+$E$273*L$85</f>
        <v>-709.303787760507</v>
      </c>
      <c r="M274" s="146" t="n">
        <f aca="false">M$70+M$16-(-$G$30+$E$273*$G$79+$E$258)/$E$92*M$90-$E$273*M$81+$E$273*M$85</f>
        <v>7710.39684857952</v>
      </c>
      <c r="N274" s="146" t="n">
        <f aca="false">N$70+N$16-(-$G$30+$E$273*$G$79+$E$258)/$E$92*N$90-$E$273*N$81+$E$273*N$85</f>
        <v>8478.55778181983</v>
      </c>
      <c r="O274" s="146" t="n">
        <f aca="false">O$70+O$16-(-$G$30+$E$273*$G$79+$E$258)/$E$92*O$90-$E$273*O$81+$E$273*O$85</f>
        <v>8699.46068823276</v>
      </c>
      <c r="P274" s="146" t="n">
        <f aca="false">P$70+P$16-(-$G$30+$E$273*$G$79+$E$258)/$E$92*P$90-$E$273*P$81+$E$273*P$85</f>
        <v>8926.59177135311</v>
      </c>
      <c r="Q274" s="146" t="n">
        <f aca="false">Q$70+Q$16-(-$G$30+$E$273*$G$79+$E$258)/$E$92*Q$90-$E$273*Q$81+$E$273*Q$85</f>
        <v>9160.28726059704</v>
      </c>
      <c r="R274" s="146" t="n">
        <f aca="false">R$70+R$16-(-$G$30+$E$273*$G$79+$E$258)/$E$92*R$90-$E$273*R$81+$E$273*R$85</f>
        <v>9400.90174411556</v>
      </c>
      <c r="S274" s="146" t="n">
        <f aca="false">S$70+S$16-(-$G$30+$E$273*$G$79+$E$258)/$E$92*S$90-$E$273*S$81+$E$273*S$85</f>
        <v>9648.80913099049</v>
      </c>
      <c r="T274" s="146" t="n">
        <f aca="false">T$70+T$16-(-$G$30+$E$273*$G$79+$E$258)/$E$92*T$90-$E$273*T$81+$E$273*T$85</f>
        <v>9904.40366266354</v>
      </c>
      <c r="U274" s="146" t="n">
        <f aca="false">U$70+U$16-(-$G$30+$E$273*$G$79+$E$258)/$E$92*U$90-$E$273*U$81+$E$273*U$85</f>
        <v>10168.1009760873</v>
      </c>
      <c r="V274" s="146" t="n">
        <f aca="false">V$70+V$16-(-$G$30+$E$273*$G$79+$E$258)/$E$92*V$90-$E$273*V$81+$E$273*V$85</f>
        <v>10440.3392212134</v>
      </c>
      <c r="W274" s="146" t="n">
        <f aca="false">W$70+W$16-(-$G$30+$E$273*$G$79+$E$258)/$E$92*W$90-$E$273*W$81+$E$273*W$85</f>
        <v>10721.5802355625</v>
      </c>
      <c r="X274" s="146" t="n">
        <f aca="false">X$70+X$16-(-$G$30+$E$273*$G$79+$E$258)/$E$92*X$90-$E$273*X$81+$E$273*X$85</f>
        <v>11012.3107787619</v>
      </c>
      <c r="Y274" s="146" t="n">
        <f aca="false">Y$70+Y$16-(-$G$30+$E$273*$G$79+$E$258)/$E$92*Y$90-$E$273*Y$81+$E$273*Y$85</f>
        <v>11313.0438300776</v>
      </c>
      <c r="Z274" s="146" t="n">
        <f aca="false">Z$70+Z$16-(-$G$30+$E$273*$G$79+$E$258)/$E$92*Z$90-$E$273*Z$81+$E$273*Z$85</f>
        <v>11624.3199521234</v>
      </c>
      <c r="AA274" s="146" t="n">
        <f aca="false">AA$70+AA$16-(-$G$30+$E$273*$G$79+$E$258)/$E$92*AA$90-$E$273*AA$81+$E$273*AA$85</f>
        <v>11946.7087240869</v>
      </c>
      <c r="AB274" s="146" t="n">
        <f aca="false">AB$70+AB$16-(-$G$30+$E$273*$G$79+$E$258)/$E$92*AB$90-$E$273*AB$81+$E$273*AB$85</f>
        <v>12280.8102479825</v>
      </c>
      <c r="AC274" s="146" t="n">
        <f aca="false">AC$70+AC$16-(-$G$30+$E$273*$G$79+$E$258)/$E$92*AC$90-$E$273*AC$81+$E$273*AC$85</f>
        <v>12627.2567316137</v>
      </c>
      <c r="AD274" s="146" t="n">
        <f aca="false">AD$70+AD$16-(-$G$30+$E$273*$G$79+$E$258)/$E$92*AD$90-$E$273*AD$81+$E$273*AD$85</f>
        <v>12651.9471328398</v>
      </c>
      <c r="AE274" s="146" t="n">
        <f aca="false">AE$70+AE$16-(-$G$30+$E$273*$G$79+$E$258)/$E$92*AE$90-$E$273*AE$81+$E$273*AE$85</f>
        <v>12673.6116146367</v>
      </c>
      <c r="AF274" s="146" t="n">
        <f aca="false">AF$70+AF$16-(-$G$30+$E$273*$G$79+$E$258)/$E$92*AF$90-$E$273*AF$81+$E$273*AF$85</f>
        <v>12692.1521087444</v>
      </c>
      <c r="AG274" s="146" t="n">
        <f aca="false">AG$70+AG$16-(-$G$30+$E$273*$G$79+$E$258)/$E$92*AG$90-$E$273*AG$81+$E$273*AG$85</f>
        <v>16947.4822196445</v>
      </c>
      <c r="AH274" s="146" t="n">
        <f aca="false">AH$70+AH$16-(-$G$30+$E$273*$G$79+$E$258)/$E$92*AH$90-$E$273*AH$81+$E$273*AH$85</f>
        <v>21199.4844603948</v>
      </c>
      <c r="AI274" s="146" t="n">
        <f aca="false">AI$70+AI$16-(-$G$30+$E$273*$G$79+$E$258)/$E$92*AI$90-$E$273*AI$81+$E$273*AI$85</f>
        <v>21208.0386543575</v>
      </c>
      <c r="AJ274" s="146" t="n">
        <f aca="false">AJ$70+AJ$16-(-$G$30+$E$273*$G$79+$E$258)/$E$92*AJ$90-$E$273*AJ$81+$E$273*AJ$85</f>
        <v>21213.0503353224</v>
      </c>
      <c r="AK274" s="146" t="n">
        <f aca="false">AK$70+AK$16-(-$G$30+$E$273*$G$79+$E$258)/$E$92*AK$90-$E$273*AK$81+$E$273*AK$85</f>
        <v>21214.4079785268</v>
      </c>
      <c r="AL274" s="146" t="n">
        <f aca="false">AL$70+AL$16-(-$G$30+$E$273*$G$79+$E$258)/$E$92*AL$90-$E$273*AL$81+$E$273*AL$85</f>
        <v>21211.9971639586</v>
      </c>
      <c r="AM274" s="146" t="n">
        <f aca="false">AM$70+AM$16-(-$G$30+$E$273*$G$79+$E$258)/$E$92*AM$90-$E$273*AM$81+$E$273*AM$85</f>
        <v>21205.7005044412</v>
      </c>
      <c r="AN274" s="146" t="n">
        <f aca="false">AN$70+AN$16-(-$G$30+$E$273*$G$79+$E$258)/$E$92*AN$90-$E$273*AN$81+$E$273*AN$85</f>
        <v>21195.3975719509</v>
      </c>
      <c r="AO274" s="146" t="n">
        <f aca="false">AO$70+AO$16-(-$G$30+$E$273*$G$79+$E$258)/$E$92*AO$90-$E$273*AO$81+$E$273*AO$85</f>
        <v>21180.9648221222</v>
      </c>
      <c r="AP274" s="146" t="n">
        <f aca="false">AP$70+AP$16-(-$G$30+$E$273*$G$79+$E$258)/$E$92*AP$90-$E$273*AP$81+$E$273*AP$85</f>
        <v>21162.2755168973</v>
      </c>
      <c r="AQ274" s="146" t="n">
        <f aca="false">AQ$70+AQ$16-(-$G$30+$E$273*$G$79+$E$258)/$E$92*AQ$90-$E$273*AQ$81+$E$273*AQ$85</f>
        <v>10569.599822637</v>
      </c>
    </row>
    <row r="275" customFormat="false" ht="15" hidden="false" customHeight="false" outlineLevel="0" collapsed="false">
      <c r="C275" s="0" t="s">
        <v>1275</v>
      </c>
      <c r="D275" s="0" t="s">
        <v>125</v>
      </c>
      <c r="E275" s="146"/>
      <c r="F275" s="146"/>
      <c r="G275" s="146" t="n">
        <v>0</v>
      </c>
      <c r="H275" s="146" t="n">
        <f aca="false">G275+MAX(-H274,0)-MIN(G275,MAX(H274,0)*$E$95)</f>
        <v>88.6216216216216</v>
      </c>
      <c r="I275" s="146" t="n">
        <f aca="false">H275+MAX(-I274,0)-MIN(H275,MAX(I274,0)*$E$95)</f>
        <v>516.787162162162</v>
      </c>
      <c r="J275" s="146" t="n">
        <f aca="false">I275+MAX(-J274,0)-MIN(I275,MAX(J274,0)*$E$95)</f>
        <v>1393.65269060469</v>
      </c>
      <c r="K275" s="146" t="n">
        <f aca="false">J275+MAX(-K274,0)-MIN(J275,MAX(K274,0)*$E$95)</f>
        <v>3164.2027871287</v>
      </c>
      <c r="L275" s="146" t="n">
        <f aca="false">K275+MAX(-L274,0)-MIN(K275,MAX(L274,0)*$E$95)</f>
        <v>3873.50657488921</v>
      </c>
      <c r="M275" s="146" t="n">
        <f aca="false">L275+MAX(-M274,0)-MIN(L275,MAX(M274,0)*$E$95)</f>
        <v>18.3081505994501</v>
      </c>
      <c r="N275" s="146" t="n">
        <f aca="false">M275+MAX(-N274,0)-MIN(M275,MAX(N274,0)*$E$95)</f>
        <v>0</v>
      </c>
      <c r="O275" s="146" t="n">
        <f aca="false">N275+MAX(-O274,0)-MIN(N275,MAX(O274,0)*$E$95)</f>
        <v>0</v>
      </c>
      <c r="P275" s="146" t="n">
        <f aca="false">O275+MAX(-P274,0)-MIN(O275,MAX(P274,0)*$E$95)</f>
        <v>0</v>
      </c>
      <c r="Q275" s="146" t="n">
        <f aca="false">P275+MAX(-Q274,0)-MIN(P275,MAX(Q274,0)*$E$95)</f>
        <v>0</v>
      </c>
      <c r="R275" s="146" t="n">
        <f aca="false">Q275+MAX(-R274,0)-MIN(Q275,MAX(R274,0)*$E$95)</f>
        <v>0</v>
      </c>
      <c r="S275" s="146" t="n">
        <f aca="false">R275+MAX(-S274,0)-MIN(R275,MAX(S274,0)*$E$95)</f>
        <v>0</v>
      </c>
      <c r="T275" s="146" t="n">
        <f aca="false">S275+MAX(-T274,0)-MIN(S275,MAX(T274,0)*$E$95)</f>
        <v>0</v>
      </c>
      <c r="U275" s="146" t="n">
        <f aca="false">T275+MAX(-U274,0)-MIN(T275,MAX(U274,0)*$E$95)</f>
        <v>0</v>
      </c>
      <c r="V275" s="146" t="n">
        <f aca="false">U275+MAX(-V274,0)-MIN(U275,MAX(V274,0)*$E$95)</f>
        <v>0</v>
      </c>
      <c r="W275" s="146" t="n">
        <f aca="false">V275+MAX(-W274,0)-MIN(V275,MAX(W274,0)*$E$95)</f>
        <v>0</v>
      </c>
      <c r="X275" s="146" t="n">
        <f aca="false">W275+MAX(-X274,0)-MIN(W275,MAX(X274,0)*$E$95)</f>
        <v>0</v>
      </c>
      <c r="Y275" s="146" t="n">
        <f aca="false">X275+MAX(-Y274,0)-MIN(X275,MAX(Y274,0)*$E$95)</f>
        <v>0</v>
      </c>
      <c r="Z275" s="146" t="n">
        <f aca="false">Y275+MAX(-Z274,0)-MIN(Y275,MAX(Z274,0)*$E$95)</f>
        <v>0</v>
      </c>
      <c r="AA275" s="146" t="n">
        <f aca="false">Z275+MAX(-AA274,0)-MIN(Z275,MAX(AA274,0)*$E$95)</f>
        <v>0</v>
      </c>
      <c r="AB275" s="146" t="n">
        <f aca="false">AA275+MAX(-AB274,0)-MIN(AA275,MAX(AB274,0)*$E$95)</f>
        <v>0</v>
      </c>
      <c r="AC275" s="146" t="n">
        <f aca="false">AB275+MAX(-AC274,0)-MIN(AB275,MAX(AC274,0)*$E$95)</f>
        <v>0</v>
      </c>
      <c r="AD275" s="146" t="n">
        <f aca="false">AC275+MAX(-AD274,0)-MIN(AC275,MAX(AD274,0)*$E$95)</f>
        <v>0</v>
      </c>
      <c r="AE275" s="146" t="n">
        <f aca="false">AD275+MAX(-AE274,0)-MIN(AD275,MAX(AE274,0)*$E$95)</f>
        <v>0</v>
      </c>
      <c r="AF275" s="146" t="n">
        <f aca="false">AE275+MAX(-AF274,0)-MIN(AE275,MAX(AF274,0)*$E$95)</f>
        <v>0</v>
      </c>
      <c r="AG275" s="146" t="n">
        <f aca="false">AF275+MAX(-AG274,0)-MIN(AF275,MAX(AG274,0)*$E$95)</f>
        <v>0</v>
      </c>
      <c r="AH275" s="146" t="n">
        <f aca="false">AG275+MAX(-AH274,0)-MIN(AG275,MAX(AH274,0)*$E$95)</f>
        <v>0</v>
      </c>
      <c r="AI275" s="146" t="n">
        <f aca="false">AH275+MAX(-AI274,0)-MIN(AH275,MAX(AI274,0)*$E$95)</f>
        <v>0</v>
      </c>
      <c r="AJ275" s="146" t="n">
        <f aca="false">AI275+MAX(-AJ274,0)-MIN(AI275,MAX(AJ274,0)*$E$95)</f>
        <v>0</v>
      </c>
      <c r="AK275" s="146" t="n">
        <f aca="false">AJ275+MAX(-AK274,0)-MIN(AJ275,MAX(AK274,0)*$E$95)</f>
        <v>0</v>
      </c>
      <c r="AL275" s="146" t="n">
        <f aca="false">AK275+MAX(-AL274,0)-MIN(AK275,MAX(AL274,0)*$E$95)</f>
        <v>0</v>
      </c>
      <c r="AM275" s="146" t="n">
        <f aca="false">AL275+MAX(-AM274,0)-MIN(AL275,MAX(AM274,0)*$E$95)</f>
        <v>0</v>
      </c>
      <c r="AN275" s="146" t="n">
        <f aca="false">AM275+MAX(-AN274,0)-MIN(AM275,MAX(AN274,0)*$E$95)</f>
        <v>0</v>
      </c>
      <c r="AO275" s="146" t="n">
        <f aca="false">AN275+MAX(-AO274,0)-MIN(AN275,MAX(AO274,0)*$E$95)</f>
        <v>0</v>
      </c>
      <c r="AP275" s="146" t="n">
        <f aca="false">AO275+MAX(-AP274,0)-MIN(AO275,MAX(AP274,0)*$E$95)</f>
        <v>0</v>
      </c>
      <c r="AQ275" s="146" t="n">
        <f aca="false">AP275+MAX(-AQ274,0)-MIN(AP275,MAX(AQ274,0)*$E$95)</f>
        <v>0</v>
      </c>
    </row>
    <row r="276" customFormat="false" ht="15" hidden="false" customHeight="false" outlineLevel="0" collapsed="false">
      <c r="C276" s="0" t="s">
        <v>1403</v>
      </c>
      <c r="D276" s="0" t="s">
        <v>125</v>
      </c>
      <c r="E276" s="146"/>
      <c r="F276" s="146"/>
      <c r="G276" s="146"/>
      <c r="H276" s="146" t="n">
        <f aca="false">-(MAX(H274,0)-MIN(G275,MAX(H274,0)*$E$95))*$E$91-MAX(H274,0)*$E$99</f>
        <v>-0</v>
      </c>
      <c r="I276" s="146" t="n">
        <f aca="false">-(MAX(I274,0)-MIN(H275,MAX(I274,0)*$E$95))*$E$91-MAX(I274,0)*$E$99</f>
        <v>-0</v>
      </c>
      <c r="J276" s="146" t="n">
        <f aca="false">-(MAX(J274,0)-MIN(I275,MAX(J274,0)*$E$95))*$E$91-MAX(J274,0)*$E$99</f>
        <v>-0</v>
      </c>
      <c r="K276" s="146" t="n">
        <f aca="false">-(MAX(K274,0)-MIN(J275,MAX(K274,0)*$E$95))*$E$91-MAX(K274,0)*$E$99</f>
        <v>-0</v>
      </c>
      <c r="L276" s="146" t="n">
        <f aca="false">-(MAX(L274,0)-MIN(K275,MAX(L274,0)*$E$95))*$E$91-MAX(L274,0)*$E$99</f>
        <v>-0</v>
      </c>
      <c r="M276" s="146" t="n">
        <f aca="false">-(MAX(M274,0)-MIN(L275,MAX(M274,0)*$E$95))*$E$91-MAX(M274,0)*$E$99</f>
        <v>-578.279763643464</v>
      </c>
      <c r="N276" s="146" t="n">
        <f aca="false">-(MAX(N274,0)-MIN(M275,MAX(N274,0)*$E$95))*$E$91-MAX(N274,0)*$E$99</f>
        <v>-1269.03744468306</v>
      </c>
      <c r="O276" s="146" t="n">
        <f aca="false">-(MAX(O274,0)-MIN(N275,MAX(O274,0)*$E$95))*$E$91-MAX(O274,0)*$E$99</f>
        <v>-1304.91910323491</v>
      </c>
      <c r="P276" s="146" t="n">
        <f aca="false">-(MAX(P274,0)-MIN(O275,MAX(P274,0)*$E$95))*$E$91-MAX(P274,0)*$E$99</f>
        <v>-1338.98876570297</v>
      </c>
      <c r="Q276" s="146" t="n">
        <f aca="false">-(MAX(Q274,0)-MIN(P275,MAX(Q274,0)*$E$95))*$E$91-MAX(Q274,0)*$E$99</f>
        <v>-1374.04308908956</v>
      </c>
      <c r="R276" s="146" t="n">
        <f aca="false">-(MAX(R274,0)-MIN(Q275,MAX(R274,0)*$E$95))*$E$91-MAX(R274,0)*$E$99</f>
        <v>-1410.13526161733</v>
      </c>
      <c r="S276" s="146" t="n">
        <f aca="false">-(MAX(S274,0)-MIN(R275,MAX(S274,0)*$E$95))*$E$91-MAX(S274,0)*$E$99</f>
        <v>-1447.32136964857</v>
      </c>
      <c r="T276" s="146" t="n">
        <f aca="false">-(MAX(T274,0)-MIN(S275,MAX(T274,0)*$E$95))*$E$91-MAX(T274,0)*$E$99</f>
        <v>-1485.66054939953</v>
      </c>
      <c r="U276" s="146" t="n">
        <f aca="false">-(MAX(U274,0)-MIN(T275,MAX(U274,0)*$E$95))*$E$91-MAX(U274,0)*$E$99</f>
        <v>-1525.2151464131</v>
      </c>
      <c r="V276" s="146" t="n">
        <f aca="false">-(MAX(V274,0)-MIN(U275,MAX(V274,0)*$E$95))*$E$91-MAX(V274,0)*$E$99</f>
        <v>-1566.05088318201</v>
      </c>
      <c r="W276" s="146" t="n">
        <f aca="false">-(MAX(W274,0)-MIN(V275,MAX(W274,0)*$E$95))*$E$91-MAX(W274,0)*$E$99</f>
        <v>-1608.23703533438</v>
      </c>
      <c r="X276" s="146" t="n">
        <f aca="false">-(MAX(X274,0)-MIN(W275,MAX(X274,0)*$E$95))*$E$91-MAX(X274,0)*$E$99</f>
        <v>-1651.84661681429</v>
      </c>
      <c r="Y276" s="146" t="n">
        <f aca="false">-(MAX(Y274,0)-MIN(X275,MAX(Y274,0)*$E$95))*$E$91-MAX(Y274,0)*$E$99</f>
        <v>-1696.95657451164</v>
      </c>
      <c r="Z276" s="146" t="n">
        <f aca="false">-(MAX(Z274,0)-MIN(Y275,MAX(Z274,0)*$E$95))*$E$91-MAX(Z274,0)*$E$99</f>
        <v>-1743.6479928185</v>
      </c>
      <c r="AA276" s="146" t="n">
        <f aca="false">-(MAX(AA274,0)-MIN(Z275,MAX(AA274,0)*$E$95))*$E$91-MAX(AA274,0)*$E$99</f>
        <v>-1792.00630861304</v>
      </c>
      <c r="AB276" s="146" t="n">
        <f aca="false">-(MAX(AB274,0)-MIN(AA275,MAX(AB274,0)*$E$95))*$E$91-MAX(AB274,0)*$E$99</f>
        <v>-1842.12153719737</v>
      </c>
      <c r="AC276" s="146" t="n">
        <f aca="false">-(MAX(AC274,0)-MIN(AB275,MAX(AC274,0)*$E$95))*$E$91-MAX(AC274,0)*$E$99</f>
        <v>-1894.08850974206</v>
      </c>
      <c r="AD276" s="146" t="n">
        <f aca="false">-(MAX(AD274,0)-MIN(AC275,MAX(AD274,0)*$E$95))*$E$91-MAX(AD274,0)*$E$99</f>
        <v>-1897.79206992598</v>
      </c>
      <c r="AE276" s="146" t="n">
        <f aca="false">-(MAX(AE274,0)-MIN(AD275,MAX(AE274,0)*$E$95))*$E$91-MAX(AE274,0)*$E$99</f>
        <v>-1901.04174219551</v>
      </c>
      <c r="AF276" s="146" t="n">
        <f aca="false">-(MAX(AF274,0)-MIN(AE275,MAX(AF274,0)*$E$95))*$E$91-MAX(AF274,0)*$E$99</f>
        <v>-1903.82281631166</v>
      </c>
      <c r="AG276" s="146" t="n">
        <f aca="false">-(MAX(AG274,0)-MIN(AF275,MAX(AG274,0)*$E$95))*$E$91-MAX(AG274,0)*$E$99</f>
        <v>-2542.12233294667</v>
      </c>
      <c r="AH276" s="146" t="n">
        <f aca="false">-(MAX(AH274,0)-MIN(AG275,MAX(AH274,0)*$E$95))*$E$91-MAX(AH274,0)*$E$99</f>
        <v>-3179.92266905922</v>
      </c>
      <c r="AI276" s="146" t="n">
        <f aca="false">-(MAX(AI274,0)-MIN(AH275,MAX(AI274,0)*$E$95))*$E$91-MAX(AI274,0)*$E$99</f>
        <v>-3181.20579815362</v>
      </c>
      <c r="AJ276" s="146" t="n">
        <f aca="false">-(MAX(AJ274,0)-MIN(AI275,MAX(AJ274,0)*$E$95))*$E$91-MAX(AJ274,0)*$E$99</f>
        <v>-3181.95755029835</v>
      </c>
      <c r="AK276" s="146" t="n">
        <f aca="false">-(MAX(AK274,0)-MIN(AJ275,MAX(AK274,0)*$E$95))*$E$91-MAX(AK274,0)*$E$99</f>
        <v>-3182.16119677902</v>
      </c>
      <c r="AL276" s="146" t="n">
        <f aca="false">-(MAX(AL274,0)-MIN(AK275,MAX(AL274,0)*$E$95))*$E$91-MAX(AL274,0)*$E$99</f>
        <v>-3181.79957459379</v>
      </c>
      <c r="AM276" s="146" t="n">
        <f aca="false">-(MAX(AM274,0)-MIN(AL275,MAX(AM274,0)*$E$95))*$E$91-MAX(AM274,0)*$E$99</f>
        <v>-3180.85507566618</v>
      </c>
      <c r="AN276" s="146" t="n">
        <f aca="false">-(MAX(AN274,0)-MIN(AM275,MAX(AN274,0)*$E$95))*$E$91-MAX(AN274,0)*$E$99</f>
        <v>-3179.30963579264</v>
      </c>
      <c r="AO276" s="146" t="n">
        <f aca="false">-(MAX(AO274,0)-MIN(AN275,MAX(AO274,0)*$E$95))*$E$91-MAX(AO274,0)*$E$99</f>
        <v>-3177.14472331833</v>
      </c>
      <c r="AP276" s="146" t="n">
        <f aca="false">-(MAX(AP274,0)-MIN(AO275,MAX(AP274,0)*$E$95))*$E$91-MAX(AP274,0)*$E$99</f>
        <v>-3174.3413275346</v>
      </c>
      <c r="AQ276" s="146" t="n">
        <f aca="false">-(MAX(AQ274,0)-MIN(AP275,MAX(AQ274,0)*$E$95))*$E$91-MAX(AQ274,0)*$E$99</f>
        <v>-1585.43997339554</v>
      </c>
    </row>
    <row r="277" customFormat="false" ht="15" hidden="false" customHeight="false" outlineLevel="0" collapsed="false">
      <c r="C277" s="0" t="s">
        <v>1297</v>
      </c>
      <c r="D277" s="0" t="s">
        <v>125</v>
      </c>
      <c r="E277" s="146"/>
      <c r="F277" s="146"/>
      <c r="G277" s="146"/>
      <c r="H277" s="146" t="n">
        <f aca="false">(H$109+$E$273*(H$77+H$85-H$80+H$86-H$87+H$89)+H276)*$E$128</f>
        <v>-1570.61764901888</v>
      </c>
      <c r="I277" s="146" t="n">
        <f aca="false">(I$109+$E$273*(I$77+I$85-I$80+I$86-I$87+I$89)+I276)*$E$128</f>
        <v>-778.738143280267</v>
      </c>
      <c r="J277" s="146" t="n">
        <f aca="false">(J$109+$E$273*(J$77+J$85-J$80+J$86-J$87+J$89)+J276)*$E$128</f>
        <v>-1227.43813118225</v>
      </c>
      <c r="K277" s="146" t="n">
        <f aca="false">(K$109+$E$273*(K$77+K$85-K$80+K$86-K$87+K$89)+K276)*$E$128</f>
        <v>-45852.5616744486</v>
      </c>
      <c r="L277" s="146" t="n">
        <f aca="false">(L$109+$E$273*(L$77+L$85-L$80+L$86-L$87+L$89)+L276)*$E$128</f>
        <v>-38254.5392318701</v>
      </c>
      <c r="M277" s="146" t="n">
        <f aca="false">(M$109+$E$273*(M$77+M$85-M$80+M$86-M$87+M$89)+M276)*$E$128</f>
        <v>-12246.1909155004</v>
      </c>
      <c r="N277" s="146" t="n">
        <f aca="false">(N$109+$E$273*(N$77+N$85-N$80+N$86-N$87+N$89)+N276)*$E$128</f>
        <v>12468.9756011215</v>
      </c>
      <c r="O277" s="146" t="n">
        <f aca="false">(O$109+$E$273*(O$77+O$85-O$80+O$86-O$87+O$89)+O276)*$E$128</f>
        <v>12492.9681888326</v>
      </c>
      <c r="P277" s="146" t="n">
        <f aca="false">(P$109+$E$273*(P$77+P$85-P$80+P$86-P$87+P$89)+P276)*$E$128</f>
        <v>12516.9495163274</v>
      </c>
      <c r="Q277" s="146" t="n">
        <f aca="false">(Q$109+$E$273*(Q$77+Q$85-Q$80+Q$86-Q$87+Q$89)+Q276)*$E$128</f>
        <v>12538.0565843695</v>
      </c>
      <c r="R277" s="146" t="n">
        <f aca="false">(R$109+$E$273*(R$77+R$85-R$80+R$86-R$87+R$89)+R276)*$E$128</f>
        <v>12556.1680926541</v>
      </c>
      <c r="S277" s="146" t="n">
        <f aca="false">(S$109+$E$273*(S$77+S$85-S$80+S$86-S$87+S$89)+S276)*$E$128</f>
        <v>12571.1580286564</v>
      </c>
      <c r="T277" s="146" t="n">
        <f aca="false">(T$109+$E$273*(T$77+T$85-T$80+T$86-T$87+T$89)+T276)*$E$128</f>
        <v>12582.895470595</v>
      </c>
      <c r="U277" s="146" t="n">
        <f aca="false">(U$109+$E$273*(U$77+U$85-U$80+U$86-U$87+U$89)+U276)*$E$128</f>
        <v>12591.2443815226</v>
      </c>
      <c r="V277" s="146" t="n">
        <f aca="false">(V$109+$E$273*(V$77+V$85-V$80+V$86-V$87+V$89)+V276)*$E$128</f>
        <v>12596.063394123</v>
      </c>
      <c r="W277" s="146" t="n">
        <f aca="false">(W$109+$E$273*(W$77+W$85-W$80+W$86-W$87+W$89)+W276)*$E$128</f>
        <v>12597.2055857752</v>
      </c>
      <c r="X277" s="146" t="n">
        <f aca="false">(X$109+$E$273*(X$77+X$85-X$80+X$86-X$87+X$89)+X276)*$E$128</f>
        <v>12594.5182434228</v>
      </c>
      <c r="Y277" s="146" t="n">
        <f aca="false">(Y$109+$E$273*(Y$77+Y$85-Y$80+Y$86-Y$87+Y$89)+Y276)*$E$128</f>
        <v>12587.8426177657</v>
      </c>
      <c r="Z277" s="146" t="n">
        <f aca="false">(Z$109+$E$273*(Z$77+Z$85-Z$80+Z$86-Z$87+Z$89)+Z276)*$E$128</f>
        <v>12577.0136662654</v>
      </c>
      <c r="AA277" s="146" t="n">
        <f aca="false">(AA$109+$E$273*(AA$77+AA$85-AA$80+AA$86-AA$87+AA$89)+AA276)*$E$128</f>
        <v>12561.8597844332</v>
      </c>
      <c r="AB277" s="146" t="n">
        <f aca="false">(AB$109+$E$273*(AB$77+AB$85-AB$80+AB$86-AB$87+AB$89)+AB276)*$E$128</f>
        <v>12542.2025248433</v>
      </c>
      <c r="AC277" s="146" t="n">
        <f aca="false">(AC$109+$E$273*(AC$77+AC$85-AC$80+AC$86-AC$87+AC$89)+AC276)*$E$128</f>
        <v>19213.1966888555</v>
      </c>
      <c r="AD277" s="146" t="n">
        <f aca="false">(AD$109+$E$273*(AD$77+AD$85-AD$80+AD$86-AD$87+AD$89)+AD276)*$E$128</f>
        <v>19234.1835298977</v>
      </c>
      <c r="AE277" s="146" t="n">
        <f aca="false">(AE$109+$E$273*(AE$77+AE$85-AE$80+AE$86-AE$87+AE$89)+AE276)*$E$128</f>
        <v>19252.598339425</v>
      </c>
      <c r="AF277" s="146" t="n">
        <f aca="false">(AF$109+$E$273*(AF$77+AF$85-AF$80+AF$86-AF$87+AF$89)+AF276)*$E$128</f>
        <v>19268.3577594165</v>
      </c>
      <c r="AG277" s="146" t="n">
        <f aca="false">(AG$109+$E$273*(AG$77+AG$85-AG$80+AG$86-AG$87+AG$89)+AG276)*$E$128</f>
        <v>18645.3741201897</v>
      </c>
      <c r="AH277" s="146" t="n">
        <f aca="false">(AH$109+$E$273*(AH$77+AH$85-AH$80+AH$86-AH$87+AH$89)+AH276)*$E$128</f>
        <v>18019.5617913356</v>
      </c>
      <c r="AI277" s="146" t="n">
        <f aca="false">(AI$109+$E$273*(AI$77+AI$85-AI$80+AI$86-AI$87+AI$89)+AI276)*$E$128</f>
        <v>18026.8328562038</v>
      </c>
      <c r="AJ277" s="146" t="n">
        <f aca="false">(AJ$109+$E$273*(AJ$77+AJ$85-AJ$80+AJ$86-AJ$87+AJ$89)+AJ276)*$E$128</f>
        <v>18031.092785024</v>
      </c>
      <c r="AK277" s="146" t="n">
        <f aca="false">(AK$109+$E$273*(AK$77+AK$85-AK$80+AK$86-AK$87+AK$89)+AK276)*$E$128</f>
        <v>18032.2467817478</v>
      </c>
      <c r="AL277" s="146" t="n">
        <f aca="false">(AL$109+$E$273*(AL$77+AL$85-AL$80+AL$86-AL$87+AL$89)+AL276)*$E$128</f>
        <v>18030.1975893648</v>
      </c>
      <c r="AM277" s="146" t="n">
        <f aca="false">(AM$109+$E$273*(AM$77+AM$85-AM$80+AM$86-AM$87+AM$89)+AM276)*$E$128</f>
        <v>18024.845428775</v>
      </c>
      <c r="AN277" s="146" t="n">
        <f aca="false">(AN$109+$E$273*(AN$77+AN$85-AN$80+AN$86-AN$87+AN$89)+AN276)*$E$128</f>
        <v>18016.0879361583</v>
      </c>
      <c r="AO277" s="146" t="n">
        <f aca="false">(AO$109+$E$273*(AO$77+AO$85-AO$80+AO$86-AO$87+AO$89)+AO276)*$E$128</f>
        <v>18003.8200988039</v>
      </c>
      <c r="AP277" s="146" t="n">
        <f aca="false">(AP$109+$E$273*(AP$77+AP$85-AP$80+AP$86-AP$87+AP$89)+AP276)*$E$128</f>
        <v>17987.9341893627</v>
      </c>
      <c r="AQ277" s="146" t="n">
        <f aca="false">(AQ$109+$E$273*(AQ$77+AQ$85-AQ$80+AQ$86-AQ$87+AQ$89)+AQ276)*$E$128</f>
        <v>4907.15984924141</v>
      </c>
    </row>
    <row r="278" customFormat="false" ht="15" hidden="false" customHeight="false" outlineLevel="0" collapsed="false">
      <c r="C278" s="0" t="s">
        <v>1294</v>
      </c>
      <c r="D278" s="0" t="s">
        <v>7</v>
      </c>
      <c r="E278" s="146"/>
      <c r="F278" s="146"/>
      <c r="G278" s="162"/>
      <c r="H278" s="162" t="str">
        <f aca="false">IF(AND(H$9&gt;=1,H$86&lt;-0.01,$E$273&gt;0),(H$70+H276)/(-$E$273*H$86),"")</f>
        <v/>
      </c>
      <c r="I278" s="162" t="str">
        <f aca="false">IF(AND(I$9&gt;=1,I$86&lt;-0.01,$E$273&gt;0),(I$70+I276)/(-$E$273*I$86),"")</f>
        <v/>
      </c>
      <c r="J278" s="162" t="str">
        <f aca="false">IF(AND(J$9&gt;=1,J$86&lt;-0.01,$E$273&gt;0),(J$70+J276)/(-$E$273*J$86),"")</f>
        <v/>
      </c>
      <c r="K278" s="162" t="str">
        <f aca="false">IF(AND(K$9&gt;=1,K$86&lt;-0.01,$E$273&gt;0),(K$70+K276)/(-$E$273*K$86),"")</f>
        <v/>
      </c>
      <c r="L278" s="162" t="str">
        <f aca="false">IF(AND(L$9&gt;=1,L$86&lt;-0.01,$E$273&gt;0),(L$70+L276)/(-$E$273*L$86),"")</f>
        <v/>
      </c>
      <c r="M278" s="162" t="str">
        <f aca="false">IF(AND(M$9&gt;=1,M$86&lt;-0.01,$E$273&gt;0),(M$70+M276)/(-$E$273*M$86),"")</f>
        <v/>
      </c>
      <c r="N278" s="162" t="n">
        <f aca="false">IF(AND(N$9&gt;=1,N$86&lt;-0.01,$E$273&gt;0),(N$70+N276)/(-$E$273*N$86),"")</f>
        <v>2.8623363239293</v>
      </c>
      <c r="O278" s="162" t="n">
        <f aca="false">IF(AND(O$9&gt;=1,O$86&lt;-0.01,$E$273&gt;0),(O$70+O276)/(-$E$273*O$86),"")</f>
        <v>2.86591979935093</v>
      </c>
      <c r="P278" s="162" t="n">
        <f aca="false">IF(AND(P$9&gt;=1,P$86&lt;-0.01,$E$273&gt;0),(P$70+P276)/(-$E$273*P$86),"")</f>
        <v>2.86950159297363</v>
      </c>
      <c r="Q278" s="162" t="n">
        <f aca="false">IF(AND(Q$9&gt;=1,Q$86&lt;-0.01,$E$273&gt;0),(Q$70+Q276)/(-$E$273*Q$86),"")</f>
        <v>2.8726540940903</v>
      </c>
      <c r="R278" s="162" t="n">
        <f aca="false">IF(AND(R$9&gt;=1,R$86&lt;-0.01,$E$273&gt;0),(R$70+R276)/(-$E$273*R$86),"")</f>
        <v>2.87535918557806</v>
      </c>
      <c r="S278" s="162" t="n">
        <f aca="false">IF(AND(S$9&gt;=1,S$86&lt;-0.01,$E$273&gt;0),(S$70+S276)/(-$E$273*S$86),"")</f>
        <v>2.87759804650806</v>
      </c>
      <c r="T278" s="162" t="n">
        <f aca="false">IF(AND(T$9&gt;=1,T$86&lt;-0.01,$E$273&gt;0),(T$70+T276)/(-$E$273*T$86),"")</f>
        <v>2.87935112271669</v>
      </c>
      <c r="U278" s="162" t="n">
        <f aca="false">IF(AND(U$9&gt;=1,U$86&lt;-0.01,$E$273&gt;0),(U$70+U276)/(-$E$273*U$86),"")</f>
        <v>2.88059809605139</v>
      </c>
      <c r="V278" s="162" t="n">
        <f aca="false">IF(AND(V$9&gt;=1,V$86&lt;-0.01,$E$273&gt;0),(V$70+V276)/(-$E$273*V$86),"")</f>
        <v>2.8813178522285</v>
      </c>
      <c r="W278" s="162" t="n">
        <f aca="false">IF(AND(W$9&gt;=1,W$86&lt;-0.01,$E$273&gt;0),(W$70+W276)/(-$E$273*W$86),"")</f>
        <v>2.88148844723733</v>
      </c>
      <c r="X278" s="162" t="n">
        <f aca="false">IF(AND(X$9&gt;=1,X$86&lt;-0.01,$E$273&gt;0),(X$70+X276)/(-$E$273*X$86),"")</f>
        <v>2.88108707222163</v>
      </c>
      <c r="Y278" s="162" t="n">
        <f aca="false">IF(AND(Y$9&gt;=1,Y$86&lt;-0.01,$E$273&gt;0),(Y$70+Y276)/(-$E$273*Y$86),"")</f>
        <v>2.88009001676625</v>
      </c>
      <c r="Z278" s="162" t="n">
        <f aca="false">IF(AND(Z$9&gt;=1,Z$86&lt;-0.01,$E$273&gt;0),(Z$70+Z276)/(-$E$273*Z$86),"")</f>
        <v>2.87847263051301</v>
      </c>
      <c r="AA278" s="162" t="n">
        <f aca="false">IF(AND(AA$9&gt;=1,AA$86&lt;-0.01,$E$273&gt;0),(AA$70+AA276)/(-$E$273*AA$86),"")</f>
        <v>2.87620928302664</v>
      </c>
      <c r="AB278" s="162" t="n">
        <f aca="false">IF(AND(AB$9&gt;=1,AB$86&lt;-0.01,$E$273&gt;0),(AB$70+AB276)/(-$E$273*AB$86),"")</f>
        <v>2.87327332182707</v>
      </c>
      <c r="AC278" s="162" t="str">
        <f aca="false">IF(AND(AC$9&gt;=1,AC$86&lt;-0.01,$E$273&gt;0),(AC$70+AC276)/(-$E$273*AC$86),"")</f>
        <v/>
      </c>
      <c r="AD278" s="162" t="str">
        <f aca="false">IF(AND(AD$9&gt;=1,AD$86&lt;-0.01,$E$273&gt;0),(AD$70+AD276)/(-$E$273*AD$86),"")</f>
        <v/>
      </c>
      <c r="AE278" s="162" t="str">
        <f aca="false">IF(AND(AE$9&gt;=1,AE$86&lt;-0.01,$E$273&gt;0),(AE$70+AE276)/(-$E$273*AE$86),"")</f>
        <v/>
      </c>
      <c r="AF278" s="162" t="str">
        <f aca="false">IF(AND(AF$9&gt;=1,AF$86&lt;-0.01,$E$273&gt;0),(AF$70+AF276)/(-$E$273*AF$86),"")</f>
        <v/>
      </c>
      <c r="AG278" s="162" t="str">
        <f aca="false">IF(AND(AG$9&gt;=1,AG$86&lt;-0.01,$E$273&gt;0),(AG$70+AG276)/(-$E$273*AG$86),"")</f>
        <v/>
      </c>
      <c r="AH278" s="162" t="str">
        <f aca="false">IF(AND(AH$9&gt;=1,AH$86&lt;-0.01,$E$273&gt;0),(AH$70+AH276)/(-$E$273*AH$86),"")</f>
        <v/>
      </c>
      <c r="AI278" s="162" t="str">
        <f aca="false">IF(AND(AI$9&gt;=1,AI$86&lt;-0.01,$E$273&gt;0),(AI$70+AI276)/(-$E$273*AI$86),"")</f>
        <v/>
      </c>
      <c r="AJ278" s="162" t="str">
        <f aca="false">IF(AND(AJ$9&gt;=1,AJ$86&lt;-0.01,$E$273&gt;0),(AJ$70+AJ276)/(-$E$273*AJ$86),"")</f>
        <v/>
      </c>
      <c r="AK278" s="162" t="str">
        <f aca="false">IF(AND(AK$9&gt;=1,AK$86&lt;-0.01,$E$273&gt;0),(AK$70+AK276)/(-$E$273*AK$86),"")</f>
        <v/>
      </c>
      <c r="AL278" s="162" t="str">
        <f aca="false">IF(AND(AL$9&gt;=1,AL$86&lt;-0.01,$E$273&gt;0),(AL$70+AL276)/(-$E$273*AL$86),"")</f>
        <v/>
      </c>
      <c r="AM278" s="162" t="str">
        <f aca="false">IF(AND(AM$9&gt;=1,AM$86&lt;-0.01,$E$273&gt;0),(AM$70+AM276)/(-$E$273*AM$86),"")</f>
        <v/>
      </c>
      <c r="AN278" s="162" t="str">
        <f aca="false">IF(AND(AN$9&gt;=1,AN$86&lt;-0.01,$E$273&gt;0),(AN$70+AN276)/(-$E$273*AN$86),"")</f>
        <v/>
      </c>
      <c r="AO278" s="162" t="str">
        <f aca="false">IF(AND(AO$9&gt;=1,AO$86&lt;-0.01,$E$273&gt;0),(AO$70+AO276)/(-$E$273*AO$86),"")</f>
        <v/>
      </c>
      <c r="AP278" s="162" t="str">
        <f aca="false">IF(AND(AP$9&gt;=1,AP$86&lt;-0.01,$E$273&gt;0),(AP$70+AP276)/(-$E$273*AP$86),"")</f>
        <v/>
      </c>
      <c r="AQ278" s="162" t="str">
        <f aca="false">IF(AND(AQ$9&gt;=1,AQ$86&lt;-0.01,$E$273&gt;0),(AQ$70+AQ276)/(-$E$273*AQ$86),"")</f>
        <v/>
      </c>
    </row>
    <row r="280" customFormat="false" ht="15" hidden="false" customHeight="false" outlineLevel="0" collapsed="false">
      <c r="C280" s="136" t="str">
        <f aca="false">"15."&amp;4&amp;" Gearing scenario 4 – "&amp;TEXT(D251,"0%")&amp;" (debt scale factor vs live case in E)"</f>
        <v>15.4 Gearing scenario 4 – 50% (debt scale factor vs live case in E)</v>
      </c>
      <c r="D280" s="136" t="s">
        <v>7</v>
      </c>
      <c r="E280" s="278" t="n">
        <f aca="false">IF(Inputs!$E$219=0,0,D251/Inputs!$E$219)</f>
        <v>1</v>
      </c>
      <c r="F280" s="278"/>
      <c r="G280" s="278"/>
      <c r="H280" s="278"/>
      <c r="I280" s="278"/>
      <c r="J280" s="278"/>
      <c r="K280" s="278"/>
      <c r="L280" s="278"/>
      <c r="M280" s="278"/>
      <c r="N280" s="278"/>
      <c r="O280" s="278"/>
      <c r="P280" s="278"/>
      <c r="Q280" s="278"/>
      <c r="R280" s="278"/>
      <c r="S280" s="278"/>
      <c r="T280" s="278"/>
      <c r="U280" s="278"/>
      <c r="V280" s="278"/>
      <c r="W280" s="278"/>
      <c r="X280" s="278"/>
      <c r="Y280" s="278"/>
      <c r="Z280" s="278"/>
      <c r="AA280" s="278"/>
      <c r="AB280" s="278"/>
      <c r="AC280" s="278"/>
      <c r="AD280" s="278"/>
      <c r="AE280" s="278"/>
      <c r="AF280" s="278"/>
      <c r="AG280" s="278"/>
      <c r="AH280" s="278"/>
      <c r="AI280" s="278"/>
      <c r="AJ280" s="278"/>
      <c r="AK280" s="278"/>
      <c r="AL280" s="278"/>
      <c r="AM280" s="278"/>
      <c r="AN280" s="278"/>
      <c r="AO280" s="278"/>
      <c r="AP280" s="278"/>
      <c r="AQ280" s="278"/>
    </row>
    <row r="281" customFormat="false" ht="15" hidden="false" customHeight="false" outlineLevel="0" collapsed="false">
      <c r="C281" s="0" t="s">
        <v>1402</v>
      </c>
      <c r="D281" s="0" t="s">
        <v>125</v>
      </c>
      <c r="E281" s="146"/>
      <c r="F281" s="146"/>
      <c r="G281" s="146"/>
      <c r="H281" s="146" t="n">
        <f aca="false">H$70+H$16-(-$G$30+$E$280*$G$79+$E$258)/$E$92*H$90-$E$280*H$81+$E$280*H$85</f>
        <v>-88.6216216216216</v>
      </c>
      <c r="I281" s="146" t="n">
        <f aca="false">I$70+I$16-(-$G$30+$E$280*$G$79+$E$258)/$E$92*I$90-$E$280*I$81+$E$280*I$85</f>
        <v>-428.165540540541</v>
      </c>
      <c r="J281" s="146" t="n">
        <f aca="false">J$70+J$16-(-$G$30+$E$280*$G$79+$E$258)/$E$92*J$90-$E$280*J$81+$E$280*J$85</f>
        <v>-876.865528442527</v>
      </c>
      <c r="K281" s="146" t="n">
        <f aca="false">K$70+K$16-(-$G$30+$E$280*$G$79+$E$258)/$E$92*K$90-$E$280*K$81+$E$280*K$85</f>
        <v>-2124.26924917914</v>
      </c>
      <c r="L281" s="146" t="n">
        <f aca="false">L$70+L$16-(-$G$30+$E$280*$G$79+$E$258)/$E$92*L$90-$E$280*L$81+$E$280*L$85</f>
        <v>-782.218759090878</v>
      </c>
      <c r="M281" s="146" t="n">
        <f aca="false">M$70+M$16-(-$G$30+$E$280*$G$79+$E$258)/$E$92*M$90-$E$280*M$81+$E$280*M$85</f>
        <v>7246.88841634213</v>
      </c>
      <c r="N281" s="146" t="n">
        <f aca="false">N$70+N$16-(-$G$30+$E$280*$G$79+$E$258)/$E$92*N$90-$E$280*N$81+$E$280*N$85</f>
        <v>7565.11043199915</v>
      </c>
      <c r="O281" s="146" t="n">
        <f aca="false">O$70+O$16-(-$G$30+$E$280*$G$79+$E$258)/$E$92*O$90-$E$280*O$81+$E$280*O$85</f>
        <v>7826.27050344957</v>
      </c>
      <c r="P281" s="146" t="n">
        <f aca="false">P$70+P$16-(-$G$30+$E$280*$G$79+$E$258)/$E$92*P$90-$E$280*P$81+$E$280*P$85</f>
        <v>8095.67160985929</v>
      </c>
      <c r="Q281" s="146" t="n">
        <f aca="false">Q$70+Q$16-(-$G$30+$E$280*$G$79+$E$258)/$E$92*Q$90-$E$280*Q$81+$E$280*Q$85</f>
        <v>8373.75062355705</v>
      </c>
      <c r="R281" s="146" t="n">
        <f aca="false">R$70+R$16-(-$G$30+$E$280*$G$79+$E$258)/$E$92*R$90-$E$280*R$81+$E$280*R$85</f>
        <v>8660.96780775209</v>
      </c>
      <c r="S281" s="146" t="n">
        <f aca="false">S$70+S$16-(-$G$30+$E$280*$G$79+$E$258)/$E$92*S$90-$E$280*S$81+$E$280*S$85</f>
        <v>8957.80803033738</v>
      </c>
      <c r="T281" s="146" t="n">
        <f aca="false">T$70+T$16-(-$G$30+$E$280*$G$79+$E$258)/$E$92*T$90-$E$280*T$81+$E$280*T$85</f>
        <v>9264.78203950629</v>
      </c>
      <c r="U281" s="146" t="n">
        <f aca="false">U$70+U$16-(-$G$30+$E$280*$G$79+$E$258)/$E$92*U$90-$E$280*U$81+$E$280*U$85</f>
        <v>9582.42780430074</v>
      </c>
      <c r="V281" s="146" t="n">
        <f aca="false">V$70+V$16-(-$G$30+$E$280*$G$79+$E$258)/$E$92*V$90-$E$280*V$81+$E$280*V$85</f>
        <v>9911.31192336599</v>
      </c>
      <c r="W281" s="146" t="n">
        <f aca="false">W$70+W$16-(-$G$30+$E$280*$G$79+$E$258)/$E$92*W$90-$E$280*W$81+$E$280*W$85</f>
        <v>10252.0311053513</v>
      </c>
      <c r="X281" s="146" t="n">
        <f aca="false">X$70+X$16-(-$G$30+$E$280*$G$79+$E$258)/$E$92*X$90-$E$280*X$81+$E$280*X$85</f>
        <v>10605.2137245687</v>
      </c>
      <c r="Y281" s="146" t="n">
        <f aca="false">Y$70+Y$16-(-$G$30+$E$280*$G$79+$E$258)/$E$92*Y$90-$E$280*Y$81+$E$280*Y$85</f>
        <v>10971.5214557032</v>
      </c>
      <c r="Z281" s="146" t="n">
        <f aca="false">Z$70+Z$16-(-$G$30+$E$280*$G$79+$E$258)/$E$92*Z$90-$E$280*Z$81+$E$280*Z$85</f>
        <v>11351.6509915587</v>
      </c>
      <c r="AA281" s="146" t="n">
        <f aca="false">AA$70+AA$16-(-$G$30+$E$280*$G$79+$E$258)/$E$92*AA$90-$E$280*AA$81+$E$280*AA$85</f>
        <v>11746.3358480226</v>
      </c>
      <c r="AB281" s="146" t="n">
        <f aca="false">AB$70+AB$16-(-$G$30+$E$280*$G$79+$E$258)/$E$92*AB$90-$E$280*AB$81+$E$280*AB$85</f>
        <v>12156.3482606434</v>
      </c>
      <c r="AC281" s="146" t="n">
        <f aca="false">AC$70+AC$16-(-$G$30+$E$280*$G$79+$E$258)/$E$92*AC$90-$E$280*AC$81+$E$280*AC$85</f>
        <v>12582.5011774363</v>
      </c>
      <c r="AD281" s="146" t="n">
        <f aca="false">AD$70+AD$16-(-$G$30+$E$280*$G$79+$E$258)/$E$92*AD$90-$E$280*AD$81+$E$280*AD$85</f>
        <v>12607.1915786624</v>
      </c>
      <c r="AE281" s="146" t="n">
        <f aca="false">AE$70+AE$16-(-$G$30+$E$280*$G$79+$E$258)/$E$92*AE$90-$E$280*AE$81+$E$280*AE$85</f>
        <v>12628.8560604592</v>
      </c>
      <c r="AF281" s="146" t="n">
        <f aca="false">AF$70+AF$16-(-$G$30+$E$280*$G$79+$E$258)/$E$92*AF$90-$E$280*AF$81+$E$280*AF$85</f>
        <v>12647.3965545669</v>
      </c>
      <c r="AG281" s="146" t="n">
        <f aca="false">AG$70+AG$16-(-$G$30+$E$280*$G$79+$E$258)/$E$92*AG$90-$E$280*AG$81+$E$280*AG$85</f>
        <v>16925.1044425558</v>
      </c>
      <c r="AH281" s="146" t="n">
        <f aca="false">AH$70+AH$16-(-$G$30+$E$280*$G$79+$E$258)/$E$92*AH$90-$E$280*AH$81+$E$280*AH$85</f>
        <v>21199.4844603948</v>
      </c>
      <c r="AI281" s="146" t="n">
        <f aca="false">AI$70+AI$16-(-$G$30+$E$280*$G$79+$E$258)/$E$92*AI$90-$E$280*AI$81+$E$280*AI$85</f>
        <v>21208.0386543575</v>
      </c>
      <c r="AJ281" s="146" t="n">
        <f aca="false">AJ$70+AJ$16-(-$G$30+$E$280*$G$79+$E$258)/$E$92*AJ$90-$E$280*AJ$81+$E$280*AJ$85</f>
        <v>21213.0503353224</v>
      </c>
      <c r="AK281" s="146" t="n">
        <f aca="false">AK$70+AK$16-(-$G$30+$E$280*$G$79+$E$258)/$E$92*AK$90-$E$280*AK$81+$E$280*AK$85</f>
        <v>21214.4079785268</v>
      </c>
      <c r="AL281" s="146" t="n">
        <f aca="false">AL$70+AL$16-(-$G$30+$E$280*$G$79+$E$258)/$E$92*AL$90-$E$280*AL$81+$E$280*AL$85</f>
        <v>21211.9971639586</v>
      </c>
      <c r="AM281" s="146" t="n">
        <f aca="false">AM$70+AM$16-(-$G$30+$E$280*$G$79+$E$258)/$E$92*AM$90-$E$280*AM$81+$E$280*AM$85</f>
        <v>21205.7005044412</v>
      </c>
      <c r="AN281" s="146" t="n">
        <f aca="false">AN$70+AN$16-(-$G$30+$E$280*$G$79+$E$258)/$E$92*AN$90-$E$280*AN$81+$E$280*AN$85</f>
        <v>21195.3975719509</v>
      </c>
      <c r="AO281" s="146" t="n">
        <f aca="false">AO$70+AO$16-(-$G$30+$E$280*$G$79+$E$258)/$E$92*AO$90-$E$280*AO$81+$E$280*AO$85</f>
        <v>21180.9648221222</v>
      </c>
      <c r="AP281" s="146" t="n">
        <f aca="false">AP$70+AP$16-(-$G$30+$E$280*$G$79+$E$258)/$E$92*AP$90-$E$280*AP$81+$E$280*AP$85</f>
        <v>21162.2755168973</v>
      </c>
      <c r="AQ281" s="146" t="n">
        <f aca="false">AQ$70+AQ$16-(-$G$30+$E$280*$G$79+$E$258)/$E$92*AQ$90-$E$280*AQ$81+$E$280*AQ$85</f>
        <v>10569.599822637</v>
      </c>
    </row>
    <row r="282" customFormat="false" ht="15" hidden="false" customHeight="false" outlineLevel="0" collapsed="false">
      <c r="C282" s="0" t="s">
        <v>1275</v>
      </c>
      <c r="D282" s="0" t="s">
        <v>125</v>
      </c>
      <c r="E282" s="146"/>
      <c r="F282" s="146"/>
      <c r="G282" s="146" t="n">
        <v>0</v>
      </c>
      <c r="H282" s="146" t="n">
        <f aca="false">G282+MAX(-H281,0)-MIN(G282,MAX(H281,0)*$E$95)</f>
        <v>88.6216216216216</v>
      </c>
      <c r="I282" s="146" t="n">
        <f aca="false">H282+MAX(-I281,0)-MIN(H282,MAX(I281,0)*$E$95)</f>
        <v>516.787162162162</v>
      </c>
      <c r="J282" s="146" t="n">
        <f aca="false">I282+MAX(-J281,0)-MIN(I282,MAX(J281,0)*$E$95)</f>
        <v>1393.65269060469</v>
      </c>
      <c r="K282" s="146" t="n">
        <f aca="false">J282+MAX(-K281,0)-MIN(J282,MAX(K281,0)*$E$95)</f>
        <v>3517.92193978383</v>
      </c>
      <c r="L282" s="146" t="n">
        <f aca="false">K282+MAX(-L281,0)-MIN(K282,MAX(L281,0)*$E$95)</f>
        <v>4300.14069887471</v>
      </c>
      <c r="M282" s="146" t="n">
        <f aca="false">L282+MAX(-M281,0)-MIN(L282,MAX(M281,0)*$E$95)</f>
        <v>676.696490703645</v>
      </c>
      <c r="N282" s="146" t="n">
        <f aca="false">M282+MAX(-N281,0)-MIN(M282,MAX(N281,0)*$E$95)</f>
        <v>0</v>
      </c>
      <c r="O282" s="146" t="n">
        <f aca="false">N282+MAX(-O281,0)-MIN(N282,MAX(O281,0)*$E$95)</f>
        <v>0</v>
      </c>
      <c r="P282" s="146" t="n">
        <f aca="false">O282+MAX(-P281,0)-MIN(O282,MAX(P281,0)*$E$95)</f>
        <v>0</v>
      </c>
      <c r="Q282" s="146" t="n">
        <f aca="false">P282+MAX(-Q281,0)-MIN(P282,MAX(Q281,0)*$E$95)</f>
        <v>0</v>
      </c>
      <c r="R282" s="146" t="n">
        <f aca="false">Q282+MAX(-R281,0)-MIN(Q282,MAX(R281,0)*$E$95)</f>
        <v>0</v>
      </c>
      <c r="S282" s="146" t="n">
        <f aca="false">R282+MAX(-S281,0)-MIN(R282,MAX(S281,0)*$E$95)</f>
        <v>0</v>
      </c>
      <c r="T282" s="146" t="n">
        <f aca="false">S282+MAX(-T281,0)-MIN(S282,MAX(T281,0)*$E$95)</f>
        <v>0</v>
      </c>
      <c r="U282" s="146" t="n">
        <f aca="false">T282+MAX(-U281,0)-MIN(T282,MAX(U281,0)*$E$95)</f>
        <v>0</v>
      </c>
      <c r="V282" s="146" t="n">
        <f aca="false">U282+MAX(-V281,0)-MIN(U282,MAX(V281,0)*$E$95)</f>
        <v>0</v>
      </c>
      <c r="W282" s="146" t="n">
        <f aca="false">V282+MAX(-W281,0)-MIN(V282,MAX(W281,0)*$E$95)</f>
        <v>0</v>
      </c>
      <c r="X282" s="146" t="n">
        <f aca="false">W282+MAX(-X281,0)-MIN(W282,MAX(X281,0)*$E$95)</f>
        <v>0</v>
      </c>
      <c r="Y282" s="146" t="n">
        <f aca="false">X282+MAX(-Y281,0)-MIN(X282,MAX(Y281,0)*$E$95)</f>
        <v>0</v>
      </c>
      <c r="Z282" s="146" t="n">
        <f aca="false">Y282+MAX(-Z281,0)-MIN(Y282,MAX(Z281,0)*$E$95)</f>
        <v>0</v>
      </c>
      <c r="AA282" s="146" t="n">
        <f aca="false">Z282+MAX(-AA281,0)-MIN(Z282,MAX(AA281,0)*$E$95)</f>
        <v>0</v>
      </c>
      <c r="AB282" s="146" t="n">
        <f aca="false">AA282+MAX(-AB281,0)-MIN(AA282,MAX(AB281,0)*$E$95)</f>
        <v>0</v>
      </c>
      <c r="AC282" s="146" t="n">
        <f aca="false">AB282+MAX(-AC281,0)-MIN(AB282,MAX(AC281,0)*$E$95)</f>
        <v>0</v>
      </c>
      <c r="AD282" s="146" t="n">
        <f aca="false">AC282+MAX(-AD281,0)-MIN(AC282,MAX(AD281,0)*$E$95)</f>
        <v>0</v>
      </c>
      <c r="AE282" s="146" t="n">
        <f aca="false">AD282+MAX(-AE281,0)-MIN(AD282,MAX(AE281,0)*$E$95)</f>
        <v>0</v>
      </c>
      <c r="AF282" s="146" t="n">
        <f aca="false">AE282+MAX(-AF281,0)-MIN(AE282,MAX(AF281,0)*$E$95)</f>
        <v>0</v>
      </c>
      <c r="AG282" s="146" t="n">
        <f aca="false">AF282+MAX(-AG281,0)-MIN(AF282,MAX(AG281,0)*$E$95)</f>
        <v>0</v>
      </c>
      <c r="AH282" s="146" t="n">
        <f aca="false">AG282+MAX(-AH281,0)-MIN(AG282,MAX(AH281,0)*$E$95)</f>
        <v>0</v>
      </c>
      <c r="AI282" s="146" t="n">
        <f aca="false">AH282+MAX(-AI281,0)-MIN(AH282,MAX(AI281,0)*$E$95)</f>
        <v>0</v>
      </c>
      <c r="AJ282" s="146" t="n">
        <f aca="false">AI282+MAX(-AJ281,0)-MIN(AI282,MAX(AJ281,0)*$E$95)</f>
        <v>0</v>
      </c>
      <c r="AK282" s="146" t="n">
        <f aca="false">AJ282+MAX(-AK281,0)-MIN(AJ282,MAX(AK281,0)*$E$95)</f>
        <v>0</v>
      </c>
      <c r="AL282" s="146" t="n">
        <f aca="false">AK282+MAX(-AL281,0)-MIN(AK282,MAX(AL281,0)*$E$95)</f>
        <v>0</v>
      </c>
      <c r="AM282" s="146" t="n">
        <f aca="false">AL282+MAX(-AM281,0)-MIN(AL282,MAX(AM281,0)*$E$95)</f>
        <v>0</v>
      </c>
      <c r="AN282" s="146" t="n">
        <f aca="false">AM282+MAX(-AN281,0)-MIN(AM282,MAX(AN281,0)*$E$95)</f>
        <v>0</v>
      </c>
      <c r="AO282" s="146" t="n">
        <f aca="false">AN282+MAX(-AO281,0)-MIN(AN282,MAX(AO281,0)*$E$95)</f>
        <v>0</v>
      </c>
      <c r="AP282" s="146" t="n">
        <f aca="false">AO282+MAX(-AP281,0)-MIN(AO282,MAX(AP281,0)*$E$95)</f>
        <v>0</v>
      </c>
      <c r="AQ282" s="146" t="n">
        <f aca="false">AP282+MAX(-AQ281,0)-MIN(AP282,MAX(AQ281,0)*$E$95)</f>
        <v>0</v>
      </c>
    </row>
    <row r="283" customFormat="false" ht="15" hidden="false" customHeight="false" outlineLevel="0" collapsed="false">
      <c r="C283" s="0" t="s">
        <v>1403</v>
      </c>
      <c r="D283" s="0" t="s">
        <v>125</v>
      </c>
      <c r="E283" s="146"/>
      <c r="F283" s="146"/>
      <c r="G283" s="146"/>
      <c r="H283" s="146" t="n">
        <f aca="false">-(MAX(H281,0)-MIN(G282,MAX(H281,0)*$E$95))*$E$91-MAX(H281,0)*$E$99</f>
        <v>-0</v>
      </c>
      <c r="I283" s="146" t="n">
        <f aca="false">-(MAX(I281,0)-MIN(H282,MAX(I281,0)*$E$95))*$E$91-MAX(I281,0)*$E$99</f>
        <v>-0</v>
      </c>
      <c r="J283" s="146" t="n">
        <f aca="false">-(MAX(J281,0)-MIN(I282,MAX(J281,0)*$E$95))*$E$91-MAX(J281,0)*$E$99</f>
        <v>-0</v>
      </c>
      <c r="K283" s="146" t="n">
        <f aca="false">-(MAX(K281,0)-MIN(J282,MAX(K281,0)*$E$95))*$E$91-MAX(K281,0)*$E$99</f>
        <v>-0</v>
      </c>
      <c r="L283" s="146" t="n">
        <f aca="false">-(MAX(L281,0)-MIN(K282,MAX(L281,0)*$E$95))*$E$91-MAX(L281,0)*$E$99</f>
        <v>-0</v>
      </c>
      <c r="M283" s="146" t="n">
        <f aca="false">-(MAX(M281,0)-MIN(L282,MAX(M281,0)*$E$95))*$E$91-MAX(M281,0)*$E$99</f>
        <v>-543.516631225659</v>
      </c>
      <c r="N283" s="146" t="n">
        <f aca="false">-(MAX(N281,0)-MIN(M282,MAX(N281,0)*$E$95))*$E$91-MAX(N281,0)*$E$99</f>
        <v>-1033.26209119433</v>
      </c>
      <c r="O283" s="146" t="n">
        <f aca="false">-(MAX(O281,0)-MIN(N282,MAX(O281,0)*$E$95))*$E$91-MAX(O281,0)*$E$99</f>
        <v>-1173.94057551744</v>
      </c>
      <c r="P283" s="146" t="n">
        <f aca="false">-(MAX(P281,0)-MIN(O282,MAX(P281,0)*$E$95))*$E$91-MAX(P281,0)*$E$99</f>
        <v>-1214.35074147889</v>
      </c>
      <c r="Q283" s="146" t="n">
        <f aca="false">-(MAX(Q281,0)-MIN(P282,MAX(Q281,0)*$E$95))*$E$91-MAX(Q281,0)*$E$99</f>
        <v>-1256.06259353356</v>
      </c>
      <c r="R283" s="146" t="n">
        <f aca="false">-(MAX(R281,0)-MIN(Q282,MAX(R281,0)*$E$95))*$E$91-MAX(R281,0)*$E$99</f>
        <v>-1299.14517116281</v>
      </c>
      <c r="S283" s="146" t="n">
        <f aca="false">-(MAX(S281,0)-MIN(R282,MAX(S281,0)*$E$95))*$E$91-MAX(S281,0)*$E$99</f>
        <v>-1343.67120455061</v>
      </c>
      <c r="T283" s="146" t="n">
        <f aca="false">-(MAX(T281,0)-MIN(S282,MAX(T281,0)*$E$95))*$E$91-MAX(T281,0)*$E$99</f>
        <v>-1389.71730592594</v>
      </c>
      <c r="U283" s="146" t="n">
        <f aca="false">-(MAX(U281,0)-MIN(T282,MAX(U281,0)*$E$95))*$E$91-MAX(U281,0)*$E$99</f>
        <v>-1437.36417064511</v>
      </c>
      <c r="V283" s="146" t="n">
        <f aca="false">-(MAX(V281,0)-MIN(U282,MAX(V281,0)*$E$95))*$E$91-MAX(V281,0)*$E$99</f>
        <v>-1486.6967885049</v>
      </c>
      <c r="W283" s="146" t="n">
        <f aca="false">-(MAX(W281,0)-MIN(V282,MAX(W281,0)*$E$95))*$E$91-MAX(W281,0)*$E$99</f>
        <v>-1537.80466580269</v>
      </c>
      <c r="X283" s="146" t="n">
        <f aca="false">-(MAX(X281,0)-MIN(W282,MAX(X281,0)*$E$95))*$E$91-MAX(X281,0)*$E$99</f>
        <v>-1590.7820586853</v>
      </c>
      <c r="Y283" s="146" t="n">
        <f aca="false">-(MAX(Y281,0)-MIN(X282,MAX(Y281,0)*$E$95))*$E$91-MAX(Y281,0)*$E$99</f>
        <v>-1645.72821835548</v>
      </c>
      <c r="Z283" s="146" t="n">
        <f aca="false">-(MAX(Z281,0)-MIN(Y282,MAX(Z281,0)*$E$95))*$E$91-MAX(Z281,0)*$E$99</f>
        <v>-1702.74764873381</v>
      </c>
      <c r="AA283" s="146" t="n">
        <f aca="false">-(MAX(AA281,0)-MIN(Z282,MAX(AA281,0)*$E$95))*$E$91-MAX(AA281,0)*$E$99</f>
        <v>-1761.95037720339</v>
      </c>
      <c r="AB283" s="146" t="n">
        <f aca="false">-(MAX(AB281,0)-MIN(AA282,MAX(AB281,0)*$E$95))*$E$91-MAX(AB281,0)*$E$99</f>
        <v>-1823.45223909651</v>
      </c>
      <c r="AC283" s="146" t="n">
        <f aca="false">-(MAX(AC281,0)-MIN(AB282,MAX(AC281,0)*$E$95))*$E$91-MAX(AC281,0)*$E$99</f>
        <v>-1887.37517661544</v>
      </c>
      <c r="AD283" s="146" t="n">
        <f aca="false">-(MAX(AD281,0)-MIN(AC282,MAX(AD281,0)*$E$95))*$E$91-MAX(AD281,0)*$E$99</f>
        <v>-1891.07873679936</v>
      </c>
      <c r="AE283" s="146" t="n">
        <f aca="false">-(MAX(AE281,0)-MIN(AD282,MAX(AE281,0)*$E$95))*$E$91-MAX(AE281,0)*$E$99</f>
        <v>-1894.32840906889</v>
      </c>
      <c r="AF283" s="146" t="n">
        <f aca="false">-(MAX(AF281,0)-MIN(AE282,MAX(AF281,0)*$E$95))*$E$91-MAX(AF281,0)*$E$99</f>
        <v>-1897.10948318504</v>
      </c>
      <c r="AG283" s="146" t="n">
        <f aca="false">-(MAX(AG281,0)-MIN(AF282,MAX(AG281,0)*$E$95))*$E$91-MAX(AG281,0)*$E$99</f>
        <v>-2538.76566638336</v>
      </c>
      <c r="AH283" s="146" t="n">
        <f aca="false">-(MAX(AH281,0)-MIN(AG282,MAX(AH281,0)*$E$95))*$E$91-MAX(AH281,0)*$E$99</f>
        <v>-3179.92266905922</v>
      </c>
      <c r="AI283" s="146" t="n">
        <f aca="false">-(MAX(AI281,0)-MIN(AH282,MAX(AI281,0)*$E$95))*$E$91-MAX(AI281,0)*$E$99</f>
        <v>-3181.20579815362</v>
      </c>
      <c r="AJ283" s="146" t="n">
        <f aca="false">-(MAX(AJ281,0)-MIN(AI282,MAX(AJ281,0)*$E$95))*$E$91-MAX(AJ281,0)*$E$99</f>
        <v>-3181.95755029835</v>
      </c>
      <c r="AK283" s="146" t="n">
        <f aca="false">-(MAX(AK281,0)-MIN(AJ282,MAX(AK281,0)*$E$95))*$E$91-MAX(AK281,0)*$E$99</f>
        <v>-3182.16119677902</v>
      </c>
      <c r="AL283" s="146" t="n">
        <f aca="false">-(MAX(AL281,0)-MIN(AK282,MAX(AL281,0)*$E$95))*$E$91-MAX(AL281,0)*$E$99</f>
        <v>-3181.79957459379</v>
      </c>
      <c r="AM283" s="146" t="n">
        <f aca="false">-(MAX(AM281,0)-MIN(AL282,MAX(AM281,0)*$E$95))*$E$91-MAX(AM281,0)*$E$99</f>
        <v>-3180.85507566618</v>
      </c>
      <c r="AN283" s="146" t="n">
        <f aca="false">-(MAX(AN281,0)-MIN(AM282,MAX(AN281,0)*$E$95))*$E$91-MAX(AN281,0)*$E$99</f>
        <v>-3179.30963579264</v>
      </c>
      <c r="AO283" s="146" t="n">
        <f aca="false">-(MAX(AO281,0)-MIN(AN282,MAX(AO281,0)*$E$95))*$E$91-MAX(AO281,0)*$E$99</f>
        <v>-3177.14472331833</v>
      </c>
      <c r="AP283" s="146" t="n">
        <f aca="false">-(MAX(AP281,0)-MIN(AO282,MAX(AP281,0)*$E$95))*$E$91-MAX(AP281,0)*$E$99</f>
        <v>-3174.3413275346</v>
      </c>
      <c r="AQ283" s="146" t="n">
        <f aca="false">-(MAX(AQ281,0)-MIN(AP282,MAX(AQ281,0)*$E$95))*$E$91-MAX(AQ281,0)*$E$99</f>
        <v>-1585.43997339554</v>
      </c>
    </row>
    <row r="284" customFormat="false" ht="15" hidden="false" customHeight="false" outlineLevel="0" collapsed="false">
      <c r="C284" s="0" t="s">
        <v>1297</v>
      </c>
      <c r="D284" s="0" t="s">
        <v>125</v>
      </c>
      <c r="E284" s="146"/>
      <c r="F284" s="146"/>
      <c r="G284" s="146"/>
      <c r="H284" s="146" t="n">
        <f aca="false">(H$109+$E$280*(H$77+H$85-H$80+H$86-H$87+H$89)+H283)*$E$128</f>
        <v>-1570.61764901888</v>
      </c>
      <c r="I284" s="146" t="n">
        <f aca="false">(I$109+$E$280*(I$77+I$85-I$80+I$86-I$87+I$89)+I283)*$E$128</f>
        <v>-778.738143280267</v>
      </c>
      <c r="J284" s="146" t="n">
        <f aca="false">(J$109+$E$280*(J$77+J$85-J$80+J$86-J$87+J$89)+J283)*$E$128</f>
        <v>-1227.43813118225</v>
      </c>
      <c r="K284" s="146" t="n">
        <f aca="false">(K$109+$E$280*(K$77+K$85-K$80+K$86-K$87+K$89)+K283)*$E$128</f>
        <v>-42052.73922629</v>
      </c>
      <c r="L284" s="146" t="n">
        <f aca="false">(L$109+$E$280*(L$77+L$85-L$80+L$86-L$87+L$89)+L283)*$E$128</f>
        <v>-30088.0917885429</v>
      </c>
      <c r="M284" s="146" t="n">
        <f aca="false">(M$109+$E$280*(M$77+M$85-M$80+M$86-M$87+M$89)+M283)*$E$128</f>
        <v>-8566.73762438734</v>
      </c>
      <c r="N284" s="146" t="n">
        <f aca="false">(N$109+$E$280*(N$77+N$85-N$80+N$86-N$87+N$89)+N283)*$E$128</f>
        <v>11030.9158582172</v>
      </c>
      <c r="O284" s="146" t="n">
        <f aca="false">(O$109+$E$280*(O$77+O$85-O$80+O$86-O$87+O$89)+O283)*$E$128</f>
        <v>10950.1116201571</v>
      </c>
      <c r="P284" s="146" t="n">
        <f aca="false">(P$109+$E$280*(P$77+P$85-P$80+P$86-P$87+P$89)+P283)*$E$128</f>
        <v>10967.7524441585</v>
      </c>
      <c r="Q284" s="146" t="n">
        <f aca="false">(Q$109+$E$280*(Q$77+Q$85-Q$80+Q$86-Q$87+Q$89)+Q283)*$E$128</f>
        <v>10982.2019835325</v>
      </c>
      <c r="R284" s="146" t="n">
        <f aca="false">(R$109+$E$280*(R$77+R$85-R$80+R$86-R$87+R$89)+R283)*$E$128</f>
        <v>10993.3230867156</v>
      </c>
      <c r="S284" s="146" t="n">
        <f aca="false">(S$109+$E$280*(S$77+S$85-S$80+S$86-S$87+S$89)+S283)*$E$128</f>
        <v>11000.9730973614</v>
      </c>
      <c r="T284" s="146" t="n">
        <f aca="false">(T$109+$E$280*(T$77+T$85-T$80+T$86-T$87+T$89)+T283)*$E$128</f>
        <v>11005.0036176756</v>
      </c>
      <c r="U284" s="146" t="n">
        <f aca="false">(U$109+$E$280*(U$77+U$85-U$80+U$86-U$87+U$89)+U283)*$E$128</f>
        <v>11005.2602608976</v>
      </c>
      <c r="V284" s="146" t="n">
        <f aca="false">(V$109+$E$280*(V$77+V$85-V$80+V$86-V$87+V$89)+V283)*$E$128</f>
        <v>11001.5823924071</v>
      </c>
      <c r="W284" s="146" t="n">
        <f aca="false">(W$109+$E$280*(W$77+W$85-W$80+W$86-W$87+W$89)+W283)*$E$128</f>
        <v>10993.8028589139</v>
      </c>
      <c r="X284" s="146" t="n">
        <f aca="false">(X$109+$E$280*(X$77+X$85-X$80+X$86-X$87+X$89)+X283)*$E$128</f>
        <v>10981.7477051588</v>
      </c>
      <c r="Y284" s="146" t="n">
        <f aca="false">(Y$109+$E$280*(Y$77+Y$85-Y$80+Y$86-Y$87+Y$89)+Y283)*$E$128</f>
        <v>10965.2358775289</v>
      </c>
      <c r="Z284" s="146" t="n">
        <f aca="false">(Z$109+$E$280*(Z$77+Z$85-Z$80+Z$86-Z$87+Z$89)+Z283)*$E$128</f>
        <v>10944.0789139571</v>
      </c>
      <c r="AA284" s="146" t="n">
        <f aca="false">(AA$109+$E$280*(AA$77+AA$85-AA$80+AA$86-AA$87+AA$89)+AA283)*$E$128</f>
        <v>10918.0806194499</v>
      </c>
      <c r="AB284" s="146" t="n">
        <f aca="false">(AB$109+$E$280*(AB$77+AB$85-AB$80+AB$86-AB$87+AB$89)+AB283)*$E$128</f>
        <v>10887.0367265511</v>
      </c>
      <c r="AC284" s="146" t="n">
        <f aca="false">(AC$109+$E$280*(AC$77+AC$85-AC$80+AC$86-AC$87+AC$89)+AC283)*$E$128</f>
        <v>19219.9100219821</v>
      </c>
      <c r="AD284" s="146" t="n">
        <f aca="false">(AD$109+$E$280*(AD$77+AD$85-AD$80+AD$86-AD$87+AD$89)+AD283)*$E$128</f>
        <v>19240.8968630243</v>
      </c>
      <c r="AE284" s="146" t="n">
        <f aca="false">(AE$109+$E$280*(AE$77+AE$85-AE$80+AE$86-AE$87+AE$89)+AE283)*$E$128</f>
        <v>19259.3116725516</v>
      </c>
      <c r="AF284" s="146" t="n">
        <f aca="false">(AF$109+$E$280*(AF$77+AF$85-AF$80+AF$86-AF$87+AF$89)+AF283)*$E$128</f>
        <v>19275.0710925432</v>
      </c>
      <c r="AG284" s="146" t="n">
        <f aca="false">(AG$109+$E$280*(AG$77+AG$85-AG$80+AG$86-AG$87+AG$89)+AG283)*$E$128</f>
        <v>18648.730786753</v>
      </c>
      <c r="AH284" s="146" t="n">
        <f aca="false">(AH$109+$E$280*(AH$77+AH$85-AH$80+AH$86-AH$87+AH$89)+AH283)*$E$128</f>
        <v>18019.5617913356</v>
      </c>
      <c r="AI284" s="146" t="n">
        <f aca="false">(AI$109+$E$280*(AI$77+AI$85-AI$80+AI$86-AI$87+AI$89)+AI283)*$E$128</f>
        <v>18026.8328562038</v>
      </c>
      <c r="AJ284" s="146" t="n">
        <f aca="false">(AJ$109+$E$280*(AJ$77+AJ$85-AJ$80+AJ$86-AJ$87+AJ$89)+AJ283)*$E$128</f>
        <v>18031.092785024</v>
      </c>
      <c r="AK284" s="146" t="n">
        <f aca="false">(AK$109+$E$280*(AK$77+AK$85-AK$80+AK$86-AK$87+AK$89)+AK283)*$E$128</f>
        <v>18032.2467817478</v>
      </c>
      <c r="AL284" s="146" t="n">
        <f aca="false">(AL$109+$E$280*(AL$77+AL$85-AL$80+AL$86-AL$87+AL$89)+AL283)*$E$128</f>
        <v>18030.1975893648</v>
      </c>
      <c r="AM284" s="146" t="n">
        <f aca="false">(AM$109+$E$280*(AM$77+AM$85-AM$80+AM$86-AM$87+AM$89)+AM283)*$E$128</f>
        <v>18024.845428775</v>
      </c>
      <c r="AN284" s="146" t="n">
        <f aca="false">(AN$109+$E$280*(AN$77+AN$85-AN$80+AN$86-AN$87+AN$89)+AN283)*$E$128</f>
        <v>18016.0879361583</v>
      </c>
      <c r="AO284" s="146" t="n">
        <f aca="false">(AO$109+$E$280*(AO$77+AO$85-AO$80+AO$86-AO$87+AO$89)+AO283)*$E$128</f>
        <v>18003.8200988039</v>
      </c>
      <c r="AP284" s="146" t="n">
        <f aca="false">(AP$109+$E$280*(AP$77+AP$85-AP$80+AP$86-AP$87+AP$89)+AP283)*$E$128</f>
        <v>17987.9341893627</v>
      </c>
      <c r="AQ284" s="146" t="n">
        <f aca="false">(AQ$109+$E$280*(AQ$77+AQ$85-AQ$80+AQ$86-AQ$87+AQ$89)+AQ283)*$E$128</f>
        <v>4907.15984924141</v>
      </c>
    </row>
    <row r="285" customFormat="false" ht="15" hidden="false" customHeight="false" outlineLevel="0" collapsed="false">
      <c r="C285" s="0" t="s">
        <v>1294</v>
      </c>
      <c r="D285" s="0" t="s">
        <v>7</v>
      </c>
      <c r="E285" s="146"/>
      <c r="F285" s="146"/>
      <c r="G285" s="162"/>
      <c r="H285" s="162" t="str">
        <f aca="false">IF(AND(H$9&gt;=1,H$86&lt;-0.01,$E$280&gt;0),(H$70+H283)/(-$E$280*H$86),"")</f>
        <v/>
      </c>
      <c r="I285" s="162" t="str">
        <f aca="false">IF(AND(I$9&gt;=1,I$86&lt;-0.01,$E$280&gt;0),(I$70+I283)/(-$E$280*I$86),"")</f>
        <v/>
      </c>
      <c r="J285" s="162" t="str">
        <f aca="false">IF(AND(J$9&gt;=1,J$86&lt;-0.01,$E$280&gt;0),(J$70+J283)/(-$E$280*J$86),"")</f>
        <v/>
      </c>
      <c r="K285" s="162" t="str">
        <f aca="false">IF(AND(K$9&gt;=1,K$86&lt;-0.01,$E$280&gt;0),(K$70+K283)/(-$E$280*K$86),"")</f>
        <v/>
      </c>
      <c r="L285" s="162" t="str">
        <f aca="false">IF(AND(L$9&gt;=1,L$86&lt;-0.01,$E$280&gt;0),(L$70+L283)/(-$E$280*L$86),"")</f>
        <v/>
      </c>
      <c r="M285" s="162" t="str">
        <f aca="false">IF(AND(M$9&gt;=1,M$86&lt;-0.01,$E$280&gt;0),(M$70+M283)/(-$E$280*M$86),"")</f>
        <v/>
      </c>
      <c r="N285" s="162" t="n">
        <f aca="false">IF(AND(N$9&gt;=1,N$86&lt;-0.01,$E$280&gt;0),(N$70+N283)/(-$E$280*N$86),"")</f>
        <v>2.31804093270456</v>
      </c>
      <c r="O285" s="162" t="n">
        <f aca="false">IF(AND(O$9&gt;=1,O$86&lt;-0.01,$E$280&gt;0),(O$70+O283)/(-$E$280*O$86),"")</f>
        <v>2.30838595077304</v>
      </c>
      <c r="P285" s="162" t="n">
        <f aca="false">IF(AND(P$9&gt;=1,P$86&lt;-0.01,$E$280&gt;0),(P$70+P283)/(-$E$280*P$86),"")</f>
        <v>2.3104937837417</v>
      </c>
      <c r="Q285" s="162" t="n">
        <f aca="false">IF(AND(Q$9&gt;=1,Q$86&lt;-0.01,$E$280&gt;0),(Q$70+Q283)/(-$E$280*Q$86),"")</f>
        <v>2.31222030260907</v>
      </c>
      <c r="R285" s="162" t="n">
        <f aca="false">IF(AND(R$9&gt;=1,R$86&lt;-0.01,$E$280&gt;0),(R$70+R283)/(-$E$280*R$86),"")</f>
        <v>2.31354911967201</v>
      </c>
      <c r="S285" s="162" t="n">
        <f aca="false">IF(AND(S$9&gt;=1,S$86&lt;-0.01,$E$280&gt;0),(S$70+S283)/(-$E$280*S$86),"")</f>
        <v>2.31446318948238</v>
      </c>
      <c r="T285" s="162" t="n">
        <f aca="false">IF(AND(T$9&gt;=1,T$86&lt;-0.01,$E$280&gt;0),(T$70+T283)/(-$E$280*T$86),"")</f>
        <v>2.31494478056897</v>
      </c>
      <c r="U285" s="162" t="n">
        <f aca="false">IF(AND(U$9&gt;=1,U$86&lt;-0.01,$E$280&gt;0),(U$70+U283)/(-$E$280*U$86),"")</f>
        <v>2.31497544586241</v>
      </c>
      <c r="V285" s="162" t="n">
        <f aca="false">IF(AND(V$9&gt;=1,V$86&lt;-0.01,$E$280&gt;0),(V$70+V283)/(-$E$280*V$86),"")</f>
        <v>2.31453599176106</v>
      </c>
      <c r="W285" s="162" t="n">
        <f aca="false">IF(AND(W$9&gt;=1,W$86&lt;-0.01,$E$280&gt;0),(W$70+W283)/(-$E$280*W$86),"")</f>
        <v>2.31360644577292</v>
      </c>
      <c r="X285" s="162" t="n">
        <f aca="false">IF(AND(X$9&gt;=1,X$86&lt;-0.01,$E$280&gt;0),(X$70+X283)/(-$E$280*X$86),"")</f>
        <v>2.31216602266541</v>
      </c>
      <c r="Y285" s="162" t="n">
        <f aca="false">IF(AND(Y$9&gt;=1,Y$86&lt;-0.01,$E$280&gt;0),(Y$70+Y283)/(-$E$280*Y$86),"")</f>
        <v>2.3101930890514</v>
      </c>
      <c r="Z285" s="162" t="n">
        <f aca="false">IF(AND(Z$9&gt;=1,Z$86&lt;-0.01,$E$280&gt;0),(Z$70+Z283)/(-$E$280*Z$86),"")</f>
        <v>2.30766512633663</v>
      </c>
      <c r="AA285" s="162" t="n">
        <f aca="false">IF(AND(AA$9&gt;=1,AA$86&lt;-0.01,$E$280&gt;0),(AA$70+AA283)/(-$E$280*AA$86),"")</f>
        <v>2.30455869194972</v>
      </c>
      <c r="AB285" s="162" t="n">
        <f aca="false">IF(AND(AB$9&gt;=1,AB$86&lt;-0.01,$E$280&gt;0),(AB$70+AB283)/(-$E$280*AB$86),"")</f>
        <v>2.30084937877239</v>
      </c>
      <c r="AC285" s="162" t="str">
        <f aca="false">IF(AND(AC$9&gt;=1,AC$86&lt;-0.01,$E$280&gt;0),(AC$70+AC283)/(-$E$280*AC$86),"")</f>
        <v/>
      </c>
      <c r="AD285" s="162" t="str">
        <f aca="false">IF(AND(AD$9&gt;=1,AD$86&lt;-0.01,$E$280&gt;0),(AD$70+AD283)/(-$E$280*AD$86),"")</f>
        <v/>
      </c>
      <c r="AE285" s="162" t="str">
        <f aca="false">IF(AND(AE$9&gt;=1,AE$86&lt;-0.01,$E$280&gt;0),(AE$70+AE283)/(-$E$280*AE$86),"")</f>
        <v/>
      </c>
      <c r="AF285" s="162" t="str">
        <f aca="false">IF(AND(AF$9&gt;=1,AF$86&lt;-0.01,$E$280&gt;0),(AF$70+AF283)/(-$E$280*AF$86),"")</f>
        <v/>
      </c>
      <c r="AG285" s="162" t="str">
        <f aca="false">IF(AND(AG$9&gt;=1,AG$86&lt;-0.01,$E$280&gt;0),(AG$70+AG283)/(-$E$280*AG$86),"")</f>
        <v/>
      </c>
      <c r="AH285" s="162" t="str">
        <f aca="false">IF(AND(AH$9&gt;=1,AH$86&lt;-0.01,$E$280&gt;0),(AH$70+AH283)/(-$E$280*AH$86),"")</f>
        <v/>
      </c>
      <c r="AI285" s="162" t="str">
        <f aca="false">IF(AND(AI$9&gt;=1,AI$86&lt;-0.01,$E$280&gt;0),(AI$70+AI283)/(-$E$280*AI$86),"")</f>
        <v/>
      </c>
      <c r="AJ285" s="162" t="str">
        <f aca="false">IF(AND(AJ$9&gt;=1,AJ$86&lt;-0.01,$E$280&gt;0),(AJ$70+AJ283)/(-$E$280*AJ$86),"")</f>
        <v/>
      </c>
      <c r="AK285" s="162" t="str">
        <f aca="false">IF(AND(AK$9&gt;=1,AK$86&lt;-0.01,$E$280&gt;0),(AK$70+AK283)/(-$E$280*AK$86),"")</f>
        <v/>
      </c>
      <c r="AL285" s="162" t="str">
        <f aca="false">IF(AND(AL$9&gt;=1,AL$86&lt;-0.01,$E$280&gt;0),(AL$70+AL283)/(-$E$280*AL$86),"")</f>
        <v/>
      </c>
      <c r="AM285" s="162" t="str">
        <f aca="false">IF(AND(AM$9&gt;=1,AM$86&lt;-0.01,$E$280&gt;0),(AM$70+AM283)/(-$E$280*AM$86),"")</f>
        <v/>
      </c>
      <c r="AN285" s="162" t="str">
        <f aca="false">IF(AND(AN$9&gt;=1,AN$86&lt;-0.01,$E$280&gt;0),(AN$70+AN283)/(-$E$280*AN$86),"")</f>
        <v/>
      </c>
      <c r="AO285" s="162" t="str">
        <f aca="false">IF(AND(AO$9&gt;=1,AO$86&lt;-0.01,$E$280&gt;0),(AO$70+AO283)/(-$E$280*AO$86),"")</f>
        <v/>
      </c>
      <c r="AP285" s="162" t="str">
        <f aca="false">IF(AND(AP$9&gt;=1,AP$86&lt;-0.01,$E$280&gt;0),(AP$70+AP283)/(-$E$280*AP$86),"")</f>
        <v/>
      </c>
      <c r="AQ285" s="162" t="str">
        <f aca="false">IF(AND(AQ$9&gt;=1,AQ$86&lt;-0.01,$E$280&gt;0),(AQ$70+AQ283)/(-$E$280*AQ$86),"")</f>
        <v/>
      </c>
    </row>
    <row r="287" customFormat="false" ht="15" hidden="false" customHeight="false" outlineLevel="0" collapsed="false">
      <c r="C287" s="136" t="str">
        <f aca="false">"15."&amp;5&amp;" Gearing scenario 5 – "&amp;TEXT(D252,"0%")&amp;" (debt scale factor vs live case in E)"</f>
        <v>15.5 Gearing scenario 5 – 55% (debt scale factor vs live case in E)</v>
      </c>
      <c r="D287" s="136" t="s">
        <v>7</v>
      </c>
      <c r="E287" s="278" t="n">
        <f aca="false">IF(Inputs!$E$219=0,0,D252/Inputs!$E$219)</f>
        <v>1.1</v>
      </c>
      <c r="F287" s="278"/>
      <c r="G287" s="278"/>
      <c r="H287" s="278"/>
      <c r="I287" s="278"/>
      <c r="J287" s="278"/>
      <c r="K287" s="278"/>
      <c r="L287" s="278"/>
      <c r="M287" s="278"/>
      <c r="N287" s="278"/>
      <c r="O287" s="278"/>
      <c r="P287" s="278"/>
      <c r="Q287" s="278"/>
      <c r="R287" s="278"/>
      <c r="S287" s="278"/>
      <c r="T287" s="278"/>
      <c r="U287" s="278"/>
      <c r="V287" s="278"/>
      <c r="W287" s="278"/>
      <c r="X287" s="278"/>
      <c r="Y287" s="278"/>
      <c r="Z287" s="278"/>
      <c r="AA287" s="278"/>
      <c r="AB287" s="278"/>
      <c r="AC287" s="278"/>
      <c r="AD287" s="278"/>
      <c r="AE287" s="278"/>
      <c r="AF287" s="278"/>
      <c r="AG287" s="278"/>
      <c r="AH287" s="278"/>
      <c r="AI287" s="278"/>
      <c r="AJ287" s="278"/>
      <c r="AK287" s="278"/>
      <c r="AL287" s="278"/>
      <c r="AM287" s="278"/>
      <c r="AN287" s="278"/>
      <c r="AO287" s="278"/>
      <c r="AP287" s="278"/>
      <c r="AQ287" s="278"/>
    </row>
    <row r="288" customFormat="false" ht="15" hidden="false" customHeight="false" outlineLevel="0" collapsed="false">
      <c r="C288" s="0" t="s">
        <v>1402</v>
      </c>
      <c r="D288" s="0" t="s">
        <v>125</v>
      </c>
      <c r="E288" s="146"/>
      <c r="F288" s="146"/>
      <c r="G288" s="146"/>
      <c r="H288" s="146" t="n">
        <f aca="false">H$70+H$16-(-$G$30+$E$287*$G$79+$E$258)/$E$92*H$90-$E$287*H$81+$E$287*H$85</f>
        <v>-88.6216216216216</v>
      </c>
      <c r="I288" s="146" t="n">
        <f aca="false">I$70+I$16-(-$G$30+$E$287*$G$79+$E$258)/$E$92*I$90-$E$287*I$81+$E$287*I$85</f>
        <v>-428.165540540541</v>
      </c>
      <c r="J288" s="146" t="n">
        <f aca="false">J$70+J$16-(-$G$30+$E$287*$G$79+$E$258)/$E$92*J$90-$E$287*J$81+$E$287*J$85</f>
        <v>-876.865528442527</v>
      </c>
      <c r="K288" s="146" t="n">
        <f aca="false">K$70+K$16-(-$G$30+$E$287*$G$79+$E$258)/$E$92*K$90-$E$287*K$81+$E$287*K$85</f>
        <v>-2301.12882550671</v>
      </c>
      <c r="L288" s="146" t="n">
        <f aca="false">L$70+L$16-(-$G$30+$E$287*$G$79+$E$258)/$E$92*L$90-$E$287*L$81+$E$287*L$85</f>
        <v>-818.676244756063</v>
      </c>
      <c r="M288" s="146" t="n">
        <f aca="false">M$70+M$16-(-$G$30+$E$287*$G$79+$E$258)/$E$92*M$90-$E$287*M$81+$E$287*M$85</f>
        <v>7015.13420022343</v>
      </c>
      <c r="N288" s="146" t="n">
        <f aca="false">N$70+N$16-(-$G$30+$E$287*$G$79+$E$258)/$E$92*N$90-$E$287*N$81+$E$287*N$85</f>
        <v>7108.38675708882</v>
      </c>
      <c r="O288" s="146" t="n">
        <f aca="false">O$70+O$16-(-$G$30+$E$287*$G$79+$E$258)/$E$92*O$90-$E$287*O$81+$E$287*O$85</f>
        <v>7389.67541105798</v>
      </c>
      <c r="P288" s="146" t="n">
        <f aca="false">P$70+P$16-(-$G$30+$E$287*$G$79+$E$258)/$E$92*P$90-$E$287*P$81+$E$287*P$85</f>
        <v>7680.21152911238</v>
      </c>
      <c r="Q288" s="146" t="n">
        <f aca="false">Q$70+Q$16-(-$G$30+$E$287*$G$79+$E$258)/$E$92*Q$90-$E$287*Q$81+$E$287*Q$85</f>
        <v>7980.48230503705</v>
      </c>
      <c r="R288" s="146" t="n">
        <f aca="false">R$70+R$16-(-$G$30+$E$287*$G$79+$E$258)/$E$92*R$90-$E$287*R$81+$E$287*R$85</f>
        <v>8291.00083957036</v>
      </c>
      <c r="S288" s="146" t="n">
        <f aca="false">S$70+S$16-(-$G$30+$E$287*$G$79+$E$258)/$E$92*S$90-$E$287*S$81+$E$287*S$85</f>
        <v>8612.30748001082</v>
      </c>
      <c r="T288" s="146" t="n">
        <f aca="false">T$70+T$16-(-$G$30+$E$287*$G$79+$E$258)/$E$92*T$90-$E$287*T$81+$E$287*T$85</f>
        <v>8944.97122792766</v>
      </c>
      <c r="U288" s="146" t="n">
        <f aca="false">U$70+U$16-(-$G$30+$E$287*$G$79+$E$258)/$E$92*U$90-$E$287*U$81+$E$287*U$85</f>
        <v>9289.59121840745</v>
      </c>
      <c r="V288" s="146" t="n">
        <f aca="false">V$70+V$16-(-$G$30+$E$287*$G$79+$E$258)/$E$92*V$90-$E$287*V$81+$E$287*V$85</f>
        <v>9646.79827444229</v>
      </c>
      <c r="W288" s="146" t="n">
        <f aca="false">W$70+W$16-(-$G$30+$E$287*$G$79+$E$258)/$E$92*W$90-$E$287*W$81+$E$287*W$85</f>
        <v>10017.2565402457</v>
      </c>
      <c r="X288" s="146" t="n">
        <f aca="false">X$70+X$16-(-$G$30+$E$287*$G$79+$E$258)/$E$92*X$90-$E$287*X$81+$E$287*X$85</f>
        <v>10401.665197472</v>
      </c>
      <c r="Y288" s="146" t="n">
        <f aca="false">Y$70+Y$16-(-$G$30+$E$287*$G$79+$E$258)/$E$92*Y$90-$E$287*Y$81+$E$287*Y$85</f>
        <v>10800.760268516</v>
      </c>
      <c r="Z288" s="146" t="n">
        <f aca="false">Z$70+Z$16-(-$G$30+$E$287*$G$79+$E$258)/$E$92*Z$90-$E$287*Z$81+$E$287*Z$85</f>
        <v>11215.3165112764</v>
      </c>
      <c r="AA288" s="146" t="n">
        <f aca="false">AA$70+AA$16-(-$G$30+$E$287*$G$79+$E$258)/$E$92*AA$90-$E$287*AA$81+$E$287*AA$85</f>
        <v>11646.1494099904</v>
      </c>
      <c r="AB288" s="146" t="n">
        <f aca="false">AB$70+AB$16-(-$G$30+$E$287*$G$79+$E$258)/$E$92*AB$90-$E$287*AB$81+$E$287*AB$85</f>
        <v>12094.1172669739</v>
      </c>
      <c r="AC288" s="146" t="n">
        <f aca="false">AC$70+AC$16-(-$G$30+$E$287*$G$79+$E$258)/$E$92*AC$90-$E$287*AC$81+$E$287*AC$85</f>
        <v>12560.1234003476</v>
      </c>
      <c r="AD288" s="146" t="n">
        <f aca="false">AD$70+AD$16-(-$G$30+$E$287*$G$79+$E$258)/$E$92*AD$90-$E$287*AD$81+$E$287*AD$85</f>
        <v>12584.8138015737</v>
      </c>
      <c r="AE288" s="146" t="n">
        <f aca="false">AE$70+AE$16-(-$G$30+$E$287*$G$79+$E$258)/$E$92*AE$90-$E$287*AE$81+$E$287*AE$85</f>
        <v>12606.4782833705</v>
      </c>
      <c r="AF288" s="146" t="n">
        <f aca="false">AF$70+AF$16-(-$G$30+$E$287*$G$79+$E$258)/$E$92*AF$90-$E$287*AF$81+$E$287*AF$85</f>
        <v>12625.0187774782</v>
      </c>
      <c r="AG288" s="146" t="n">
        <f aca="false">AG$70+AG$16-(-$G$30+$E$287*$G$79+$E$258)/$E$92*AG$90-$E$287*AG$81+$E$287*AG$85</f>
        <v>16913.9155540114</v>
      </c>
      <c r="AH288" s="146" t="n">
        <f aca="false">AH$70+AH$16-(-$G$30+$E$287*$G$79+$E$258)/$E$92*AH$90-$E$287*AH$81+$E$287*AH$85</f>
        <v>21199.4844603948</v>
      </c>
      <c r="AI288" s="146" t="n">
        <f aca="false">AI$70+AI$16-(-$G$30+$E$287*$G$79+$E$258)/$E$92*AI$90-$E$287*AI$81+$E$287*AI$85</f>
        <v>21208.0386543575</v>
      </c>
      <c r="AJ288" s="146" t="n">
        <f aca="false">AJ$70+AJ$16-(-$G$30+$E$287*$G$79+$E$258)/$E$92*AJ$90-$E$287*AJ$81+$E$287*AJ$85</f>
        <v>21213.0503353224</v>
      </c>
      <c r="AK288" s="146" t="n">
        <f aca="false">AK$70+AK$16-(-$G$30+$E$287*$G$79+$E$258)/$E$92*AK$90-$E$287*AK$81+$E$287*AK$85</f>
        <v>21214.4079785268</v>
      </c>
      <c r="AL288" s="146" t="n">
        <f aca="false">AL$70+AL$16-(-$G$30+$E$287*$G$79+$E$258)/$E$92*AL$90-$E$287*AL$81+$E$287*AL$85</f>
        <v>21211.9971639586</v>
      </c>
      <c r="AM288" s="146" t="n">
        <f aca="false">AM$70+AM$16-(-$G$30+$E$287*$G$79+$E$258)/$E$92*AM$90-$E$287*AM$81+$E$287*AM$85</f>
        <v>21205.7005044412</v>
      </c>
      <c r="AN288" s="146" t="n">
        <f aca="false">AN$70+AN$16-(-$G$30+$E$287*$G$79+$E$258)/$E$92*AN$90-$E$287*AN$81+$E$287*AN$85</f>
        <v>21195.3975719509</v>
      </c>
      <c r="AO288" s="146" t="n">
        <f aca="false">AO$70+AO$16-(-$G$30+$E$287*$G$79+$E$258)/$E$92*AO$90-$E$287*AO$81+$E$287*AO$85</f>
        <v>21180.9648221222</v>
      </c>
      <c r="AP288" s="146" t="n">
        <f aca="false">AP$70+AP$16-(-$G$30+$E$287*$G$79+$E$258)/$E$92*AP$90-$E$287*AP$81+$E$287*AP$85</f>
        <v>21162.2755168973</v>
      </c>
      <c r="AQ288" s="146" t="n">
        <f aca="false">AQ$70+AQ$16-(-$G$30+$E$287*$G$79+$E$258)/$E$92*AQ$90-$E$287*AQ$81+$E$287*AQ$85</f>
        <v>10569.599822637</v>
      </c>
    </row>
    <row r="289" customFormat="false" ht="15" hidden="false" customHeight="false" outlineLevel="0" collapsed="false">
      <c r="C289" s="0" t="s">
        <v>1275</v>
      </c>
      <c r="D289" s="0" t="s">
        <v>125</v>
      </c>
      <c r="E289" s="146"/>
      <c r="F289" s="146"/>
      <c r="G289" s="146" t="n">
        <v>0</v>
      </c>
      <c r="H289" s="146" t="n">
        <f aca="false">G289+MAX(-H288,0)-MIN(G289,MAX(H288,0)*$E$95)</f>
        <v>88.6216216216216</v>
      </c>
      <c r="I289" s="146" t="n">
        <f aca="false">H289+MAX(-I288,0)-MIN(H289,MAX(I288,0)*$E$95)</f>
        <v>516.787162162162</v>
      </c>
      <c r="J289" s="146" t="n">
        <f aca="false">I289+MAX(-J288,0)-MIN(I289,MAX(J288,0)*$E$95)</f>
        <v>1393.65269060469</v>
      </c>
      <c r="K289" s="146" t="n">
        <f aca="false">J289+MAX(-K288,0)-MIN(J289,MAX(K288,0)*$E$95)</f>
        <v>3694.7815161114</v>
      </c>
      <c r="L289" s="146" t="n">
        <f aca="false">K289+MAX(-L288,0)-MIN(K289,MAX(L288,0)*$E$95)</f>
        <v>4513.45776086746</v>
      </c>
      <c r="M289" s="146" t="n">
        <f aca="false">L289+MAX(-M288,0)-MIN(L289,MAX(M288,0)*$E$95)</f>
        <v>1005.89066075574</v>
      </c>
      <c r="N289" s="146" t="n">
        <f aca="false">M289+MAX(-N288,0)-MIN(M289,MAX(N288,0)*$E$95)</f>
        <v>0</v>
      </c>
      <c r="O289" s="146" t="n">
        <f aca="false">N289+MAX(-O288,0)-MIN(N289,MAX(O288,0)*$E$95)</f>
        <v>0</v>
      </c>
      <c r="P289" s="146" t="n">
        <f aca="false">O289+MAX(-P288,0)-MIN(O289,MAX(P288,0)*$E$95)</f>
        <v>0</v>
      </c>
      <c r="Q289" s="146" t="n">
        <f aca="false">P289+MAX(-Q288,0)-MIN(P289,MAX(Q288,0)*$E$95)</f>
        <v>0</v>
      </c>
      <c r="R289" s="146" t="n">
        <f aca="false">Q289+MAX(-R288,0)-MIN(Q289,MAX(R288,0)*$E$95)</f>
        <v>0</v>
      </c>
      <c r="S289" s="146" t="n">
        <f aca="false">R289+MAX(-S288,0)-MIN(R289,MAX(S288,0)*$E$95)</f>
        <v>0</v>
      </c>
      <c r="T289" s="146" t="n">
        <f aca="false">S289+MAX(-T288,0)-MIN(S289,MAX(T288,0)*$E$95)</f>
        <v>0</v>
      </c>
      <c r="U289" s="146" t="n">
        <f aca="false">T289+MAX(-U288,0)-MIN(T289,MAX(U288,0)*$E$95)</f>
        <v>0</v>
      </c>
      <c r="V289" s="146" t="n">
        <f aca="false">U289+MAX(-V288,0)-MIN(U289,MAX(V288,0)*$E$95)</f>
        <v>0</v>
      </c>
      <c r="W289" s="146" t="n">
        <f aca="false">V289+MAX(-W288,0)-MIN(V289,MAX(W288,0)*$E$95)</f>
        <v>0</v>
      </c>
      <c r="X289" s="146" t="n">
        <f aca="false">W289+MAX(-X288,0)-MIN(W289,MAX(X288,0)*$E$95)</f>
        <v>0</v>
      </c>
      <c r="Y289" s="146" t="n">
        <f aca="false">X289+MAX(-Y288,0)-MIN(X289,MAX(Y288,0)*$E$95)</f>
        <v>0</v>
      </c>
      <c r="Z289" s="146" t="n">
        <f aca="false">Y289+MAX(-Z288,0)-MIN(Y289,MAX(Z288,0)*$E$95)</f>
        <v>0</v>
      </c>
      <c r="AA289" s="146" t="n">
        <f aca="false">Z289+MAX(-AA288,0)-MIN(Z289,MAX(AA288,0)*$E$95)</f>
        <v>0</v>
      </c>
      <c r="AB289" s="146" t="n">
        <f aca="false">AA289+MAX(-AB288,0)-MIN(AA289,MAX(AB288,0)*$E$95)</f>
        <v>0</v>
      </c>
      <c r="AC289" s="146" t="n">
        <f aca="false">AB289+MAX(-AC288,0)-MIN(AB289,MAX(AC288,0)*$E$95)</f>
        <v>0</v>
      </c>
      <c r="AD289" s="146" t="n">
        <f aca="false">AC289+MAX(-AD288,0)-MIN(AC289,MAX(AD288,0)*$E$95)</f>
        <v>0</v>
      </c>
      <c r="AE289" s="146" t="n">
        <f aca="false">AD289+MAX(-AE288,0)-MIN(AD289,MAX(AE288,0)*$E$95)</f>
        <v>0</v>
      </c>
      <c r="AF289" s="146" t="n">
        <f aca="false">AE289+MAX(-AF288,0)-MIN(AE289,MAX(AF288,0)*$E$95)</f>
        <v>0</v>
      </c>
      <c r="AG289" s="146" t="n">
        <f aca="false">AF289+MAX(-AG288,0)-MIN(AF289,MAX(AG288,0)*$E$95)</f>
        <v>0</v>
      </c>
      <c r="AH289" s="146" t="n">
        <f aca="false">AG289+MAX(-AH288,0)-MIN(AG289,MAX(AH288,0)*$E$95)</f>
        <v>0</v>
      </c>
      <c r="AI289" s="146" t="n">
        <f aca="false">AH289+MAX(-AI288,0)-MIN(AH289,MAX(AI288,0)*$E$95)</f>
        <v>0</v>
      </c>
      <c r="AJ289" s="146" t="n">
        <f aca="false">AI289+MAX(-AJ288,0)-MIN(AI289,MAX(AJ288,0)*$E$95)</f>
        <v>0</v>
      </c>
      <c r="AK289" s="146" t="n">
        <f aca="false">AJ289+MAX(-AK288,0)-MIN(AJ289,MAX(AK288,0)*$E$95)</f>
        <v>0</v>
      </c>
      <c r="AL289" s="146" t="n">
        <f aca="false">AK289+MAX(-AL288,0)-MIN(AK289,MAX(AL288,0)*$E$95)</f>
        <v>0</v>
      </c>
      <c r="AM289" s="146" t="n">
        <f aca="false">AL289+MAX(-AM288,0)-MIN(AL289,MAX(AM288,0)*$E$95)</f>
        <v>0</v>
      </c>
      <c r="AN289" s="146" t="n">
        <f aca="false">AM289+MAX(-AN288,0)-MIN(AM289,MAX(AN288,0)*$E$95)</f>
        <v>0</v>
      </c>
      <c r="AO289" s="146" t="n">
        <f aca="false">AN289+MAX(-AO288,0)-MIN(AN289,MAX(AO288,0)*$E$95)</f>
        <v>0</v>
      </c>
      <c r="AP289" s="146" t="n">
        <f aca="false">AO289+MAX(-AP288,0)-MIN(AO289,MAX(AP288,0)*$E$95)</f>
        <v>0</v>
      </c>
      <c r="AQ289" s="146" t="n">
        <f aca="false">AP289+MAX(-AQ288,0)-MIN(AP289,MAX(AQ288,0)*$E$95)</f>
        <v>0</v>
      </c>
    </row>
    <row r="290" customFormat="false" ht="15" hidden="false" customHeight="false" outlineLevel="0" collapsed="false">
      <c r="C290" s="0" t="s">
        <v>1403</v>
      </c>
      <c r="D290" s="0" t="s">
        <v>125</v>
      </c>
      <c r="E290" s="146"/>
      <c r="F290" s="146"/>
      <c r="G290" s="146"/>
      <c r="H290" s="146" t="n">
        <f aca="false">-(MAX(H288,0)-MIN(G289,MAX(H288,0)*$E$95))*$E$91-MAX(H288,0)*$E$99</f>
        <v>-0</v>
      </c>
      <c r="I290" s="146" t="n">
        <f aca="false">-(MAX(I288,0)-MIN(H289,MAX(I288,0)*$E$95))*$E$91-MAX(I288,0)*$E$99</f>
        <v>-0</v>
      </c>
      <c r="J290" s="146" t="n">
        <f aca="false">-(MAX(J288,0)-MIN(I289,MAX(J288,0)*$E$95))*$E$91-MAX(J288,0)*$E$99</f>
        <v>-0</v>
      </c>
      <c r="K290" s="146" t="n">
        <f aca="false">-(MAX(K288,0)-MIN(J289,MAX(K288,0)*$E$95))*$E$91-MAX(K288,0)*$E$99</f>
        <v>-0</v>
      </c>
      <c r="L290" s="146" t="n">
        <f aca="false">-(MAX(L288,0)-MIN(K289,MAX(L288,0)*$E$95))*$E$91-MAX(L288,0)*$E$99</f>
        <v>-0</v>
      </c>
      <c r="M290" s="146" t="n">
        <f aca="false">-(MAX(M288,0)-MIN(L289,MAX(M288,0)*$E$95))*$E$91-MAX(M288,0)*$E$99</f>
        <v>-526.135065016757</v>
      </c>
      <c r="N290" s="146" t="n">
        <f aca="false">-(MAX(N288,0)-MIN(M289,MAX(N288,0)*$E$95))*$E$91-MAX(N288,0)*$E$99</f>
        <v>-915.374414449961</v>
      </c>
      <c r="O290" s="146" t="n">
        <f aca="false">-(MAX(O288,0)-MIN(N289,MAX(O288,0)*$E$95))*$E$91-MAX(O288,0)*$E$99</f>
        <v>-1108.4513116587</v>
      </c>
      <c r="P290" s="146" t="n">
        <f aca="false">-(MAX(P288,0)-MIN(O289,MAX(P288,0)*$E$95))*$E$91-MAX(P288,0)*$E$99</f>
        <v>-1152.03172936686</v>
      </c>
      <c r="Q290" s="146" t="n">
        <f aca="false">-(MAX(Q288,0)-MIN(P289,MAX(Q288,0)*$E$95))*$E$91-MAX(Q288,0)*$E$99</f>
        <v>-1197.07234575556</v>
      </c>
      <c r="R290" s="146" t="n">
        <f aca="false">-(MAX(R288,0)-MIN(Q289,MAX(R288,0)*$E$95))*$E$91-MAX(R288,0)*$E$99</f>
        <v>-1243.65012593555</v>
      </c>
      <c r="S290" s="146" t="n">
        <f aca="false">-(MAX(S288,0)-MIN(R289,MAX(S288,0)*$E$95))*$E$91-MAX(S288,0)*$E$99</f>
        <v>-1291.84612200162</v>
      </c>
      <c r="T290" s="146" t="n">
        <f aca="false">-(MAX(T288,0)-MIN(S289,MAX(T288,0)*$E$95))*$E$91-MAX(T288,0)*$E$99</f>
        <v>-1341.74568418915</v>
      </c>
      <c r="U290" s="146" t="n">
        <f aca="false">-(MAX(U288,0)-MIN(T289,MAX(U288,0)*$E$95))*$E$91-MAX(U288,0)*$E$99</f>
        <v>-1393.43868276112</v>
      </c>
      <c r="V290" s="146" t="n">
        <f aca="false">-(MAX(V288,0)-MIN(U289,MAX(V288,0)*$E$95))*$E$91-MAX(V288,0)*$E$99</f>
        <v>-1447.01974116634</v>
      </c>
      <c r="W290" s="146" t="n">
        <f aca="false">-(MAX(W288,0)-MIN(V289,MAX(W288,0)*$E$95))*$E$91-MAX(W288,0)*$E$99</f>
        <v>-1502.58848103685</v>
      </c>
      <c r="X290" s="146" t="n">
        <f aca="false">-(MAX(X288,0)-MIN(W289,MAX(X288,0)*$E$95))*$E$91-MAX(X288,0)*$E$99</f>
        <v>-1560.2497796208</v>
      </c>
      <c r="Y290" s="146" t="n">
        <f aca="false">-(MAX(Y288,0)-MIN(X289,MAX(Y288,0)*$E$95))*$E$91-MAX(Y288,0)*$E$99</f>
        <v>-1620.1140402774</v>
      </c>
      <c r="Z290" s="146" t="n">
        <f aca="false">-(MAX(Z288,0)-MIN(Y289,MAX(Z288,0)*$E$95))*$E$91-MAX(Z288,0)*$E$99</f>
        <v>-1682.29747669146</v>
      </c>
      <c r="AA290" s="146" t="n">
        <f aca="false">-(MAX(AA288,0)-MIN(Z289,MAX(AA288,0)*$E$95))*$E$91-MAX(AA288,0)*$E$99</f>
        <v>-1746.92241149856</v>
      </c>
      <c r="AB290" s="146" t="n">
        <f aca="false">-(MAX(AB288,0)-MIN(AA289,MAX(AB288,0)*$E$95))*$E$91-MAX(AB288,0)*$E$99</f>
        <v>-1814.11759004609</v>
      </c>
      <c r="AC290" s="146" t="n">
        <f aca="false">-(MAX(AC288,0)-MIN(AB289,MAX(AC288,0)*$E$95))*$E$91-MAX(AC288,0)*$E$99</f>
        <v>-1884.01851005213</v>
      </c>
      <c r="AD290" s="146" t="n">
        <f aca="false">-(MAX(AD288,0)-MIN(AC289,MAX(AD288,0)*$E$95))*$E$91-MAX(AD288,0)*$E$99</f>
        <v>-1887.72207023605</v>
      </c>
      <c r="AE290" s="146" t="n">
        <f aca="false">-(MAX(AE288,0)-MIN(AD289,MAX(AE288,0)*$E$95))*$E$91-MAX(AE288,0)*$E$99</f>
        <v>-1890.97174250558</v>
      </c>
      <c r="AF290" s="146" t="n">
        <f aca="false">-(MAX(AF288,0)-MIN(AE289,MAX(AF288,0)*$E$95))*$E$91-MAX(AF288,0)*$E$99</f>
        <v>-1893.75281662173</v>
      </c>
      <c r="AG290" s="146" t="n">
        <f aca="false">-(MAX(AG288,0)-MIN(AF289,MAX(AG288,0)*$E$95))*$E$91-MAX(AG288,0)*$E$99</f>
        <v>-2537.08733310171</v>
      </c>
      <c r="AH290" s="146" t="n">
        <f aca="false">-(MAX(AH288,0)-MIN(AG289,MAX(AH288,0)*$E$95))*$E$91-MAX(AH288,0)*$E$99</f>
        <v>-3179.92266905922</v>
      </c>
      <c r="AI290" s="146" t="n">
        <f aca="false">-(MAX(AI288,0)-MIN(AH289,MAX(AI288,0)*$E$95))*$E$91-MAX(AI288,0)*$E$99</f>
        <v>-3181.20579815362</v>
      </c>
      <c r="AJ290" s="146" t="n">
        <f aca="false">-(MAX(AJ288,0)-MIN(AI289,MAX(AJ288,0)*$E$95))*$E$91-MAX(AJ288,0)*$E$99</f>
        <v>-3181.95755029835</v>
      </c>
      <c r="AK290" s="146" t="n">
        <f aca="false">-(MAX(AK288,0)-MIN(AJ289,MAX(AK288,0)*$E$95))*$E$91-MAX(AK288,0)*$E$99</f>
        <v>-3182.16119677902</v>
      </c>
      <c r="AL290" s="146" t="n">
        <f aca="false">-(MAX(AL288,0)-MIN(AK289,MAX(AL288,0)*$E$95))*$E$91-MAX(AL288,0)*$E$99</f>
        <v>-3181.79957459379</v>
      </c>
      <c r="AM290" s="146" t="n">
        <f aca="false">-(MAX(AM288,0)-MIN(AL289,MAX(AM288,0)*$E$95))*$E$91-MAX(AM288,0)*$E$99</f>
        <v>-3180.85507566618</v>
      </c>
      <c r="AN290" s="146" t="n">
        <f aca="false">-(MAX(AN288,0)-MIN(AM289,MAX(AN288,0)*$E$95))*$E$91-MAX(AN288,0)*$E$99</f>
        <v>-3179.30963579264</v>
      </c>
      <c r="AO290" s="146" t="n">
        <f aca="false">-(MAX(AO288,0)-MIN(AN289,MAX(AO288,0)*$E$95))*$E$91-MAX(AO288,0)*$E$99</f>
        <v>-3177.14472331833</v>
      </c>
      <c r="AP290" s="146" t="n">
        <f aca="false">-(MAX(AP288,0)-MIN(AO289,MAX(AP288,0)*$E$95))*$E$91-MAX(AP288,0)*$E$99</f>
        <v>-3174.3413275346</v>
      </c>
      <c r="AQ290" s="146" t="n">
        <f aca="false">-(MAX(AQ288,0)-MIN(AP289,MAX(AQ288,0)*$E$95))*$E$91-MAX(AQ288,0)*$E$99</f>
        <v>-1585.43997339554</v>
      </c>
    </row>
    <row r="291" customFormat="false" ht="15" hidden="false" customHeight="false" outlineLevel="0" collapsed="false">
      <c r="C291" s="0" t="s">
        <v>1297</v>
      </c>
      <c r="D291" s="0" t="s">
        <v>125</v>
      </c>
      <c r="E291" s="146"/>
      <c r="F291" s="146"/>
      <c r="G291" s="146"/>
      <c r="H291" s="146" t="n">
        <f aca="false">(H$109+$E$287*(H$77+H$85-H$80+H$86-H$87+H$89)+H290)*$E$128</f>
        <v>-1570.61764901888</v>
      </c>
      <c r="I291" s="146" t="n">
        <f aca="false">(I$109+$E$287*(I$77+I$85-I$80+I$86-I$87+I$89)+I290)*$E$128</f>
        <v>-778.738143280267</v>
      </c>
      <c r="J291" s="146" t="n">
        <f aca="false">(J$109+$E$287*(J$77+J$85-J$80+J$86-J$87+J$89)+J290)*$E$128</f>
        <v>-1227.43813118225</v>
      </c>
      <c r="K291" s="146" t="n">
        <f aca="false">(K$109+$E$287*(K$77+K$85-K$80+K$86-K$87+K$89)+K290)*$E$128</f>
        <v>-40152.8280022108</v>
      </c>
      <c r="L291" s="146" t="n">
        <f aca="false">(L$109+$E$287*(L$77+L$85-L$80+L$86-L$87+L$89)+L290)*$E$128</f>
        <v>-26004.8680668794</v>
      </c>
      <c r="M291" s="146" t="n">
        <f aca="false">(M$109+$E$287*(M$77+M$85-M$80+M$86-M$87+M$89)+M290)*$E$128</f>
        <v>-6727.01097883083</v>
      </c>
      <c r="N291" s="146" t="n">
        <f aca="false">(N$109+$E$287*(N$77+N$85-N$80+N$86-N$87+N$89)+N290)*$E$128</f>
        <v>10311.8859867651</v>
      </c>
      <c r="O291" s="146" t="n">
        <f aca="false">(O$109+$E$287*(O$77+O$85-O$80+O$86-O$87+O$89)+O290)*$E$128</f>
        <v>10178.6833358193</v>
      </c>
      <c r="P291" s="146" t="n">
        <f aca="false">(P$109+$E$287*(P$77+P$85-P$80+P$86-P$87+P$89)+P290)*$E$128</f>
        <v>10193.1539080741</v>
      </c>
      <c r="Q291" s="146" t="n">
        <f aca="false">(Q$109+$E$287*(Q$77+Q$85-Q$80+Q$86-Q$87+Q$89)+Q290)*$E$128</f>
        <v>10204.274683114</v>
      </c>
      <c r="R291" s="146" t="n">
        <f aca="false">(R$109+$E$287*(R$77+R$85-R$80+R$86-R$87+R$89)+R290)*$E$128</f>
        <v>10211.9005837464</v>
      </c>
      <c r="S291" s="146" t="n">
        <f aca="false">(S$109+$E$287*(S$77+S$85-S$80+S$86-S$87+S$89)+S290)*$E$128</f>
        <v>10215.8806317139</v>
      </c>
      <c r="T291" s="146" t="n">
        <f aca="false">(T$109+$E$287*(T$77+T$85-T$80+T$86-T$87+T$89)+T290)*$E$128</f>
        <v>10216.0576912159</v>
      </c>
      <c r="U291" s="146" t="n">
        <f aca="false">(U$109+$E$287*(U$77+U$85-U$80+U$86-U$87+U$89)+U290)*$E$128</f>
        <v>10212.2682005851</v>
      </c>
      <c r="V291" s="146" t="n">
        <f aca="false">(V$109+$E$287*(V$77+V$85-V$80+V$86-V$87+V$89)+V290)*$E$128</f>
        <v>10204.3418915492</v>
      </c>
      <c r="W291" s="146" t="n">
        <f aca="false">(W$109+$E$287*(W$77+W$85-W$80+W$86-W$87+W$89)+W290)*$E$128</f>
        <v>10192.1014954832</v>
      </c>
      <c r="X291" s="146" t="n">
        <f aca="false">(X$109+$E$287*(X$77+X$85-X$80+X$86-X$87+X$89)+X290)*$E$128</f>
        <v>10175.3624360268</v>
      </c>
      <c r="Y291" s="146" t="n">
        <f aca="false">(Y$109+$E$287*(Y$77+Y$85-Y$80+Y$86-Y$87+Y$89)+Y290)*$E$128</f>
        <v>10153.9325074105</v>
      </c>
      <c r="Z291" s="146" t="n">
        <f aca="false">(Z$109+$E$287*(Z$77+Z$85-Z$80+Z$86-Z$87+Z$89)+Z290)*$E$128</f>
        <v>10127.6115378029</v>
      </c>
      <c r="AA291" s="146" t="n">
        <f aca="false">(AA$109+$E$287*(AA$77+AA$85-AA$80+AA$86-AA$87+AA$89)+AA290)*$E$128</f>
        <v>10096.1910369582</v>
      </c>
      <c r="AB291" s="146" t="n">
        <f aca="false">(AB$109+$E$287*(AB$77+AB$85-AB$80+AB$86-AB$87+AB$89)+AB290)*$E$128</f>
        <v>10059.4538274051</v>
      </c>
      <c r="AC291" s="146" t="n">
        <f aca="false">(AC$109+$E$287*(AC$77+AC$85-AC$80+AC$86-AC$87+AC$89)+AC290)*$E$128</f>
        <v>19223.2666885454</v>
      </c>
      <c r="AD291" s="146" t="n">
        <f aca="false">(AD$109+$E$287*(AD$77+AD$85-AD$80+AD$86-AD$87+AD$89)+AD290)*$E$128</f>
        <v>19244.2535295876</v>
      </c>
      <c r="AE291" s="146" t="n">
        <f aca="false">(AE$109+$E$287*(AE$77+AE$85-AE$80+AE$86-AE$87+AE$89)+AE290)*$E$128</f>
        <v>19262.6683391149</v>
      </c>
      <c r="AF291" s="146" t="n">
        <f aca="false">(AF$109+$E$287*(AF$77+AF$85-AF$80+AF$86-AF$87+AF$89)+AF290)*$E$128</f>
        <v>19278.4277591065</v>
      </c>
      <c r="AG291" s="146" t="n">
        <f aca="false">(AG$109+$E$287*(AG$77+AG$85-AG$80+AG$86-AG$87+AG$89)+AG290)*$E$128</f>
        <v>18650.4091200347</v>
      </c>
      <c r="AH291" s="146" t="n">
        <f aca="false">(AH$109+$E$287*(AH$77+AH$85-AH$80+AH$86-AH$87+AH$89)+AH290)*$E$128</f>
        <v>18019.5617913356</v>
      </c>
      <c r="AI291" s="146" t="n">
        <f aca="false">(AI$109+$E$287*(AI$77+AI$85-AI$80+AI$86-AI$87+AI$89)+AI290)*$E$128</f>
        <v>18026.8328562038</v>
      </c>
      <c r="AJ291" s="146" t="n">
        <f aca="false">(AJ$109+$E$287*(AJ$77+AJ$85-AJ$80+AJ$86-AJ$87+AJ$89)+AJ290)*$E$128</f>
        <v>18031.092785024</v>
      </c>
      <c r="AK291" s="146" t="n">
        <f aca="false">(AK$109+$E$287*(AK$77+AK$85-AK$80+AK$86-AK$87+AK$89)+AK290)*$E$128</f>
        <v>18032.2467817478</v>
      </c>
      <c r="AL291" s="146" t="n">
        <f aca="false">(AL$109+$E$287*(AL$77+AL$85-AL$80+AL$86-AL$87+AL$89)+AL290)*$E$128</f>
        <v>18030.1975893648</v>
      </c>
      <c r="AM291" s="146" t="n">
        <f aca="false">(AM$109+$E$287*(AM$77+AM$85-AM$80+AM$86-AM$87+AM$89)+AM290)*$E$128</f>
        <v>18024.845428775</v>
      </c>
      <c r="AN291" s="146" t="n">
        <f aca="false">(AN$109+$E$287*(AN$77+AN$85-AN$80+AN$86-AN$87+AN$89)+AN290)*$E$128</f>
        <v>18016.0879361583</v>
      </c>
      <c r="AO291" s="146" t="n">
        <f aca="false">(AO$109+$E$287*(AO$77+AO$85-AO$80+AO$86-AO$87+AO$89)+AO290)*$E$128</f>
        <v>18003.8200988039</v>
      </c>
      <c r="AP291" s="146" t="n">
        <f aca="false">(AP$109+$E$287*(AP$77+AP$85-AP$80+AP$86-AP$87+AP$89)+AP290)*$E$128</f>
        <v>17987.9341893627</v>
      </c>
      <c r="AQ291" s="146" t="n">
        <f aca="false">(AQ$109+$E$287*(AQ$77+AQ$85-AQ$80+AQ$86-AQ$87+AQ$89)+AQ290)*$E$128</f>
        <v>4907.15984924141</v>
      </c>
    </row>
    <row r="292" customFormat="false" ht="15" hidden="false" customHeight="false" outlineLevel="0" collapsed="false">
      <c r="C292" s="0" t="s">
        <v>1294</v>
      </c>
      <c r="D292" s="0" t="s">
        <v>7</v>
      </c>
      <c r="E292" s="146"/>
      <c r="F292" s="146"/>
      <c r="G292" s="162"/>
      <c r="H292" s="162" t="str">
        <f aca="false">IF(AND(H$9&gt;=1,H$86&lt;-0.01,$E$287&gt;0),(H$70+H290)/(-$E$287*H$86),"")</f>
        <v/>
      </c>
      <c r="I292" s="162" t="str">
        <f aca="false">IF(AND(I$9&gt;=1,I$86&lt;-0.01,$E$287&gt;0),(I$70+I290)/(-$E$287*I$86),"")</f>
        <v/>
      </c>
      <c r="J292" s="162" t="str">
        <f aca="false">IF(AND(J$9&gt;=1,J$86&lt;-0.01,$E$287&gt;0),(J$70+J290)/(-$E$287*J$86),"")</f>
        <v/>
      </c>
      <c r="K292" s="162" t="str">
        <f aca="false">IF(AND(K$9&gt;=1,K$86&lt;-0.01,$E$287&gt;0),(K$70+K290)/(-$E$287*K$86),"")</f>
        <v/>
      </c>
      <c r="L292" s="162" t="str">
        <f aca="false">IF(AND(L$9&gt;=1,L$86&lt;-0.01,$E$287&gt;0),(L$70+L290)/(-$E$287*L$86),"")</f>
        <v/>
      </c>
      <c r="M292" s="162" t="str">
        <f aca="false">IF(AND(M$9&gt;=1,M$86&lt;-0.01,$E$287&gt;0),(M$70+M290)/(-$E$287*M$86),"")</f>
        <v/>
      </c>
      <c r="N292" s="162" t="n">
        <f aca="false">IF(AND(N$9&gt;=1,N$86&lt;-0.01,$E$287&gt;0),(N$70+N290)/(-$E$287*N$86),"")</f>
        <v>2.12011533589556</v>
      </c>
      <c r="O292" s="162" t="n">
        <f aca="false">IF(AND(O$9&gt;=1,O$86&lt;-0.01,$E$287&gt;0),(O$70+O290)/(-$E$287*O$86),"")</f>
        <v>2.10564636947198</v>
      </c>
      <c r="P292" s="162" t="n">
        <f aca="false">IF(AND(P$9&gt;=1,P$86&lt;-0.01,$E$287&gt;0),(P$70+P290)/(-$E$287*P$86),"")</f>
        <v>2.10721821674827</v>
      </c>
      <c r="Q292" s="162" t="n">
        <f aca="false">IF(AND(Q$9&gt;=1,Q$86&lt;-0.01,$E$287&gt;0),(Q$70+Q290)/(-$E$287*Q$86),"")</f>
        <v>2.1084261966159</v>
      </c>
      <c r="R292" s="162" t="n">
        <f aca="false">IF(AND(R$9&gt;=1,R$86&lt;-0.01,$E$287&gt;0),(R$70+R290)/(-$E$287*R$86),"")</f>
        <v>2.10925455025163</v>
      </c>
      <c r="S292" s="162" t="n">
        <f aca="false">IF(AND(S$9&gt;=1,S$86&lt;-0.01,$E$287&gt;0),(S$70+S290)/(-$E$287*S$86),"")</f>
        <v>2.10968687783668</v>
      </c>
      <c r="T292" s="162" t="n">
        <f aca="false">IF(AND(T$9&gt;=1,T$86&lt;-0.01,$E$287&gt;0),(T$70+T290)/(-$E$287*T$86),"")</f>
        <v>2.10970611069708</v>
      </c>
      <c r="U292" s="162" t="n">
        <f aca="false">IF(AND(U$9&gt;=1,U$86&lt;-0.01,$E$287&gt;0),(U$70+U290)/(-$E$287*U$86),"")</f>
        <v>2.10929448215733</v>
      </c>
      <c r="V292" s="162" t="n">
        <f aca="false">IF(AND(V$9&gt;=1,V$86&lt;-0.01,$E$287&gt;0),(V$70+V290)/(-$E$287*V$86),"")</f>
        <v>2.10843349704562</v>
      </c>
      <c r="W292" s="162" t="n">
        <f aca="false">IF(AND(W$9&gt;=1,W$86&lt;-0.01,$E$287&gt;0),(W$70+W290)/(-$E$287*W$86),"")</f>
        <v>2.10710389978586</v>
      </c>
      <c r="X292" s="162" t="n">
        <f aca="false">IF(AND(X$9&gt;=1,X$86&lt;-0.01,$E$287&gt;0),(X$70+X290)/(-$E$287*X$86),"")</f>
        <v>2.1052856410086</v>
      </c>
      <c r="Y292" s="162" t="n">
        <f aca="false">IF(AND(Y$9&gt;=1,Y$86&lt;-0.01,$E$287&gt;0),(Y$70+Y290)/(-$E$287*Y$86),"")</f>
        <v>2.10295784260964</v>
      </c>
      <c r="Z292" s="162" t="n">
        <f aca="false">IF(AND(Z$9&gt;=1,Z$86&lt;-0.01,$E$287&gt;0),(Z$70+Z290)/(-$E$287*Z$86),"")</f>
        <v>2.10009876118157</v>
      </c>
      <c r="AA292" s="162" t="n">
        <f aca="false">IF(AND(AA$9&gt;=1,AA$86&lt;-0.01,$E$287&gt;0),(AA$70+AA290)/(-$E$287*AA$86),"")</f>
        <v>2.09668574973994</v>
      </c>
      <c r="AB292" s="162" t="n">
        <f aca="false">IF(AND(AB$9&gt;=1,AB$86&lt;-0.01,$E$287&gt;0),(AB$70+AB290)/(-$E$287*AB$86),"")</f>
        <v>2.09269521766159</v>
      </c>
      <c r="AC292" s="162" t="str">
        <f aca="false">IF(AND(AC$9&gt;=1,AC$86&lt;-0.01,$E$287&gt;0),(AC$70+AC290)/(-$E$287*AC$86),"")</f>
        <v/>
      </c>
      <c r="AD292" s="162" t="str">
        <f aca="false">IF(AND(AD$9&gt;=1,AD$86&lt;-0.01,$E$287&gt;0),(AD$70+AD290)/(-$E$287*AD$86),"")</f>
        <v/>
      </c>
      <c r="AE292" s="162" t="str">
        <f aca="false">IF(AND(AE$9&gt;=1,AE$86&lt;-0.01,$E$287&gt;0),(AE$70+AE290)/(-$E$287*AE$86),"")</f>
        <v/>
      </c>
      <c r="AF292" s="162" t="str">
        <f aca="false">IF(AND(AF$9&gt;=1,AF$86&lt;-0.01,$E$287&gt;0),(AF$70+AF290)/(-$E$287*AF$86),"")</f>
        <v/>
      </c>
      <c r="AG292" s="162" t="str">
        <f aca="false">IF(AND(AG$9&gt;=1,AG$86&lt;-0.01,$E$287&gt;0),(AG$70+AG290)/(-$E$287*AG$86),"")</f>
        <v/>
      </c>
      <c r="AH292" s="162" t="str">
        <f aca="false">IF(AND(AH$9&gt;=1,AH$86&lt;-0.01,$E$287&gt;0),(AH$70+AH290)/(-$E$287*AH$86),"")</f>
        <v/>
      </c>
      <c r="AI292" s="162" t="str">
        <f aca="false">IF(AND(AI$9&gt;=1,AI$86&lt;-0.01,$E$287&gt;0),(AI$70+AI290)/(-$E$287*AI$86),"")</f>
        <v/>
      </c>
      <c r="AJ292" s="162" t="str">
        <f aca="false">IF(AND(AJ$9&gt;=1,AJ$86&lt;-0.01,$E$287&gt;0),(AJ$70+AJ290)/(-$E$287*AJ$86),"")</f>
        <v/>
      </c>
      <c r="AK292" s="162" t="str">
        <f aca="false">IF(AND(AK$9&gt;=1,AK$86&lt;-0.01,$E$287&gt;0),(AK$70+AK290)/(-$E$287*AK$86),"")</f>
        <v/>
      </c>
      <c r="AL292" s="162" t="str">
        <f aca="false">IF(AND(AL$9&gt;=1,AL$86&lt;-0.01,$E$287&gt;0),(AL$70+AL290)/(-$E$287*AL$86),"")</f>
        <v/>
      </c>
      <c r="AM292" s="162" t="str">
        <f aca="false">IF(AND(AM$9&gt;=1,AM$86&lt;-0.01,$E$287&gt;0),(AM$70+AM290)/(-$E$287*AM$86),"")</f>
        <v/>
      </c>
      <c r="AN292" s="162" t="str">
        <f aca="false">IF(AND(AN$9&gt;=1,AN$86&lt;-0.01,$E$287&gt;0),(AN$70+AN290)/(-$E$287*AN$86),"")</f>
        <v/>
      </c>
      <c r="AO292" s="162" t="str">
        <f aca="false">IF(AND(AO$9&gt;=1,AO$86&lt;-0.01,$E$287&gt;0),(AO$70+AO290)/(-$E$287*AO$86),"")</f>
        <v/>
      </c>
      <c r="AP292" s="162" t="str">
        <f aca="false">IF(AND(AP$9&gt;=1,AP$86&lt;-0.01,$E$287&gt;0),(AP$70+AP290)/(-$E$287*AP$86),"")</f>
        <v/>
      </c>
      <c r="AQ292" s="162" t="str">
        <f aca="false">IF(AND(AQ$9&gt;=1,AQ$86&lt;-0.01,$E$287&gt;0),(AQ$70+AQ290)/(-$E$287*AQ$86),"")</f>
        <v/>
      </c>
    </row>
    <row r="294" customFormat="false" ht="15" hidden="false" customHeight="false" outlineLevel="0" collapsed="false">
      <c r="C294" s="136" t="str">
        <f aca="false">"15."&amp;6&amp;" Gearing scenario 6 – "&amp;TEXT(D253,"0%")&amp;" (debt scale factor vs live case in E)"</f>
        <v>15.6 Gearing scenario 6 – 60% (debt scale factor vs live case in E)</v>
      </c>
      <c r="D294" s="136" t="s">
        <v>7</v>
      </c>
      <c r="E294" s="278" t="n">
        <f aca="false">IF(Inputs!$E$219=0,0,D253/Inputs!$E$219)</f>
        <v>1.2</v>
      </c>
      <c r="F294" s="278"/>
      <c r="G294" s="278"/>
      <c r="H294" s="278"/>
      <c r="I294" s="278"/>
      <c r="J294" s="278"/>
      <c r="K294" s="278"/>
      <c r="L294" s="278"/>
      <c r="M294" s="278"/>
      <c r="N294" s="278"/>
      <c r="O294" s="278"/>
      <c r="P294" s="278"/>
      <c r="Q294" s="278"/>
      <c r="R294" s="278"/>
      <c r="S294" s="278"/>
      <c r="T294" s="278"/>
      <c r="U294" s="278"/>
      <c r="V294" s="278"/>
      <c r="W294" s="278"/>
      <c r="X294" s="278"/>
      <c r="Y294" s="278"/>
      <c r="Z294" s="278"/>
      <c r="AA294" s="278"/>
      <c r="AB294" s="278"/>
      <c r="AC294" s="278"/>
      <c r="AD294" s="278"/>
      <c r="AE294" s="278"/>
      <c r="AF294" s="278"/>
      <c r="AG294" s="278"/>
      <c r="AH294" s="278"/>
      <c r="AI294" s="278"/>
      <c r="AJ294" s="278"/>
      <c r="AK294" s="278"/>
      <c r="AL294" s="278"/>
      <c r="AM294" s="278"/>
      <c r="AN294" s="278"/>
      <c r="AO294" s="278"/>
      <c r="AP294" s="278"/>
      <c r="AQ294" s="278"/>
    </row>
    <row r="295" customFormat="false" ht="15" hidden="false" customHeight="false" outlineLevel="0" collapsed="false">
      <c r="C295" s="0" t="s">
        <v>1402</v>
      </c>
      <c r="D295" s="0" t="s">
        <v>125</v>
      </c>
      <c r="E295" s="146"/>
      <c r="F295" s="146"/>
      <c r="G295" s="146"/>
      <c r="H295" s="146" t="n">
        <f aca="false">H$70+H$16-(-$G$30+$E$294*$G$79+$E$258)/$E$92*H$90-$E$294*H$81+$E$294*H$85</f>
        <v>-88.6216216216216</v>
      </c>
      <c r="I295" s="146" t="n">
        <f aca="false">I$70+I$16-(-$G$30+$E$294*$G$79+$E$258)/$E$92*I$90-$E$294*I$81+$E$294*I$85</f>
        <v>-428.165540540541</v>
      </c>
      <c r="J295" s="146" t="n">
        <f aca="false">J$70+J$16-(-$G$30+$E$294*$G$79+$E$258)/$E$92*J$90-$E$294*J$81+$E$294*J$85</f>
        <v>-876.865528442527</v>
      </c>
      <c r="K295" s="146" t="n">
        <f aca="false">K$70+K$16-(-$G$30+$E$294*$G$79+$E$258)/$E$92*K$90-$E$294*K$81+$E$294*K$85</f>
        <v>-2477.98840183427</v>
      </c>
      <c r="L295" s="146" t="n">
        <f aca="false">L$70+L$16-(-$G$30+$E$294*$G$79+$E$258)/$E$92*L$90-$E$294*L$81+$E$294*L$85</f>
        <v>-855.133730421249</v>
      </c>
      <c r="M295" s="146" t="n">
        <f aca="false">M$70+M$16-(-$G$30+$E$294*$G$79+$E$258)/$E$92*M$90-$E$294*M$81+$E$294*M$85</f>
        <v>6783.37998410473</v>
      </c>
      <c r="N295" s="146" t="n">
        <f aca="false">N$70+N$16-(-$G$30+$E$294*$G$79+$E$258)/$E$92*N$90-$E$294*N$81+$E$294*N$85</f>
        <v>6651.66308217848</v>
      </c>
      <c r="O295" s="146" t="n">
        <f aca="false">O$70+O$16-(-$G$30+$E$294*$G$79+$E$258)/$E$92*O$90-$E$294*O$81+$E$294*O$85</f>
        <v>6953.08031866638</v>
      </c>
      <c r="P295" s="146" t="n">
        <f aca="false">P$70+P$16-(-$G$30+$E$294*$G$79+$E$258)/$E$92*P$90-$E$294*P$81+$E$294*P$85</f>
        <v>7264.75144836546</v>
      </c>
      <c r="Q295" s="146" t="n">
        <f aca="false">Q$70+Q$16-(-$G$30+$E$294*$G$79+$E$258)/$E$92*Q$90-$E$294*Q$81+$E$294*Q$85</f>
        <v>7587.21398651706</v>
      </c>
      <c r="R295" s="146" t="n">
        <f aca="false">R$70+R$16-(-$G$30+$E$294*$G$79+$E$258)/$E$92*R$90-$E$294*R$81+$E$294*R$85</f>
        <v>7921.03387138862</v>
      </c>
      <c r="S295" s="146" t="n">
        <f aca="false">S$70+S$16-(-$G$30+$E$294*$G$79+$E$258)/$E$92*S$90-$E$294*S$81+$E$294*S$85</f>
        <v>8266.80692968426</v>
      </c>
      <c r="T295" s="146" t="n">
        <f aca="false">T$70+T$16-(-$G$30+$E$294*$G$79+$E$258)/$E$92*T$90-$E$294*T$81+$E$294*T$85</f>
        <v>8625.16041634903</v>
      </c>
      <c r="U295" s="146" t="n">
        <f aca="false">U$70+U$16-(-$G$30+$E$294*$G$79+$E$258)/$E$92*U$90-$E$294*U$81+$E$294*U$85</f>
        <v>8996.75463251415</v>
      </c>
      <c r="V295" s="146" t="n">
        <f aca="false">V$70+V$16-(-$G$30+$E$294*$G$79+$E$258)/$E$92*V$90-$E$294*V$81+$E$294*V$85</f>
        <v>9382.28462551859</v>
      </c>
      <c r="W295" s="146" t="n">
        <f aca="false">W$70+W$16-(-$G$30+$E$294*$G$79+$E$258)/$E$92*W$90-$E$294*W$81+$E$294*W$85</f>
        <v>9782.48197514004</v>
      </c>
      <c r="X295" s="146" t="n">
        <f aca="false">X$70+X$16-(-$G$30+$E$294*$G$79+$E$258)/$E$92*X$90-$E$294*X$81+$E$294*X$85</f>
        <v>10198.1166703754</v>
      </c>
      <c r="Y295" s="146" t="n">
        <f aca="false">Y$70+Y$16-(-$G$30+$E$294*$G$79+$E$258)/$E$92*Y$90-$E$294*Y$81+$E$294*Y$85</f>
        <v>10629.9990813288</v>
      </c>
      <c r="Z295" s="146" t="n">
        <f aca="false">Z$70+Z$16-(-$G$30+$E$294*$G$79+$E$258)/$E$92*Z$90-$E$294*Z$81+$E$294*Z$85</f>
        <v>11078.9820309941</v>
      </c>
      <c r="AA295" s="146" t="n">
        <f aca="false">AA$70+AA$16-(-$G$30+$E$294*$G$79+$E$258)/$E$92*AA$90-$E$294*AA$81+$E$294*AA$85</f>
        <v>11545.9629719583</v>
      </c>
      <c r="AB295" s="146" t="n">
        <f aca="false">AB$70+AB$16-(-$G$30+$E$294*$G$79+$E$258)/$E$92*AB$90-$E$294*AB$81+$E$294*AB$85</f>
        <v>12031.8862733044</v>
      </c>
      <c r="AC295" s="146" t="n">
        <f aca="false">AC$70+AC$16-(-$G$30+$E$294*$G$79+$E$258)/$E$92*AC$90-$E$294*AC$81+$E$294*AC$85</f>
        <v>12537.7456232588</v>
      </c>
      <c r="AD295" s="146" t="n">
        <f aca="false">AD$70+AD$16-(-$G$30+$E$294*$G$79+$E$258)/$E$92*AD$90-$E$294*AD$81+$E$294*AD$85</f>
        <v>12562.4360244849</v>
      </c>
      <c r="AE295" s="146" t="n">
        <f aca="false">AE$70+AE$16-(-$G$30+$E$294*$G$79+$E$258)/$E$92*AE$90-$E$294*AE$81+$E$294*AE$85</f>
        <v>12584.1005062818</v>
      </c>
      <c r="AF295" s="146" t="n">
        <f aca="false">AF$70+AF$16-(-$G$30+$E$294*$G$79+$E$258)/$E$92*AF$90-$E$294*AF$81+$E$294*AF$85</f>
        <v>12602.6410003895</v>
      </c>
      <c r="AG295" s="146" t="n">
        <f aca="false">AG$70+AG$16-(-$G$30+$E$294*$G$79+$E$258)/$E$92*AG$90-$E$294*AG$81+$E$294*AG$85</f>
        <v>16902.726665467</v>
      </c>
      <c r="AH295" s="146" t="n">
        <f aca="false">AH$70+AH$16-(-$G$30+$E$294*$G$79+$E$258)/$E$92*AH$90-$E$294*AH$81+$E$294*AH$85</f>
        <v>21199.4844603948</v>
      </c>
      <c r="AI295" s="146" t="n">
        <f aca="false">AI$70+AI$16-(-$G$30+$E$294*$G$79+$E$258)/$E$92*AI$90-$E$294*AI$81+$E$294*AI$85</f>
        <v>21208.0386543575</v>
      </c>
      <c r="AJ295" s="146" t="n">
        <f aca="false">AJ$70+AJ$16-(-$G$30+$E$294*$G$79+$E$258)/$E$92*AJ$90-$E$294*AJ$81+$E$294*AJ$85</f>
        <v>21213.0503353224</v>
      </c>
      <c r="AK295" s="146" t="n">
        <f aca="false">AK$70+AK$16-(-$G$30+$E$294*$G$79+$E$258)/$E$92*AK$90-$E$294*AK$81+$E$294*AK$85</f>
        <v>21214.4079785268</v>
      </c>
      <c r="AL295" s="146" t="n">
        <f aca="false">AL$70+AL$16-(-$G$30+$E$294*$G$79+$E$258)/$E$92*AL$90-$E$294*AL$81+$E$294*AL$85</f>
        <v>21211.9971639586</v>
      </c>
      <c r="AM295" s="146" t="n">
        <f aca="false">AM$70+AM$16-(-$G$30+$E$294*$G$79+$E$258)/$E$92*AM$90-$E$294*AM$81+$E$294*AM$85</f>
        <v>21205.7005044412</v>
      </c>
      <c r="AN295" s="146" t="n">
        <f aca="false">AN$70+AN$16-(-$G$30+$E$294*$G$79+$E$258)/$E$92*AN$90-$E$294*AN$81+$E$294*AN$85</f>
        <v>21195.3975719509</v>
      </c>
      <c r="AO295" s="146" t="n">
        <f aca="false">AO$70+AO$16-(-$G$30+$E$294*$G$79+$E$258)/$E$92*AO$90-$E$294*AO$81+$E$294*AO$85</f>
        <v>21180.9648221222</v>
      </c>
      <c r="AP295" s="146" t="n">
        <f aca="false">AP$70+AP$16-(-$G$30+$E$294*$G$79+$E$258)/$E$92*AP$90-$E$294*AP$81+$E$294*AP$85</f>
        <v>21162.2755168973</v>
      </c>
      <c r="AQ295" s="146" t="n">
        <f aca="false">AQ$70+AQ$16-(-$G$30+$E$294*$G$79+$E$258)/$E$92*AQ$90-$E$294*AQ$81+$E$294*AQ$85</f>
        <v>10569.599822637</v>
      </c>
    </row>
    <row r="296" customFormat="false" ht="15" hidden="false" customHeight="false" outlineLevel="0" collapsed="false">
      <c r="C296" s="0" t="s">
        <v>1275</v>
      </c>
      <c r="D296" s="0" t="s">
        <v>125</v>
      </c>
      <c r="E296" s="146"/>
      <c r="F296" s="146"/>
      <c r="G296" s="146" t="n">
        <v>0</v>
      </c>
      <c r="H296" s="146" t="n">
        <f aca="false">G296+MAX(-H295,0)-MIN(G296,MAX(H295,0)*$E$95)</f>
        <v>88.6216216216216</v>
      </c>
      <c r="I296" s="146" t="n">
        <f aca="false">H296+MAX(-I295,0)-MIN(H296,MAX(I295,0)*$E$95)</f>
        <v>516.787162162162</v>
      </c>
      <c r="J296" s="146" t="n">
        <f aca="false">I296+MAX(-J295,0)-MIN(I296,MAX(J295,0)*$E$95)</f>
        <v>1393.65269060469</v>
      </c>
      <c r="K296" s="146" t="n">
        <f aca="false">J296+MAX(-K295,0)-MIN(J296,MAX(K295,0)*$E$95)</f>
        <v>3871.64109243896</v>
      </c>
      <c r="L296" s="146" t="n">
        <f aca="false">K296+MAX(-L295,0)-MIN(K296,MAX(L295,0)*$E$95)</f>
        <v>4726.77482286021</v>
      </c>
      <c r="M296" s="146" t="n">
        <f aca="false">L296+MAX(-M295,0)-MIN(L296,MAX(M295,0)*$E$95)</f>
        <v>1335.08483080784</v>
      </c>
      <c r="N296" s="146" t="n">
        <f aca="false">M296+MAX(-N295,0)-MIN(M296,MAX(N295,0)*$E$95)</f>
        <v>0</v>
      </c>
      <c r="O296" s="146" t="n">
        <f aca="false">N296+MAX(-O295,0)-MIN(N296,MAX(O295,0)*$E$95)</f>
        <v>0</v>
      </c>
      <c r="P296" s="146" t="n">
        <f aca="false">O296+MAX(-P295,0)-MIN(O296,MAX(P295,0)*$E$95)</f>
        <v>0</v>
      </c>
      <c r="Q296" s="146" t="n">
        <f aca="false">P296+MAX(-Q295,0)-MIN(P296,MAX(Q295,0)*$E$95)</f>
        <v>0</v>
      </c>
      <c r="R296" s="146" t="n">
        <f aca="false">Q296+MAX(-R295,0)-MIN(Q296,MAX(R295,0)*$E$95)</f>
        <v>0</v>
      </c>
      <c r="S296" s="146" t="n">
        <f aca="false">R296+MAX(-S295,0)-MIN(R296,MAX(S295,0)*$E$95)</f>
        <v>0</v>
      </c>
      <c r="T296" s="146" t="n">
        <f aca="false">S296+MAX(-T295,0)-MIN(S296,MAX(T295,0)*$E$95)</f>
        <v>0</v>
      </c>
      <c r="U296" s="146" t="n">
        <f aca="false">T296+MAX(-U295,0)-MIN(T296,MAX(U295,0)*$E$95)</f>
        <v>0</v>
      </c>
      <c r="V296" s="146" t="n">
        <f aca="false">U296+MAX(-V295,0)-MIN(U296,MAX(V295,0)*$E$95)</f>
        <v>0</v>
      </c>
      <c r="W296" s="146" t="n">
        <f aca="false">V296+MAX(-W295,0)-MIN(V296,MAX(W295,0)*$E$95)</f>
        <v>0</v>
      </c>
      <c r="X296" s="146" t="n">
        <f aca="false">W296+MAX(-X295,0)-MIN(W296,MAX(X295,0)*$E$95)</f>
        <v>0</v>
      </c>
      <c r="Y296" s="146" t="n">
        <f aca="false">X296+MAX(-Y295,0)-MIN(X296,MAX(Y295,0)*$E$95)</f>
        <v>0</v>
      </c>
      <c r="Z296" s="146" t="n">
        <f aca="false">Y296+MAX(-Z295,0)-MIN(Y296,MAX(Z295,0)*$E$95)</f>
        <v>0</v>
      </c>
      <c r="AA296" s="146" t="n">
        <f aca="false">Z296+MAX(-AA295,0)-MIN(Z296,MAX(AA295,0)*$E$95)</f>
        <v>0</v>
      </c>
      <c r="AB296" s="146" t="n">
        <f aca="false">AA296+MAX(-AB295,0)-MIN(AA296,MAX(AB295,0)*$E$95)</f>
        <v>0</v>
      </c>
      <c r="AC296" s="146" t="n">
        <f aca="false">AB296+MAX(-AC295,0)-MIN(AB296,MAX(AC295,0)*$E$95)</f>
        <v>0</v>
      </c>
      <c r="AD296" s="146" t="n">
        <f aca="false">AC296+MAX(-AD295,0)-MIN(AC296,MAX(AD295,0)*$E$95)</f>
        <v>0</v>
      </c>
      <c r="AE296" s="146" t="n">
        <f aca="false">AD296+MAX(-AE295,0)-MIN(AD296,MAX(AE295,0)*$E$95)</f>
        <v>0</v>
      </c>
      <c r="AF296" s="146" t="n">
        <f aca="false">AE296+MAX(-AF295,0)-MIN(AE296,MAX(AF295,0)*$E$95)</f>
        <v>0</v>
      </c>
      <c r="AG296" s="146" t="n">
        <f aca="false">AF296+MAX(-AG295,0)-MIN(AF296,MAX(AG295,0)*$E$95)</f>
        <v>0</v>
      </c>
      <c r="AH296" s="146" t="n">
        <f aca="false">AG296+MAX(-AH295,0)-MIN(AG296,MAX(AH295,0)*$E$95)</f>
        <v>0</v>
      </c>
      <c r="AI296" s="146" t="n">
        <f aca="false">AH296+MAX(-AI295,0)-MIN(AH296,MAX(AI295,0)*$E$95)</f>
        <v>0</v>
      </c>
      <c r="AJ296" s="146" t="n">
        <f aca="false">AI296+MAX(-AJ295,0)-MIN(AI296,MAX(AJ295,0)*$E$95)</f>
        <v>0</v>
      </c>
      <c r="AK296" s="146" t="n">
        <f aca="false">AJ296+MAX(-AK295,0)-MIN(AJ296,MAX(AK295,0)*$E$95)</f>
        <v>0</v>
      </c>
      <c r="AL296" s="146" t="n">
        <f aca="false">AK296+MAX(-AL295,0)-MIN(AK296,MAX(AL295,0)*$E$95)</f>
        <v>0</v>
      </c>
      <c r="AM296" s="146" t="n">
        <f aca="false">AL296+MAX(-AM295,0)-MIN(AL296,MAX(AM295,0)*$E$95)</f>
        <v>0</v>
      </c>
      <c r="AN296" s="146" t="n">
        <f aca="false">AM296+MAX(-AN295,0)-MIN(AM296,MAX(AN295,0)*$E$95)</f>
        <v>0</v>
      </c>
      <c r="AO296" s="146" t="n">
        <f aca="false">AN296+MAX(-AO295,0)-MIN(AN296,MAX(AO295,0)*$E$95)</f>
        <v>0</v>
      </c>
      <c r="AP296" s="146" t="n">
        <f aca="false">AO296+MAX(-AP295,0)-MIN(AO296,MAX(AP295,0)*$E$95)</f>
        <v>0</v>
      </c>
      <c r="AQ296" s="146" t="n">
        <f aca="false">AP296+MAX(-AQ295,0)-MIN(AP296,MAX(AQ295,0)*$E$95)</f>
        <v>0</v>
      </c>
    </row>
    <row r="297" customFormat="false" ht="15" hidden="false" customHeight="false" outlineLevel="0" collapsed="false">
      <c r="C297" s="0" t="s">
        <v>1403</v>
      </c>
      <c r="D297" s="0" t="s">
        <v>125</v>
      </c>
      <c r="E297" s="146"/>
      <c r="F297" s="146"/>
      <c r="G297" s="146"/>
      <c r="H297" s="146" t="n">
        <f aca="false">-(MAX(H295,0)-MIN(G296,MAX(H295,0)*$E$95))*$E$91-MAX(H295,0)*$E$99</f>
        <v>-0</v>
      </c>
      <c r="I297" s="146" t="n">
        <f aca="false">-(MAX(I295,0)-MIN(H296,MAX(I295,0)*$E$95))*$E$91-MAX(I295,0)*$E$99</f>
        <v>-0</v>
      </c>
      <c r="J297" s="146" t="n">
        <f aca="false">-(MAX(J295,0)-MIN(I296,MAX(J295,0)*$E$95))*$E$91-MAX(J295,0)*$E$99</f>
        <v>-0</v>
      </c>
      <c r="K297" s="146" t="n">
        <f aca="false">-(MAX(K295,0)-MIN(J296,MAX(K295,0)*$E$95))*$E$91-MAX(K295,0)*$E$99</f>
        <v>-0</v>
      </c>
      <c r="L297" s="146" t="n">
        <f aca="false">-(MAX(L295,0)-MIN(K296,MAX(L295,0)*$E$95))*$E$91-MAX(L295,0)*$E$99</f>
        <v>-0</v>
      </c>
      <c r="M297" s="146" t="n">
        <f aca="false">-(MAX(M295,0)-MIN(L296,MAX(M295,0)*$E$95))*$E$91-MAX(M295,0)*$E$99</f>
        <v>-508.753498807855</v>
      </c>
      <c r="N297" s="146" t="n">
        <f aca="false">-(MAX(N295,0)-MIN(M296,MAX(N295,0)*$E$95))*$E$91-MAX(N295,0)*$E$99</f>
        <v>-797.486737705595</v>
      </c>
      <c r="O297" s="146" t="n">
        <f aca="false">-(MAX(O295,0)-MIN(N296,MAX(O295,0)*$E$95))*$E$91-MAX(O295,0)*$E$99</f>
        <v>-1042.96204779996</v>
      </c>
      <c r="P297" s="146" t="n">
        <f aca="false">-(MAX(P295,0)-MIN(O296,MAX(P295,0)*$E$95))*$E$91-MAX(P295,0)*$E$99</f>
        <v>-1089.71271725482</v>
      </c>
      <c r="Q297" s="146" t="n">
        <f aca="false">-(MAX(Q295,0)-MIN(P296,MAX(Q295,0)*$E$95))*$E$91-MAX(Q295,0)*$E$99</f>
        <v>-1138.08209797756</v>
      </c>
      <c r="R297" s="146" t="n">
        <f aca="false">-(MAX(R295,0)-MIN(Q296,MAX(R295,0)*$E$95))*$E$91-MAX(R295,0)*$E$99</f>
        <v>-1188.15508070829</v>
      </c>
      <c r="S297" s="146" t="n">
        <f aca="false">-(MAX(S295,0)-MIN(R296,MAX(S295,0)*$E$95))*$E$91-MAX(S295,0)*$E$99</f>
        <v>-1240.02103945264</v>
      </c>
      <c r="T297" s="146" t="n">
        <f aca="false">-(MAX(T295,0)-MIN(S296,MAX(T295,0)*$E$95))*$E$91-MAX(T295,0)*$E$99</f>
        <v>-1293.77406245235</v>
      </c>
      <c r="U297" s="146" t="n">
        <f aca="false">-(MAX(U295,0)-MIN(T296,MAX(U295,0)*$E$95))*$E$91-MAX(U295,0)*$E$99</f>
        <v>-1349.51319487712</v>
      </c>
      <c r="V297" s="146" t="n">
        <f aca="false">-(MAX(V295,0)-MIN(U296,MAX(V295,0)*$E$95))*$E$91-MAX(V295,0)*$E$99</f>
        <v>-1407.34269382779</v>
      </c>
      <c r="W297" s="146" t="n">
        <f aca="false">-(MAX(W295,0)-MIN(V296,MAX(W295,0)*$E$95))*$E$91-MAX(W295,0)*$E$99</f>
        <v>-1467.37229627101</v>
      </c>
      <c r="X297" s="146" t="n">
        <f aca="false">-(MAX(X295,0)-MIN(W296,MAX(X295,0)*$E$95))*$E$91-MAX(X295,0)*$E$99</f>
        <v>-1529.7175005563</v>
      </c>
      <c r="Y297" s="146" t="n">
        <f aca="false">-(MAX(Y295,0)-MIN(X296,MAX(Y295,0)*$E$95))*$E$91-MAX(Y295,0)*$E$99</f>
        <v>-1594.49986219931</v>
      </c>
      <c r="Z297" s="146" t="n">
        <f aca="false">-(MAX(Z295,0)-MIN(Y296,MAX(Z295,0)*$E$95))*$E$91-MAX(Z295,0)*$E$99</f>
        <v>-1661.84730464912</v>
      </c>
      <c r="AA297" s="146" t="n">
        <f aca="false">-(MAX(AA295,0)-MIN(Z296,MAX(AA295,0)*$E$95))*$E$91-MAX(AA295,0)*$E$99</f>
        <v>-1731.89444579374</v>
      </c>
      <c r="AB297" s="146" t="n">
        <f aca="false">-(MAX(AB295,0)-MIN(AA296,MAX(AB295,0)*$E$95))*$E$91-MAX(AB295,0)*$E$99</f>
        <v>-1804.78294099566</v>
      </c>
      <c r="AC297" s="146" t="n">
        <f aca="false">-(MAX(AC295,0)-MIN(AB296,MAX(AC295,0)*$E$95))*$E$91-MAX(AC295,0)*$E$99</f>
        <v>-1880.66184348882</v>
      </c>
      <c r="AD297" s="146" t="n">
        <f aca="false">-(MAX(AD295,0)-MIN(AC296,MAX(AD295,0)*$E$95))*$E$91-MAX(AD295,0)*$E$99</f>
        <v>-1884.36540367274</v>
      </c>
      <c r="AE297" s="146" t="n">
        <f aca="false">-(MAX(AE295,0)-MIN(AD296,MAX(AE295,0)*$E$95))*$E$91-MAX(AE295,0)*$E$99</f>
        <v>-1887.61507594227</v>
      </c>
      <c r="AF297" s="146" t="n">
        <f aca="false">-(MAX(AF295,0)-MIN(AE296,MAX(AF295,0)*$E$95))*$E$91-MAX(AF295,0)*$E$99</f>
        <v>-1890.39615005842</v>
      </c>
      <c r="AG297" s="146" t="n">
        <f aca="false">-(MAX(AG295,0)-MIN(AF296,MAX(AG295,0)*$E$95))*$E$91-MAX(AG295,0)*$E$99</f>
        <v>-2535.40899982005</v>
      </c>
      <c r="AH297" s="146" t="n">
        <f aca="false">-(MAX(AH295,0)-MIN(AG296,MAX(AH295,0)*$E$95))*$E$91-MAX(AH295,0)*$E$99</f>
        <v>-3179.92266905922</v>
      </c>
      <c r="AI297" s="146" t="n">
        <f aca="false">-(MAX(AI295,0)-MIN(AH296,MAX(AI295,0)*$E$95))*$E$91-MAX(AI295,0)*$E$99</f>
        <v>-3181.20579815362</v>
      </c>
      <c r="AJ297" s="146" t="n">
        <f aca="false">-(MAX(AJ295,0)-MIN(AI296,MAX(AJ295,0)*$E$95))*$E$91-MAX(AJ295,0)*$E$99</f>
        <v>-3181.95755029835</v>
      </c>
      <c r="AK297" s="146" t="n">
        <f aca="false">-(MAX(AK295,0)-MIN(AJ296,MAX(AK295,0)*$E$95))*$E$91-MAX(AK295,0)*$E$99</f>
        <v>-3182.16119677902</v>
      </c>
      <c r="AL297" s="146" t="n">
        <f aca="false">-(MAX(AL295,0)-MIN(AK296,MAX(AL295,0)*$E$95))*$E$91-MAX(AL295,0)*$E$99</f>
        <v>-3181.79957459379</v>
      </c>
      <c r="AM297" s="146" t="n">
        <f aca="false">-(MAX(AM295,0)-MIN(AL296,MAX(AM295,0)*$E$95))*$E$91-MAX(AM295,0)*$E$99</f>
        <v>-3180.85507566618</v>
      </c>
      <c r="AN297" s="146" t="n">
        <f aca="false">-(MAX(AN295,0)-MIN(AM296,MAX(AN295,0)*$E$95))*$E$91-MAX(AN295,0)*$E$99</f>
        <v>-3179.30963579264</v>
      </c>
      <c r="AO297" s="146" t="n">
        <f aca="false">-(MAX(AO295,0)-MIN(AN296,MAX(AO295,0)*$E$95))*$E$91-MAX(AO295,0)*$E$99</f>
        <v>-3177.14472331833</v>
      </c>
      <c r="AP297" s="146" t="n">
        <f aca="false">-(MAX(AP295,0)-MIN(AO296,MAX(AP295,0)*$E$95))*$E$91-MAX(AP295,0)*$E$99</f>
        <v>-3174.3413275346</v>
      </c>
      <c r="AQ297" s="146" t="n">
        <f aca="false">-(MAX(AQ295,0)-MIN(AP296,MAX(AQ295,0)*$E$95))*$E$91-MAX(AQ295,0)*$E$99</f>
        <v>-1585.43997339554</v>
      </c>
    </row>
    <row r="298" customFormat="false" ht="15" hidden="false" customHeight="false" outlineLevel="0" collapsed="false">
      <c r="C298" s="0" t="s">
        <v>1297</v>
      </c>
      <c r="D298" s="0" t="s">
        <v>125</v>
      </c>
      <c r="E298" s="146"/>
      <c r="F298" s="146"/>
      <c r="G298" s="146"/>
      <c r="H298" s="146" t="n">
        <f aca="false">(H$109+$E$294*(H$77+H$85-H$80+H$86-H$87+H$89)+H297)*$E$128</f>
        <v>-1570.61764901888</v>
      </c>
      <c r="I298" s="146" t="n">
        <f aca="false">(I$109+$E$294*(I$77+I$85-I$80+I$86-I$87+I$89)+I297)*$E$128</f>
        <v>-778.738143280267</v>
      </c>
      <c r="J298" s="146" t="n">
        <f aca="false">(J$109+$E$294*(J$77+J$85-J$80+J$86-J$87+J$89)+J297)*$E$128</f>
        <v>-1227.43813118225</v>
      </c>
      <c r="K298" s="146" t="n">
        <f aca="false">(K$109+$E$294*(K$77+K$85-K$80+K$86-K$87+K$89)+K297)*$E$128</f>
        <v>-38252.9167781315</v>
      </c>
      <c r="L298" s="146" t="n">
        <f aca="false">(L$109+$E$294*(L$77+L$85-L$80+L$86-L$87+L$89)+L297)*$E$128</f>
        <v>-21921.6443452158</v>
      </c>
      <c r="M298" s="146" t="n">
        <f aca="false">(M$109+$E$294*(M$77+M$85-M$80+M$86-M$87+M$89)+M297)*$E$128</f>
        <v>-4887.28433327433</v>
      </c>
      <c r="N298" s="146" t="n">
        <f aca="false">(N$109+$E$294*(N$77+N$85-N$80+N$86-N$87+N$89)+N297)*$E$128</f>
        <v>9592.85611531296</v>
      </c>
      <c r="O298" s="146" t="n">
        <f aca="false">(O$109+$E$294*(O$77+O$85-O$80+O$86-O$87+O$89)+O297)*$E$128</f>
        <v>9407.25505148158</v>
      </c>
      <c r="P298" s="146" t="n">
        <f aca="false">(P$109+$E$294*(P$77+P$85-P$80+P$86-P$87+P$89)+P297)*$E$128</f>
        <v>9418.55537198961</v>
      </c>
      <c r="Q298" s="146" t="n">
        <f aca="false">(Q$109+$E$294*(Q$77+Q$85-Q$80+Q$86-Q$87+Q$89)+Q297)*$E$128</f>
        <v>9426.34738269548</v>
      </c>
      <c r="R298" s="146" t="n">
        <f aca="false">(R$109+$E$294*(R$77+R$85-R$80+R$86-R$87+R$89)+R297)*$E$128</f>
        <v>9430.47808077717</v>
      </c>
      <c r="S298" s="146" t="n">
        <f aca="false">(S$109+$E$294*(S$77+S$85-S$80+S$86-S$87+S$89)+S297)*$E$128</f>
        <v>9430.78816606637</v>
      </c>
      <c r="T298" s="146" t="n">
        <f aca="false">(T$109+$E$294*(T$77+T$85-T$80+T$86-T$87+T$89)+T297)*$E$128</f>
        <v>9427.11176475623</v>
      </c>
      <c r="U298" s="146" t="n">
        <f aca="false">(U$109+$E$294*(U$77+U$85-U$80+U$86-U$87+U$89)+U297)*$E$128</f>
        <v>9419.27614027262</v>
      </c>
      <c r="V298" s="146" t="n">
        <f aca="false">(V$109+$E$294*(V$77+V$85-V$80+V$86-V$87+V$89)+V297)*$E$128</f>
        <v>9407.10139069124</v>
      </c>
      <c r="W298" s="146" t="n">
        <f aca="false">(W$109+$E$294*(W$77+W$85-W$80+W$86-W$87+W$89)+W297)*$E$128</f>
        <v>9390.40013205255</v>
      </c>
      <c r="X298" s="146" t="n">
        <f aca="false">(X$109+$E$294*(X$77+X$85-X$80+X$86-X$87+X$89)+X297)*$E$128</f>
        <v>9368.97716689482</v>
      </c>
      <c r="Y298" s="146" t="n">
        <f aca="false">(Y$109+$E$294*(Y$77+Y$85-Y$80+Y$86-Y$87+Y$89)+Y297)*$E$128</f>
        <v>9342.62913729206</v>
      </c>
      <c r="Z298" s="146" t="n">
        <f aca="false">(Z$109+$E$294*(Z$77+Z$85-Z$80+Z$86-Z$87+Z$89)+Z297)*$E$128</f>
        <v>9311.14416164879</v>
      </c>
      <c r="AA298" s="146" t="n">
        <f aca="false">(AA$109+$E$294*(AA$77+AA$85-AA$80+AA$86-AA$87+AA$89)+AA297)*$E$128</f>
        <v>9274.30145446657</v>
      </c>
      <c r="AB298" s="146" t="n">
        <f aca="false">(AB$109+$E$294*(AB$77+AB$85-AB$80+AB$86-AB$87+AB$89)+AB297)*$E$128</f>
        <v>9231.87092825901</v>
      </c>
      <c r="AC298" s="146" t="n">
        <f aca="false">(AC$109+$E$294*(AC$77+AC$85-AC$80+AC$86-AC$87+AC$89)+AC297)*$E$128</f>
        <v>19226.6233551087</v>
      </c>
      <c r="AD298" s="146" t="n">
        <f aca="false">(AD$109+$E$294*(AD$77+AD$85-AD$80+AD$86-AD$87+AD$89)+AD297)*$E$128</f>
        <v>19247.6101961509</v>
      </c>
      <c r="AE298" s="146" t="n">
        <f aca="false">(AE$109+$E$294*(AE$77+AE$85-AE$80+AE$86-AE$87+AE$89)+AE297)*$E$128</f>
        <v>19266.0250056783</v>
      </c>
      <c r="AF298" s="146" t="n">
        <f aca="false">(AF$109+$E$294*(AF$77+AF$85-AF$80+AF$86-AF$87+AF$89)+AF297)*$E$128</f>
        <v>19281.7844256698</v>
      </c>
      <c r="AG298" s="146" t="n">
        <f aca="false">(AG$109+$E$294*(AG$77+AG$85-AG$80+AG$86-AG$87+AG$89)+AG297)*$E$128</f>
        <v>18652.0874533163</v>
      </c>
      <c r="AH298" s="146" t="n">
        <f aca="false">(AH$109+$E$294*(AH$77+AH$85-AH$80+AH$86-AH$87+AH$89)+AH297)*$E$128</f>
        <v>18019.5617913356</v>
      </c>
      <c r="AI298" s="146" t="n">
        <f aca="false">(AI$109+$E$294*(AI$77+AI$85-AI$80+AI$86-AI$87+AI$89)+AI297)*$E$128</f>
        <v>18026.8328562038</v>
      </c>
      <c r="AJ298" s="146" t="n">
        <f aca="false">(AJ$109+$E$294*(AJ$77+AJ$85-AJ$80+AJ$86-AJ$87+AJ$89)+AJ297)*$E$128</f>
        <v>18031.092785024</v>
      </c>
      <c r="AK298" s="146" t="n">
        <f aca="false">(AK$109+$E$294*(AK$77+AK$85-AK$80+AK$86-AK$87+AK$89)+AK297)*$E$128</f>
        <v>18032.2467817478</v>
      </c>
      <c r="AL298" s="146" t="n">
        <f aca="false">(AL$109+$E$294*(AL$77+AL$85-AL$80+AL$86-AL$87+AL$89)+AL297)*$E$128</f>
        <v>18030.1975893648</v>
      </c>
      <c r="AM298" s="146" t="n">
        <f aca="false">(AM$109+$E$294*(AM$77+AM$85-AM$80+AM$86-AM$87+AM$89)+AM297)*$E$128</f>
        <v>18024.845428775</v>
      </c>
      <c r="AN298" s="146" t="n">
        <f aca="false">(AN$109+$E$294*(AN$77+AN$85-AN$80+AN$86-AN$87+AN$89)+AN297)*$E$128</f>
        <v>18016.0879361583</v>
      </c>
      <c r="AO298" s="146" t="n">
        <f aca="false">(AO$109+$E$294*(AO$77+AO$85-AO$80+AO$86-AO$87+AO$89)+AO297)*$E$128</f>
        <v>18003.8200988039</v>
      </c>
      <c r="AP298" s="146" t="n">
        <f aca="false">(AP$109+$E$294*(AP$77+AP$85-AP$80+AP$86-AP$87+AP$89)+AP297)*$E$128</f>
        <v>17987.9341893627</v>
      </c>
      <c r="AQ298" s="146" t="n">
        <f aca="false">(AQ$109+$E$294*(AQ$77+AQ$85-AQ$80+AQ$86-AQ$87+AQ$89)+AQ297)*$E$128</f>
        <v>4907.15984924141</v>
      </c>
    </row>
    <row r="299" customFormat="false" ht="15" hidden="false" customHeight="false" outlineLevel="0" collapsed="false">
      <c r="C299" s="0" t="s">
        <v>1294</v>
      </c>
      <c r="D299" s="0" t="s">
        <v>7</v>
      </c>
      <c r="E299" s="146"/>
      <c r="F299" s="146"/>
      <c r="G299" s="162"/>
      <c r="H299" s="162" t="str">
        <f aca="false">IF(AND(H$9&gt;=1,H$86&lt;-0.01,$E$294&gt;0),(H$70+H297)/(-$E$294*H$86),"")</f>
        <v/>
      </c>
      <c r="I299" s="162" t="str">
        <f aca="false">IF(AND(I$9&gt;=1,I$86&lt;-0.01,$E$294&gt;0),(I$70+I297)/(-$E$294*I$86),"")</f>
        <v/>
      </c>
      <c r="J299" s="162" t="str">
        <f aca="false">IF(AND(J$9&gt;=1,J$86&lt;-0.01,$E$294&gt;0),(J$70+J297)/(-$E$294*J$86),"")</f>
        <v/>
      </c>
      <c r="K299" s="162" t="str">
        <f aca="false">IF(AND(K$9&gt;=1,K$86&lt;-0.01,$E$294&gt;0),(K$70+K297)/(-$E$294*K$86),"")</f>
        <v/>
      </c>
      <c r="L299" s="162" t="str">
        <f aca="false">IF(AND(L$9&gt;=1,L$86&lt;-0.01,$E$294&gt;0),(L$70+L297)/(-$E$294*L$86),"")</f>
        <v/>
      </c>
      <c r="M299" s="162" t="str">
        <f aca="false">IF(AND(M$9&gt;=1,M$86&lt;-0.01,$E$294&gt;0),(M$70+M297)/(-$E$294*M$86),"")</f>
        <v/>
      </c>
      <c r="N299" s="162" t="n">
        <f aca="false">IF(AND(N$9&gt;=1,N$86&lt;-0.01,$E$294&gt;0),(N$70+N297)/(-$E$294*N$86),"")</f>
        <v>1.95517733855473</v>
      </c>
      <c r="O299" s="162" t="n">
        <f aca="false">IF(AND(O$9&gt;=1,O$86&lt;-0.01,$E$294&gt;0),(O$70+O297)/(-$E$294*O$86),"")</f>
        <v>1.93669671838777</v>
      </c>
      <c r="P299" s="162" t="n">
        <f aca="false">IF(AND(P$9&gt;=1,P$86&lt;-0.01,$E$294&gt;0),(P$70+P297)/(-$E$294*P$86),"")</f>
        <v>1.93782191092042</v>
      </c>
      <c r="Q299" s="162" t="n">
        <f aca="false">IF(AND(Q$9&gt;=1,Q$86&lt;-0.01,$E$294&gt;0),(Q$70+Q297)/(-$E$294*Q$86),"")</f>
        <v>1.93859777495492</v>
      </c>
      <c r="R299" s="162" t="n">
        <f aca="false">IF(AND(R$9&gt;=1,R$86&lt;-0.01,$E$294&gt;0),(R$70+R297)/(-$E$294*R$86),"")</f>
        <v>1.93900907573465</v>
      </c>
      <c r="S299" s="162" t="n">
        <f aca="false">IF(AND(S$9&gt;=1,S$86&lt;-0.01,$E$294&gt;0),(S$70+S297)/(-$E$294*S$86),"")</f>
        <v>1.93903995146526</v>
      </c>
      <c r="T299" s="162" t="n">
        <f aca="false">IF(AND(T$9&gt;=1,T$86&lt;-0.01,$E$294&gt;0),(T$70+T297)/(-$E$294*T$86),"")</f>
        <v>1.93867388580383</v>
      </c>
      <c r="U299" s="162" t="n">
        <f aca="false">IF(AND(U$9&gt;=1,U$86&lt;-0.01,$E$294&gt;0),(U$70+U297)/(-$E$294*U$86),"")</f>
        <v>1.93789367906976</v>
      </c>
      <c r="V299" s="162" t="n">
        <f aca="false">IF(AND(V$9&gt;=1,V$86&lt;-0.01,$E$294&gt;0),(V$70+V297)/(-$E$294*V$86),"")</f>
        <v>1.93668141811609</v>
      </c>
      <c r="W299" s="162" t="n">
        <f aca="false">IF(AND(W$9&gt;=1,W$86&lt;-0.01,$E$294&gt;0),(W$70+W297)/(-$E$294*W$86),"")</f>
        <v>1.93501844479665</v>
      </c>
      <c r="X299" s="162" t="n">
        <f aca="false">IF(AND(X$9&gt;=1,X$86&lt;-0.01,$E$294&gt;0),(X$70+X297)/(-$E$294*X$86),"")</f>
        <v>1.93288532296126</v>
      </c>
      <c r="Y299" s="162" t="n">
        <f aca="false">IF(AND(Y$9&gt;=1,Y$86&lt;-0.01,$E$294&gt;0),(Y$70+Y297)/(-$E$294*Y$86),"")</f>
        <v>1.93026180390817</v>
      </c>
      <c r="Z299" s="162" t="n">
        <f aca="false">IF(AND(Z$9&gt;=1,Z$86&lt;-0.01,$E$294&gt;0),(Z$70+Z297)/(-$E$294*Z$86),"")</f>
        <v>1.92712679021903</v>
      </c>
      <c r="AA299" s="162" t="n">
        <f aca="false">IF(AND(AA$9&gt;=1,AA$86&lt;-0.01,$E$294&gt;0),(AA$70+AA297)/(-$E$294*AA$86),"")</f>
        <v>1.92345829789845</v>
      </c>
      <c r="AB299" s="162" t="n">
        <f aca="false">IF(AND(AB$9&gt;=1,AB$86&lt;-0.01,$E$294&gt;0),(AB$70+AB297)/(-$E$294*AB$86),"")</f>
        <v>1.91923341673593</v>
      </c>
      <c r="AC299" s="162" t="str">
        <f aca="false">IF(AND(AC$9&gt;=1,AC$86&lt;-0.01,$E$294&gt;0),(AC$70+AC297)/(-$E$294*AC$86),"")</f>
        <v/>
      </c>
      <c r="AD299" s="162" t="str">
        <f aca="false">IF(AND(AD$9&gt;=1,AD$86&lt;-0.01,$E$294&gt;0),(AD$70+AD297)/(-$E$294*AD$86),"")</f>
        <v/>
      </c>
      <c r="AE299" s="162" t="str">
        <f aca="false">IF(AND(AE$9&gt;=1,AE$86&lt;-0.01,$E$294&gt;0),(AE$70+AE297)/(-$E$294*AE$86),"")</f>
        <v/>
      </c>
      <c r="AF299" s="162" t="str">
        <f aca="false">IF(AND(AF$9&gt;=1,AF$86&lt;-0.01,$E$294&gt;0),(AF$70+AF297)/(-$E$294*AF$86),"")</f>
        <v/>
      </c>
      <c r="AG299" s="162" t="str">
        <f aca="false">IF(AND(AG$9&gt;=1,AG$86&lt;-0.01,$E$294&gt;0),(AG$70+AG297)/(-$E$294*AG$86),"")</f>
        <v/>
      </c>
      <c r="AH299" s="162" t="str">
        <f aca="false">IF(AND(AH$9&gt;=1,AH$86&lt;-0.01,$E$294&gt;0),(AH$70+AH297)/(-$E$294*AH$86),"")</f>
        <v/>
      </c>
      <c r="AI299" s="162" t="str">
        <f aca="false">IF(AND(AI$9&gt;=1,AI$86&lt;-0.01,$E$294&gt;0),(AI$70+AI297)/(-$E$294*AI$86),"")</f>
        <v/>
      </c>
      <c r="AJ299" s="162" t="str">
        <f aca="false">IF(AND(AJ$9&gt;=1,AJ$86&lt;-0.01,$E$294&gt;0),(AJ$70+AJ297)/(-$E$294*AJ$86),"")</f>
        <v/>
      </c>
      <c r="AK299" s="162" t="str">
        <f aca="false">IF(AND(AK$9&gt;=1,AK$86&lt;-0.01,$E$294&gt;0),(AK$70+AK297)/(-$E$294*AK$86),"")</f>
        <v/>
      </c>
      <c r="AL299" s="162" t="str">
        <f aca="false">IF(AND(AL$9&gt;=1,AL$86&lt;-0.01,$E$294&gt;0),(AL$70+AL297)/(-$E$294*AL$86),"")</f>
        <v/>
      </c>
      <c r="AM299" s="162" t="str">
        <f aca="false">IF(AND(AM$9&gt;=1,AM$86&lt;-0.01,$E$294&gt;0),(AM$70+AM297)/(-$E$294*AM$86),"")</f>
        <v/>
      </c>
      <c r="AN299" s="162" t="str">
        <f aca="false">IF(AND(AN$9&gt;=1,AN$86&lt;-0.01,$E$294&gt;0),(AN$70+AN297)/(-$E$294*AN$86),"")</f>
        <v/>
      </c>
      <c r="AO299" s="162" t="str">
        <f aca="false">IF(AND(AO$9&gt;=1,AO$86&lt;-0.01,$E$294&gt;0),(AO$70+AO297)/(-$E$294*AO$86),"")</f>
        <v/>
      </c>
      <c r="AP299" s="162" t="str">
        <f aca="false">IF(AND(AP$9&gt;=1,AP$86&lt;-0.01,$E$294&gt;0),(AP$70+AP297)/(-$E$294*AP$86),"")</f>
        <v/>
      </c>
      <c r="AQ299" s="162" t="str">
        <f aca="false">IF(AND(AQ$9&gt;=1,AQ$86&lt;-0.01,$E$294&gt;0),(AQ$70+AQ297)/(-$E$294*AQ$86),"")</f>
        <v/>
      </c>
    </row>
    <row r="301" customFormat="false" ht="15" hidden="false" customHeight="false" outlineLevel="0" collapsed="false">
      <c r="C301" s="136" t="str">
        <f aca="false">"15."&amp;7&amp;" Gearing scenario 7 – "&amp;TEXT(D254,"0%")&amp;" (debt scale factor vs live case in E)"</f>
        <v>15.7 Gearing scenario 7 – 65% (debt scale factor vs live case in E)</v>
      </c>
      <c r="D301" s="136" t="s">
        <v>7</v>
      </c>
      <c r="E301" s="278" t="n">
        <f aca="false">IF(Inputs!$E$219=0,0,D254/Inputs!$E$219)</f>
        <v>1.3</v>
      </c>
      <c r="F301" s="278"/>
      <c r="G301" s="278"/>
      <c r="H301" s="278"/>
      <c r="I301" s="278"/>
      <c r="J301" s="278"/>
      <c r="K301" s="278"/>
      <c r="L301" s="278"/>
      <c r="M301" s="278"/>
      <c r="N301" s="278"/>
      <c r="O301" s="278"/>
      <c r="P301" s="278"/>
      <c r="Q301" s="278"/>
      <c r="R301" s="278"/>
      <c r="S301" s="278"/>
      <c r="T301" s="278"/>
      <c r="U301" s="278"/>
      <c r="V301" s="278"/>
      <c r="W301" s="278"/>
      <c r="X301" s="278"/>
      <c r="Y301" s="278"/>
      <c r="Z301" s="278"/>
      <c r="AA301" s="278"/>
      <c r="AB301" s="278"/>
      <c r="AC301" s="278"/>
      <c r="AD301" s="278"/>
      <c r="AE301" s="278"/>
      <c r="AF301" s="278"/>
      <c r="AG301" s="278"/>
      <c r="AH301" s="278"/>
      <c r="AI301" s="278"/>
      <c r="AJ301" s="278"/>
      <c r="AK301" s="278"/>
      <c r="AL301" s="278"/>
      <c r="AM301" s="278"/>
      <c r="AN301" s="278"/>
      <c r="AO301" s="278"/>
      <c r="AP301" s="278"/>
      <c r="AQ301" s="278"/>
    </row>
    <row r="302" customFormat="false" ht="15" hidden="false" customHeight="false" outlineLevel="0" collapsed="false">
      <c r="C302" s="0" t="s">
        <v>1402</v>
      </c>
      <c r="D302" s="0" t="s">
        <v>125</v>
      </c>
      <c r="E302" s="146"/>
      <c r="F302" s="146"/>
      <c r="G302" s="146"/>
      <c r="H302" s="146" t="n">
        <f aca="false">H$70+H$16-(-$G$30+$E$301*$G$79+$E$258)/$E$92*H$90-$E$301*H$81+$E$301*H$85</f>
        <v>-88.6216216216216</v>
      </c>
      <c r="I302" s="146" t="n">
        <f aca="false">I$70+I$16-(-$G$30+$E$301*$G$79+$E$258)/$E$92*I$90-$E$301*I$81+$E$301*I$85</f>
        <v>-428.165540540541</v>
      </c>
      <c r="J302" s="146" t="n">
        <f aca="false">J$70+J$16-(-$G$30+$E$301*$G$79+$E$258)/$E$92*J$90-$E$301*J$81+$E$301*J$85</f>
        <v>-876.865528442527</v>
      </c>
      <c r="K302" s="146" t="n">
        <f aca="false">K$70+K$16-(-$G$30+$E$301*$G$79+$E$258)/$E$92*K$90-$E$301*K$81+$E$301*K$85</f>
        <v>-2654.84797816184</v>
      </c>
      <c r="L302" s="146" t="n">
        <f aca="false">L$70+L$16-(-$G$30+$E$301*$G$79+$E$258)/$E$92*L$90-$E$301*L$81+$E$301*L$85</f>
        <v>-891.591216086434</v>
      </c>
      <c r="M302" s="146" t="n">
        <f aca="false">M$70+M$16-(-$G$30+$E$301*$G$79+$E$258)/$E$92*M$90-$E$301*M$81+$E$301*M$85</f>
        <v>6551.62576798604</v>
      </c>
      <c r="N302" s="146" t="n">
        <f aca="false">N$70+N$16-(-$G$30+$E$301*$G$79+$E$258)/$E$92*N$90-$E$301*N$81+$E$301*N$85</f>
        <v>6194.93940726814</v>
      </c>
      <c r="O302" s="146" t="n">
        <f aca="false">O$70+O$16-(-$G$30+$E$301*$G$79+$E$258)/$E$92*O$90-$E$301*O$81+$E$301*O$85</f>
        <v>6516.48522627479</v>
      </c>
      <c r="P302" s="146" t="n">
        <f aca="false">P$70+P$16-(-$G$30+$E$301*$G$79+$E$258)/$E$92*P$90-$E$301*P$81+$E$301*P$85</f>
        <v>6849.29136761855</v>
      </c>
      <c r="Q302" s="146" t="n">
        <f aca="false">Q$70+Q$16-(-$G$30+$E$301*$G$79+$E$258)/$E$92*Q$90-$E$301*Q$81+$E$301*Q$85</f>
        <v>7193.94566799706</v>
      </c>
      <c r="R302" s="146" t="n">
        <f aca="false">R$70+R$16-(-$G$30+$E$301*$G$79+$E$258)/$E$92*R$90-$E$301*R$81+$E$301*R$85</f>
        <v>7551.06690320689</v>
      </c>
      <c r="S302" s="146" t="n">
        <f aca="false">S$70+S$16-(-$G$30+$E$301*$G$79+$E$258)/$E$92*S$90-$E$301*S$81+$E$301*S$85</f>
        <v>7921.3063793577</v>
      </c>
      <c r="T302" s="146" t="n">
        <f aca="false">T$70+T$16-(-$G$30+$E$301*$G$79+$E$258)/$E$92*T$90-$E$301*T$81+$E$301*T$85</f>
        <v>8305.34960477041</v>
      </c>
      <c r="U302" s="146" t="n">
        <f aca="false">U$70+U$16-(-$G$30+$E$301*$G$79+$E$258)/$E$92*U$90-$E$301*U$81+$E$301*U$85</f>
        <v>8703.91804662085</v>
      </c>
      <c r="V302" s="146" t="n">
        <f aca="false">V$70+V$16-(-$G$30+$E$301*$G$79+$E$258)/$E$92*V$90-$E$301*V$81+$E$301*V$85</f>
        <v>9117.77097659489</v>
      </c>
      <c r="W302" s="146" t="n">
        <f aca="false">W$70+W$16-(-$G$30+$E$301*$G$79+$E$258)/$E$92*W$90-$E$301*W$81+$E$301*W$85</f>
        <v>9547.70741003441</v>
      </c>
      <c r="X302" s="146" t="n">
        <f aca="false">X$70+X$16-(-$G$30+$E$301*$G$79+$E$258)/$E$92*X$90-$E$301*X$81+$E$301*X$85</f>
        <v>9994.56814327872</v>
      </c>
      <c r="Y302" s="146" t="n">
        <f aca="false">Y$70+Y$16-(-$G$30+$E$301*$G$79+$E$258)/$E$92*Y$90-$E$301*Y$81+$E$301*Y$85</f>
        <v>10459.2378941416</v>
      </c>
      <c r="Z302" s="146" t="n">
        <f aca="false">Z$70+Z$16-(-$G$30+$E$301*$G$79+$E$258)/$E$92*Z$90-$E$301*Z$81+$E$301*Z$85</f>
        <v>10942.6475507118</v>
      </c>
      <c r="AA302" s="146" t="n">
        <f aca="false">AA$70+AA$16-(-$G$30+$E$301*$G$79+$E$258)/$E$92*AA$90-$E$301*AA$81+$E$301*AA$85</f>
        <v>11445.7765339261</v>
      </c>
      <c r="AB302" s="146" t="n">
        <f aca="false">AB$70+AB$16-(-$G$30+$E$301*$G$79+$E$258)/$E$92*AB$90-$E$301*AB$81+$E$301*AB$85</f>
        <v>11969.6552796349</v>
      </c>
      <c r="AC302" s="146" t="n">
        <f aca="false">AC$70+AC$16-(-$G$30+$E$301*$G$79+$E$258)/$E$92*AC$90-$E$301*AC$81+$E$301*AC$85</f>
        <v>12515.3678461701</v>
      </c>
      <c r="AD302" s="146" t="n">
        <f aca="false">AD$70+AD$16-(-$G$30+$E$301*$G$79+$E$258)/$E$92*AD$90-$E$301*AD$81+$E$301*AD$85</f>
        <v>12540.0582473962</v>
      </c>
      <c r="AE302" s="146" t="n">
        <f aca="false">AE$70+AE$16-(-$G$30+$E$301*$G$79+$E$258)/$E$92*AE$90-$E$301*AE$81+$E$301*AE$85</f>
        <v>12561.7227291931</v>
      </c>
      <c r="AF302" s="146" t="n">
        <f aca="false">AF$70+AF$16-(-$G$30+$E$301*$G$79+$E$258)/$E$92*AF$90-$E$301*AF$81+$E$301*AF$85</f>
        <v>12580.2632233007</v>
      </c>
      <c r="AG302" s="146" t="n">
        <f aca="false">AG$70+AG$16-(-$G$30+$E$301*$G$79+$E$258)/$E$92*AG$90-$E$301*AG$81+$E$301*AG$85</f>
        <v>16891.5377769227</v>
      </c>
      <c r="AH302" s="146" t="n">
        <f aca="false">AH$70+AH$16-(-$G$30+$E$301*$G$79+$E$258)/$E$92*AH$90-$E$301*AH$81+$E$301*AH$85</f>
        <v>21199.4844603948</v>
      </c>
      <c r="AI302" s="146" t="n">
        <f aca="false">AI$70+AI$16-(-$G$30+$E$301*$G$79+$E$258)/$E$92*AI$90-$E$301*AI$81+$E$301*AI$85</f>
        <v>21208.0386543575</v>
      </c>
      <c r="AJ302" s="146" t="n">
        <f aca="false">AJ$70+AJ$16-(-$G$30+$E$301*$G$79+$E$258)/$E$92*AJ$90-$E$301*AJ$81+$E$301*AJ$85</f>
        <v>21213.0503353224</v>
      </c>
      <c r="AK302" s="146" t="n">
        <f aca="false">AK$70+AK$16-(-$G$30+$E$301*$G$79+$E$258)/$E$92*AK$90-$E$301*AK$81+$E$301*AK$85</f>
        <v>21214.4079785268</v>
      </c>
      <c r="AL302" s="146" t="n">
        <f aca="false">AL$70+AL$16-(-$G$30+$E$301*$G$79+$E$258)/$E$92*AL$90-$E$301*AL$81+$E$301*AL$85</f>
        <v>21211.9971639586</v>
      </c>
      <c r="AM302" s="146" t="n">
        <f aca="false">AM$70+AM$16-(-$G$30+$E$301*$G$79+$E$258)/$E$92*AM$90-$E$301*AM$81+$E$301*AM$85</f>
        <v>21205.7005044412</v>
      </c>
      <c r="AN302" s="146" t="n">
        <f aca="false">AN$70+AN$16-(-$G$30+$E$301*$G$79+$E$258)/$E$92*AN$90-$E$301*AN$81+$E$301*AN$85</f>
        <v>21195.3975719509</v>
      </c>
      <c r="AO302" s="146" t="n">
        <f aca="false">AO$70+AO$16-(-$G$30+$E$301*$G$79+$E$258)/$E$92*AO$90-$E$301*AO$81+$E$301*AO$85</f>
        <v>21180.9648221222</v>
      </c>
      <c r="AP302" s="146" t="n">
        <f aca="false">AP$70+AP$16-(-$G$30+$E$301*$G$79+$E$258)/$E$92*AP$90-$E$301*AP$81+$E$301*AP$85</f>
        <v>21162.2755168973</v>
      </c>
      <c r="AQ302" s="146" t="n">
        <f aca="false">AQ$70+AQ$16-(-$G$30+$E$301*$G$79+$E$258)/$E$92*AQ$90-$E$301*AQ$81+$E$301*AQ$85</f>
        <v>10569.599822637</v>
      </c>
    </row>
    <row r="303" customFormat="false" ht="15" hidden="false" customHeight="false" outlineLevel="0" collapsed="false">
      <c r="C303" s="0" t="s">
        <v>1275</v>
      </c>
      <c r="D303" s="0" t="s">
        <v>125</v>
      </c>
      <c r="E303" s="146"/>
      <c r="F303" s="146"/>
      <c r="G303" s="146" t="n">
        <v>0</v>
      </c>
      <c r="H303" s="146" t="n">
        <f aca="false">G303+MAX(-H302,0)-MIN(G303,MAX(H302,0)*$E$95)</f>
        <v>88.6216216216216</v>
      </c>
      <c r="I303" s="146" t="n">
        <f aca="false">H303+MAX(-I302,0)-MIN(H303,MAX(I302,0)*$E$95)</f>
        <v>516.787162162162</v>
      </c>
      <c r="J303" s="146" t="n">
        <f aca="false">I303+MAX(-J302,0)-MIN(I303,MAX(J302,0)*$E$95)</f>
        <v>1393.65269060469</v>
      </c>
      <c r="K303" s="146" t="n">
        <f aca="false">J303+MAX(-K302,0)-MIN(J303,MAX(K302,0)*$E$95)</f>
        <v>4048.50066876652</v>
      </c>
      <c r="L303" s="146" t="n">
        <f aca="false">K303+MAX(-L302,0)-MIN(K303,MAX(L302,0)*$E$95)</f>
        <v>4940.09188485296</v>
      </c>
      <c r="M303" s="146" t="n">
        <f aca="false">L303+MAX(-M302,0)-MIN(L303,MAX(M302,0)*$E$95)</f>
        <v>1664.27900085994</v>
      </c>
      <c r="N303" s="146" t="n">
        <f aca="false">M303+MAX(-N302,0)-MIN(M303,MAX(N302,0)*$E$95)</f>
        <v>0</v>
      </c>
      <c r="O303" s="146" t="n">
        <f aca="false">N303+MAX(-O302,0)-MIN(N303,MAX(O302,0)*$E$95)</f>
        <v>0</v>
      </c>
      <c r="P303" s="146" t="n">
        <f aca="false">O303+MAX(-P302,0)-MIN(O303,MAX(P302,0)*$E$95)</f>
        <v>0</v>
      </c>
      <c r="Q303" s="146" t="n">
        <f aca="false">P303+MAX(-Q302,0)-MIN(P303,MAX(Q302,0)*$E$95)</f>
        <v>0</v>
      </c>
      <c r="R303" s="146" t="n">
        <f aca="false">Q303+MAX(-R302,0)-MIN(Q303,MAX(R302,0)*$E$95)</f>
        <v>0</v>
      </c>
      <c r="S303" s="146" t="n">
        <f aca="false">R303+MAX(-S302,0)-MIN(R303,MAX(S302,0)*$E$95)</f>
        <v>0</v>
      </c>
      <c r="T303" s="146" t="n">
        <f aca="false">S303+MAX(-T302,0)-MIN(S303,MAX(T302,0)*$E$95)</f>
        <v>0</v>
      </c>
      <c r="U303" s="146" t="n">
        <f aca="false">T303+MAX(-U302,0)-MIN(T303,MAX(U302,0)*$E$95)</f>
        <v>0</v>
      </c>
      <c r="V303" s="146" t="n">
        <f aca="false">U303+MAX(-V302,0)-MIN(U303,MAX(V302,0)*$E$95)</f>
        <v>0</v>
      </c>
      <c r="W303" s="146" t="n">
        <f aca="false">V303+MAX(-W302,0)-MIN(V303,MAX(W302,0)*$E$95)</f>
        <v>0</v>
      </c>
      <c r="X303" s="146" t="n">
        <f aca="false">W303+MAX(-X302,0)-MIN(W303,MAX(X302,0)*$E$95)</f>
        <v>0</v>
      </c>
      <c r="Y303" s="146" t="n">
        <f aca="false">X303+MAX(-Y302,0)-MIN(X303,MAX(Y302,0)*$E$95)</f>
        <v>0</v>
      </c>
      <c r="Z303" s="146" t="n">
        <f aca="false">Y303+MAX(-Z302,0)-MIN(Y303,MAX(Z302,0)*$E$95)</f>
        <v>0</v>
      </c>
      <c r="AA303" s="146" t="n">
        <f aca="false">Z303+MAX(-AA302,0)-MIN(Z303,MAX(AA302,0)*$E$95)</f>
        <v>0</v>
      </c>
      <c r="AB303" s="146" t="n">
        <f aca="false">AA303+MAX(-AB302,0)-MIN(AA303,MAX(AB302,0)*$E$95)</f>
        <v>0</v>
      </c>
      <c r="AC303" s="146" t="n">
        <f aca="false">AB303+MAX(-AC302,0)-MIN(AB303,MAX(AC302,0)*$E$95)</f>
        <v>0</v>
      </c>
      <c r="AD303" s="146" t="n">
        <f aca="false">AC303+MAX(-AD302,0)-MIN(AC303,MAX(AD302,0)*$E$95)</f>
        <v>0</v>
      </c>
      <c r="AE303" s="146" t="n">
        <f aca="false">AD303+MAX(-AE302,0)-MIN(AD303,MAX(AE302,0)*$E$95)</f>
        <v>0</v>
      </c>
      <c r="AF303" s="146" t="n">
        <f aca="false">AE303+MAX(-AF302,0)-MIN(AE303,MAX(AF302,0)*$E$95)</f>
        <v>0</v>
      </c>
      <c r="AG303" s="146" t="n">
        <f aca="false">AF303+MAX(-AG302,0)-MIN(AF303,MAX(AG302,0)*$E$95)</f>
        <v>0</v>
      </c>
      <c r="AH303" s="146" t="n">
        <f aca="false">AG303+MAX(-AH302,0)-MIN(AG303,MAX(AH302,0)*$E$95)</f>
        <v>0</v>
      </c>
      <c r="AI303" s="146" t="n">
        <f aca="false">AH303+MAX(-AI302,0)-MIN(AH303,MAX(AI302,0)*$E$95)</f>
        <v>0</v>
      </c>
      <c r="AJ303" s="146" t="n">
        <f aca="false">AI303+MAX(-AJ302,0)-MIN(AI303,MAX(AJ302,0)*$E$95)</f>
        <v>0</v>
      </c>
      <c r="AK303" s="146" t="n">
        <f aca="false">AJ303+MAX(-AK302,0)-MIN(AJ303,MAX(AK302,0)*$E$95)</f>
        <v>0</v>
      </c>
      <c r="AL303" s="146" t="n">
        <f aca="false">AK303+MAX(-AL302,0)-MIN(AK303,MAX(AL302,0)*$E$95)</f>
        <v>0</v>
      </c>
      <c r="AM303" s="146" t="n">
        <f aca="false">AL303+MAX(-AM302,0)-MIN(AL303,MAX(AM302,0)*$E$95)</f>
        <v>0</v>
      </c>
      <c r="AN303" s="146" t="n">
        <f aca="false">AM303+MAX(-AN302,0)-MIN(AM303,MAX(AN302,0)*$E$95)</f>
        <v>0</v>
      </c>
      <c r="AO303" s="146" t="n">
        <f aca="false">AN303+MAX(-AO302,0)-MIN(AN303,MAX(AO302,0)*$E$95)</f>
        <v>0</v>
      </c>
      <c r="AP303" s="146" t="n">
        <f aca="false">AO303+MAX(-AP302,0)-MIN(AO303,MAX(AP302,0)*$E$95)</f>
        <v>0</v>
      </c>
      <c r="AQ303" s="146" t="n">
        <f aca="false">AP303+MAX(-AQ302,0)-MIN(AP303,MAX(AQ302,0)*$E$95)</f>
        <v>0</v>
      </c>
    </row>
    <row r="304" customFormat="false" ht="15" hidden="false" customHeight="false" outlineLevel="0" collapsed="false">
      <c r="C304" s="0" t="s">
        <v>1403</v>
      </c>
      <c r="D304" s="0" t="s">
        <v>125</v>
      </c>
      <c r="E304" s="146"/>
      <c r="F304" s="146"/>
      <c r="G304" s="146"/>
      <c r="H304" s="146" t="n">
        <f aca="false">-(MAX(H302,0)-MIN(G303,MAX(H302,0)*$E$95))*$E$91-MAX(H302,0)*$E$99</f>
        <v>-0</v>
      </c>
      <c r="I304" s="146" t="n">
        <f aca="false">-(MAX(I302,0)-MIN(H303,MAX(I302,0)*$E$95))*$E$91-MAX(I302,0)*$E$99</f>
        <v>-0</v>
      </c>
      <c r="J304" s="146" t="n">
        <f aca="false">-(MAX(J302,0)-MIN(I303,MAX(J302,0)*$E$95))*$E$91-MAX(J302,0)*$E$99</f>
        <v>-0</v>
      </c>
      <c r="K304" s="146" t="n">
        <f aca="false">-(MAX(K302,0)-MIN(J303,MAX(K302,0)*$E$95))*$E$91-MAX(K302,0)*$E$99</f>
        <v>-0</v>
      </c>
      <c r="L304" s="146" t="n">
        <f aca="false">-(MAX(L302,0)-MIN(K303,MAX(L302,0)*$E$95))*$E$91-MAX(L302,0)*$E$99</f>
        <v>-0</v>
      </c>
      <c r="M304" s="146" t="n">
        <f aca="false">-(MAX(M302,0)-MIN(L303,MAX(M302,0)*$E$95))*$E$91-MAX(M302,0)*$E$99</f>
        <v>-491.371932598953</v>
      </c>
      <c r="N304" s="146" t="n">
        <f aca="false">-(MAX(N302,0)-MIN(M303,MAX(N302,0)*$E$95))*$E$91-MAX(N302,0)*$E$99</f>
        <v>-679.59906096123</v>
      </c>
      <c r="O304" s="146" t="n">
        <f aca="false">-(MAX(O302,0)-MIN(N303,MAX(O302,0)*$E$95))*$E$91-MAX(O302,0)*$E$99</f>
        <v>-977.472783941219</v>
      </c>
      <c r="P304" s="146" t="n">
        <f aca="false">-(MAX(P302,0)-MIN(O303,MAX(P302,0)*$E$95))*$E$91-MAX(P302,0)*$E$99</f>
        <v>-1027.39370514278</v>
      </c>
      <c r="Q304" s="146" t="n">
        <f aca="false">-(MAX(Q302,0)-MIN(P303,MAX(Q302,0)*$E$95))*$E$91-MAX(Q302,0)*$E$99</f>
        <v>-1079.09185019956</v>
      </c>
      <c r="R304" s="146" t="n">
        <f aca="false">-(MAX(R302,0)-MIN(Q303,MAX(R302,0)*$E$95))*$E$91-MAX(R302,0)*$E$99</f>
        <v>-1132.66003548103</v>
      </c>
      <c r="S304" s="146" t="n">
        <f aca="false">-(MAX(S302,0)-MIN(R303,MAX(S302,0)*$E$95))*$E$91-MAX(S302,0)*$E$99</f>
        <v>-1188.19595690365</v>
      </c>
      <c r="T304" s="146" t="n">
        <f aca="false">-(MAX(T302,0)-MIN(S303,MAX(T302,0)*$E$95))*$E$91-MAX(T302,0)*$E$99</f>
        <v>-1245.80244071556</v>
      </c>
      <c r="U304" s="146" t="n">
        <f aca="false">-(MAX(U302,0)-MIN(T303,MAX(U302,0)*$E$95))*$E$91-MAX(U302,0)*$E$99</f>
        <v>-1305.58770699313</v>
      </c>
      <c r="V304" s="146" t="n">
        <f aca="false">-(MAX(V302,0)-MIN(U303,MAX(V302,0)*$E$95))*$E$91-MAX(V302,0)*$E$99</f>
        <v>-1367.66564648923</v>
      </c>
      <c r="W304" s="146" t="n">
        <f aca="false">-(MAX(W302,0)-MIN(V303,MAX(W302,0)*$E$95))*$E$91-MAX(W302,0)*$E$99</f>
        <v>-1432.15611150516</v>
      </c>
      <c r="X304" s="146" t="n">
        <f aca="false">-(MAX(X302,0)-MIN(W303,MAX(X302,0)*$E$95))*$E$91-MAX(X302,0)*$E$99</f>
        <v>-1499.18522149181</v>
      </c>
      <c r="Y304" s="146" t="n">
        <f aca="false">-(MAX(Y302,0)-MIN(X303,MAX(Y302,0)*$E$95))*$E$91-MAX(Y302,0)*$E$99</f>
        <v>-1568.88568412123</v>
      </c>
      <c r="Z304" s="146" t="n">
        <f aca="false">-(MAX(Z302,0)-MIN(Y303,MAX(Z302,0)*$E$95))*$E$91-MAX(Z302,0)*$E$99</f>
        <v>-1641.39713260677</v>
      </c>
      <c r="AA304" s="146" t="n">
        <f aca="false">-(MAX(AA302,0)-MIN(Z303,MAX(AA302,0)*$E$95))*$E$91-MAX(AA302,0)*$E$99</f>
        <v>-1716.86648008891</v>
      </c>
      <c r="AB304" s="146" t="n">
        <f aca="false">-(MAX(AB302,0)-MIN(AA303,MAX(AB302,0)*$E$95))*$E$91-MAX(AB302,0)*$E$99</f>
        <v>-1795.44829194523</v>
      </c>
      <c r="AC304" s="146" t="n">
        <f aca="false">-(MAX(AC302,0)-MIN(AB303,MAX(AC302,0)*$E$95))*$E$91-MAX(AC302,0)*$E$99</f>
        <v>-1877.30517692551</v>
      </c>
      <c r="AD304" s="146" t="n">
        <f aca="false">-(MAX(AD302,0)-MIN(AC303,MAX(AD302,0)*$E$95))*$E$91-MAX(AD302,0)*$E$99</f>
        <v>-1881.00873710943</v>
      </c>
      <c r="AE304" s="146" t="n">
        <f aca="false">-(MAX(AE302,0)-MIN(AD303,MAX(AE302,0)*$E$95))*$E$91-MAX(AE302,0)*$E$99</f>
        <v>-1884.25840937896</v>
      </c>
      <c r="AF304" s="146" t="n">
        <f aca="false">-(MAX(AF302,0)-MIN(AE303,MAX(AF302,0)*$E$95))*$E$91-MAX(AF302,0)*$E$99</f>
        <v>-1887.03948349511</v>
      </c>
      <c r="AG304" s="146" t="n">
        <f aca="false">-(MAX(AG302,0)-MIN(AF303,MAX(AG302,0)*$E$95))*$E$91-MAX(AG302,0)*$E$99</f>
        <v>-2533.7306665384</v>
      </c>
      <c r="AH304" s="146" t="n">
        <f aca="false">-(MAX(AH302,0)-MIN(AG303,MAX(AH302,0)*$E$95))*$E$91-MAX(AH302,0)*$E$99</f>
        <v>-3179.92266905922</v>
      </c>
      <c r="AI304" s="146" t="n">
        <f aca="false">-(MAX(AI302,0)-MIN(AH303,MAX(AI302,0)*$E$95))*$E$91-MAX(AI302,0)*$E$99</f>
        <v>-3181.20579815362</v>
      </c>
      <c r="AJ304" s="146" t="n">
        <f aca="false">-(MAX(AJ302,0)-MIN(AI303,MAX(AJ302,0)*$E$95))*$E$91-MAX(AJ302,0)*$E$99</f>
        <v>-3181.95755029835</v>
      </c>
      <c r="AK304" s="146" t="n">
        <f aca="false">-(MAX(AK302,0)-MIN(AJ303,MAX(AK302,0)*$E$95))*$E$91-MAX(AK302,0)*$E$99</f>
        <v>-3182.16119677902</v>
      </c>
      <c r="AL304" s="146" t="n">
        <f aca="false">-(MAX(AL302,0)-MIN(AK303,MAX(AL302,0)*$E$95))*$E$91-MAX(AL302,0)*$E$99</f>
        <v>-3181.79957459379</v>
      </c>
      <c r="AM304" s="146" t="n">
        <f aca="false">-(MAX(AM302,0)-MIN(AL303,MAX(AM302,0)*$E$95))*$E$91-MAX(AM302,0)*$E$99</f>
        <v>-3180.85507566618</v>
      </c>
      <c r="AN304" s="146" t="n">
        <f aca="false">-(MAX(AN302,0)-MIN(AM303,MAX(AN302,0)*$E$95))*$E$91-MAX(AN302,0)*$E$99</f>
        <v>-3179.30963579264</v>
      </c>
      <c r="AO304" s="146" t="n">
        <f aca="false">-(MAX(AO302,0)-MIN(AN303,MAX(AO302,0)*$E$95))*$E$91-MAX(AO302,0)*$E$99</f>
        <v>-3177.14472331833</v>
      </c>
      <c r="AP304" s="146" t="n">
        <f aca="false">-(MAX(AP302,0)-MIN(AO303,MAX(AP302,0)*$E$95))*$E$91-MAX(AP302,0)*$E$99</f>
        <v>-3174.3413275346</v>
      </c>
      <c r="AQ304" s="146" t="n">
        <f aca="false">-(MAX(AQ302,0)-MIN(AP303,MAX(AQ302,0)*$E$95))*$E$91-MAX(AQ302,0)*$E$99</f>
        <v>-1585.43997339554</v>
      </c>
    </row>
    <row r="305" customFormat="false" ht="15" hidden="false" customHeight="false" outlineLevel="0" collapsed="false">
      <c r="C305" s="0" t="s">
        <v>1297</v>
      </c>
      <c r="D305" s="0" t="s">
        <v>125</v>
      </c>
      <c r="E305" s="146"/>
      <c r="F305" s="146"/>
      <c r="G305" s="146"/>
      <c r="H305" s="146" t="n">
        <f aca="false">(H$109+$E$301*(H$77+H$85-H$80+H$86-H$87+H$89)+H304)*$E$128</f>
        <v>-1570.61764901888</v>
      </c>
      <c r="I305" s="146" t="n">
        <f aca="false">(I$109+$E$301*(I$77+I$85-I$80+I$86-I$87+I$89)+I304)*$E$128</f>
        <v>-778.738143280267</v>
      </c>
      <c r="J305" s="146" t="n">
        <f aca="false">(J$109+$E$301*(J$77+J$85-J$80+J$86-J$87+J$89)+J304)*$E$128</f>
        <v>-1227.43813118225</v>
      </c>
      <c r="K305" s="146" t="n">
        <f aca="false">(K$109+$E$301*(K$77+K$85-K$80+K$86-K$87+K$89)+K304)*$E$128</f>
        <v>-36353.0055540522</v>
      </c>
      <c r="L305" s="146" t="n">
        <f aca="false">(L$109+$E$301*(L$77+L$85-L$80+L$86-L$87+L$89)+L304)*$E$128</f>
        <v>-17838.4206235522</v>
      </c>
      <c r="M305" s="146" t="n">
        <f aca="false">(M$109+$E$301*(M$77+M$85-M$80+M$86-M$87+M$89)+M304)*$E$128</f>
        <v>-3047.55768771781</v>
      </c>
      <c r="N305" s="146" t="n">
        <f aca="false">(N$109+$E$301*(N$77+N$85-N$80+N$86-N$87+N$89)+N304)*$E$128</f>
        <v>8873.82624386083</v>
      </c>
      <c r="O305" s="146" t="n">
        <f aca="false">(O$109+$E$301*(O$77+O$85-O$80+O$86-O$87+O$89)+O304)*$E$128</f>
        <v>8635.82676714382</v>
      </c>
      <c r="P305" s="146" t="n">
        <f aca="false">(P$109+$E$301*(P$77+P$85-P$80+P$86-P$87+P$89)+P304)*$E$128</f>
        <v>8643.95683590516</v>
      </c>
      <c r="Q305" s="146" t="n">
        <f aca="false">(Q$109+$E$301*(Q$77+Q$85-Q$80+Q$86-Q$87+Q$89)+Q304)*$E$128</f>
        <v>8648.42008227699</v>
      </c>
      <c r="R305" s="146" t="n">
        <f aca="false">(R$109+$E$301*(R$77+R$85-R$80+R$86-R$87+R$89)+R304)*$E$128</f>
        <v>8649.05557780794</v>
      </c>
      <c r="S305" s="146" t="n">
        <f aca="false">(S$109+$E$301*(S$77+S$85-S$80+S$86-S$87+S$89)+S304)*$E$128</f>
        <v>8645.69570041886</v>
      </c>
      <c r="T305" s="146" t="n">
        <f aca="false">(T$109+$E$301*(T$77+T$85-T$80+T$86-T$87+T$89)+T304)*$E$128</f>
        <v>8638.16583829653</v>
      </c>
      <c r="U305" s="146" t="n">
        <f aca="false">(U$109+$E$301*(U$77+U$85-U$80+U$86-U$87+U$89)+U304)*$E$128</f>
        <v>8626.28407996012</v>
      </c>
      <c r="V305" s="146" t="n">
        <f aca="false">(V$109+$E$301*(V$77+V$85-V$80+V$86-V$87+V$89)+V304)*$E$128</f>
        <v>8609.8608898333</v>
      </c>
      <c r="W305" s="146" t="n">
        <f aca="false">(W$109+$E$301*(W$77+W$85-W$80+W$86-W$87+W$89)+W304)*$E$128</f>
        <v>8588.6987686219</v>
      </c>
      <c r="X305" s="146" t="n">
        <f aca="false">(X$109+$E$301*(X$77+X$85-X$80+X$86-X$87+X$89)+X304)*$E$128</f>
        <v>8562.59189776282</v>
      </c>
      <c r="Y305" s="146" t="n">
        <f aca="false">(Y$109+$E$301*(Y$77+Y$85-Y$80+Y$86-Y$87+Y$89)+Y304)*$E$128</f>
        <v>8531.32576717364</v>
      </c>
      <c r="Z305" s="146" t="n">
        <f aca="false">(Z$109+$E$301*(Z$77+Z$85-Z$80+Z$86-Z$87+Z$89)+Z304)*$E$128</f>
        <v>8494.67678549464</v>
      </c>
      <c r="AA305" s="146" t="n">
        <f aca="false">(AA$109+$E$301*(AA$77+AA$85-AA$80+AA$86-AA$87+AA$89)+AA304)*$E$128</f>
        <v>8452.4118719749</v>
      </c>
      <c r="AB305" s="146" t="n">
        <f aca="false">(AB$109+$E$301*(AB$77+AB$85-AB$80+AB$86-AB$87+AB$89)+AB304)*$E$128</f>
        <v>8404.28802911294</v>
      </c>
      <c r="AC305" s="146" t="n">
        <f aca="false">(AC$109+$E$301*(AC$77+AC$85-AC$80+AC$86-AC$87+AC$89)+AC304)*$E$128</f>
        <v>19229.980021672</v>
      </c>
      <c r="AD305" s="146" t="n">
        <f aca="false">(AD$109+$E$301*(AD$77+AD$85-AD$80+AD$86-AD$87+AD$89)+AD304)*$E$128</f>
        <v>19250.9668627142</v>
      </c>
      <c r="AE305" s="146" t="n">
        <f aca="false">(AE$109+$E$301*(AE$77+AE$85-AE$80+AE$86-AE$87+AE$89)+AE304)*$E$128</f>
        <v>19269.3816722416</v>
      </c>
      <c r="AF305" s="146" t="n">
        <f aca="false">(AF$109+$E$301*(AF$77+AF$85-AF$80+AF$86-AF$87+AF$89)+AF304)*$E$128</f>
        <v>19285.1410922331</v>
      </c>
      <c r="AG305" s="146" t="n">
        <f aca="false">(AG$109+$E$301*(AG$77+AG$85-AG$80+AG$86-AG$87+AG$89)+AG304)*$E$128</f>
        <v>18653.765786598</v>
      </c>
      <c r="AH305" s="146" t="n">
        <f aca="false">(AH$109+$E$301*(AH$77+AH$85-AH$80+AH$86-AH$87+AH$89)+AH304)*$E$128</f>
        <v>18019.5617913356</v>
      </c>
      <c r="AI305" s="146" t="n">
        <f aca="false">(AI$109+$E$301*(AI$77+AI$85-AI$80+AI$86-AI$87+AI$89)+AI304)*$E$128</f>
        <v>18026.8328562038</v>
      </c>
      <c r="AJ305" s="146" t="n">
        <f aca="false">(AJ$109+$E$301*(AJ$77+AJ$85-AJ$80+AJ$86-AJ$87+AJ$89)+AJ304)*$E$128</f>
        <v>18031.092785024</v>
      </c>
      <c r="AK305" s="146" t="n">
        <f aca="false">(AK$109+$E$301*(AK$77+AK$85-AK$80+AK$86-AK$87+AK$89)+AK304)*$E$128</f>
        <v>18032.2467817478</v>
      </c>
      <c r="AL305" s="146" t="n">
        <f aca="false">(AL$109+$E$301*(AL$77+AL$85-AL$80+AL$86-AL$87+AL$89)+AL304)*$E$128</f>
        <v>18030.1975893648</v>
      </c>
      <c r="AM305" s="146" t="n">
        <f aca="false">(AM$109+$E$301*(AM$77+AM$85-AM$80+AM$86-AM$87+AM$89)+AM304)*$E$128</f>
        <v>18024.845428775</v>
      </c>
      <c r="AN305" s="146" t="n">
        <f aca="false">(AN$109+$E$301*(AN$77+AN$85-AN$80+AN$86-AN$87+AN$89)+AN304)*$E$128</f>
        <v>18016.0879361583</v>
      </c>
      <c r="AO305" s="146" t="n">
        <f aca="false">(AO$109+$E$301*(AO$77+AO$85-AO$80+AO$86-AO$87+AO$89)+AO304)*$E$128</f>
        <v>18003.8200988039</v>
      </c>
      <c r="AP305" s="146" t="n">
        <f aca="false">(AP$109+$E$301*(AP$77+AP$85-AP$80+AP$86-AP$87+AP$89)+AP304)*$E$128</f>
        <v>17987.9341893627</v>
      </c>
      <c r="AQ305" s="146" t="n">
        <f aca="false">(AQ$109+$E$301*(AQ$77+AQ$85-AQ$80+AQ$86-AQ$87+AQ$89)+AQ304)*$E$128</f>
        <v>4907.15984924141</v>
      </c>
    </row>
    <row r="306" customFormat="false" ht="15" hidden="false" customHeight="false" outlineLevel="0" collapsed="false">
      <c r="C306" s="0" t="s">
        <v>1294</v>
      </c>
      <c r="D306" s="0" t="s">
        <v>7</v>
      </c>
      <c r="E306" s="146"/>
      <c r="F306" s="146"/>
      <c r="G306" s="162"/>
      <c r="H306" s="162" t="str">
        <f aca="false">IF(AND(H$9&gt;=1,H$86&lt;-0.01,$E$301&gt;0),(H$70+H304)/(-$E$301*H$86),"")</f>
        <v/>
      </c>
      <c r="I306" s="162" t="str">
        <f aca="false">IF(AND(I$9&gt;=1,I$86&lt;-0.01,$E$301&gt;0),(I$70+I304)/(-$E$301*I$86),"")</f>
        <v/>
      </c>
      <c r="J306" s="162" t="str">
        <f aca="false">IF(AND(J$9&gt;=1,J$86&lt;-0.01,$E$301&gt;0),(J$70+J304)/(-$E$301*J$86),"")</f>
        <v/>
      </c>
      <c r="K306" s="162" t="str">
        <f aca="false">IF(AND(K$9&gt;=1,K$86&lt;-0.01,$E$301&gt;0),(K$70+K304)/(-$E$301*K$86),"")</f>
        <v/>
      </c>
      <c r="L306" s="162" t="str">
        <f aca="false">IF(AND(L$9&gt;=1,L$86&lt;-0.01,$E$301&gt;0),(L$70+L304)/(-$E$301*L$86),"")</f>
        <v/>
      </c>
      <c r="M306" s="162" t="str">
        <f aca="false">IF(AND(M$9&gt;=1,M$86&lt;-0.01,$E$301&gt;0),(M$70+M304)/(-$E$301*M$86),"")</f>
        <v/>
      </c>
      <c r="N306" s="162" t="n">
        <f aca="false">IF(AND(N$9&gt;=1,N$86&lt;-0.01,$E$301&gt;0),(N$70+N304)/(-$E$301*N$86),"")</f>
        <v>1.81561441772788</v>
      </c>
      <c r="O306" s="162" t="n">
        <f aca="false">IF(AND(O$9&gt;=1,O$86&lt;-0.01,$E$301&gt;0),(O$70+O304)/(-$E$301*O$86),"")</f>
        <v>1.79373932131652</v>
      </c>
      <c r="P306" s="162" t="n">
        <f aca="false">IF(AND(P$9&gt;=1,P$86&lt;-0.01,$E$301&gt;0),(P$70+P304)/(-$E$301*P$86),"")</f>
        <v>1.79448657521992</v>
      </c>
      <c r="Q306" s="162" t="n">
        <f aca="false">IF(AND(Q$9&gt;=1,Q$86&lt;-0.01,$E$301&gt;0),(Q$70+Q304)/(-$E$301*Q$86),"")</f>
        <v>1.79489680278025</v>
      </c>
      <c r="R306" s="162" t="n">
        <f aca="false">IF(AND(R$9&gt;=1,R$86&lt;-0.01,$E$301&gt;0),(R$70+R304)/(-$E$301*R$86),"")</f>
        <v>1.79495521268181</v>
      </c>
      <c r="S306" s="162" t="n">
        <f aca="false">IF(AND(S$9&gt;=1,S$86&lt;-0.01,$E$301&gt;0),(S$70+S304)/(-$E$301*S$86),"")</f>
        <v>1.79464639838176</v>
      </c>
      <c r="T306" s="162" t="n">
        <f aca="false">IF(AND(T$9&gt;=1,T$86&lt;-0.01,$E$301&gt;0),(T$70+T304)/(-$E$301*T$86),"")</f>
        <v>1.79395431089416</v>
      </c>
      <c r="U306" s="162" t="n">
        <f aca="false">IF(AND(U$9&gt;=1,U$86&lt;-0.01,$E$301&gt;0),(U$70+U304)/(-$E$301*U$86),"")</f>
        <v>1.79286223030335</v>
      </c>
      <c r="V306" s="162" t="n">
        <f aca="false">IF(AND(V$9&gt;=1,V$86&lt;-0.01,$E$301&gt;0),(V$70+V304)/(-$E$301*V$86),"")</f>
        <v>1.79135273594495</v>
      </c>
      <c r="W306" s="162" t="n">
        <f aca="false">IF(AND(W$9&gt;=1,W$86&lt;-0.01,$E$301&gt;0),(W$70+W304)/(-$E$301*W$86),"")</f>
        <v>1.78940767519039</v>
      </c>
      <c r="X306" s="162" t="n">
        <f aca="false">IF(AND(X$9&gt;=1,X$86&lt;-0.01,$E$301&gt;0),(X$70+X304)/(-$E$301*X$86),"")</f>
        <v>1.78700813076736</v>
      </c>
      <c r="Y306" s="162" t="n">
        <f aca="false">IF(AND(Y$9&gt;=1,Y$86&lt;-0.01,$E$301&gt;0),(Y$70+Y304)/(-$E$301*Y$86),"")</f>
        <v>1.78413438654539</v>
      </c>
      <c r="Z306" s="162" t="n">
        <f aca="false">IF(AND(Z$9&gt;=1,Z$86&lt;-0.01,$E$301&gt;0),(Z$70+Z304)/(-$E$301*Z$86),"")</f>
        <v>1.78076589171227</v>
      </c>
      <c r="AA306" s="162" t="n">
        <f aca="false">IF(AND(AA$9&gt;=1,AA$86&lt;-0.01,$E$301&gt;0),(AA$70+AA304)/(-$E$301*AA$86),"")</f>
        <v>1.77688122326335</v>
      </c>
      <c r="AB306" s="162" t="n">
        <f aca="false">IF(AND(AB$9&gt;=1,AB$86&lt;-0.01,$E$301&gt;0),(AB$70+AB304)/(-$E$301*AB$86),"")</f>
        <v>1.77245804672191</v>
      </c>
      <c r="AC306" s="162" t="str">
        <f aca="false">IF(AND(AC$9&gt;=1,AC$86&lt;-0.01,$E$301&gt;0),(AC$70+AC304)/(-$E$301*AC$86),"")</f>
        <v/>
      </c>
      <c r="AD306" s="162" t="str">
        <f aca="false">IF(AND(AD$9&gt;=1,AD$86&lt;-0.01,$E$301&gt;0),(AD$70+AD304)/(-$E$301*AD$86),"")</f>
        <v/>
      </c>
      <c r="AE306" s="162" t="str">
        <f aca="false">IF(AND(AE$9&gt;=1,AE$86&lt;-0.01,$E$301&gt;0),(AE$70+AE304)/(-$E$301*AE$86),"")</f>
        <v/>
      </c>
      <c r="AF306" s="162" t="str">
        <f aca="false">IF(AND(AF$9&gt;=1,AF$86&lt;-0.01,$E$301&gt;0),(AF$70+AF304)/(-$E$301*AF$86),"")</f>
        <v/>
      </c>
      <c r="AG306" s="162" t="str">
        <f aca="false">IF(AND(AG$9&gt;=1,AG$86&lt;-0.01,$E$301&gt;0),(AG$70+AG304)/(-$E$301*AG$86),"")</f>
        <v/>
      </c>
      <c r="AH306" s="162" t="str">
        <f aca="false">IF(AND(AH$9&gt;=1,AH$86&lt;-0.01,$E$301&gt;0),(AH$70+AH304)/(-$E$301*AH$86),"")</f>
        <v/>
      </c>
      <c r="AI306" s="162" t="str">
        <f aca="false">IF(AND(AI$9&gt;=1,AI$86&lt;-0.01,$E$301&gt;0),(AI$70+AI304)/(-$E$301*AI$86),"")</f>
        <v/>
      </c>
      <c r="AJ306" s="162" t="str">
        <f aca="false">IF(AND(AJ$9&gt;=1,AJ$86&lt;-0.01,$E$301&gt;0),(AJ$70+AJ304)/(-$E$301*AJ$86),"")</f>
        <v/>
      </c>
      <c r="AK306" s="162" t="str">
        <f aca="false">IF(AND(AK$9&gt;=1,AK$86&lt;-0.01,$E$301&gt;0),(AK$70+AK304)/(-$E$301*AK$86),"")</f>
        <v/>
      </c>
      <c r="AL306" s="162" t="str">
        <f aca="false">IF(AND(AL$9&gt;=1,AL$86&lt;-0.01,$E$301&gt;0),(AL$70+AL304)/(-$E$301*AL$86),"")</f>
        <v/>
      </c>
      <c r="AM306" s="162" t="str">
        <f aca="false">IF(AND(AM$9&gt;=1,AM$86&lt;-0.01,$E$301&gt;0),(AM$70+AM304)/(-$E$301*AM$86),"")</f>
        <v/>
      </c>
      <c r="AN306" s="162" t="str">
        <f aca="false">IF(AND(AN$9&gt;=1,AN$86&lt;-0.01,$E$301&gt;0),(AN$70+AN304)/(-$E$301*AN$86),"")</f>
        <v/>
      </c>
      <c r="AO306" s="162" t="str">
        <f aca="false">IF(AND(AO$9&gt;=1,AO$86&lt;-0.01,$E$301&gt;0),(AO$70+AO304)/(-$E$301*AO$86),"")</f>
        <v/>
      </c>
      <c r="AP306" s="162" t="str">
        <f aca="false">IF(AND(AP$9&gt;=1,AP$86&lt;-0.01,$E$301&gt;0),(AP$70+AP304)/(-$E$301*AP$86),"")</f>
        <v/>
      </c>
      <c r="AQ306" s="162" t="str">
        <f aca="false">IF(AND(AQ$9&gt;=1,AQ$86&lt;-0.01,$E$301&gt;0),(AQ$70+AQ304)/(-$E$301*AQ$86),"")</f>
        <v/>
      </c>
    </row>
    <row r="309" customFormat="false" ht="15" hidden="false" customHeight="false" outlineLevel="0" collapsed="false">
      <c r="C309" s="205" t="s">
        <v>1404</v>
      </c>
    </row>
    <row r="310" customFormat="false" ht="15" hidden="false" customHeight="false" outlineLevel="0" collapsed="false">
      <c r="C310" s="0" t="s">
        <v>1405</v>
      </c>
      <c r="D310" s="0" t="s">
        <v>7</v>
      </c>
      <c r="E310" s="146"/>
      <c r="F310" s="146"/>
      <c r="G310" s="146"/>
      <c r="H310" s="162" t="n">
        <f aca="false" t="array" ref="H310:H310">IF(H$10=0,1,IF(Inputs!$E$275=1,INDEX(Curves!$G$22:$G$66,MATCH(MIN(H$5,MAX(Curves!$C$22:$C$66*(Curves!$G$22:$G$66&lt;&gt;""))),Curves!$C$22:$C$66,0))/INDEX(Curves!$H$22:$H$66,MATCH(MIN(H$5,MAX(Curves!$C$22:$C$66*(Curves!$G$22:$G$66&lt;&gt;""))),Curves!$C$22:$C$66,0)),1))</f>
        <v>1</v>
      </c>
      <c r="I310" s="162" t="n">
        <f aca="false" t="array" ref="I310:I310">IF(I$10=0,1,IF(Inputs!$E$275=1,INDEX(Curves!$G$22:$G$66,MATCH(MIN(I$5,MAX(Curves!$C$22:$C$66*(Curves!$G$22:$G$66&lt;&gt;""))),Curves!$C$22:$C$66,0))/INDEX(Curves!$H$22:$H$66,MATCH(MIN(I$5,MAX(Curves!$C$22:$C$66*(Curves!$G$22:$G$66&lt;&gt;""))),Curves!$C$22:$C$66,0)),1))</f>
        <v>1</v>
      </c>
      <c r="J310" s="162" t="n">
        <f aca="false" t="array" ref="J310:J310">IF(J$10=0,1,IF(Inputs!$E$275=1,INDEX(Curves!$G$22:$G$66,MATCH(MIN(J$5,MAX(Curves!$C$22:$C$66*(Curves!$G$22:$G$66&lt;&gt;""))),Curves!$C$22:$C$66,0))/INDEX(Curves!$H$22:$H$66,MATCH(MIN(J$5,MAX(Curves!$C$22:$C$66*(Curves!$G$22:$G$66&lt;&gt;""))),Curves!$C$22:$C$66,0)),1))</f>
        <v>1</v>
      </c>
      <c r="K310" s="162" t="n">
        <f aca="false" t="array" ref="K310:K310">IF(K$10=0,1,IF(Inputs!$E$275=1,INDEX(Curves!$G$22:$G$66,MATCH(MIN(K$5,MAX(Curves!$C$22:$C$66*(Curves!$G$22:$G$66&lt;&gt;""))),Curves!$C$22:$C$66,0))/INDEX(Curves!$H$22:$H$66,MATCH(MIN(K$5,MAX(Curves!$C$22:$C$66*(Curves!$G$22:$G$66&lt;&gt;""))),Curves!$C$22:$C$66,0)),1))</f>
        <v>1</v>
      </c>
      <c r="L310" s="162" t="n">
        <f aca="false" t="array" ref="L310:L310">IF(L$10=0,1,IF(Inputs!$E$275=1,INDEX(Curves!$G$22:$G$66,MATCH(MIN(L$5,MAX(Curves!$C$22:$C$66*(Curves!$G$22:$G$66&lt;&gt;""))),Curves!$C$22:$C$66,0))/INDEX(Curves!$H$22:$H$66,MATCH(MIN(L$5,MAX(Curves!$C$22:$C$66*(Curves!$G$22:$G$66&lt;&gt;""))),Curves!$C$22:$C$66,0)),1))</f>
        <v>1</v>
      </c>
      <c r="M310" s="162" t="n">
        <f aca="false" t="array" ref="M310:M310">IF(M$10=0,1,IF(Inputs!$E$275=1,INDEX(Curves!$G$22:$G$66,MATCH(MIN(M$5,MAX(Curves!$C$22:$C$66*(Curves!$G$22:$G$66&lt;&gt;""))),Curves!$C$22:$C$66,0))/INDEX(Curves!$H$22:$H$66,MATCH(MIN(M$5,MAX(Curves!$C$22:$C$66*(Curves!$G$22:$G$66&lt;&gt;""))),Curves!$C$22:$C$66,0)),1))</f>
        <v>0.693003794881775</v>
      </c>
      <c r="N310" s="162" t="n">
        <f aca="false" t="array" ref="N310:N310">IF(N$10=0,1,IF(Inputs!$E$275=1,INDEX(Curves!$G$22:$G$66,MATCH(MIN(N$5,MAX(Curves!$C$22:$C$66*(Curves!$G$22:$G$66&lt;&gt;""))),Curves!$C$22:$C$66,0))/INDEX(Curves!$H$22:$H$66,MATCH(MIN(N$5,MAX(Curves!$C$22:$C$66*(Curves!$G$22:$G$66&lt;&gt;""))),Curves!$C$22:$C$66,0)),1))</f>
        <v>0.688077077478924</v>
      </c>
      <c r="O310" s="162" t="n">
        <f aca="false" t="array" ref="O310:O310">IF(O$10=0,1,IF(Inputs!$E$275=1,INDEX(Curves!$G$22:$G$66,MATCH(MIN(O$5,MAX(Curves!$C$22:$C$66*(Curves!$G$22:$G$66&lt;&gt;""))),Curves!$C$22:$C$66,0))/INDEX(Curves!$H$22:$H$66,MATCH(MIN(O$5,MAX(Curves!$C$22:$C$66*(Curves!$G$22:$G$66&lt;&gt;""))),Curves!$C$22:$C$66,0)),1))</f>
        <v>0.681286841842342</v>
      </c>
      <c r="P310" s="162" t="n">
        <f aca="false" t="array" ref="P310:P310">IF(P$10=0,1,IF(Inputs!$E$275=1,INDEX(Curves!$G$22:$G$66,MATCH(MIN(P$5,MAX(Curves!$C$22:$C$66*(Curves!$G$22:$G$66&lt;&gt;""))),Curves!$C$22:$C$66,0))/INDEX(Curves!$H$22:$H$66,MATCH(MIN(P$5,MAX(Curves!$C$22:$C$66*(Curves!$G$22:$G$66&lt;&gt;""))),Curves!$C$22:$C$66,0)),1))</f>
        <v>0.669885773624091</v>
      </c>
      <c r="Q310" s="162" t="n">
        <f aca="false" t="array" ref="Q310:Q310">IF(Q$10=0,1,IF(Inputs!$E$275=1,INDEX(Curves!$G$22:$G$66,MATCH(MIN(Q$5,MAX(Curves!$C$22:$C$66*(Curves!$G$22:$G$66&lt;&gt;""))),Curves!$C$22:$C$66,0))/INDEX(Curves!$H$22:$H$66,MATCH(MIN(Q$5,MAX(Curves!$C$22:$C$66*(Curves!$G$22:$G$66&lt;&gt;""))),Curves!$C$22:$C$66,0)),1))</f>
        <v>0.664654454621149</v>
      </c>
      <c r="R310" s="162" t="n">
        <f aca="false" t="array" ref="R310:R310">IF(R$10=0,1,IF(Inputs!$E$275=1,INDEX(Curves!$G$22:$G$66,MATCH(MIN(R$5,MAX(Curves!$C$22:$C$66*(Curves!$G$22:$G$66&lt;&gt;""))),Curves!$C$22:$C$66,0))/INDEX(Curves!$H$22:$H$66,MATCH(MIN(R$5,MAX(Curves!$C$22:$C$66*(Curves!$G$22:$G$66&lt;&gt;""))),Curves!$C$22:$C$66,0)),1))</f>
        <v>0.667533007589147</v>
      </c>
      <c r="S310" s="162" t="n">
        <f aca="false" t="array" ref="S310:S310">IF(S$10=0,1,IF(Inputs!$E$275=1,INDEX(Curves!$G$22:$G$66,MATCH(MIN(S$5,MAX(Curves!$C$22:$C$66*(Curves!$G$22:$G$66&lt;&gt;""))),Curves!$C$22:$C$66,0))/INDEX(Curves!$H$22:$H$66,MATCH(MIN(S$5,MAX(Curves!$C$22:$C$66*(Curves!$G$22:$G$66&lt;&gt;""))),Curves!$C$22:$C$66,0)),1))</f>
        <v>0.671020900321544</v>
      </c>
      <c r="T310" s="162" t="n">
        <f aca="false" t="array" ref="T310:T310">IF(T$10=0,1,IF(Inputs!$E$275=1,INDEX(Curves!$G$22:$G$66,MATCH(MIN(T$5,MAX(Curves!$C$22:$C$66*(Curves!$G$22:$G$66&lt;&gt;""))),Curves!$C$22:$C$66,0))/INDEX(Curves!$H$22:$H$66,MATCH(MIN(T$5,MAX(Curves!$C$22:$C$66*(Curves!$G$22:$G$66&lt;&gt;""))),Curves!$C$22:$C$66,0)),1))</f>
        <v>0.673184642020572</v>
      </c>
      <c r="U310" s="162" t="n">
        <f aca="false" t="array" ref="U310:U310">IF(U$10=0,1,IF(Inputs!$E$275=1,INDEX(Curves!$G$22:$G$66,MATCH(MIN(U$5,MAX(Curves!$C$22:$C$66*(Curves!$G$22:$G$66&lt;&gt;""))),Curves!$C$22:$C$66,0))/INDEX(Curves!$H$22:$H$66,MATCH(MIN(U$5,MAX(Curves!$C$22:$C$66*(Curves!$G$22:$G$66&lt;&gt;""))),Curves!$C$22:$C$66,0)),1))</f>
        <v>0.671273546273546</v>
      </c>
      <c r="V310" s="162" t="n">
        <f aca="false" t="array" ref="V310:V310">IF(V$10=0,1,IF(Inputs!$E$275=1,INDEX(Curves!$G$22:$G$66,MATCH(MIN(V$5,MAX(Curves!$C$22:$C$66*(Curves!$G$22:$G$66&lt;&gt;""))),Curves!$C$22:$C$66,0))/INDEX(Curves!$H$22:$H$66,MATCH(MIN(V$5,MAX(Curves!$C$22:$C$66*(Curves!$G$22:$G$66&lt;&gt;""))),Curves!$C$22:$C$66,0)),1))</f>
        <v>0.667184586699814</v>
      </c>
      <c r="W310" s="162" t="n">
        <f aca="false" t="array" ref="W310:W310">IF(W$10=0,1,IF(Inputs!$E$275=1,INDEX(Curves!$G$22:$G$66,MATCH(MIN(W$5,MAX(Curves!$C$22:$C$66*(Curves!$G$22:$G$66&lt;&gt;""))),Curves!$C$22:$C$66,0))/INDEX(Curves!$H$22:$H$66,MATCH(MIN(W$5,MAX(Curves!$C$22:$C$66*(Curves!$G$22:$G$66&lt;&gt;""))),Curves!$C$22:$C$66,0)),1))</f>
        <v>0.664813843733613</v>
      </c>
      <c r="X310" s="162" t="n">
        <f aca="false" t="array" ref="X310:X310">IF(X$10=0,1,IF(Inputs!$E$275=1,INDEX(Curves!$G$22:$G$66,MATCH(MIN(X$5,MAX(Curves!$C$22:$C$66*(Curves!$G$22:$G$66&lt;&gt;""))),Curves!$C$22:$C$66,0))/INDEX(Curves!$H$22:$H$66,MATCH(MIN(X$5,MAX(Curves!$C$22:$C$66*(Curves!$G$22:$G$66&lt;&gt;""))),Curves!$C$22:$C$66,0)),1))</f>
        <v>0.661570462818513</v>
      </c>
      <c r="Y310" s="162" t="n">
        <f aca="false" t="array" ref="Y310:Y310">IF(Y$10=0,1,IF(Inputs!$E$275=1,INDEX(Curves!$G$22:$G$66,MATCH(MIN(Y$5,MAX(Curves!$C$22:$C$66*(Curves!$G$22:$G$66&lt;&gt;""))),Curves!$C$22:$C$66,0))/INDEX(Curves!$H$22:$H$66,MATCH(MIN(Y$5,MAX(Curves!$C$22:$C$66*(Curves!$G$22:$G$66&lt;&gt;""))),Curves!$C$22:$C$66,0)),1))</f>
        <v>0.655941878567722</v>
      </c>
      <c r="Z310" s="162" t="n">
        <f aca="false" t="array" ref="Z310:Z310">IF(Z$10=0,1,IF(Inputs!$E$275=1,INDEX(Curves!$G$22:$G$66,MATCH(MIN(Z$5,MAX(Curves!$C$22:$C$66*(Curves!$G$22:$G$66&lt;&gt;""))),Curves!$C$22:$C$66,0))/INDEX(Curves!$H$22:$H$66,MATCH(MIN(Z$5,MAX(Curves!$C$22:$C$66*(Curves!$G$22:$G$66&lt;&gt;""))),Curves!$C$22:$C$66,0)),1))</f>
        <v>0.650418410041841</v>
      </c>
      <c r="AA310" s="162" t="n">
        <f aca="false" t="array" ref="AA310:AA310">IF(AA$10=0,1,IF(Inputs!$E$275=1,INDEX(Curves!$G$22:$G$66,MATCH(MIN(AA$5,MAX(Curves!$C$22:$C$66*(Curves!$G$22:$G$66&lt;&gt;""))),Curves!$C$22:$C$66,0))/INDEX(Curves!$H$22:$H$66,MATCH(MIN(AA$5,MAX(Curves!$C$22:$C$66*(Curves!$G$22:$G$66&lt;&gt;""))),Curves!$C$22:$C$66,0)),1))</f>
        <v>0.646943815599918</v>
      </c>
      <c r="AB310" s="162" t="n">
        <f aca="false" t="array" ref="AB310:AB310">IF(AB$10=0,1,IF(Inputs!$E$275=1,INDEX(Curves!$G$22:$G$66,MATCH(MIN(AB$5,MAX(Curves!$C$22:$C$66*(Curves!$G$22:$G$66&lt;&gt;""))),Curves!$C$22:$C$66,0))/INDEX(Curves!$H$22:$H$66,MATCH(MIN(AB$5,MAX(Curves!$C$22:$C$66*(Curves!$G$22:$G$66&lt;&gt;""))),Curves!$C$22:$C$66,0)),1))</f>
        <v>0.636223546332443</v>
      </c>
      <c r="AC310" s="162" t="n">
        <f aca="false" t="array" ref="AC310:AC310">IF(AC$10=0,1,IF(Inputs!$E$275=1,INDEX(Curves!$G$22:$G$66,MATCH(MIN(AC$5,MAX(Curves!$C$22:$C$66*(Curves!$G$22:$G$66&lt;&gt;""))),Curves!$C$22:$C$66,0))/INDEX(Curves!$H$22:$H$66,MATCH(MIN(AC$5,MAX(Curves!$C$22:$C$66*(Curves!$G$22:$G$66&lt;&gt;""))),Curves!$C$22:$C$66,0)),1))</f>
        <v>0.631486820428336</v>
      </c>
      <c r="AD310" s="162" t="n">
        <f aca="false" t="array" ref="AD310:AD310">IF(AD$10=0,1,IF(Inputs!$E$275=1,INDEX(Curves!$G$22:$G$66,MATCH(MIN(AD$5,MAX(Curves!$C$22:$C$66*(Curves!$G$22:$G$66&lt;&gt;""))),Curves!$C$22:$C$66,0))/INDEX(Curves!$H$22:$H$66,MATCH(MIN(AD$5,MAX(Curves!$C$22:$C$66*(Curves!$G$22:$G$66&lt;&gt;""))),Curves!$C$22:$C$66,0)),1))</f>
        <v>0.631711409395973</v>
      </c>
      <c r="AE310" s="162" t="n">
        <f aca="false" t="array" ref="AE310:AE310">IF(AE$10=0,1,IF(Inputs!$E$275=1,INDEX(Curves!$G$22:$G$66,MATCH(MIN(AE$5,MAX(Curves!$C$22:$C$66*(Curves!$G$22:$G$66&lt;&gt;""))),Curves!$C$22:$C$66,0))/INDEX(Curves!$H$22:$H$66,MATCH(MIN(AE$5,MAX(Curves!$C$22:$C$66*(Curves!$G$22:$G$66&lt;&gt;""))),Curves!$C$22:$C$66,0)),1))</f>
        <v>0.624305919329492</v>
      </c>
      <c r="AF310" s="162" t="n">
        <f aca="false" t="array" ref="AF310:AF310">IF(AF$10=0,1,IF(Inputs!$E$275=1,INDEX(Curves!$G$22:$G$66,MATCH(MIN(AF$5,MAX(Curves!$C$22:$C$66*(Curves!$G$22:$G$66&lt;&gt;""))),Curves!$C$22:$C$66,0))/INDEX(Curves!$H$22:$H$66,MATCH(MIN(AF$5,MAX(Curves!$C$22:$C$66*(Curves!$G$22:$G$66&lt;&gt;""))),Curves!$C$22:$C$66,0)),1))</f>
        <v>0.617041595925297</v>
      </c>
      <c r="AG310" s="162" t="n">
        <f aca="false" t="array" ref="AG310:AG310">IF(AG$10=0,1,IF(Inputs!$E$275=1,INDEX(Curves!$G$22:$G$66,MATCH(MIN(AG$5,MAX(Curves!$C$22:$C$66*(Curves!$G$22:$G$66&lt;&gt;""))),Curves!$C$22:$C$66,0))/INDEX(Curves!$H$22:$H$66,MATCH(MIN(AG$5,MAX(Curves!$C$22:$C$66*(Curves!$G$22:$G$66&lt;&gt;""))),Curves!$C$22:$C$66,0)),1))</f>
        <v>0.617331617331617</v>
      </c>
      <c r="AH310" s="162" t="n">
        <f aca="false" t="array" ref="AH310:AH310">IF(AH$10=0,1,IF(Inputs!$E$275=1,INDEX(Curves!$G$22:$G$66,MATCH(MIN(AH$5,MAX(Curves!$C$22:$C$66*(Curves!$G$22:$G$66&lt;&gt;""))),Curves!$C$22:$C$66,0))/INDEX(Curves!$H$22:$H$66,MATCH(MIN(AH$5,MAX(Curves!$C$22:$C$66*(Curves!$G$22:$G$66&lt;&gt;""))),Curves!$C$22:$C$66,0)),1))</f>
        <v>0.61791989523082</v>
      </c>
      <c r="AI310" s="162" t="n">
        <f aca="false" t="array" ref="AI310:AI310">IF(AI$10=0,1,IF(Inputs!$E$275=1,INDEX(Curves!$G$22:$G$66,MATCH(MIN(AI$5,MAX(Curves!$C$22:$C$66*(Curves!$G$22:$G$66&lt;&gt;""))),Curves!$C$22:$C$66,0))/INDEX(Curves!$H$22:$H$66,MATCH(MIN(AI$5,MAX(Curves!$C$22:$C$66*(Curves!$G$22:$G$66&lt;&gt;""))),Curves!$C$22:$C$66,0)),1))</f>
        <v>0.616956850870553</v>
      </c>
      <c r="AJ310" s="162" t="n">
        <f aca="false" t="array" ref="AJ310:AJ310">IF(AJ$10=0,1,IF(Inputs!$E$275=1,INDEX(Curves!$G$22:$G$66,MATCH(MIN(AJ$5,MAX(Curves!$C$22:$C$66*(Curves!$G$22:$G$66&lt;&gt;""))),Curves!$C$22:$C$66,0))/INDEX(Curves!$H$22:$H$66,MATCH(MIN(AJ$5,MAX(Curves!$C$22:$C$66*(Curves!$G$22:$G$66&lt;&gt;""))),Curves!$C$22:$C$66,0)),1))</f>
        <v>0.624130434782609</v>
      </c>
      <c r="AK310" s="162" t="n">
        <f aca="false" t="array" ref="AK310:AK310">IF(AK$10=0,1,IF(Inputs!$E$275=1,INDEX(Curves!$G$22:$G$66,MATCH(MIN(AK$5,MAX(Curves!$C$22:$C$66*(Curves!$G$22:$G$66&lt;&gt;""))),Curves!$C$22:$C$66,0))/INDEX(Curves!$H$22:$H$66,MATCH(MIN(AK$5,MAX(Curves!$C$22:$C$66*(Curves!$G$22:$G$66&lt;&gt;""))),Curves!$C$22:$C$66,0)),1))</f>
        <v>0.623566670306869</v>
      </c>
      <c r="AL310" s="162" t="n">
        <f aca="false" t="array" ref="AL310:AL310">IF(AL$10=0,1,IF(Inputs!$E$275=1,INDEX(Curves!$G$22:$G$66,MATCH(MIN(AL$5,MAX(Curves!$C$22:$C$66*(Curves!$G$22:$G$66&lt;&gt;""))),Curves!$C$22:$C$66,0))/INDEX(Curves!$H$22:$H$66,MATCH(MIN(AL$5,MAX(Curves!$C$22:$C$66*(Curves!$G$22:$G$66&lt;&gt;""))),Curves!$C$22:$C$66,0)),1))</f>
        <v>0.626631276266313</v>
      </c>
      <c r="AM310" s="162" t="n">
        <f aca="false" t="array" ref="AM310:AM310">IF(AM$10=0,1,IF(Inputs!$E$275=1,INDEX(Curves!$G$22:$G$66,MATCH(MIN(AM$5,MAX(Curves!$C$22:$C$66*(Curves!$G$22:$G$66&lt;&gt;""))),Curves!$C$22:$C$66,0))/INDEX(Curves!$H$22:$H$66,MATCH(MIN(AM$5,MAX(Curves!$C$22:$C$66*(Curves!$G$22:$G$66&lt;&gt;""))),Curves!$C$22:$C$66,0)),1))</f>
        <v>0.62660520250247</v>
      </c>
      <c r="AN310" s="162" t="n">
        <f aca="false" t="array" ref="AN310:AN310">IF(AN$10=0,1,IF(Inputs!$E$275=1,INDEX(Curves!$G$22:$G$66,MATCH(MIN(AN$5,MAX(Curves!$C$22:$C$66*(Curves!$G$22:$G$66&lt;&gt;""))),Curves!$C$22:$C$66,0))/INDEX(Curves!$H$22:$H$66,MATCH(MIN(AN$5,MAX(Curves!$C$22:$C$66*(Curves!$G$22:$G$66&lt;&gt;""))),Curves!$C$22:$C$66,0)),1))</f>
        <v>0.630853697922274</v>
      </c>
      <c r="AO310" s="162" t="n">
        <f aca="false" t="array" ref="AO310:AO310">IF(AO$10=0,1,IF(Inputs!$E$275=1,INDEX(Curves!$G$22:$G$66,MATCH(MIN(AO$5,MAX(Curves!$C$22:$C$66*(Curves!$G$22:$G$66&lt;&gt;""))),Curves!$C$22:$C$66,0))/INDEX(Curves!$H$22:$H$66,MATCH(MIN(AO$5,MAX(Curves!$C$22:$C$66*(Curves!$G$22:$G$66&lt;&gt;""))),Curves!$C$22:$C$66,0)),1))</f>
        <v>0.622653515749284</v>
      </c>
      <c r="AP310" s="162" t="n">
        <f aca="false" t="array" ref="AP310:AP310">IF(AP$10=0,1,IF(Inputs!$E$275=1,INDEX(Curves!$G$22:$G$66,MATCH(MIN(AP$5,MAX(Curves!$C$22:$C$66*(Curves!$G$22:$G$66&lt;&gt;""))),Curves!$C$22:$C$66,0))/INDEX(Curves!$H$22:$H$66,MATCH(MIN(AP$5,MAX(Curves!$C$22:$C$66*(Curves!$G$22:$G$66&lt;&gt;""))),Curves!$C$22:$C$66,0)),1))</f>
        <v>0.622322193658955</v>
      </c>
      <c r="AQ310" s="162" t="n">
        <f aca="false" t="array" ref="AQ310:AQ310">IF(AQ$10=0,1,IF(Inputs!$E$275=1,INDEX(Curves!$G$22:$G$66,MATCH(MIN(AQ$5,MAX(Curves!$C$22:$C$66*(Curves!$G$22:$G$66&lt;&gt;""))),Curves!$C$22:$C$66,0))/INDEX(Curves!$H$22:$H$66,MATCH(MIN(AQ$5,MAX(Curves!$C$22:$C$66*(Curves!$G$22:$G$66&lt;&gt;""))),Curves!$C$22:$C$66,0)),1))</f>
        <v>0.622322193658955</v>
      </c>
    </row>
    <row r="311" customFormat="false" ht="15" hidden="false" customHeight="false" outlineLevel="0" collapsed="false">
      <c r="C311" s="0" t="s">
        <v>1406</v>
      </c>
      <c r="D311" s="0" t="s">
        <v>7</v>
      </c>
      <c r="E311" s="146"/>
      <c r="F311" s="146"/>
      <c r="G311" s="146"/>
      <c r="H311" s="162" t="n">
        <f aca="false">Inputs!$E$274</f>
        <v>0.9</v>
      </c>
      <c r="I311" s="162" t="n">
        <f aca="false">Inputs!$E$274</f>
        <v>0.9</v>
      </c>
      <c r="J311" s="162" t="n">
        <f aca="false">Inputs!$E$274</f>
        <v>0.9</v>
      </c>
      <c r="K311" s="162" t="n">
        <f aca="false">Inputs!$E$274</f>
        <v>0.9</v>
      </c>
      <c r="L311" s="162" t="n">
        <f aca="false">Inputs!$E$274</f>
        <v>0.9</v>
      </c>
      <c r="M311" s="162" t="n">
        <f aca="false">Inputs!$E$274</f>
        <v>0.9</v>
      </c>
      <c r="N311" s="162" t="n">
        <f aca="false">Inputs!$E$274</f>
        <v>0.9</v>
      </c>
      <c r="O311" s="162" t="n">
        <f aca="false">Inputs!$E$274</f>
        <v>0.9</v>
      </c>
      <c r="P311" s="162" t="n">
        <f aca="false">Inputs!$E$274</f>
        <v>0.9</v>
      </c>
      <c r="Q311" s="162" t="n">
        <f aca="false">Inputs!$E$274</f>
        <v>0.9</v>
      </c>
      <c r="R311" s="162" t="n">
        <f aca="false">Inputs!$E$274</f>
        <v>0.9</v>
      </c>
      <c r="S311" s="162" t="n">
        <f aca="false">Inputs!$E$274</f>
        <v>0.9</v>
      </c>
      <c r="T311" s="162" t="n">
        <f aca="false">Inputs!$E$274</f>
        <v>0.9</v>
      </c>
      <c r="U311" s="162" t="n">
        <f aca="false">Inputs!$E$274</f>
        <v>0.9</v>
      </c>
      <c r="V311" s="162" t="n">
        <f aca="false">Inputs!$E$274</f>
        <v>0.9</v>
      </c>
      <c r="W311" s="162" t="n">
        <f aca="false">Inputs!$E$274</f>
        <v>0.9</v>
      </c>
      <c r="X311" s="162" t="n">
        <f aca="false">Inputs!$E$274</f>
        <v>0.9</v>
      </c>
      <c r="Y311" s="162" t="n">
        <f aca="false">Inputs!$E$274</f>
        <v>0.9</v>
      </c>
      <c r="Z311" s="162" t="n">
        <f aca="false">Inputs!$E$274</f>
        <v>0.9</v>
      </c>
      <c r="AA311" s="162" t="n">
        <f aca="false">Inputs!$E$274</f>
        <v>0.9</v>
      </c>
      <c r="AB311" s="162" t="n">
        <f aca="false">Inputs!$E$274</f>
        <v>0.9</v>
      </c>
      <c r="AC311" s="162" t="n">
        <f aca="false">Inputs!$E$274</f>
        <v>0.9</v>
      </c>
      <c r="AD311" s="162" t="n">
        <f aca="false">Inputs!$E$274</f>
        <v>0.9</v>
      </c>
      <c r="AE311" s="162" t="n">
        <f aca="false">Inputs!$E$274</f>
        <v>0.9</v>
      </c>
      <c r="AF311" s="162" t="n">
        <f aca="false">Inputs!$E$274</f>
        <v>0.9</v>
      </c>
      <c r="AG311" s="162" t="n">
        <f aca="false">Inputs!$E$274</f>
        <v>0.9</v>
      </c>
      <c r="AH311" s="162" t="n">
        <f aca="false">Inputs!$E$274</f>
        <v>0.9</v>
      </c>
      <c r="AI311" s="162" t="n">
        <f aca="false">Inputs!$E$274</f>
        <v>0.9</v>
      </c>
      <c r="AJ311" s="162" t="n">
        <f aca="false">Inputs!$E$274</f>
        <v>0.9</v>
      </c>
      <c r="AK311" s="162" t="n">
        <f aca="false">Inputs!$E$274</f>
        <v>0.9</v>
      </c>
      <c r="AL311" s="162" t="n">
        <f aca="false">Inputs!$E$274</f>
        <v>0.9</v>
      </c>
      <c r="AM311" s="162" t="n">
        <f aca="false">Inputs!$E$274</f>
        <v>0.9</v>
      </c>
      <c r="AN311" s="162" t="n">
        <f aca="false">Inputs!$E$274</f>
        <v>0.9</v>
      </c>
      <c r="AO311" s="162" t="n">
        <f aca="false">Inputs!$E$274</f>
        <v>0.9</v>
      </c>
      <c r="AP311" s="162" t="n">
        <f aca="false">Inputs!$E$274</f>
        <v>0.9</v>
      </c>
      <c r="AQ311" s="162" t="n">
        <f aca="false">Inputs!$E$274</f>
        <v>0.9</v>
      </c>
    </row>
    <row r="312" customFormat="false" ht="15" hidden="false" customHeight="false" outlineLevel="0" collapsed="false">
      <c r="C312" s="0" t="s">
        <v>1407</v>
      </c>
      <c r="D312" s="0" t="s">
        <v>125</v>
      </c>
      <c r="E312" s="146"/>
      <c r="F312" s="146"/>
      <c r="G312" s="146" t="n">
        <f aca="false">SUM(H312:AQ312)</f>
        <v>811230.214882923</v>
      </c>
      <c r="H312" s="146" t="n">
        <f aca="false">H52*H310*H311+H53*H311</f>
        <v>0</v>
      </c>
      <c r="I312" s="146" t="n">
        <f aca="false">I52*I310*I311+I53*I311</f>
        <v>0</v>
      </c>
      <c r="J312" s="146" t="n">
        <f aca="false">J52*J310*J311+J53*J311</f>
        <v>0</v>
      </c>
      <c r="K312" s="146" t="n">
        <f aca="false">K52*K310*K311+K53*K311</f>
        <v>0</v>
      </c>
      <c r="L312" s="146" t="n">
        <f aca="false">L52*L310*L311+L53*L311</f>
        <v>0</v>
      </c>
      <c r="M312" s="146" t="n">
        <f aca="false">M52*M310*M311+M53*M311</f>
        <v>10822.8063136278</v>
      </c>
      <c r="N312" s="146" t="n">
        <f aca="false">N52*N310*N311+N53*N311</f>
        <v>24531.876253395</v>
      </c>
      <c r="O312" s="146" t="n">
        <f aca="false">O52*O310*O311+O53*O311</f>
        <v>24702.8634308812</v>
      </c>
      <c r="P312" s="146" t="n">
        <f aca="false">P52*P310*P311+P53*P311</f>
        <v>24875.0423889944</v>
      </c>
      <c r="Q312" s="146" t="n">
        <f aca="false">Q52*Q310*Q311+Q53*Q311</f>
        <v>25048.4214344457</v>
      </c>
      <c r="R312" s="146" t="n">
        <f aca="false">R52*R310*R311+R53*R311</f>
        <v>25223.0089318438</v>
      </c>
      <c r="S312" s="146" t="n">
        <f aca="false">S52*S310*S311+S53*S311</f>
        <v>25398.8133040987</v>
      </c>
      <c r="T312" s="146" t="n">
        <f aca="false">T52*T310*T311+T53*T311</f>
        <v>25575.8430328283</v>
      </c>
      <c r="U312" s="146" t="n">
        <f aca="false">U52*U310*U311+U53*U311</f>
        <v>25754.1066587671</v>
      </c>
      <c r="V312" s="146" t="n">
        <f aca="false">V52*V310*V311+V53*V311</f>
        <v>25933.6127821787</v>
      </c>
      <c r="W312" s="146" t="n">
        <f aca="false">W52*W310*W311+W53*W311</f>
        <v>26114.3700632705</v>
      </c>
      <c r="X312" s="146" t="n">
        <f aca="false">X52*X310*X311+X53*X311</f>
        <v>26296.3872226115</v>
      </c>
      <c r="Y312" s="146" t="n">
        <f aca="false">Y52*Y310*Y311+Y53*Y311</f>
        <v>26479.6730415531</v>
      </c>
      <c r="Z312" s="146" t="n">
        <f aca="false">Z52*Z310*Z311+Z53*Z311</f>
        <v>26664.2363626527</v>
      </c>
      <c r="AA312" s="146" t="n">
        <f aca="false">AA52*AA310*AA311+AA53*AA311</f>
        <v>26850.0860901004</v>
      </c>
      <c r="AB312" s="146" t="n">
        <f aca="false">AB52*AB310*AB311+AB53*AB311</f>
        <v>27037.2311901484</v>
      </c>
      <c r="AC312" s="146" t="n">
        <f aca="false">AC52*AC310*AC311+AC53*AC311</f>
        <v>27225.6806915438</v>
      </c>
      <c r="AD312" s="146" t="n">
        <f aca="false">AD52*AD310*AD311+AD53*AD311</f>
        <v>27415.4436859638</v>
      </c>
      <c r="AE312" s="146" t="n">
        <f aca="false">AE52*AE310*AE311+AE53*AE311</f>
        <v>27606.529328455</v>
      </c>
      <c r="AF312" s="146" t="n">
        <f aca="false">AF52*AF310*AF311+AF53*AF311</f>
        <v>27798.9468378743</v>
      </c>
      <c r="AG312" s="146" t="n">
        <f aca="false">AG52*AG310*AG311+AG53*AG311</f>
        <v>27992.7054973343</v>
      </c>
      <c r="AH312" s="146" t="n">
        <f aca="false">AH52*AH310*AH311+AH53*AH311</f>
        <v>28187.8146546507</v>
      </c>
      <c r="AI312" s="146" t="n">
        <f aca="false">AI52*AI310*AI311+AI53*AI311</f>
        <v>28384.2837227936</v>
      </c>
      <c r="AJ312" s="146" t="n">
        <f aca="false">AJ52*AJ310*AJ311+AJ53*AJ311</f>
        <v>28582.1221803415</v>
      </c>
      <c r="AK312" s="146" t="n">
        <f aca="false">AK52*AK310*AK311+AK53*AK311</f>
        <v>28781.3395719385</v>
      </c>
      <c r="AL312" s="146" t="n">
        <f aca="false">AL52*AL310*AL311+AL53*AL311</f>
        <v>28981.9455087549</v>
      </c>
      <c r="AM312" s="146" t="n">
        <f aca="false">AM52*AM310*AM311+AM53*AM311</f>
        <v>29183.9496689509</v>
      </c>
      <c r="AN312" s="146" t="n">
        <f aca="false">AN52*AN310*AN311+AN53*AN311</f>
        <v>29387.3617981435</v>
      </c>
      <c r="AO312" s="146" t="n">
        <f aca="false">AO52*AO310*AO311+AO53*AO311</f>
        <v>29592.1917098766</v>
      </c>
      <c r="AP312" s="146" t="n">
        <f aca="false">AP52*AP310*AP311+AP53*AP311</f>
        <v>29798.4492860944</v>
      </c>
      <c r="AQ312" s="146" t="n">
        <f aca="false">AQ52*AQ310*AQ311+AQ53*AQ311</f>
        <v>15003.0722388092</v>
      </c>
    </row>
    <row r="313" customFormat="false" ht="15" hidden="false" customHeight="false" outlineLevel="0" collapsed="false">
      <c r="C313" s="0" t="s">
        <v>1408</v>
      </c>
      <c r="D313" s="0" t="s">
        <v>7</v>
      </c>
      <c r="E313" s="146"/>
      <c r="F313" s="146"/>
      <c r="G313" s="146"/>
      <c r="H313" s="162" t="n">
        <f aca="false">IF(H54=0,1,H312/H54)</f>
        <v>1</v>
      </c>
      <c r="I313" s="162" t="n">
        <f aca="false">IF(I54=0,1,I312/I54)</f>
        <v>1</v>
      </c>
      <c r="J313" s="162" t="n">
        <f aca="false">IF(J54=0,1,J312/J54)</f>
        <v>1</v>
      </c>
      <c r="K313" s="162" t="n">
        <f aca="false">IF(K54=0,1,K312/K54)</f>
        <v>1</v>
      </c>
      <c r="L313" s="162" t="n">
        <f aca="false">IF(L54=0,1,L312/L54)</f>
        <v>1</v>
      </c>
      <c r="M313" s="162" t="n">
        <f aca="false">IF(M54=0,1,M312/M54)</f>
        <v>0.623703415393597</v>
      </c>
      <c r="N313" s="162" t="n">
        <f aca="false">IF(N54=0,1,N312/N54)</f>
        <v>0.9</v>
      </c>
      <c r="O313" s="162" t="n">
        <f aca="false">IF(O54=0,1,O312/O54)</f>
        <v>0.9</v>
      </c>
      <c r="P313" s="162" t="n">
        <f aca="false">IF(P54=0,1,P312/P54)</f>
        <v>0.9</v>
      </c>
      <c r="Q313" s="162" t="n">
        <f aca="false">IF(Q54=0,1,Q312/Q54)</f>
        <v>0.9</v>
      </c>
      <c r="R313" s="162" t="n">
        <f aca="false">IF(R54=0,1,R312/R54)</f>
        <v>0.9</v>
      </c>
      <c r="S313" s="162" t="n">
        <f aca="false">IF(S54=0,1,S312/S54)</f>
        <v>0.9</v>
      </c>
      <c r="T313" s="162" t="n">
        <f aca="false">IF(T54=0,1,T312/T54)</f>
        <v>0.9</v>
      </c>
      <c r="U313" s="162" t="n">
        <f aca="false">IF(U54=0,1,U312/U54)</f>
        <v>0.9</v>
      </c>
      <c r="V313" s="162" t="n">
        <f aca="false">IF(V54=0,1,V312/V54)</f>
        <v>0.9</v>
      </c>
      <c r="W313" s="162" t="n">
        <f aca="false">IF(W54=0,1,W312/W54)</f>
        <v>0.9</v>
      </c>
      <c r="X313" s="162" t="n">
        <f aca="false">IF(X54=0,1,X312/X54)</f>
        <v>0.9</v>
      </c>
      <c r="Y313" s="162" t="n">
        <f aca="false">IF(Y54=0,1,Y312/Y54)</f>
        <v>0.9</v>
      </c>
      <c r="Z313" s="162" t="n">
        <f aca="false">IF(Z54=0,1,Z312/Z54)</f>
        <v>0.9</v>
      </c>
      <c r="AA313" s="162" t="n">
        <f aca="false">IF(AA54=0,1,AA312/AA54)</f>
        <v>0.9</v>
      </c>
      <c r="AB313" s="162" t="n">
        <f aca="false">IF(AB54=0,1,AB312/AB54)</f>
        <v>0.9</v>
      </c>
      <c r="AC313" s="162" t="n">
        <f aca="false">IF(AC54=0,1,AC312/AC54)</f>
        <v>0.9</v>
      </c>
      <c r="AD313" s="162" t="n">
        <f aca="false">IF(AD54=0,1,AD312/AD54)</f>
        <v>0.9</v>
      </c>
      <c r="AE313" s="162" t="n">
        <f aca="false">IF(AE54=0,1,AE312/AE54)</f>
        <v>0.9</v>
      </c>
      <c r="AF313" s="162" t="n">
        <f aca="false">IF(AF54=0,1,AF312/AF54)</f>
        <v>0.9</v>
      </c>
      <c r="AG313" s="162" t="n">
        <f aca="false">IF(AG54=0,1,AG312/AG54)</f>
        <v>0.9</v>
      </c>
      <c r="AH313" s="162" t="n">
        <f aca="false">IF(AH54=0,1,AH312/AH54)</f>
        <v>0.9</v>
      </c>
      <c r="AI313" s="162" t="n">
        <f aca="false">IF(AI54=0,1,AI312/AI54)</f>
        <v>0.9</v>
      </c>
      <c r="AJ313" s="162" t="n">
        <f aca="false">IF(AJ54=0,1,AJ312/AJ54)</f>
        <v>0.9</v>
      </c>
      <c r="AK313" s="162" t="n">
        <f aca="false">IF(AK54=0,1,AK312/AK54)</f>
        <v>0.9</v>
      </c>
      <c r="AL313" s="162" t="n">
        <f aca="false">IF(AL54=0,1,AL312/AL54)</f>
        <v>0.9</v>
      </c>
      <c r="AM313" s="162" t="n">
        <f aca="false">IF(AM54=0,1,AM312/AM54)</f>
        <v>0.9</v>
      </c>
      <c r="AN313" s="162" t="n">
        <f aca="false">IF(AN54=0,1,AN312/AN54)</f>
        <v>0.9</v>
      </c>
      <c r="AO313" s="162" t="n">
        <f aca="false">IF(AO54=0,1,AO312/AO54)</f>
        <v>0.9</v>
      </c>
      <c r="AP313" s="162" t="n">
        <f aca="false">IF(AP54=0,1,AP312/AP54)</f>
        <v>0.9</v>
      </c>
      <c r="AQ313" s="162" t="n">
        <f aca="false">IF(AQ54=0,1,AQ312/AQ54)</f>
        <v>0.9</v>
      </c>
    </row>
    <row r="314" customFormat="false" ht="15" hidden="false" customHeight="false" outlineLevel="0" collapsed="false">
      <c r="C314" s="0" t="s">
        <v>1409</v>
      </c>
      <c r="D314" s="0" t="s">
        <v>125</v>
      </c>
      <c r="E314" s="146"/>
      <c r="F314" s="146"/>
      <c r="G314" s="146" t="n">
        <f aca="false">SUM(H314:AQ314)</f>
        <v>-263354.709359089</v>
      </c>
      <c r="H314" s="146" t="n">
        <f aca="false">H69+(H311-1)*(H56+H57+H59)+(H313-1)*(H58+H68)+$E$67*((H311-1)*(H56+H57)+(H313-1)*H58)</f>
        <v>0</v>
      </c>
      <c r="I314" s="146" t="n">
        <f aca="false">I69+(I311-1)*(I56+I57+I59)+(I313-1)*(I58+I68)+$E$67*((I311-1)*(I56+I57)+(I313-1)*I58)</f>
        <v>0</v>
      </c>
      <c r="J314" s="146" t="n">
        <f aca="false">J69+(J311-1)*(J56+J57+J59)+(J313-1)*(J58+J68)+$E$67*((J311-1)*(J56+J57)+(J313-1)*J58)</f>
        <v>0</v>
      </c>
      <c r="K314" s="146" t="n">
        <f aca="false">K69+(K311-1)*(K56+K57+K59)+(K313-1)*(K58+K68)+$E$67*((K311-1)*(K56+K57)+(K313-1)*K58)</f>
        <v>-205.403215633226</v>
      </c>
      <c r="L314" s="146" t="n">
        <f aca="false">L69+(L311-1)*(L56+L57+L59)+(L313-1)*(L58+L68)+$E$67*((L311-1)*(L56+L57)+(L313-1)*L58)</f>
        <v>-417.643902439025</v>
      </c>
      <c r="M314" s="146" t="n">
        <f aca="false">M69+(M311-1)*(M56+M57+M59)+(M313-1)*(M58+M68)+$E$67*((M311-1)*(M56+M57)+(M313-1)*M58)</f>
        <v>-3376.41102899596</v>
      </c>
      <c r="N314" s="146" t="n">
        <f aca="false">N69+(N311-1)*(N56+N57+N59)+(N313-1)*(N58+N68)+$E$67*((N311-1)*(N56+N57)+(N313-1)*N58)</f>
        <v>-6515.58597765615</v>
      </c>
      <c r="O314" s="146" t="n">
        <f aca="false">O69+(O311-1)*(O56+O57+O59)+(O313-1)*(O58+O68)+$E$67*((O311-1)*(O56+O57)+(O313-1)*O58)</f>
        <v>-6642.02952881813</v>
      </c>
      <c r="P314" s="146" t="n">
        <f aca="false">P69+(P311-1)*(P56+P57+P59)+(P313-1)*(P58+P68)+$E$67*((P311-1)*(P56+P57)+(P313-1)*P58)</f>
        <v>-6771.53937116009</v>
      </c>
      <c r="Q314" s="146" t="n">
        <f aca="false">Q69+(Q311-1)*(Q56+Q57+Q59)+(Q313-1)*(Q58+Q68)+$E$67*((Q311-1)*(Q56+Q57)+(Q313-1)*Q58)</f>
        <v>-6904.18935890082</v>
      </c>
      <c r="R314" s="146" t="n">
        <f aca="false">R69+(R311-1)*(R56+R57+R59)+(R313-1)*(R58+R68)+$E$67*((R311-1)*(R56+R57)+(R313-1)*R58)</f>
        <v>-7040.0551430073</v>
      </c>
      <c r="S314" s="146" t="n">
        <f aca="false">S69+(S311-1)*(S56+S57+S59)+(S313-1)*(S58+S68)+$E$67*((S311-1)*(S56+S57)+(S313-1)*S58)</f>
        <v>-7179.21421505763</v>
      </c>
      <c r="T314" s="146" t="n">
        <f aca="false">T69+(T311-1)*(T56+T57+T59)+(T313-1)*(T58+T68)+$E$67*((T311-1)*(T56+T57)+(T313-1)*T58)</f>
        <v>-7321.74595217779</v>
      </c>
      <c r="U314" s="146" t="n">
        <f aca="false">U69+(U311-1)*(U56+U57+U59)+(U313-1)*(U58+U68)+$E$67*((U311-1)*(U56+U57)+(U313-1)*U58)</f>
        <v>-7467.73166307854</v>
      </c>
      <c r="V314" s="146" t="n">
        <f aca="false">V69+(V311-1)*(V56+V57+V59)+(V313-1)*(V58+V68)+$E$67*((V311-1)*(V56+V57)+(V313-1)*V58)</f>
        <v>-7617.2546352195</v>
      </c>
      <c r="W314" s="146" t="n">
        <f aca="false">W69+(W311-1)*(W56+W57+W59)+(W313-1)*(W58+W68)+$E$67*((W311-1)*(W56+W57)+(W313-1)*W58)</f>
        <v>-7770.40018312795</v>
      </c>
      <c r="X314" s="146" t="n">
        <f aca="false">X69+(X311-1)*(X56+X57+X59)+(X313-1)*(X58+X68)+$E$67*((X311-1)*(X56+X57)+(X313-1)*X58)</f>
        <v>-7927.25569790091</v>
      </c>
      <c r="Y314" s="146" t="n">
        <f aca="false">Y69+(Y311-1)*(Y56+Y57+Y59)+(Y313-1)*(Y58+Y68)+$E$67*((Y311-1)*(Y56+Y57)+(Y313-1)*Y58)</f>
        <v>-8087.91069791923</v>
      </c>
      <c r="Z314" s="146" t="n">
        <f aca="false">Z69+(Z311-1)*(Z56+Z57+Z59)+(Z313-1)*(Z58+Z68)+$E$67*((Z311-1)*(Z56+Z57)+(Z313-1)*Z58)</f>
        <v>-8252.45688080374</v>
      </c>
      <c r="AA314" s="146" t="n">
        <f aca="false">AA69+(AA311-1)*(AA56+AA57+AA59)+(AA313-1)*(AA58+AA68)+$E$67*((AA311-1)*(AA56+AA57)+(AA313-1)*AA58)</f>
        <v>-8420.9881766438</v>
      </c>
      <c r="AB314" s="146" t="n">
        <f aca="false">AB69+(AB311-1)*(AB56+AB57+AB59)+(AB313-1)*(AB58+AB68)+$E$67*((AB311-1)*(AB56+AB57)+(AB313-1)*AB58)</f>
        <v>-8593.60080252941</v>
      </c>
      <c r="AC314" s="146" t="n">
        <f aca="false">AC69+(AC311-1)*(AC56+AC57+AC59)+(AC313-1)*(AC58+AC68)+$E$67*((AC311-1)*(AC56+AC57)+(AC313-1)*AC58)</f>
        <v>-8770.39331841906</v>
      </c>
      <c r="AD314" s="146" t="n">
        <f aca="false">AD69+(AD311-1)*(AD56+AD57+AD59)+(AD313-1)*(AD58+AD68)+$E$67*((AD311-1)*(AD56+AD57)+(AD313-1)*AD58)</f>
        <v>-8951.46668437595</v>
      </c>
      <c r="AE314" s="146" t="n">
        <f aca="false">AE69+(AE311-1)*(AE56+AE57+AE59)+(AE313-1)*(AE58+AE68)+$E$67*((AE311-1)*(AE56+AE57)+(AE313-1)*AE58)</f>
        <v>-9136.92431920628</v>
      </c>
      <c r="AF314" s="146" t="n">
        <f aca="false">AF69+(AF311-1)*(AF56+AF57+AF59)+(AF313-1)*(AF58+AF68)+$E$67*((AF311-1)*(AF56+AF57)+(AF313-1)*AF58)</f>
        <v>-9326.87216053394</v>
      </c>
      <c r="AG314" s="146" t="n">
        <f aca="false">AG69+(AG311-1)*(AG56+AG57+AG59)+(AG313-1)*(AG58+AG68)+$E$67*((AG311-1)*(AG56+AG57)+(AG313-1)*AG58)</f>
        <v>-9521.41872634694</v>
      </c>
      <c r="AH314" s="146" t="n">
        <f aca="false">AH69+(AH311-1)*(AH56+AH57+AH59)+(AH313-1)*(AH58+AH68)+$E$67*((AH311-1)*(AH56+AH57)+(AH313-1)*AH58)</f>
        <v>-9720.67517805168</v>
      </c>
      <c r="AI314" s="146" t="n">
        <f aca="false">AI69+(AI311-1)*(AI56+AI57+AI59)+(AI313-1)*(AI58+AI68)+$E$67*((AI311-1)*(AI56+AI57)+(AI313-1)*AI58)</f>
        <v>-9924.75538507209</v>
      </c>
      <c r="AJ314" s="146" t="n">
        <f aca="false">AJ69+(AJ311-1)*(AJ56+AJ57+AJ59)+(AJ313-1)*(AJ58+AJ68)+$E$67*((AJ311-1)*(AJ56+AJ57)+(AJ313-1)*AJ58)</f>
        <v>-10133.7759910316</v>
      </c>
      <c r="AK314" s="146" t="n">
        <f aca="false">AK69+(AK311-1)*(AK56+AK57+AK59)+(AK313-1)*(AK58+AK68)+$E$67*((AK311-1)*(AK56+AK57)+(AK313-1)*AK58)</f>
        <v>-10347.8564815565</v>
      </c>
      <c r="AL314" s="146" t="n">
        <f aca="false">AL69+(AL311-1)*(AL56+AL57+AL59)+(AL313-1)*(AL58+AL68)+$E$67*((AL311-1)*(AL56+AL57)+(AL313-1)*AL58)</f>
        <v>-10567.1192537416</v>
      </c>
      <c r="AM314" s="146" t="n">
        <f aca="false">AM69+(AM311-1)*(AM56+AM57+AM59)+(AM313-1)*(AM58+AM68)+$E$67*((AM311-1)*(AM56+AM57)+(AM313-1)*AM58)</f>
        <v>-10791.689687317</v>
      </c>
      <c r="AN314" s="146" t="n">
        <f aca="false">AN69+(AN311-1)*(AN56+AN57+AN59)+(AN313-1)*(AN58+AN68)+$E$67*((AN311-1)*(AN56+AN57)+(AN313-1)*AN58)</f>
        <v>-11021.69621756</v>
      </c>
      <c r="AO314" s="146" t="n">
        <f aca="false">AO69+(AO311-1)*(AO56+AO57+AO59)+(AO313-1)*(AO58+AO68)+$E$67*((AO311-1)*(AO56+AO57)+(AO313-1)*AO58)</f>
        <v>-11257.2704099932</v>
      </c>
      <c r="AP314" s="146" t="n">
        <f aca="false">AP69+(AP311-1)*(AP56+AP57+AP59)+(AP313-1)*(AP58+AP68)+$E$67*((AP311-1)*(AP56+AP57)+(AP313-1)*AP58)</f>
        <v>-11498.5470369141</v>
      </c>
      <c r="AQ314" s="146" t="n">
        <f aca="false">AQ69+(AQ311-1)*(AQ56+AQ57+AQ59)+(AQ313-1)*(AQ58+AQ68)+$E$67*((AQ311-1)*(AQ56+AQ57)+(AQ313-1)*AQ58)</f>
        <v>-5872.83207789997</v>
      </c>
    </row>
    <row r="315" customFormat="false" ht="15" hidden="false" customHeight="false" outlineLevel="0" collapsed="false">
      <c r="C315" s="0" t="s">
        <v>1410</v>
      </c>
      <c r="D315" s="0" t="s">
        <v>125</v>
      </c>
      <c r="E315" s="146"/>
      <c r="F315" s="146"/>
      <c r="G315" s="146" t="n">
        <f aca="false">SUM(H315:AQ315)</f>
        <v>547875.505523833</v>
      </c>
      <c r="H315" s="146" t="n">
        <f aca="false">H312+H314</f>
        <v>0</v>
      </c>
      <c r="I315" s="146" t="n">
        <f aca="false">I312+I314</f>
        <v>0</v>
      </c>
      <c r="J315" s="146" t="n">
        <f aca="false">J312+J314</f>
        <v>0</v>
      </c>
      <c r="K315" s="146" t="n">
        <f aca="false">K312+K314</f>
        <v>-205.403215633226</v>
      </c>
      <c r="L315" s="146" t="n">
        <f aca="false">L312+L314</f>
        <v>-417.643902439025</v>
      </c>
      <c r="M315" s="146" t="n">
        <f aca="false">M312+M314</f>
        <v>7446.39528463182</v>
      </c>
      <c r="N315" s="146" t="n">
        <f aca="false">N312+N314</f>
        <v>18016.2902757389</v>
      </c>
      <c r="O315" s="146" t="n">
        <f aca="false">O312+O314</f>
        <v>18060.833902063</v>
      </c>
      <c r="P315" s="146" t="n">
        <f aca="false">P312+P314</f>
        <v>18103.5030178343</v>
      </c>
      <c r="Q315" s="146" t="n">
        <f aca="false">Q312+Q314</f>
        <v>18144.2320755449</v>
      </c>
      <c r="R315" s="146" t="n">
        <f aca="false">R312+R314</f>
        <v>18182.9537888365</v>
      </c>
      <c r="S315" s="146" t="n">
        <f aca="false">S312+S314</f>
        <v>18219.5990890411</v>
      </c>
      <c r="T315" s="146" t="n">
        <f aca="false">T312+T314</f>
        <v>18254.0970806505</v>
      </c>
      <c r="U315" s="146" t="n">
        <f aca="false">U312+U314</f>
        <v>18286.3749956886</v>
      </c>
      <c r="V315" s="146" t="n">
        <f aca="false">V312+V314</f>
        <v>18316.3581469592</v>
      </c>
      <c r="W315" s="146" t="n">
        <f aca="false">W312+W314</f>
        <v>18343.9698801426</v>
      </c>
      <c r="X315" s="146" t="n">
        <f aca="false">X312+X314</f>
        <v>18369.1315247106</v>
      </c>
      <c r="Y315" s="146" t="n">
        <f aca="false">Y312+Y314</f>
        <v>18391.7623436339</v>
      </c>
      <c r="Z315" s="146" t="n">
        <f aca="false">Z312+Z314</f>
        <v>18411.779481849</v>
      </c>
      <c r="AA315" s="146" t="n">
        <f aca="false">AA312+AA314</f>
        <v>18429.0979134566</v>
      </c>
      <c r="AB315" s="146" t="n">
        <f aca="false">AB312+AB314</f>
        <v>18443.630387619</v>
      </c>
      <c r="AC315" s="146" t="n">
        <f aca="false">AC312+AC314</f>
        <v>18455.2873731247</v>
      </c>
      <c r="AD315" s="146" t="n">
        <f aca="false">AD312+AD314</f>
        <v>18463.9770015879</v>
      </c>
      <c r="AE315" s="146" t="n">
        <f aca="false">AE312+AE314</f>
        <v>18469.6050092487</v>
      </c>
      <c r="AF315" s="146" t="n">
        <f aca="false">AF312+AF314</f>
        <v>18472.0746773404</v>
      </c>
      <c r="AG315" s="146" t="n">
        <f aca="false">AG312+AG314</f>
        <v>18471.2867709874</v>
      </c>
      <c r="AH315" s="146" t="n">
        <f aca="false">AH312+AH314</f>
        <v>18467.139476599</v>
      </c>
      <c r="AI315" s="146" t="n">
        <f aca="false">AI312+AI314</f>
        <v>18459.5283377215</v>
      </c>
      <c r="AJ315" s="146" t="n">
        <f aca="false">AJ312+AJ314</f>
        <v>18448.34618931</v>
      </c>
      <c r="AK315" s="146" t="n">
        <f aca="false">AK312+AK314</f>
        <v>18433.483090382</v>
      </c>
      <c r="AL315" s="146" t="n">
        <f aca="false">AL312+AL314</f>
        <v>18414.8262550133</v>
      </c>
      <c r="AM315" s="146" t="n">
        <f aca="false">AM312+AM314</f>
        <v>18392.2599816339</v>
      </c>
      <c r="AN315" s="146" t="n">
        <f aca="false">AN312+AN314</f>
        <v>18365.6655805835</v>
      </c>
      <c r="AO315" s="146" t="n">
        <f aca="false">AO312+AO314</f>
        <v>18334.9212998834</v>
      </c>
      <c r="AP315" s="146" t="n">
        <f aca="false">AP312+AP314</f>
        <v>18299.9022491803</v>
      </c>
      <c r="AQ315" s="146" t="n">
        <f aca="false">AQ312+AQ314</f>
        <v>9130.24016090928</v>
      </c>
    </row>
    <row r="316" customFormat="false" ht="15" hidden="false" customHeight="false" outlineLevel="0" collapsed="false">
      <c r="C316" s="0" t="s">
        <v>1411</v>
      </c>
      <c r="D316" s="0" t="s">
        <v>125</v>
      </c>
      <c r="E316" s="146"/>
      <c r="F316" s="146"/>
      <c r="G316" s="146" t="n">
        <f aca="false">SUM(H316:AQ316)</f>
        <v>332828.625578909</v>
      </c>
      <c r="H316" s="146" t="n">
        <f aca="false">H315-H92-H81+H85+H16</f>
        <v>-88.6216216216216</v>
      </c>
      <c r="I316" s="146" t="n">
        <f aca="false">I315-I92-I81+I85+I16</f>
        <v>-428.165540540541</v>
      </c>
      <c r="J316" s="146" t="n">
        <f aca="false">J315-J92-J81+J85+J16</f>
        <v>-876.865528442527</v>
      </c>
      <c r="K316" s="146" t="n">
        <f aca="false">K315-K92-K81+K85+K16</f>
        <v>-2124.26924917914</v>
      </c>
      <c r="L316" s="146" t="n">
        <f aca="false">L315-L92-L81+L85+L16</f>
        <v>-782.218759090878</v>
      </c>
      <c r="M316" s="146" t="n">
        <f aca="false">M315-M92-M81+M85+M16</f>
        <v>978.349998307871</v>
      </c>
      <c r="N316" s="146" t="n">
        <f aca="false">N315-N92-N81+N85+N16</f>
        <v>5148.0472763615</v>
      </c>
      <c r="O316" s="146" t="n">
        <f aca="false">O315-O92-O81+O85+O16</f>
        <v>5393.87672787313</v>
      </c>
      <c r="P316" s="146" t="n">
        <f aca="false">P315-P92-P81+P85+P16</f>
        <v>5647.89596009124</v>
      </c>
      <c r="Q316" s="146" t="n">
        <f aca="false">Q315-Q92-Q81+Q85+Q16</f>
        <v>5910.54264007095</v>
      </c>
      <c r="R316" s="146" t="n">
        <f aca="false">R315-R92-R81+R85+R16</f>
        <v>6182.27785674517</v>
      </c>
      <c r="S316" s="146" t="n">
        <f aca="false">S315-S92-S81+S85+S16</f>
        <v>6463.58733550153</v>
      </c>
      <c r="T316" s="146" t="n">
        <f aca="false">T315-T92-T81+T85+T16</f>
        <v>6754.98271459028</v>
      </c>
      <c r="U316" s="146" t="n">
        <f aca="false">U315-U92-U81+U85+U16</f>
        <v>7057.00288648164</v>
      </c>
      <c r="V316" s="146" t="n">
        <f aca="false">V315-V92-V81+V85+V16</f>
        <v>7370.21540744825</v>
      </c>
      <c r="W316" s="146" t="n">
        <f aca="false">W315-W92-W81+W85+W16</f>
        <v>7695.21797881234</v>
      </c>
      <c r="X316" s="146" t="n">
        <f aca="false">X315-X92-X81+X85+X16</f>
        <v>8032.64000347018</v>
      </c>
      <c r="Y316" s="146" t="n">
        <f aca="false">Y315-Y92-Y81+Y85+Y16</f>
        <v>8383.14422148776</v>
      </c>
      <c r="Z316" s="146" t="n">
        <f aca="false">Z315-Z92-Z81+Z85+Z16</f>
        <v>8747.42842875188</v>
      </c>
      <c r="AA316" s="146" t="n">
        <f aca="false">AA315-AA92-AA81+AA85+AA16</f>
        <v>9126.22728286096</v>
      </c>
      <c r="AB316" s="146" t="n">
        <f aca="false">AB315-AB92-AB81+AB85+AB16</f>
        <v>9520.31420064988</v>
      </c>
      <c r="AC316" s="146" t="n">
        <f aca="false">AC315-AC92-AC81+AC85+AC16</f>
        <v>9930.50335196343</v>
      </c>
      <c r="AD316" s="146" t="n">
        <f aca="false">AD315-AD92-AD81+AD85+AD16</f>
        <v>9939.19298042659</v>
      </c>
      <c r="AE316" s="146" t="n">
        <f aca="false">AE315-AE92-AE81+AE85+AE16</f>
        <v>9944.82098808743</v>
      </c>
      <c r="AF316" s="146" t="n">
        <f aca="false">AF315-AF92-AF81+AF85+AF16</f>
        <v>9947.2906561791</v>
      </c>
      <c r="AG316" s="146" t="n">
        <f aca="false">AG315-AG92-AG81+AG85+AG16</f>
        <v>14208.8947604067</v>
      </c>
      <c r="AH316" s="146" t="n">
        <f aca="false">AH315-AH92-AH81+AH85+AH16</f>
        <v>18467.139476599</v>
      </c>
      <c r="AI316" s="146" t="n">
        <f aca="false">AI315-AI92-AI81+AI85+AI16</f>
        <v>18459.5283377215</v>
      </c>
      <c r="AJ316" s="146" t="n">
        <f aca="false">AJ315-AJ92-AJ81+AJ85+AJ16</f>
        <v>18448.34618931</v>
      </c>
      <c r="AK316" s="146" t="n">
        <f aca="false">AK315-AK92-AK81+AK85+AK16</f>
        <v>18433.483090382</v>
      </c>
      <c r="AL316" s="146" t="n">
        <f aca="false">AL315-AL92-AL81+AL85+AL16</f>
        <v>18414.8262550133</v>
      </c>
      <c r="AM316" s="146" t="n">
        <f aca="false">AM315-AM92-AM81+AM85+AM16</f>
        <v>18392.2599816339</v>
      </c>
      <c r="AN316" s="146" t="n">
        <f aca="false">AN315-AN92-AN81+AN85+AN16</f>
        <v>18365.6655805835</v>
      </c>
      <c r="AO316" s="146" t="n">
        <f aca="false">AO315-AO92-AO81+AO85+AO16</f>
        <v>18334.9212998834</v>
      </c>
      <c r="AP316" s="146" t="n">
        <f aca="false">AP315-AP92-AP81+AP85+AP16</f>
        <v>18299.9022491803</v>
      </c>
      <c r="AQ316" s="146" t="n">
        <f aca="false">AQ315-AQ92-AQ81+AQ85+AQ16</f>
        <v>9130.24016090928</v>
      </c>
    </row>
    <row r="317" customFormat="false" ht="15" hidden="false" customHeight="false" outlineLevel="0" collapsed="false">
      <c r="C317" s="0" t="s">
        <v>1412</v>
      </c>
      <c r="D317" s="0" t="s">
        <v>125</v>
      </c>
      <c r="E317" s="146"/>
      <c r="F317" s="146"/>
      <c r="G317" s="146"/>
      <c r="H317" s="146" t="n">
        <f aca="false">N(G317)+MAX(-H316,0)-MIN(N(G317),MAX(H316,0)*$E$95)</f>
        <v>88.6216216216216</v>
      </c>
      <c r="I317" s="146" t="n">
        <f aca="false">N(H317)+MAX(-I316,0)-MIN(N(H317),MAX(I316,0)*$E$95)</f>
        <v>516.787162162162</v>
      </c>
      <c r="J317" s="146" t="n">
        <f aca="false">N(I317)+MAX(-J316,0)-MIN(N(I317),MAX(J316,0)*$E$95)</f>
        <v>1393.65269060469</v>
      </c>
      <c r="K317" s="146" t="n">
        <f aca="false">N(J317)+MAX(-K316,0)-MIN(N(J317),MAX(K316,0)*$E$95)</f>
        <v>3517.92193978383</v>
      </c>
      <c r="L317" s="146" t="n">
        <f aca="false">N(K317)+MAX(-L316,0)-MIN(N(K317),MAX(L316,0)*$E$95)</f>
        <v>4300.14069887471</v>
      </c>
      <c r="M317" s="146" t="n">
        <f aca="false">N(L317)+MAX(-M316,0)-MIN(N(L317),MAX(M316,0)*$E$95)</f>
        <v>3810.96569972077</v>
      </c>
      <c r="N317" s="146" t="n">
        <f aca="false">N(M317)+MAX(-N316,0)-MIN(N(M317),MAX(N316,0)*$E$95)</f>
        <v>1236.94206154002</v>
      </c>
      <c r="O317" s="146" t="n">
        <f aca="false">N(N317)+MAX(-O316,0)-MIN(N(N317),MAX(O316,0)*$E$95)</f>
        <v>0</v>
      </c>
      <c r="P317" s="146" t="n">
        <f aca="false">N(O317)+MAX(-P316,0)-MIN(N(O317),MAX(P316,0)*$E$95)</f>
        <v>0</v>
      </c>
      <c r="Q317" s="146" t="n">
        <f aca="false">N(P317)+MAX(-Q316,0)-MIN(N(P317),MAX(Q316,0)*$E$95)</f>
        <v>0</v>
      </c>
      <c r="R317" s="146" t="n">
        <f aca="false">N(Q317)+MAX(-R316,0)-MIN(N(Q317),MAX(R316,0)*$E$95)</f>
        <v>0</v>
      </c>
      <c r="S317" s="146" t="n">
        <f aca="false">N(R317)+MAX(-S316,0)-MIN(N(R317),MAX(S316,0)*$E$95)</f>
        <v>0</v>
      </c>
      <c r="T317" s="146" t="n">
        <f aca="false">N(S317)+MAX(-T316,0)-MIN(N(S317),MAX(T316,0)*$E$95)</f>
        <v>0</v>
      </c>
      <c r="U317" s="146" t="n">
        <f aca="false">N(T317)+MAX(-U316,0)-MIN(N(T317),MAX(U316,0)*$E$95)</f>
        <v>0</v>
      </c>
      <c r="V317" s="146" t="n">
        <f aca="false">N(U317)+MAX(-V316,0)-MIN(N(U317),MAX(V316,0)*$E$95)</f>
        <v>0</v>
      </c>
      <c r="W317" s="146" t="n">
        <f aca="false">N(V317)+MAX(-W316,0)-MIN(N(V317),MAX(W316,0)*$E$95)</f>
        <v>0</v>
      </c>
      <c r="X317" s="146" t="n">
        <f aca="false">N(W317)+MAX(-X316,0)-MIN(N(W317),MAX(X316,0)*$E$95)</f>
        <v>0</v>
      </c>
      <c r="Y317" s="146" t="n">
        <f aca="false">N(X317)+MAX(-Y316,0)-MIN(N(X317),MAX(Y316,0)*$E$95)</f>
        <v>0</v>
      </c>
      <c r="Z317" s="146" t="n">
        <f aca="false">N(Y317)+MAX(-Z316,0)-MIN(N(Y317),MAX(Z316,0)*$E$95)</f>
        <v>0</v>
      </c>
      <c r="AA317" s="146" t="n">
        <f aca="false">N(Z317)+MAX(-AA316,0)-MIN(N(Z317),MAX(AA316,0)*$E$95)</f>
        <v>0</v>
      </c>
      <c r="AB317" s="146" t="n">
        <f aca="false">N(AA317)+MAX(-AB316,0)-MIN(N(AA317),MAX(AB316,0)*$E$95)</f>
        <v>0</v>
      </c>
      <c r="AC317" s="146" t="n">
        <f aca="false">N(AB317)+MAX(-AC316,0)-MIN(N(AB317),MAX(AC316,0)*$E$95)</f>
        <v>0</v>
      </c>
      <c r="AD317" s="146" t="n">
        <f aca="false">N(AC317)+MAX(-AD316,0)-MIN(N(AC317),MAX(AD316,0)*$E$95)</f>
        <v>0</v>
      </c>
      <c r="AE317" s="146" t="n">
        <f aca="false">N(AD317)+MAX(-AE316,0)-MIN(N(AD317),MAX(AE316,0)*$E$95)</f>
        <v>0</v>
      </c>
      <c r="AF317" s="146" t="n">
        <f aca="false">N(AE317)+MAX(-AF316,0)-MIN(N(AE317),MAX(AF316,0)*$E$95)</f>
        <v>0</v>
      </c>
      <c r="AG317" s="146" t="n">
        <f aca="false">N(AF317)+MAX(-AG316,0)-MIN(N(AF317),MAX(AG316,0)*$E$95)</f>
        <v>0</v>
      </c>
      <c r="AH317" s="146" t="n">
        <f aca="false">N(AG317)+MAX(-AH316,0)-MIN(N(AG317),MAX(AH316,0)*$E$95)</f>
        <v>0</v>
      </c>
      <c r="AI317" s="146" t="n">
        <f aca="false">N(AH317)+MAX(-AI316,0)-MIN(N(AH317),MAX(AI316,0)*$E$95)</f>
        <v>0</v>
      </c>
      <c r="AJ317" s="146" t="n">
        <f aca="false">N(AI317)+MAX(-AJ316,0)-MIN(N(AI317),MAX(AJ316,0)*$E$95)</f>
        <v>0</v>
      </c>
      <c r="AK317" s="146" t="n">
        <f aca="false">N(AJ317)+MAX(-AK316,0)-MIN(N(AJ317),MAX(AK316,0)*$E$95)</f>
        <v>0</v>
      </c>
      <c r="AL317" s="146" t="n">
        <f aca="false">N(AK317)+MAX(-AL316,0)-MIN(N(AK317),MAX(AL316,0)*$E$95)</f>
        <v>0</v>
      </c>
      <c r="AM317" s="146" t="n">
        <f aca="false">N(AL317)+MAX(-AM316,0)-MIN(N(AL317),MAX(AM316,0)*$E$95)</f>
        <v>0</v>
      </c>
      <c r="AN317" s="146" t="n">
        <f aca="false">N(AM317)+MAX(-AN316,0)-MIN(N(AM317),MAX(AN316,0)*$E$95)</f>
        <v>0</v>
      </c>
      <c r="AO317" s="146" t="n">
        <f aca="false">N(AN317)+MAX(-AO316,0)-MIN(N(AN317),MAX(AO316,0)*$E$95)</f>
        <v>0</v>
      </c>
      <c r="AP317" s="146" t="n">
        <f aca="false">N(AO317)+MAX(-AP316,0)-MIN(N(AO317),MAX(AP316,0)*$E$95)</f>
        <v>0</v>
      </c>
      <c r="AQ317" s="146" t="n">
        <f aca="false">N(AP317)+MAX(-AQ316,0)-MIN(N(AP317),MAX(AQ316,0)*$E$95)</f>
        <v>0</v>
      </c>
    </row>
    <row r="318" customFormat="false" ht="15" hidden="false" customHeight="false" outlineLevel="0" collapsed="false">
      <c r="C318" s="0" t="s">
        <v>1413</v>
      </c>
      <c r="D318" s="0" t="s">
        <v>125</v>
      </c>
      <c r="E318" s="146"/>
      <c r="F318" s="146"/>
      <c r="G318" s="146" t="n">
        <f aca="false">SUM(H318:AQ318)</f>
        <v>-49924.2938368364</v>
      </c>
      <c r="H318" s="146" t="n">
        <f aca="false">-(MAX(H316,0)-MIN(N(G317),MAX(H316,0)*$E$95))*$E$91-MAX(H316,0)*$E$99</f>
        <v>-0</v>
      </c>
      <c r="I318" s="146" t="n">
        <f aca="false">-(MAX(I316,0)-MIN(N(H317),MAX(I316,0)*$E$95))*$E$91-MAX(I316,0)*$E$99</f>
        <v>-0</v>
      </c>
      <c r="J318" s="146" t="n">
        <f aca="false">-(MAX(J316,0)-MIN(N(I317),MAX(J316,0)*$E$95))*$E$91-MAX(J316,0)*$E$99</f>
        <v>-0</v>
      </c>
      <c r="K318" s="146" t="n">
        <f aca="false">-(MAX(K316,0)-MIN(N(J317),MAX(K316,0)*$E$95))*$E$91-MAX(K316,0)*$E$99</f>
        <v>-0</v>
      </c>
      <c r="L318" s="146" t="n">
        <f aca="false">-(MAX(L316,0)-MIN(N(K317),MAX(L316,0)*$E$95))*$E$91-MAX(L316,0)*$E$99</f>
        <v>-0</v>
      </c>
      <c r="M318" s="146" t="n">
        <f aca="false">-(MAX(M316,0)-MIN(N(L317),MAX(M316,0)*$E$95))*$E$91-MAX(M316,0)*$E$99</f>
        <v>-73.3762498730903</v>
      </c>
      <c r="N318" s="146" t="n">
        <f aca="false">-(MAX(N316,0)-MIN(N(M317),MAX(N316,0)*$E$95))*$E$91-MAX(N316,0)*$E$99</f>
        <v>-386.103545727113</v>
      </c>
      <c r="O318" s="146" t="n">
        <f aca="false">-(MAX(O316,0)-MIN(N(N317),MAX(O316,0)*$E$95))*$E$91-MAX(O316,0)*$E$99</f>
        <v>-623.540199949966</v>
      </c>
      <c r="P318" s="146" t="n">
        <f aca="false">-(MAX(P316,0)-MIN(N(O317),MAX(P316,0)*$E$95))*$E$91-MAX(P316,0)*$E$99</f>
        <v>-847.184394013686</v>
      </c>
      <c r="Q318" s="146" t="n">
        <f aca="false">-(MAX(Q316,0)-MIN(N(P317),MAX(Q316,0)*$E$95))*$E$91-MAX(Q316,0)*$E$99</f>
        <v>-886.581396010643</v>
      </c>
      <c r="R318" s="146" t="n">
        <f aca="false">-(MAX(R316,0)-MIN(N(Q317),MAX(R316,0)*$E$95))*$E$91-MAX(R316,0)*$E$99</f>
        <v>-927.341678511775</v>
      </c>
      <c r="S318" s="146" t="n">
        <f aca="false">-(MAX(S316,0)-MIN(N(R317),MAX(S316,0)*$E$95))*$E$91-MAX(S316,0)*$E$99</f>
        <v>-969.53810032523</v>
      </c>
      <c r="T318" s="146" t="n">
        <f aca="false">-(MAX(T316,0)-MIN(N(S317),MAX(T316,0)*$E$95))*$E$91-MAX(T316,0)*$E$99</f>
        <v>-1013.24740718854</v>
      </c>
      <c r="U318" s="146" t="n">
        <f aca="false">-(MAX(U316,0)-MIN(N(T317),MAX(U316,0)*$E$95))*$E$91-MAX(U316,0)*$E$99</f>
        <v>-1058.55043297225</v>
      </c>
      <c r="V318" s="146" t="n">
        <f aca="false">-(MAX(V316,0)-MIN(N(U317),MAX(V316,0)*$E$95))*$E$91-MAX(V316,0)*$E$99</f>
        <v>-1105.53231111724</v>
      </c>
      <c r="W318" s="146" t="n">
        <f aca="false">-(MAX(W316,0)-MIN(N(V317),MAX(W316,0)*$E$95))*$E$91-MAX(W316,0)*$E$99</f>
        <v>-1154.28269682185</v>
      </c>
      <c r="X318" s="146" t="n">
        <f aca="false">-(MAX(X316,0)-MIN(N(W317),MAX(X316,0)*$E$95))*$E$91-MAX(X316,0)*$E$99</f>
        <v>-1204.89600052053</v>
      </c>
      <c r="Y318" s="146" t="n">
        <f aca="false">-(MAX(Y316,0)-MIN(N(X317),MAX(Y316,0)*$E$95))*$E$91-MAX(Y316,0)*$E$99</f>
        <v>-1257.47163322316</v>
      </c>
      <c r="Z318" s="146" t="n">
        <f aca="false">-(MAX(Z316,0)-MIN(N(Y317),MAX(Z316,0)*$E$95))*$E$91-MAX(Z316,0)*$E$99</f>
        <v>-1312.11426431278</v>
      </c>
      <c r="AA318" s="146" t="n">
        <f aca="false">-(MAX(AA316,0)-MIN(N(Z317),MAX(AA316,0)*$E$95))*$E$91-MAX(AA316,0)*$E$99</f>
        <v>-1368.93409242914</v>
      </c>
      <c r="AB318" s="146" t="n">
        <f aca="false">-(MAX(AB316,0)-MIN(N(AA317),MAX(AB316,0)*$E$95))*$E$91-MAX(AB316,0)*$E$99</f>
        <v>-1428.04713009748</v>
      </c>
      <c r="AC318" s="146" t="n">
        <f aca="false">-(MAX(AC316,0)-MIN(N(AB317),MAX(AC316,0)*$E$95))*$E$91-MAX(AC316,0)*$E$99</f>
        <v>-1489.57550279451</v>
      </c>
      <c r="AD318" s="146" t="n">
        <f aca="false">-(MAX(AD316,0)-MIN(N(AC317),MAX(AD316,0)*$E$95))*$E$91-MAX(AD316,0)*$E$99</f>
        <v>-1490.87894706399</v>
      </c>
      <c r="AE318" s="146" t="n">
        <f aca="false">-(MAX(AE316,0)-MIN(N(AD317),MAX(AE316,0)*$E$95))*$E$91-MAX(AE316,0)*$E$99</f>
        <v>-1491.72314821311</v>
      </c>
      <c r="AF318" s="146" t="n">
        <f aca="false">-(MAX(AF316,0)-MIN(N(AE317),MAX(AF316,0)*$E$95))*$E$91-MAX(AF316,0)*$E$99</f>
        <v>-1492.09359842687</v>
      </c>
      <c r="AG318" s="146" t="n">
        <f aca="false">-(MAX(AG316,0)-MIN(N(AF317),MAX(AG316,0)*$E$95))*$E$91-MAX(AG316,0)*$E$99</f>
        <v>-2131.33421406101</v>
      </c>
      <c r="AH318" s="146" t="n">
        <f aca="false">-(MAX(AH316,0)-MIN(N(AG317),MAX(AH316,0)*$E$95))*$E$91-MAX(AH316,0)*$E$99</f>
        <v>-2770.07092148986</v>
      </c>
      <c r="AI318" s="146" t="n">
        <f aca="false">-(MAX(AI316,0)-MIN(N(AH317),MAX(AI316,0)*$E$95))*$E$91-MAX(AI316,0)*$E$99</f>
        <v>-2768.92925065823</v>
      </c>
      <c r="AJ318" s="146" t="n">
        <f aca="false">-(MAX(AJ316,0)-MIN(N(AI317),MAX(AJ316,0)*$E$95))*$E$91-MAX(AJ316,0)*$E$99</f>
        <v>-2767.25192839649</v>
      </c>
      <c r="AK318" s="146" t="n">
        <f aca="false">-(MAX(AK316,0)-MIN(N(AJ317),MAX(AK316,0)*$E$95))*$E$91-MAX(AK316,0)*$E$99</f>
        <v>-2765.02246355729</v>
      </c>
      <c r="AL318" s="146" t="n">
        <f aca="false">-(MAX(AL316,0)-MIN(N(AK317),MAX(AL316,0)*$E$95))*$E$91-MAX(AL316,0)*$E$99</f>
        <v>-2762.22393825199</v>
      </c>
      <c r="AM318" s="146" t="n">
        <f aca="false">-(MAX(AM316,0)-MIN(N(AL317),MAX(AM316,0)*$E$95))*$E$91-MAX(AM316,0)*$E$99</f>
        <v>-2758.83899724508</v>
      </c>
      <c r="AN318" s="146" t="n">
        <f aca="false">-(MAX(AN316,0)-MIN(N(AM317),MAX(AN316,0)*$E$95))*$E$91-MAX(AN316,0)*$E$99</f>
        <v>-2754.84983708753</v>
      </c>
      <c r="AO318" s="146" t="n">
        <f aca="false">-(MAX(AO316,0)-MIN(N(AN317),MAX(AO316,0)*$E$95))*$E$91-MAX(AO316,0)*$E$99</f>
        <v>-2750.23819498251</v>
      </c>
      <c r="AP318" s="146" t="n">
        <f aca="false">-(MAX(AP316,0)-MIN(N(AO317),MAX(AP316,0)*$E$95))*$E$91-MAX(AP316,0)*$E$99</f>
        <v>-2744.98533737705</v>
      </c>
      <c r="AQ318" s="146" t="n">
        <f aca="false">-(MAX(AQ316,0)-MIN(N(AP317),MAX(AQ316,0)*$E$95))*$E$91-MAX(AQ316,0)*$E$99</f>
        <v>-1369.53602413639</v>
      </c>
    </row>
    <row r="319" customFormat="false" ht="15" hidden="false" customHeight="false" outlineLevel="0" collapsed="false">
      <c r="C319" s="0" t="s">
        <v>1414</v>
      </c>
      <c r="D319" s="0" t="s">
        <v>125</v>
      </c>
      <c r="E319" s="146"/>
      <c r="F319" s="146"/>
      <c r="G319" s="146" t="n">
        <f aca="false">SUM(H319:AQ319)</f>
        <v>497951.211686997</v>
      </c>
      <c r="H319" s="146" t="n">
        <f aca="false">H315+H318</f>
        <v>0</v>
      </c>
      <c r="I319" s="146" t="n">
        <f aca="false">I315+I318</f>
        <v>0</v>
      </c>
      <c r="J319" s="146" t="n">
        <f aca="false">J315+J318</f>
        <v>0</v>
      </c>
      <c r="K319" s="146" t="n">
        <f aca="false">K315+K318</f>
        <v>-205.403215633226</v>
      </c>
      <c r="L319" s="146" t="n">
        <f aca="false">L315+L318</f>
        <v>-417.643902439025</v>
      </c>
      <c r="M319" s="146" t="n">
        <f aca="false">M315+M318</f>
        <v>7373.01903475873</v>
      </c>
      <c r="N319" s="146" t="n">
        <f aca="false">N315+N318</f>
        <v>17630.1867300117</v>
      </c>
      <c r="O319" s="146" t="n">
        <f aca="false">O315+O318</f>
        <v>17437.2937021131</v>
      </c>
      <c r="P319" s="146" t="n">
        <f aca="false">P315+P318</f>
        <v>17256.3186238206</v>
      </c>
      <c r="Q319" s="146" t="n">
        <f aca="false">Q315+Q318</f>
        <v>17257.6506795342</v>
      </c>
      <c r="R319" s="146" t="n">
        <f aca="false">R315+R318</f>
        <v>17255.6121103247</v>
      </c>
      <c r="S319" s="146" t="n">
        <f aca="false">S315+S318</f>
        <v>17250.0609887159</v>
      </c>
      <c r="T319" s="146" t="n">
        <f aca="false">T315+T318</f>
        <v>17240.849673462</v>
      </c>
      <c r="U319" s="146" t="n">
        <f aca="false">U315+U318</f>
        <v>17227.8245627163</v>
      </c>
      <c r="V319" s="146" t="n">
        <f aca="false">V315+V318</f>
        <v>17210.825835842</v>
      </c>
      <c r="W319" s="146" t="n">
        <f aca="false">W315+W318</f>
        <v>17189.6871833207</v>
      </c>
      <c r="X319" s="146" t="n">
        <f aca="false">X315+X318</f>
        <v>17164.2355241901</v>
      </c>
      <c r="Y319" s="146" t="n">
        <f aca="false">Y315+Y318</f>
        <v>17134.2907104107</v>
      </c>
      <c r="Z319" s="146" t="n">
        <f aca="false">Z315+Z318</f>
        <v>17099.6652175362</v>
      </c>
      <c r="AA319" s="146" t="n">
        <f aca="false">AA315+AA318</f>
        <v>17060.1638210275</v>
      </c>
      <c r="AB319" s="146" t="n">
        <f aca="false">AB315+AB318</f>
        <v>17015.5832575215</v>
      </c>
      <c r="AC319" s="146" t="n">
        <f aca="false">AC315+AC318</f>
        <v>16965.7118703302</v>
      </c>
      <c r="AD319" s="146" t="n">
        <f aca="false">AD315+AD318</f>
        <v>16973.0980545239</v>
      </c>
      <c r="AE319" s="146" t="n">
        <f aca="false">AE315+AE318</f>
        <v>16977.8818610356</v>
      </c>
      <c r="AF319" s="146" t="n">
        <f aca="false">AF315+AF318</f>
        <v>16979.9810789135</v>
      </c>
      <c r="AG319" s="146" t="n">
        <f aca="false">AG315+AG318</f>
        <v>16339.9525569264</v>
      </c>
      <c r="AH319" s="146" t="n">
        <f aca="false">AH315+AH318</f>
        <v>15697.0685551092</v>
      </c>
      <c r="AI319" s="146" t="n">
        <f aca="false">AI315+AI318</f>
        <v>15690.5990870633</v>
      </c>
      <c r="AJ319" s="146" t="n">
        <f aca="false">AJ315+AJ318</f>
        <v>15681.0942609135</v>
      </c>
      <c r="AK319" s="146" t="n">
        <f aca="false">AK315+AK318</f>
        <v>15668.4606268247</v>
      </c>
      <c r="AL319" s="146" t="n">
        <f aca="false">AL315+AL318</f>
        <v>15652.6023167613</v>
      </c>
      <c r="AM319" s="146" t="n">
        <f aca="false">AM315+AM318</f>
        <v>15633.4209843888</v>
      </c>
      <c r="AN319" s="146" t="n">
        <f aca="false">AN315+AN318</f>
        <v>15610.815743496</v>
      </c>
      <c r="AO319" s="146" t="n">
        <f aca="false">AO315+AO318</f>
        <v>15584.6831049009</v>
      </c>
      <c r="AP319" s="146" t="n">
        <f aca="false">AP315+AP318</f>
        <v>15554.9169118033</v>
      </c>
      <c r="AQ319" s="146" t="n">
        <f aca="false">AQ315+AQ318</f>
        <v>7760.70413677288</v>
      </c>
    </row>
    <row r="320" customFormat="false" ht="15" hidden="false" customHeight="false" outlineLevel="0" collapsed="false">
      <c r="C320" s="0" t="s">
        <v>1415</v>
      </c>
      <c r="D320" s="0" t="s">
        <v>7</v>
      </c>
      <c r="E320" s="146"/>
      <c r="F320" s="146"/>
      <c r="G320" s="162" t="n">
        <f aca="false">IF(COUNT(H320:AQ320)=0,"n/a",MIN(H320:AQ320))</f>
        <v>2.03312540096562</v>
      </c>
      <c r="H320" s="162" t="str">
        <f aca="false">IF(AND(H$9&gt;=1,H$86&lt;-0.01),H319/-H86,"")</f>
        <v/>
      </c>
      <c r="I320" s="162" t="str">
        <f aca="false">IF(AND(I$9&gt;=1,I$86&lt;-0.01),I319/-I86,"")</f>
        <v/>
      </c>
      <c r="J320" s="162" t="str">
        <f aca="false">IF(AND(J$9&gt;=1,J$86&lt;-0.01),J319/-J86,"")</f>
        <v/>
      </c>
      <c r="K320" s="162" t="str">
        <f aca="false">IF(AND(K$9&gt;=1,K$86&lt;-0.01),K319/-K86,"")</f>
        <v/>
      </c>
      <c r="L320" s="162" t="str">
        <f aca="false">IF(AND(L$9&gt;=1,L$86&lt;-0.01),L319/-L86,"")</f>
        <v/>
      </c>
      <c r="M320" s="162" t="str">
        <f aca="false">IF(AND(M$9&gt;=1,M$86&lt;-0.01),M319/-M86,"")</f>
        <v/>
      </c>
      <c r="N320" s="162" t="n">
        <f aca="false">IF(AND(N$9&gt;=1,N$86&lt;-0.01),N319/-N86,"")</f>
        <v>2.10656196276487</v>
      </c>
      <c r="O320" s="162" t="n">
        <f aca="false">IF(AND(O$9&gt;=1,O$86&lt;-0.01),O319/-O86,"")</f>
        <v>2.0835139303375</v>
      </c>
      <c r="P320" s="162" t="n">
        <f aca="false">IF(AND(P$9&gt;=1,P$86&lt;-0.01),P319/-P86,"")</f>
        <v>2.06188992703127</v>
      </c>
      <c r="Q320" s="162" t="n">
        <f aca="false">IF(AND(Q$9&gt;=1,Q$86&lt;-0.01),Q319/-Q86,"")</f>
        <v>2.06204908915142</v>
      </c>
      <c r="R320" s="162" t="n">
        <f aca="false">IF(AND(R$9&gt;=1,R$86&lt;-0.01),R319/-R86,"")</f>
        <v>2.06180550850074</v>
      </c>
      <c r="S320" s="162" t="n">
        <f aca="false">IF(AND(S$9&gt;=1,S$86&lt;-0.01),S319/-S86,"")</f>
        <v>2.06114222672098</v>
      </c>
      <c r="T320" s="162" t="n">
        <f aca="false">IF(AND(T$9&gt;=1,T$86&lt;-0.01),T319/-T86,"")</f>
        <v>2.06004160273792</v>
      </c>
      <c r="U320" s="162" t="n">
        <f aca="false">IF(AND(U$9&gt;=1,U$86&lt;-0.01),U319/-U86,"")</f>
        <v>2.05848528326849</v>
      </c>
      <c r="V320" s="162" t="n">
        <f aca="false">IF(AND(V$9&gt;=1,V$86&lt;-0.01),V319/-V86,"")</f>
        <v>2.05645417197073</v>
      </c>
      <c r="W320" s="162" t="n">
        <f aca="false">IF(AND(W$9&gt;=1,W$86&lt;-0.01),W319/-W86,"")</f>
        <v>2.05392839717167</v>
      </c>
      <c r="X320" s="162" t="n">
        <f aca="false">IF(AND(X$9&gt;=1,X$86&lt;-0.01),X319/-X86,"")</f>
        <v>2.05088727810498</v>
      </c>
      <c r="Y320" s="162" t="n">
        <f aca="false">IF(AND(Y$9&gt;=1,Y$86&lt;-0.01),Y319/-Y86,"")</f>
        <v>2.04730928958701</v>
      </c>
      <c r="Z320" s="162" t="n">
        <f aca="false">IF(AND(Z$9&gt;=1,Z$86&lt;-0.01),Z319/-Z86,"")</f>
        <v>2.0431720250561</v>
      </c>
      <c r="AA320" s="162" t="n">
        <f aca="false">IF(AND(AA$9&gt;=1,AA$86&lt;-0.01),AA319/-AA86,"")</f>
        <v>2.03845215789668</v>
      </c>
      <c r="AB320" s="162" t="n">
        <f aca="false">IF(AND(AB$9&gt;=1,AB$86&lt;-0.01),AB319/-AB86,"")</f>
        <v>2.03312540096562</v>
      </c>
      <c r="AC320" s="162" t="str">
        <f aca="false">IF(AND(AC$9&gt;=1,AC$86&lt;-0.01),AC319/-AC86,"")</f>
        <v/>
      </c>
      <c r="AD320" s="162" t="str">
        <f aca="false">IF(AND(AD$9&gt;=1,AD$86&lt;-0.01),AD319/-AD86,"")</f>
        <v/>
      </c>
      <c r="AE320" s="162" t="str">
        <f aca="false">IF(AND(AE$9&gt;=1,AE$86&lt;-0.01),AE319/-AE86,"")</f>
        <v/>
      </c>
      <c r="AF320" s="162" t="str">
        <f aca="false">IF(AND(AF$9&gt;=1,AF$86&lt;-0.01),AF319/-AF86,"")</f>
        <v/>
      </c>
      <c r="AG320" s="162" t="str">
        <f aca="false">IF(AND(AG$9&gt;=1,AG$86&lt;-0.01),AG319/-AG86,"")</f>
        <v/>
      </c>
      <c r="AH320" s="162" t="str">
        <f aca="false">IF(AND(AH$9&gt;=1,AH$86&lt;-0.01),AH319/-AH86,"")</f>
        <v/>
      </c>
      <c r="AI320" s="162" t="str">
        <f aca="false">IF(AND(AI$9&gt;=1,AI$86&lt;-0.01),AI319/-AI86,"")</f>
        <v/>
      </c>
      <c r="AJ320" s="162" t="str">
        <f aca="false">IF(AND(AJ$9&gt;=1,AJ$86&lt;-0.01),AJ319/-AJ86,"")</f>
        <v/>
      </c>
      <c r="AK320" s="162" t="str">
        <f aca="false">IF(AND(AK$9&gt;=1,AK$86&lt;-0.01),AK319/-AK86,"")</f>
        <v/>
      </c>
      <c r="AL320" s="162" t="str">
        <f aca="false">IF(AND(AL$9&gt;=1,AL$86&lt;-0.01),AL319/-AL86,"")</f>
        <v/>
      </c>
      <c r="AM320" s="162" t="str">
        <f aca="false">IF(AND(AM$9&gt;=1,AM$86&lt;-0.01),AM319/-AM86,"")</f>
        <v/>
      </c>
      <c r="AN320" s="162" t="str">
        <f aca="false">IF(AND(AN$9&gt;=1,AN$86&lt;-0.01),AN319/-AN86,"")</f>
        <v/>
      </c>
      <c r="AO320" s="162" t="str">
        <f aca="false">IF(AND(AO$9&gt;=1,AO$86&lt;-0.01),AO319/-AO86,"")</f>
        <v/>
      </c>
      <c r="AP320" s="162" t="str">
        <f aca="false">IF(AND(AP$9&gt;=1,AP$86&lt;-0.01),AP319/-AP86,"")</f>
        <v/>
      </c>
      <c r="AQ320" s="162" t="str">
        <f aca="false">IF(AND(AQ$9&gt;=1,AQ$86&lt;-0.01),AQ319/-AQ86,"")</f>
        <v/>
      </c>
    </row>
    <row r="321" customFormat="false" ht="15" hidden="false" customHeight="false" outlineLevel="0" collapsed="false">
      <c r="C321" s="0" t="s">
        <v>1416</v>
      </c>
      <c r="D321" s="0" t="s">
        <v>125</v>
      </c>
      <c r="E321" s="146"/>
      <c r="F321" s="146"/>
      <c r="G321" s="146" t="n">
        <f aca="false">SUM(H321:AQ321)</f>
        <v>0</v>
      </c>
      <c r="H321" s="146" t="n">
        <f aca="false">IF(AND(H$9&gt;=1,H$9&lt;=Inputs!$E$272),MIN(MAX(H319+H86+H89,0)*Inputs!$E$271,H76+H77+H79-H83),0)</f>
        <v>0</v>
      </c>
      <c r="I321" s="146" t="n">
        <f aca="false">IF(AND(I$9&gt;=1,I$9&lt;=Inputs!$E$272),MIN(MAX(I319+I86+I89,0)*Inputs!$E$271,I76+I77+I79-I83),0)</f>
        <v>0</v>
      </c>
      <c r="J321" s="146" t="n">
        <f aca="false">IF(AND(J$9&gt;=1,J$9&lt;=Inputs!$E$272),MIN(MAX(J319+J86+J89,0)*Inputs!$E$271,J76+J77+J79-J83),0)</f>
        <v>0</v>
      </c>
      <c r="K321" s="146" t="n">
        <f aca="false">IF(AND(K$9&gt;=1,K$9&lt;=Inputs!$E$272),MIN(MAX(K319+K86+K89,0)*Inputs!$E$271,K76+K77+K79-K83),0)</f>
        <v>0</v>
      </c>
      <c r="L321" s="146" t="n">
        <f aca="false">IF(AND(L$9&gt;=1,L$9&lt;=Inputs!$E$272),MIN(MAX(L319+L86+L89,0)*Inputs!$E$271,L76+L77+L79-L83),0)</f>
        <v>0</v>
      </c>
      <c r="M321" s="146" t="n">
        <f aca="false">IF(AND(M$9&gt;=1,M$9&lt;=Inputs!$E$272),MIN(MAX(M319+M86+M89,0)*Inputs!$E$271,M76+M77+M79-M83),0)</f>
        <v>0</v>
      </c>
      <c r="N321" s="146" t="n">
        <f aca="false">IF(AND(N$9&gt;=1,N$9&lt;=Inputs!$E$272),MIN(MAX(N319+N86+N89,0)*Inputs!$E$271,N76+N77+N79-N83),0)</f>
        <v>0</v>
      </c>
      <c r="O321" s="146" t="n">
        <f aca="false">IF(AND(O$9&gt;=1,O$9&lt;=Inputs!$E$272),MIN(MAX(O319+O86+O89,0)*Inputs!$E$271,O76+O77+O79-O83),0)</f>
        <v>0</v>
      </c>
      <c r="P321" s="146" t="n">
        <f aca="false">IF(AND(P$9&gt;=1,P$9&lt;=Inputs!$E$272),MIN(MAX(P319+P86+P89,0)*Inputs!$E$271,P76+P77+P79-P83),0)</f>
        <v>0</v>
      </c>
      <c r="Q321" s="146" t="n">
        <f aca="false">IF(AND(Q$9&gt;=1,Q$9&lt;=Inputs!$E$272),MIN(MAX(Q319+Q86+Q89,0)*Inputs!$E$271,Q76+Q77+Q79-Q83),0)</f>
        <v>0</v>
      </c>
      <c r="R321" s="146" t="n">
        <f aca="false">IF(AND(R$9&gt;=1,R$9&lt;=Inputs!$E$272),MIN(MAX(R319+R86+R89,0)*Inputs!$E$271,R76+R77+R79-R83),0)</f>
        <v>0</v>
      </c>
      <c r="S321" s="146" t="n">
        <f aca="false">IF(AND(S$9&gt;=1,S$9&lt;=Inputs!$E$272),MIN(MAX(S319+S86+S89,0)*Inputs!$E$271,S76+S77+S79-S83),0)</f>
        <v>0</v>
      </c>
      <c r="T321" s="146" t="n">
        <f aca="false">IF(AND(T$9&gt;=1,T$9&lt;=Inputs!$E$272),MIN(MAX(T319+T86+T89,0)*Inputs!$E$271,T76+T77+T79-T83),0)</f>
        <v>0</v>
      </c>
      <c r="U321" s="146" t="n">
        <f aca="false">IF(AND(U$9&gt;=1,U$9&lt;=Inputs!$E$272),MIN(MAX(U319+U86+U89,0)*Inputs!$E$271,U76+U77+U79-U83),0)</f>
        <v>0</v>
      </c>
      <c r="V321" s="146" t="n">
        <f aca="false">IF(AND(V$9&gt;=1,V$9&lt;=Inputs!$E$272),MIN(MAX(V319+V86+V89,0)*Inputs!$E$271,V76+V77+V79-V83),0)</f>
        <v>0</v>
      </c>
      <c r="W321" s="146" t="n">
        <f aca="false">IF(AND(W$9&gt;=1,W$9&lt;=Inputs!$E$272),MIN(MAX(W319+W86+W89,0)*Inputs!$E$271,W76+W77+W79-W83),0)</f>
        <v>0</v>
      </c>
      <c r="X321" s="146" t="n">
        <f aca="false">IF(AND(X$9&gt;=1,X$9&lt;=Inputs!$E$272),MIN(MAX(X319+X86+X89,0)*Inputs!$E$271,X76+X77+X79-X83),0)</f>
        <v>0</v>
      </c>
      <c r="Y321" s="146" t="n">
        <f aca="false">IF(AND(Y$9&gt;=1,Y$9&lt;=Inputs!$E$272),MIN(MAX(Y319+Y86+Y89,0)*Inputs!$E$271,Y76+Y77+Y79-Y83),0)</f>
        <v>0</v>
      </c>
      <c r="Z321" s="146" t="n">
        <f aca="false">IF(AND(Z$9&gt;=1,Z$9&lt;=Inputs!$E$272),MIN(MAX(Z319+Z86+Z89,0)*Inputs!$E$271,Z76+Z77+Z79-Z83),0)</f>
        <v>0</v>
      </c>
      <c r="AA321" s="146" t="n">
        <f aca="false">IF(AND(AA$9&gt;=1,AA$9&lt;=Inputs!$E$272),MIN(MAX(AA319+AA86+AA89,0)*Inputs!$E$271,AA76+AA77+AA79-AA83),0)</f>
        <v>0</v>
      </c>
      <c r="AB321" s="146" t="n">
        <f aca="false">IF(AND(AB$9&gt;=1,AB$9&lt;=Inputs!$E$272),MIN(MAX(AB319+AB86+AB89,0)*Inputs!$E$271,AB76+AB77+AB79-AB83),0)</f>
        <v>0</v>
      </c>
      <c r="AC321" s="146" t="n">
        <f aca="false">IF(AND(AC$9&gt;=1,AC$9&lt;=Inputs!$E$272),MIN(MAX(AC319+AC86+AC89,0)*Inputs!$E$271,AC76+AC77+AC79-AC83),0)</f>
        <v>0</v>
      </c>
      <c r="AD321" s="146" t="n">
        <f aca="false">IF(AND(AD$9&gt;=1,AD$9&lt;=Inputs!$E$272),MIN(MAX(AD319+AD86+AD89,0)*Inputs!$E$271,AD76+AD77+AD79-AD83),0)</f>
        <v>0</v>
      </c>
      <c r="AE321" s="146" t="n">
        <f aca="false">IF(AND(AE$9&gt;=1,AE$9&lt;=Inputs!$E$272),MIN(MAX(AE319+AE86+AE89,0)*Inputs!$E$271,AE76+AE77+AE79-AE83),0)</f>
        <v>0</v>
      </c>
      <c r="AF321" s="146" t="n">
        <f aca="false">IF(AND(AF$9&gt;=1,AF$9&lt;=Inputs!$E$272),MIN(MAX(AF319+AF86+AF89,0)*Inputs!$E$271,AF76+AF77+AF79-AF83),0)</f>
        <v>0</v>
      </c>
      <c r="AG321" s="146" t="n">
        <f aca="false">IF(AND(AG$9&gt;=1,AG$9&lt;=Inputs!$E$272),MIN(MAX(AG319+AG86+AG89,0)*Inputs!$E$271,AG76+AG77+AG79-AG83),0)</f>
        <v>0</v>
      </c>
      <c r="AH321" s="146" t="n">
        <f aca="false">IF(AND(AH$9&gt;=1,AH$9&lt;=Inputs!$E$272),MIN(MAX(AH319+AH86+AH89,0)*Inputs!$E$271,AH76+AH77+AH79-AH83),0)</f>
        <v>0</v>
      </c>
      <c r="AI321" s="146" t="n">
        <f aca="false">IF(AND(AI$9&gt;=1,AI$9&lt;=Inputs!$E$272),MIN(MAX(AI319+AI86+AI89,0)*Inputs!$E$271,AI76+AI77+AI79-AI83),0)</f>
        <v>0</v>
      </c>
      <c r="AJ321" s="146" t="n">
        <f aca="false">IF(AND(AJ$9&gt;=1,AJ$9&lt;=Inputs!$E$272),MIN(MAX(AJ319+AJ86+AJ89,0)*Inputs!$E$271,AJ76+AJ77+AJ79-AJ83),0)</f>
        <v>0</v>
      </c>
      <c r="AK321" s="146" t="n">
        <f aca="false">IF(AND(AK$9&gt;=1,AK$9&lt;=Inputs!$E$272),MIN(MAX(AK319+AK86+AK89,0)*Inputs!$E$271,AK76+AK77+AK79-AK83),0)</f>
        <v>0</v>
      </c>
      <c r="AL321" s="146" t="n">
        <f aca="false">IF(AND(AL$9&gt;=1,AL$9&lt;=Inputs!$E$272),MIN(MAX(AL319+AL86+AL89,0)*Inputs!$E$271,AL76+AL77+AL79-AL83),0)</f>
        <v>0</v>
      </c>
      <c r="AM321" s="146" t="n">
        <f aca="false">IF(AND(AM$9&gt;=1,AM$9&lt;=Inputs!$E$272),MIN(MAX(AM319+AM86+AM89,0)*Inputs!$E$271,AM76+AM77+AM79-AM83),0)</f>
        <v>0</v>
      </c>
      <c r="AN321" s="146" t="n">
        <f aca="false">IF(AND(AN$9&gt;=1,AN$9&lt;=Inputs!$E$272),MIN(MAX(AN319+AN86+AN89,0)*Inputs!$E$271,AN76+AN77+AN79-AN83),0)</f>
        <v>0</v>
      </c>
      <c r="AO321" s="146" t="n">
        <f aca="false">IF(AND(AO$9&gt;=1,AO$9&lt;=Inputs!$E$272),MIN(MAX(AO319+AO86+AO89,0)*Inputs!$E$271,AO76+AO77+AO79-AO83),0)</f>
        <v>0</v>
      </c>
      <c r="AP321" s="146" t="n">
        <f aca="false">IF(AND(AP$9&gt;=1,AP$9&lt;=Inputs!$E$272),MIN(MAX(AP319+AP86+AP89,0)*Inputs!$E$271,AP76+AP77+AP79-AP83),0)</f>
        <v>0</v>
      </c>
      <c r="AQ321" s="146" t="n">
        <f aca="false">IF(AND(AQ$9&gt;=1,AQ$9&lt;=Inputs!$E$272),MIN(MAX(AQ319+AQ86+AQ89,0)*Inputs!$E$271,AQ76+AQ77+AQ79-AQ83),0)</f>
        <v>0</v>
      </c>
    </row>
    <row r="322" customFormat="false" ht="15" hidden="false" customHeight="false" outlineLevel="0" collapsed="false">
      <c r="C322" s="0" t="s">
        <v>1417</v>
      </c>
      <c r="D322" s="0" t="s">
        <v>125</v>
      </c>
      <c r="E322" s="146"/>
      <c r="F322" s="146"/>
      <c r="G322" s="146" t="n">
        <f aca="false">SUM(H322:AQ322)</f>
        <v>271503.846941453</v>
      </c>
      <c r="H322" s="146" t="n">
        <f aca="false">(H123+(H315-H70)+(H318-H100)+(H87-H321))*$E$128</f>
        <v>-1570.61764901888</v>
      </c>
      <c r="I322" s="146" t="n">
        <f aca="false">(I123+(I315-I70)+(I318-I100)+(I87-I321))*$E$128</f>
        <v>-778.738143280267</v>
      </c>
      <c r="J322" s="146" t="n">
        <f aca="false">(J123+(J315-J70)+(J318-J100)+(J87-J321))*$E$128</f>
        <v>-1227.43813118225</v>
      </c>
      <c r="K322" s="146" t="n">
        <f aca="false">(K123+(K315-K70)+(K318-K100)+(K87-K321))*$E$128</f>
        <v>-42052.73922629</v>
      </c>
      <c r="L322" s="146" t="n">
        <f aca="false">(L123+(L315-L70)+(L318-L100)+(L87-L321))*$E$128</f>
        <v>-30088.0917885429</v>
      </c>
      <c r="M322" s="146" t="n">
        <f aca="false">(M123+(M315-M70)+(M318-M100)+(M87-M321))*$E$128</f>
        <v>-14365.135661069</v>
      </c>
      <c r="N322" s="146" t="n">
        <f aca="false">(N123+(N315-N70)+(N318-N100)+(N87-N321))*$E$128</f>
        <v>9261.01124804679</v>
      </c>
      <c r="O322" s="146" t="n">
        <f aca="false">(O123+(O315-O70)+(O318-O100)+(O87-O321))*$E$128</f>
        <v>9068.11822014811</v>
      </c>
      <c r="P322" s="146" t="n">
        <f aca="false">(P123+(P315-P70)+(P318-P100)+(P87-P321))*$E$128</f>
        <v>8887.14314185569</v>
      </c>
      <c r="Q322" s="146" t="n">
        <f aca="false">(Q123+(Q315-Q70)+(Q318-Q100)+(Q87-Q321))*$E$128</f>
        <v>8888.47519756929</v>
      </c>
      <c r="R322" s="146" t="n">
        <f aca="false">(R123+(R315-R70)+(R318-R100)+(R87-R321))*$E$128</f>
        <v>8886.43662835976</v>
      </c>
      <c r="S322" s="146" t="n">
        <f aca="false">(S123+(S315-S70)+(S318-S100)+(S87-S321))*$E$128</f>
        <v>8880.88550675092</v>
      </c>
      <c r="T322" s="146" t="n">
        <f aca="false">(T123+(T315-T70)+(T318-T100)+(T87-T321))*$E$128</f>
        <v>8871.67419149703</v>
      </c>
      <c r="U322" s="146" t="n">
        <f aca="false">(U123+(U315-U70)+(U318-U100)+(U87-U321))*$E$128</f>
        <v>8858.64908075138</v>
      </c>
      <c r="V322" s="146" t="n">
        <f aca="false">(V123+(V315-V70)+(V318-V100)+(V87-V321))*$E$128</f>
        <v>8841.65035387704</v>
      </c>
      <c r="W322" s="146" t="n">
        <f aca="false">(W123+(W315-W70)+(W318-W100)+(W87-W321))*$E$128</f>
        <v>8820.51170135575</v>
      </c>
      <c r="X322" s="146" t="n">
        <f aca="false">(X123+(X315-X70)+(X318-X100)+(X87-X321))*$E$128</f>
        <v>8795.06004222511</v>
      </c>
      <c r="Y322" s="146" t="n">
        <f aca="false">(Y123+(Y315-Y70)+(Y318-Y100)+(Y87-Y321))*$E$128</f>
        <v>8765.11522844576</v>
      </c>
      <c r="Z322" s="146" t="n">
        <f aca="false">(Z123+(Z315-Z70)+(Z318-Z100)+(Z87-Z321))*$E$128</f>
        <v>8730.48973557126</v>
      </c>
      <c r="AA322" s="146" t="n">
        <f aca="false">(AA123+(AA315-AA70)+(AA318-AA100)+(AA87-AA321))*$E$128</f>
        <v>8690.98833906253</v>
      </c>
      <c r="AB322" s="146" t="n">
        <f aca="false">(AB123+(AB315-AB70)+(AB318-AB100)+(AB87-AB321))*$E$128</f>
        <v>8646.40777555662</v>
      </c>
      <c r="AC322" s="146" t="n">
        <f aca="false">(AC123+(AC315-AC70)+(AC318-AC100)+(AC87-AC321))*$E$128</f>
        <v>16965.7118703302</v>
      </c>
      <c r="AD322" s="146" t="n">
        <f aca="false">(AD123+(AD315-AD70)+(AD318-AD100)+(AD87-AD321))*$E$128</f>
        <v>16973.0980545239</v>
      </c>
      <c r="AE322" s="146" t="n">
        <f aca="false">(AE123+(AE315-AE70)+(AE318-AE100)+(AE87-AE321))*$E$128</f>
        <v>16977.8818610356</v>
      </c>
      <c r="AF322" s="146" t="n">
        <f aca="false">(AF123+(AF315-AF70)+(AF318-AF100)+(AF87-AF321))*$E$128</f>
        <v>16979.9810789135</v>
      </c>
      <c r="AG322" s="146" t="n">
        <f aca="false">(AG123+(AG315-AG70)+(AG318-AG100)+(AG87-AG321))*$E$128</f>
        <v>16339.9525569264</v>
      </c>
      <c r="AH322" s="146" t="n">
        <f aca="false">(AH123+(AH315-AH70)+(AH318-AH100)+(AH87-AH321))*$E$128</f>
        <v>15697.0685551092</v>
      </c>
      <c r="AI322" s="146" t="n">
        <f aca="false">(AI123+(AI315-AI70)+(AI318-AI100)+(AI87-AI321))*$E$128</f>
        <v>15690.5990870633</v>
      </c>
      <c r="AJ322" s="146" t="n">
        <f aca="false">(AJ123+(AJ315-AJ70)+(AJ318-AJ100)+(AJ87-AJ321))*$E$128</f>
        <v>15681.0942609135</v>
      </c>
      <c r="AK322" s="146" t="n">
        <f aca="false">(AK123+(AK315-AK70)+(AK318-AK100)+(AK87-AK321))*$E$128</f>
        <v>15668.4606268247</v>
      </c>
      <c r="AL322" s="146" t="n">
        <f aca="false">(AL123+(AL315-AL70)+(AL318-AL100)+(AL87-AL321))*$E$128</f>
        <v>15652.6023167613</v>
      </c>
      <c r="AM322" s="146" t="n">
        <f aca="false">(AM123+(AM315-AM70)+(AM318-AM100)+(AM87-AM321))*$E$128</f>
        <v>15633.4209843888</v>
      </c>
      <c r="AN322" s="146" t="n">
        <f aca="false">(AN123+(AN315-AN70)+(AN318-AN100)+(AN87-AN321))*$E$128</f>
        <v>15610.815743496</v>
      </c>
      <c r="AO322" s="146" t="n">
        <f aca="false">(AO123+(AO315-AO70)+(AO318-AO100)+(AO87-AO321))*$E$128</f>
        <v>15584.6831049009</v>
      </c>
      <c r="AP322" s="146" t="n">
        <f aca="false">(AP123+(AP315-AP70)+(AP318-AP100)+(AP87-AP321))*$E$128</f>
        <v>15554.9169118033</v>
      </c>
      <c r="AQ322" s="146" t="n">
        <f aca="false">(AQ123+(AQ315-AQ70)+(AQ318-AQ100)+(AQ87-AQ321))*$E$128</f>
        <v>3683.70413677289</v>
      </c>
    </row>
    <row r="323" customFormat="false" ht="15" hidden="false" customHeight="false" outlineLevel="0" collapsed="false">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46"/>
      <c r="AK323" s="146"/>
      <c r="AL323" s="146"/>
      <c r="AM323" s="146"/>
      <c r="AN323" s="146"/>
      <c r="AO323" s="146"/>
      <c r="AP323" s="146"/>
      <c r="AQ323" s="146"/>
    </row>
    <row r="324" customFormat="false" ht="15" hidden="false" customHeight="false" outlineLevel="0" collapsed="false">
      <c r="C324" s="0" t="s">
        <v>1418</v>
      </c>
      <c r="D324" s="0" t="s">
        <v>7</v>
      </c>
      <c r="E324" s="146"/>
      <c r="F324" s="146"/>
      <c r="G324" s="162" t="n">
        <f aca="false">G320</f>
        <v>2.03312540096562</v>
      </c>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46"/>
      <c r="AK324" s="146"/>
      <c r="AL324" s="146"/>
      <c r="AM324" s="146"/>
      <c r="AN324" s="146"/>
      <c r="AO324" s="146"/>
      <c r="AP324" s="146"/>
      <c r="AQ324" s="146"/>
    </row>
    <row r="325" customFormat="false" ht="15" hidden="false" customHeight="false" outlineLevel="0" collapsed="false">
      <c r="C325" s="0" t="s">
        <v>1419</v>
      </c>
      <c r="D325" s="0" t="s">
        <v>194</v>
      </c>
      <c r="E325" s="146"/>
      <c r="F325" s="146"/>
      <c r="G325" s="146" t="str">
        <f aca="false">IF(ISNUMBER(G324),IF(G324&gt;=Inputs!$E$276,"OK","BELOW – debt would be sized down"),"n/a")</f>
        <v>OK</v>
      </c>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46"/>
      <c r="AK325" s="146"/>
      <c r="AL325" s="146"/>
      <c r="AM325" s="146"/>
      <c r="AN325" s="146"/>
      <c r="AO325" s="146"/>
      <c r="AP325" s="146"/>
      <c r="AQ325" s="146"/>
    </row>
    <row r="326" customFormat="false" ht="15" hidden="false" customHeight="false" outlineLevel="0" collapsed="false">
      <c r="C326" s="0" t="s">
        <v>1420</v>
      </c>
      <c r="D326" s="0" t="s">
        <v>51</v>
      </c>
      <c r="E326" s="146"/>
      <c r="F326" s="146"/>
      <c r="G326" s="141" t="n">
        <f aca="false">IFERROR(IRR(H322:AQ322),"n/a")</f>
        <v>0.0938221262929784</v>
      </c>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46"/>
      <c r="AK326" s="146"/>
      <c r="AL326" s="146"/>
      <c r="AM326" s="146"/>
      <c r="AN326" s="146"/>
      <c r="AO326" s="146"/>
      <c r="AP326" s="146"/>
      <c r="AQ326" s="146"/>
    </row>
    <row r="327" customFormat="false" ht="15" hidden="false" customHeight="false" outlineLevel="0" collapsed="false">
      <c r="C327" s="0" t="s">
        <v>1421</v>
      </c>
      <c r="D327" s="0" t="s">
        <v>7</v>
      </c>
      <c r="E327" s="146"/>
      <c r="F327" s="146"/>
      <c r="G327" s="162" t="n">
        <f aca="false" t="array" ref="G327:G327">IFERROR(SUMPRODUCT(H322:AQ322/(1+Inputs!$E$255)^$H$4:$AQ$4)/-SUMPRODUCT((H322:AQ322&lt;0)*H322:AQ322/(1+Inputs!$E$255)^$H$4:$AQ$4),"n/a")</f>
        <v>0.178001372939047</v>
      </c>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46"/>
      <c r="AK327" s="146"/>
      <c r="AL327" s="146"/>
      <c r="AM327" s="146"/>
      <c r="AN327" s="146"/>
      <c r="AO327" s="146"/>
      <c r="AP327" s="146"/>
      <c r="AQ327" s="146"/>
    </row>
    <row r="328" customFormat="false" ht="15" hidden="false" customHeight="false" outlineLevel="0" collapsed="false">
      <c r="C328" s="0" t="s">
        <v>1422</v>
      </c>
      <c r="D328" s="0" t="s">
        <v>40</v>
      </c>
      <c r="E328" s="146"/>
      <c r="F328" s="146"/>
      <c r="G328" s="294" t="n">
        <f aca="false">IFERROR(G312/G38,"n/a")</f>
        <v>94.0246338245499</v>
      </c>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46"/>
      <c r="AK328" s="146"/>
      <c r="AL328" s="146"/>
      <c r="AM328" s="146"/>
      <c r="AN328" s="146"/>
      <c r="AO328" s="146"/>
      <c r="AP328" s="146"/>
      <c r="AQ328" s="146"/>
    </row>
    <row r="329" customFormat="false" ht="15" hidden="false" customHeight="false" outlineLevel="0" collapsed="false">
      <c r="C329" s="0" t="s">
        <v>1423</v>
      </c>
      <c r="D329" s="0" t="s">
        <v>7</v>
      </c>
      <c r="E329" s="146"/>
      <c r="F329" s="146"/>
      <c r="G329" s="162" t="n">
        <f aca="false">G126</f>
        <v>2.30084937877239</v>
      </c>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46"/>
      <c r="AK329" s="146"/>
      <c r="AL329" s="146"/>
      <c r="AM329" s="146"/>
      <c r="AN329" s="146"/>
      <c r="AO329" s="146"/>
      <c r="AP329" s="146"/>
      <c r="AQ329" s="146"/>
    </row>
    <row r="330" customFormat="false" ht="15" hidden="false" customHeight="false" outlineLevel="0" collapsed="false">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46"/>
      <c r="AK330" s="146"/>
      <c r="AL330" s="146"/>
      <c r="AM330" s="146"/>
      <c r="AN330" s="146"/>
      <c r="AO330" s="146"/>
      <c r="AP330" s="146"/>
      <c r="AQ330" s="146"/>
    </row>
    <row r="332" customFormat="false" ht="15" hidden="false" customHeight="false" outlineLevel="0" collapsed="false">
      <c r="C332" s="205" t="s">
        <v>1424</v>
      </c>
    </row>
    <row r="333" customFormat="false" ht="15" hidden="false" customHeight="false" outlineLevel="0" collapsed="false">
      <c r="C333" s="0" t="s">
        <v>1425</v>
      </c>
      <c r="D333" s="0" t="s">
        <v>6</v>
      </c>
      <c r="G333" s="153" t="n">
        <f aca="false">YEAR(Inputs!$E$155)</f>
        <v>2031</v>
      </c>
    </row>
    <row r="334" customFormat="false" ht="15" hidden="false" customHeight="false" outlineLevel="0" collapsed="false">
      <c r="C334" s="0" t="s">
        <v>1426</v>
      </c>
      <c r="D334" s="0" t="s">
        <v>7</v>
      </c>
      <c r="G334" s="217" t="n">
        <f aca="false">SUMIF(H5:AQ5,$G$333,H12:AQ12)</f>
        <v>0.680583197033753</v>
      </c>
    </row>
    <row r="335" customFormat="false" ht="15" hidden="false" customHeight="false" outlineLevel="0" collapsed="false">
      <c r="C335" s="0" t="s">
        <v>1427</v>
      </c>
      <c r="D335" s="0" t="s">
        <v>125</v>
      </c>
      <c r="G335" s="146" t="n">
        <f aca="false">SUM(H335:AQ335)</f>
        <v>546986.66666165</v>
      </c>
      <c r="H335" s="146" t="n">
        <f aca="false">H110*(H$5&gt;$G$333)</f>
        <v>-0</v>
      </c>
      <c r="I335" s="146" t="n">
        <f aca="false">I110*(I$5&gt;$G$333)</f>
        <v>-0</v>
      </c>
      <c r="J335" s="146" t="n">
        <f aca="false">J110*(J$5&gt;$G$333)</f>
        <v>-0</v>
      </c>
      <c r="K335" s="146" t="n">
        <f aca="false">K110*(K$5&gt;$G$333)</f>
        <v>-0</v>
      </c>
      <c r="L335" s="146" t="n">
        <f aca="false">L110*(L$5&gt;$G$333)</f>
        <v>-0</v>
      </c>
      <c r="M335" s="146" t="n">
        <f aca="false">M110*(M$5&gt;$G$333)</f>
        <v>-0</v>
      </c>
      <c r="N335" s="146" t="n">
        <f aca="false">N110*(N$5&gt;$G$333)</f>
        <v>18647.0680198442</v>
      </c>
      <c r="O335" s="146" t="n">
        <f aca="false">O110*(O$5&gt;$G$333)</f>
        <v>18697.9611291677</v>
      </c>
      <c r="P335" s="146" t="n">
        <f aca="false">P110*(P$5&gt;$G$333)</f>
        <v>18747.3044706362</v>
      </c>
      <c r="Q335" s="146" t="n">
        <f aca="false">Q110*(Q$5&gt;$G$333)</f>
        <v>18795.0416533505</v>
      </c>
      <c r="R335" s="146" t="n">
        <f aca="false">R110*(R$5&gt;$G$333)</f>
        <v>18841.1147820411</v>
      </c>
      <c r="S335" s="146" t="n">
        <f aca="false">S110*(S$5&gt;$G$333)</f>
        <v>18885.4644194696</v>
      </c>
      <c r="T335" s="146" t="n">
        <f aca="false">T110*(T$5&gt;$G$333)</f>
        <v>18928.0295479057</v>
      </c>
      <c r="U335" s="146" t="n">
        <f aca="false">U110*(U$5&gt;$G$333)</f>
        <v>18968.7475296557</v>
      </c>
      <c r="V335" s="146" t="n">
        <f aca="false">V110*(V$5&gt;$G$333)</f>
        <v>19007.5540666196</v>
      </c>
      <c r="W335" s="146" t="n">
        <f aca="false">W110*(W$5&gt;$G$333)</f>
        <v>19044.3831588535</v>
      </c>
      <c r="X335" s="146" t="n">
        <f aca="false">X110*(X$5&gt;$G$333)</f>
        <v>19079.1670621119</v>
      </c>
      <c r="Y335" s="146" t="n">
        <f aca="false">Y110*(Y$5&gt;$G$333)</f>
        <v>19111.8362443461</v>
      </c>
      <c r="Z335" s="146" t="n">
        <f aca="false">Z110*(Z$5&gt;$G$333)</f>
        <v>19142.3193411317</v>
      </c>
      <c r="AA335" s="146" t="n">
        <f aca="false">AA110*(AA$5&gt;$G$333)</f>
        <v>19170.5431099997</v>
      </c>
      <c r="AB335" s="146" t="n">
        <f aca="false">AB110*(AB$5&gt;$G$333)</f>
        <v>19196.4323836449</v>
      </c>
      <c r="AC335" s="146" t="n">
        <f aca="false">AC110*(AC$5&gt;$G$333)</f>
        <v>19219.9100219821</v>
      </c>
      <c r="AD335" s="146" t="n">
        <f aca="false">AD110*(AD$5&gt;$G$333)</f>
        <v>19240.8968630243</v>
      </c>
      <c r="AE335" s="146" t="n">
        <f aca="false">AE110*(AE$5&gt;$G$333)</f>
        <v>19259.3116725516</v>
      </c>
      <c r="AF335" s="146" t="n">
        <f aca="false">AF110*(AF$5&gt;$G$333)</f>
        <v>19275.0710925432</v>
      </c>
      <c r="AG335" s="146" t="n">
        <f aca="false">AG110*(AG$5&gt;$G$333)</f>
        <v>18648.730786753</v>
      </c>
      <c r="AH335" s="146" t="n">
        <f aca="false">AH110*(AH$5&gt;$G$333)</f>
        <v>18019.5617913356</v>
      </c>
      <c r="AI335" s="146" t="n">
        <f aca="false">AI110*(AI$5&gt;$G$333)</f>
        <v>18026.8328562038</v>
      </c>
      <c r="AJ335" s="146" t="n">
        <f aca="false">AJ110*(AJ$5&gt;$G$333)</f>
        <v>18031.092785024</v>
      </c>
      <c r="AK335" s="146" t="n">
        <f aca="false">AK110*(AK$5&gt;$G$333)</f>
        <v>18032.2467817478</v>
      </c>
      <c r="AL335" s="146" t="n">
        <f aca="false">AL110*(AL$5&gt;$G$333)</f>
        <v>18030.1975893648</v>
      </c>
      <c r="AM335" s="146" t="n">
        <f aca="false">AM110*(AM$5&gt;$G$333)</f>
        <v>18024.845428775</v>
      </c>
      <c r="AN335" s="146" t="n">
        <f aca="false">AN110*(AN$5&gt;$G$333)</f>
        <v>18016.0879361583</v>
      </c>
      <c r="AO335" s="146" t="n">
        <f aca="false">AO110*(AO$5&gt;$G$333)</f>
        <v>18003.8200988039</v>
      </c>
      <c r="AP335" s="146" t="n">
        <f aca="false">AP110*(AP$5&gt;$G$333)</f>
        <v>17987.9341893627</v>
      </c>
      <c r="AQ335" s="146" t="n">
        <f aca="false">AQ110*(AQ$5&gt;$G$333)</f>
        <v>4907.15984924141</v>
      </c>
    </row>
    <row r="336" customFormat="false" ht="15" hidden="false" customHeight="false" outlineLevel="0" collapsed="false">
      <c r="C336" s="0" t="s">
        <v>1428</v>
      </c>
      <c r="D336" s="0" t="s">
        <v>125</v>
      </c>
      <c r="G336" s="146" t="n">
        <f aca="false">SUMPRODUCT(H335:AQ335,H12:AQ12)/$G$334</f>
        <v>210466.653527443</v>
      </c>
    </row>
    <row r="337" customFormat="false" ht="15" hidden="false" customHeight="false" outlineLevel="0" collapsed="false">
      <c r="C337" s="0" t="s">
        <v>152</v>
      </c>
      <c r="D337" s="0" t="s">
        <v>11</v>
      </c>
      <c r="G337" s="146" t="n">
        <f aca="false">$G$336/In_Wind_Built</f>
        <v>1548.68766392526</v>
      </c>
    </row>
    <row r="338" customFormat="false" ht="15" hidden="false" customHeight="false" outlineLevel="0" collapsed="false">
      <c r="C338" s="0" t="s">
        <v>153</v>
      </c>
      <c r="D338" s="0" t="s">
        <v>2</v>
      </c>
      <c r="G338" s="146" t="n">
        <f aca="false">$G$336/Dash_MVA</f>
        <v>2104.66653527443</v>
      </c>
    </row>
    <row r="339" customFormat="false" ht="15" hidden="false" customHeight="false" outlineLevel="0" collapsed="false">
      <c r="C339" s="0" t="s">
        <v>1429</v>
      </c>
      <c r="D339" s="0" t="s">
        <v>125</v>
      </c>
      <c r="G339" s="146" t="n">
        <f aca="false">SUMIF(H5:AQ5,$G$333,H84:AQ84)</f>
        <v>86869.1795643214</v>
      </c>
    </row>
    <row r="340" customFormat="false" ht="15" hidden="false" customHeight="false" outlineLevel="0" collapsed="false">
      <c r="C340" s="0" t="s">
        <v>1430</v>
      </c>
      <c r="D340" s="0" t="s">
        <v>125</v>
      </c>
      <c r="G340" s="146"/>
      <c r="H340" s="146" t="n">
        <f aca="false">H123*(H$5&lt;=$G$333)+($G$336-$G$339)*(H$5=$G$333)</f>
        <v>-1570.61764901888</v>
      </c>
      <c r="I340" s="146" t="n">
        <f aca="false">I123*(I$5&lt;=$G$333)+($G$336-$G$339)*(I$5=$G$333)</f>
        <v>-778.738143280267</v>
      </c>
      <c r="J340" s="146" t="n">
        <f aca="false">J123*(J$5&lt;=$G$333)+($G$336-$G$339)*(J$5=$G$333)</f>
        <v>-1227.43813118225</v>
      </c>
      <c r="K340" s="146" t="n">
        <f aca="false">K123*(K$5&lt;=$G$333)+($G$336-$G$339)*(K$5=$G$333)</f>
        <v>-42052.73922629</v>
      </c>
      <c r="L340" s="146" t="n">
        <f aca="false">L123*(L$5&lt;=$G$333)+($G$336-$G$339)*(L$5=$G$333)</f>
        <v>-30088.0917885429</v>
      </c>
      <c r="M340" s="146" t="n">
        <f aca="false">M123*(M$5&lt;=$G$333)+($G$336-$G$339)*(M$5=$G$333)</f>
        <v>115030.736338734</v>
      </c>
      <c r="N340" s="146" t="n">
        <f aca="false">N123*(N$5&lt;=$G$333)+($G$336-$G$339)*(N$5=$G$333)</f>
        <v>0</v>
      </c>
      <c r="O340" s="146" t="n">
        <f aca="false">O123*(O$5&lt;=$G$333)+($G$336-$G$339)*(O$5=$G$333)</f>
        <v>0</v>
      </c>
      <c r="P340" s="146" t="n">
        <f aca="false">P123*(P$5&lt;=$G$333)+($G$336-$G$339)*(P$5=$G$333)</f>
        <v>0</v>
      </c>
      <c r="Q340" s="146" t="n">
        <f aca="false">Q123*(Q$5&lt;=$G$333)+($G$336-$G$339)*(Q$5=$G$333)</f>
        <v>0</v>
      </c>
      <c r="R340" s="146" t="n">
        <f aca="false">R123*(R$5&lt;=$G$333)+($G$336-$G$339)*(R$5=$G$333)</f>
        <v>0</v>
      </c>
      <c r="S340" s="146" t="n">
        <f aca="false">S123*(S$5&lt;=$G$333)+($G$336-$G$339)*(S$5=$G$333)</f>
        <v>0</v>
      </c>
      <c r="T340" s="146" t="n">
        <f aca="false">T123*(T$5&lt;=$G$333)+($G$336-$G$339)*(T$5=$G$333)</f>
        <v>0</v>
      </c>
      <c r="U340" s="146" t="n">
        <f aca="false">U123*(U$5&lt;=$G$333)+($G$336-$G$339)*(U$5=$G$333)</f>
        <v>0</v>
      </c>
      <c r="V340" s="146" t="n">
        <f aca="false">V123*(V$5&lt;=$G$333)+($G$336-$G$339)*(V$5=$G$333)</f>
        <v>0</v>
      </c>
      <c r="W340" s="146" t="n">
        <f aca="false">W123*(W$5&lt;=$G$333)+($G$336-$G$339)*(W$5=$G$333)</f>
        <v>0</v>
      </c>
      <c r="X340" s="146" t="n">
        <f aca="false">X123*(X$5&lt;=$G$333)+($G$336-$G$339)*(X$5=$G$333)</f>
        <v>0</v>
      </c>
      <c r="Y340" s="146" t="n">
        <f aca="false">Y123*(Y$5&lt;=$G$333)+($G$336-$G$339)*(Y$5=$G$333)</f>
        <v>0</v>
      </c>
      <c r="Z340" s="146" t="n">
        <f aca="false">Z123*(Z$5&lt;=$G$333)+($G$336-$G$339)*(Z$5=$G$333)</f>
        <v>0</v>
      </c>
      <c r="AA340" s="146" t="n">
        <f aca="false">AA123*(AA$5&lt;=$G$333)+($G$336-$G$339)*(AA$5=$G$333)</f>
        <v>0</v>
      </c>
      <c r="AB340" s="146" t="n">
        <f aca="false">AB123*(AB$5&lt;=$G$333)+($G$336-$G$339)*(AB$5=$G$333)</f>
        <v>0</v>
      </c>
      <c r="AC340" s="146" t="n">
        <f aca="false">AC123*(AC$5&lt;=$G$333)+($G$336-$G$339)*(AC$5=$G$333)</f>
        <v>0</v>
      </c>
      <c r="AD340" s="146" t="n">
        <f aca="false">AD123*(AD$5&lt;=$G$333)+($G$336-$G$339)*(AD$5=$G$333)</f>
        <v>0</v>
      </c>
      <c r="AE340" s="146" t="n">
        <f aca="false">AE123*(AE$5&lt;=$G$333)+($G$336-$G$339)*(AE$5=$G$333)</f>
        <v>0</v>
      </c>
      <c r="AF340" s="146" t="n">
        <f aca="false">AF123*(AF$5&lt;=$G$333)+($G$336-$G$339)*(AF$5=$G$333)</f>
        <v>0</v>
      </c>
      <c r="AG340" s="146" t="n">
        <f aca="false">AG123*(AG$5&lt;=$G$333)+($G$336-$G$339)*(AG$5=$G$333)</f>
        <v>0</v>
      </c>
      <c r="AH340" s="146" t="n">
        <f aca="false">AH123*(AH$5&lt;=$G$333)+($G$336-$G$339)*(AH$5=$G$333)</f>
        <v>0</v>
      </c>
      <c r="AI340" s="146" t="n">
        <f aca="false">AI123*(AI$5&lt;=$G$333)+($G$336-$G$339)*(AI$5=$G$333)</f>
        <v>0</v>
      </c>
      <c r="AJ340" s="146" t="n">
        <f aca="false">AJ123*(AJ$5&lt;=$G$333)+($G$336-$G$339)*(AJ$5=$G$333)</f>
        <v>0</v>
      </c>
      <c r="AK340" s="146" t="n">
        <f aca="false">AK123*(AK$5&lt;=$G$333)+($G$336-$G$339)*(AK$5=$G$333)</f>
        <v>0</v>
      </c>
      <c r="AL340" s="146" t="n">
        <f aca="false">AL123*(AL$5&lt;=$G$333)+($G$336-$G$339)*(AL$5=$G$333)</f>
        <v>0</v>
      </c>
      <c r="AM340" s="146" t="n">
        <f aca="false">AM123*(AM$5&lt;=$G$333)+($G$336-$G$339)*(AM$5=$G$333)</f>
        <v>0</v>
      </c>
      <c r="AN340" s="146" t="n">
        <f aca="false">AN123*(AN$5&lt;=$G$333)+($G$336-$G$339)*(AN$5=$G$333)</f>
        <v>0</v>
      </c>
      <c r="AO340" s="146" t="n">
        <f aca="false">AO123*(AO$5&lt;=$G$333)+($G$336-$G$339)*(AO$5=$G$333)</f>
        <v>0</v>
      </c>
      <c r="AP340" s="146" t="n">
        <f aca="false">AP123*(AP$5&lt;=$G$333)+($G$336-$G$339)*(AP$5=$G$333)</f>
        <v>0</v>
      </c>
      <c r="AQ340" s="146" t="n">
        <f aca="false">AQ123*(AQ$5&lt;=$G$333)+($G$336-$G$339)*(AQ$5=$G$333)</f>
        <v>0</v>
      </c>
    </row>
    <row r="341" customFormat="false" ht="15" hidden="false" customHeight="false" outlineLevel="0" collapsed="false">
      <c r="C341" s="0" t="s">
        <v>1431</v>
      </c>
      <c r="D341" s="0" t="s">
        <v>51</v>
      </c>
      <c r="G341" s="141" t="n">
        <f aca="false">IFERROR(IRR(H340:AQ340),"n/a")</f>
        <v>0.265645103490059</v>
      </c>
    </row>
    <row r="342" customFormat="false" ht="15" hidden="false" customHeight="false" outlineLevel="0" collapsed="false">
      <c r="C342" s="0" t="s">
        <v>1432</v>
      </c>
      <c r="D342" s="0" t="s">
        <v>125</v>
      </c>
      <c r="G342" s="146" t="n">
        <f aca="false">SUM(H340:AQ340)</f>
        <v>39313.1114004194</v>
      </c>
    </row>
    <row r="343" customFormat="false" ht="15" hidden="false" customHeight="false" outlineLevel="0" collapsed="false">
      <c r="C343" s="0" t="s">
        <v>1433</v>
      </c>
      <c r="D343" s="0" t="s">
        <v>7</v>
      </c>
      <c r="G343" s="217" t="n">
        <f aca="false">SUMIF(H340:AQ340,"&gt;0")/-SUMIF(H340:AQ340,"&lt;0")</f>
        <v>1.51920687465365</v>
      </c>
    </row>
    <row r="344" customFormat="false" ht="15" hidden="false" customHeight="false" outlineLevel="0" collapsed="false">
      <c r="C344" s="0" t="s">
        <v>1434</v>
      </c>
      <c r="D344" s="0" t="s">
        <v>125</v>
      </c>
      <c r="G344" s="146" t="n">
        <f aca="false">SUMPRODUCT(H340:AQ340,H13:AQ13)</f>
        <v>19445.5185504899</v>
      </c>
    </row>
    <row r="345" customFormat="false" ht="15" hidden="false" customHeight="false" outlineLevel="0" collapsed="false">
      <c r="C345" s="0" t="s">
        <v>1435</v>
      </c>
      <c r="D345" s="0" t="s">
        <v>6</v>
      </c>
      <c r="G345" s="153" t="n">
        <f aca="false">YEAR(Inputs!$E$58)</f>
        <v>2029</v>
      </c>
    </row>
    <row r="346" customFormat="false" ht="15" hidden="false" customHeight="false" outlineLevel="0" collapsed="false">
      <c r="C346" s="0" t="s">
        <v>1436</v>
      </c>
      <c r="D346" s="0" t="s">
        <v>125</v>
      </c>
      <c r="E346" s="141" t="n">
        <f aca="false">Dashboard!$E$161</f>
        <v>0.07</v>
      </c>
      <c r="G346" s="146" t="n">
        <f aca="false">SUMPRODUCT($H$335:$AQ$335,1/(1+E346)^($H$5:$AQ$5-$G$333))</f>
        <v>231585.981438781</v>
      </c>
    </row>
    <row r="347" customFormat="false" ht="15" hidden="false" customHeight="false" outlineLevel="0" collapsed="false">
      <c r="C347" s="0" t="s">
        <v>1437</v>
      </c>
      <c r="D347" s="0" t="s">
        <v>125</v>
      </c>
      <c r="E347" s="141" t="n">
        <f aca="false">Dashboard!$F$161</f>
        <v>0.08</v>
      </c>
      <c r="G347" s="146" t="n">
        <f aca="false">SUMPRODUCT($H$335:$AQ$335,1/(1+E347)^($H$5:$AQ$5-$G$333))</f>
        <v>210466.653527443</v>
      </c>
    </row>
    <row r="348" customFormat="false" ht="15" hidden="false" customHeight="false" outlineLevel="0" collapsed="false">
      <c r="C348" s="0" t="s">
        <v>1438</v>
      </c>
      <c r="D348" s="0" t="s">
        <v>125</v>
      </c>
      <c r="E348" s="141" t="n">
        <f aca="false">Dashboard!$G$161</f>
        <v>0.09</v>
      </c>
      <c r="G348" s="146" t="n">
        <f aca="false">SUMPRODUCT($H$335:$AQ$335,1/(1+E348)^($H$5:$AQ$5-$G$333))</f>
        <v>192346.104608006</v>
      </c>
    </row>
    <row r="349" customFormat="false" ht="15" hidden="false" customHeight="false" outlineLevel="0" collapsed="false">
      <c r="C349" s="0" t="s">
        <v>1439</v>
      </c>
      <c r="D349" s="0" t="s">
        <v>125</v>
      </c>
      <c r="G349" s="146" t="n">
        <f aca="false">$G$342-$G$336+G346</f>
        <v>60432.4393117579</v>
      </c>
    </row>
    <row r="350" customFormat="false" ht="15" hidden="false" customHeight="false" outlineLevel="0" collapsed="false">
      <c r="C350" s="0" t="s">
        <v>1440</v>
      </c>
      <c r="D350" s="0" t="s">
        <v>125</v>
      </c>
      <c r="G350" s="146" t="n">
        <f aca="false">$G$342-$G$336+G347</f>
        <v>39313.1114004194</v>
      </c>
    </row>
    <row r="351" customFormat="false" ht="15" hidden="false" customHeight="false" outlineLevel="0" collapsed="false">
      <c r="C351" s="0" t="s">
        <v>1441</v>
      </c>
      <c r="D351" s="0" t="s">
        <v>125</v>
      </c>
      <c r="G351" s="146" t="n">
        <f aca="false">$G$342-$G$336+G348</f>
        <v>21192.5624809826</v>
      </c>
    </row>
    <row r="352" customFormat="false" ht="15" hidden="false" customHeight="false" outlineLevel="0" collapsed="false">
      <c r="C352" s="0" t="s">
        <v>1442</v>
      </c>
      <c r="D352" s="0" t="s">
        <v>2</v>
      </c>
      <c r="G352" s="146" t="n">
        <f aca="false">Inputs!$E$141+SUMPRODUCT($H$213:$AQ$213,1/(1+$E$346)^($H$5:$AQ$5-$G$345))/Dash_MVA</f>
        <v>558.133275052422</v>
      </c>
    </row>
    <row r="353" customFormat="false" ht="15" hidden="false" customHeight="false" outlineLevel="0" collapsed="false">
      <c r="C353" s="0" t="s">
        <v>1443</v>
      </c>
      <c r="D353" s="0" t="s">
        <v>2</v>
      </c>
      <c r="G353" s="146" t="n">
        <f aca="false">Inputs!$E$141+SUMPRODUCT($H$213:$AQ$213,1/(1+$E$347)^($H$5:$AQ$5-$G$345))/Dash_MVA</f>
        <v>350.316690269903</v>
      </c>
    </row>
    <row r="354" customFormat="false" ht="15" hidden="false" customHeight="false" outlineLevel="0" collapsed="false">
      <c r="C354" s="0" t="s">
        <v>1444</v>
      </c>
      <c r="D354" s="0" t="s">
        <v>2</v>
      </c>
      <c r="G354" s="146" t="n">
        <f aca="false">Inputs!$E$141+SUMPRODUCT($H$213:$AQ$213,1/(1+$E$348)^($H$5:$AQ$5-$G$345))/Dash_MVA</f>
        <v>175.142481004756</v>
      </c>
    </row>
    <row r="357" customFormat="false" ht="15" hidden="false" customHeight="false" outlineLevel="0" collapsed="false">
      <c r="C357" s="205" t="s">
        <v>1445</v>
      </c>
    </row>
    <row r="358" customFormat="false" ht="15" hidden="false" customHeight="false" outlineLevel="0" collapsed="false">
      <c r="C358" s="0" t="s">
        <v>1446</v>
      </c>
      <c r="D358" s="0" t="s">
        <v>6</v>
      </c>
      <c r="G358" s="153" t="n">
        <f aca="false">Inputs!$E$156-1+In_Refi_Lag</f>
        <v>2032</v>
      </c>
    </row>
    <row r="359" customFormat="false" ht="15" hidden="false" customHeight="false" outlineLevel="0" collapsed="false">
      <c r="C359" s="0" t="s">
        <v>1447</v>
      </c>
      <c r="D359" s="0" t="s">
        <v>125</v>
      </c>
      <c r="G359" s="146" t="n">
        <f aca="false">(Inputs!$E$219+In_Refi_Gearing_Add)*-$G$30</f>
        <v>88985.1140783014</v>
      </c>
    </row>
    <row r="360" customFormat="false" ht="15" hidden="false" customHeight="false" outlineLevel="0" collapsed="false">
      <c r="C360" s="0" t="s">
        <v>1448</v>
      </c>
      <c r="D360" s="0" t="s">
        <v>125</v>
      </c>
      <c r="G360" s="146" t="n">
        <f aca="false">PMT(In_Refi_Rate,In_Refi_Tenor,-$G$359)</f>
        <v>8285.74283735777</v>
      </c>
    </row>
    <row r="361" customFormat="false" ht="15" hidden="false" customHeight="false" outlineLevel="0" collapsed="false">
      <c r="C361" s="0" t="s">
        <v>1449</v>
      </c>
      <c r="D361" s="0" t="s">
        <v>62</v>
      </c>
      <c r="H361" s="153" t="n">
        <f aca="false">In_Refi_On*(H$5=$G$358)</f>
        <v>0</v>
      </c>
      <c r="I361" s="153" t="n">
        <f aca="false">In_Refi_On*(I$5=$G$358)</f>
        <v>0</v>
      </c>
      <c r="J361" s="153" t="n">
        <f aca="false">In_Refi_On*(J$5=$G$358)</f>
        <v>0</v>
      </c>
      <c r="K361" s="153" t="n">
        <f aca="false">In_Refi_On*(K$5=$G$358)</f>
        <v>0</v>
      </c>
      <c r="L361" s="153" t="n">
        <f aca="false">In_Refi_On*(L$5=$G$358)</f>
        <v>0</v>
      </c>
      <c r="M361" s="153" t="n">
        <f aca="false">In_Refi_On*(M$5=$G$358)</f>
        <v>0</v>
      </c>
      <c r="N361" s="153" t="n">
        <f aca="false">In_Refi_On*(N$5=$G$358)</f>
        <v>0</v>
      </c>
      <c r="O361" s="153" t="n">
        <f aca="false">In_Refi_On*(O$5=$G$358)</f>
        <v>0</v>
      </c>
      <c r="P361" s="153" t="n">
        <f aca="false">In_Refi_On*(P$5=$G$358)</f>
        <v>0</v>
      </c>
      <c r="Q361" s="153" t="n">
        <f aca="false">In_Refi_On*(Q$5=$G$358)</f>
        <v>0</v>
      </c>
      <c r="R361" s="153" t="n">
        <f aca="false">In_Refi_On*(R$5=$G$358)</f>
        <v>0</v>
      </c>
      <c r="S361" s="153" t="n">
        <f aca="false">In_Refi_On*(S$5=$G$358)</f>
        <v>0</v>
      </c>
      <c r="T361" s="153" t="n">
        <f aca="false">In_Refi_On*(T$5=$G$358)</f>
        <v>0</v>
      </c>
      <c r="U361" s="153" t="n">
        <f aca="false">In_Refi_On*(U$5=$G$358)</f>
        <v>0</v>
      </c>
      <c r="V361" s="153" t="n">
        <f aca="false">In_Refi_On*(V$5=$G$358)</f>
        <v>0</v>
      </c>
      <c r="W361" s="153" t="n">
        <f aca="false">In_Refi_On*(W$5=$G$358)</f>
        <v>0</v>
      </c>
      <c r="X361" s="153" t="n">
        <f aca="false">In_Refi_On*(X$5=$G$358)</f>
        <v>0</v>
      </c>
      <c r="Y361" s="153" t="n">
        <f aca="false">In_Refi_On*(Y$5=$G$358)</f>
        <v>0</v>
      </c>
      <c r="Z361" s="153" t="n">
        <f aca="false">In_Refi_On*(Z$5=$G$358)</f>
        <v>0</v>
      </c>
      <c r="AA361" s="153" t="n">
        <f aca="false">In_Refi_On*(AA$5=$G$358)</f>
        <v>0</v>
      </c>
      <c r="AB361" s="153" t="n">
        <f aca="false">In_Refi_On*(AB$5=$G$358)</f>
        <v>0</v>
      </c>
      <c r="AC361" s="153" t="n">
        <f aca="false">In_Refi_On*(AC$5=$G$358)</f>
        <v>0</v>
      </c>
      <c r="AD361" s="153" t="n">
        <f aca="false">In_Refi_On*(AD$5=$G$358)</f>
        <v>0</v>
      </c>
      <c r="AE361" s="153" t="n">
        <f aca="false">In_Refi_On*(AE$5=$G$358)</f>
        <v>0</v>
      </c>
      <c r="AF361" s="153" t="n">
        <f aca="false">In_Refi_On*(AF$5=$G$358)</f>
        <v>0</v>
      </c>
      <c r="AG361" s="153" t="n">
        <f aca="false">In_Refi_On*(AG$5=$G$358)</f>
        <v>0</v>
      </c>
      <c r="AH361" s="153" t="n">
        <f aca="false">In_Refi_On*(AH$5=$G$358)</f>
        <v>0</v>
      </c>
      <c r="AI361" s="153" t="n">
        <f aca="false">In_Refi_On*(AI$5=$G$358)</f>
        <v>0</v>
      </c>
      <c r="AJ361" s="153" t="n">
        <f aca="false">In_Refi_On*(AJ$5=$G$358)</f>
        <v>0</v>
      </c>
      <c r="AK361" s="153" t="n">
        <f aca="false">In_Refi_On*(AK$5=$G$358)</f>
        <v>0</v>
      </c>
      <c r="AL361" s="153" t="n">
        <f aca="false">In_Refi_On*(AL$5=$G$358)</f>
        <v>0</v>
      </c>
      <c r="AM361" s="153" t="n">
        <f aca="false">In_Refi_On*(AM$5=$G$358)</f>
        <v>0</v>
      </c>
      <c r="AN361" s="153" t="n">
        <f aca="false">In_Refi_On*(AN$5=$G$358)</f>
        <v>0</v>
      </c>
      <c r="AO361" s="153" t="n">
        <f aca="false">In_Refi_On*(AO$5=$G$358)</f>
        <v>0</v>
      </c>
      <c r="AP361" s="153" t="n">
        <f aca="false">In_Refi_On*(AP$5=$G$358)</f>
        <v>0</v>
      </c>
      <c r="AQ361" s="153" t="n">
        <f aca="false">In_Refi_On*(AQ$5=$G$358)</f>
        <v>0</v>
      </c>
    </row>
    <row r="362" customFormat="false" ht="15" hidden="false" customHeight="false" outlineLevel="0" collapsed="false">
      <c r="C362" s="0" t="s">
        <v>1450</v>
      </c>
      <c r="D362" s="0" t="s">
        <v>62</v>
      </c>
      <c r="H362" s="153" t="n">
        <f aca="false">In_Refi_On*(H$5&gt;$G$358)</f>
        <v>0</v>
      </c>
      <c r="I362" s="153" t="n">
        <f aca="false">In_Refi_On*(I$5&gt;$G$358)</f>
        <v>0</v>
      </c>
      <c r="J362" s="153" t="n">
        <f aca="false">In_Refi_On*(J$5&gt;$G$358)</f>
        <v>0</v>
      </c>
      <c r="K362" s="153" t="n">
        <f aca="false">In_Refi_On*(K$5&gt;$G$358)</f>
        <v>0</v>
      </c>
      <c r="L362" s="153" t="n">
        <f aca="false">In_Refi_On*(L$5&gt;$G$358)</f>
        <v>0</v>
      </c>
      <c r="M362" s="153" t="n">
        <f aca="false">In_Refi_On*(M$5&gt;$G$358)</f>
        <v>0</v>
      </c>
      <c r="N362" s="153" t="n">
        <f aca="false">In_Refi_On*(N$5&gt;$G$358)</f>
        <v>0</v>
      </c>
      <c r="O362" s="153" t="n">
        <f aca="false">In_Refi_On*(O$5&gt;$G$358)</f>
        <v>0</v>
      </c>
      <c r="P362" s="153" t="n">
        <f aca="false">In_Refi_On*(P$5&gt;$G$358)</f>
        <v>0</v>
      </c>
      <c r="Q362" s="153" t="n">
        <f aca="false">In_Refi_On*(Q$5&gt;$G$358)</f>
        <v>0</v>
      </c>
      <c r="R362" s="153" t="n">
        <f aca="false">In_Refi_On*(R$5&gt;$G$358)</f>
        <v>0</v>
      </c>
      <c r="S362" s="153" t="n">
        <f aca="false">In_Refi_On*(S$5&gt;$G$358)</f>
        <v>0</v>
      </c>
      <c r="T362" s="153" t="n">
        <f aca="false">In_Refi_On*(T$5&gt;$G$358)</f>
        <v>0</v>
      </c>
      <c r="U362" s="153" t="n">
        <f aca="false">In_Refi_On*(U$5&gt;$G$358)</f>
        <v>0</v>
      </c>
      <c r="V362" s="153" t="n">
        <f aca="false">In_Refi_On*(V$5&gt;$G$358)</f>
        <v>0</v>
      </c>
      <c r="W362" s="153" t="n">
        <f aca="false">In_Refi_On*(W$5&gt;$G$358)</f>
        <v>0</v>
      </c>
      <c r="X362" s="153" t="n">
        <f aca="false">In_Refi_On*(X$5&gt;$G$358)</f>
        <v>0</v>
      </c>
      <c r="Y362" s="153" t="n">
        <f aca="false">In_Refi_On*(Y$5&gt;$G$358)</f>
        <v>0</v>
      </c>
      <c r="Z362" s="153" t="n">
        <f aca="false">In_Refi_On*(Z$5&gt;$G$358)</f>
        <v>0</v>
      </c>
      <c r="AA362" s="153" t="n">
        <f aca="false">In_Refi_On*(AA$5&gt;$G$358)</f>
        <v>0</v>
      </c>
      <c r="AB362" s="153" t="n">
        <f aca="false">In_Refi_On*(AB$5&gt;$G$358)</f>
        <v>0</v>
      </c>
      <c r="AC362" s="153" t="n">
        <f aca="false">In_Refi_On*(AC$5&gt;$G$358)</f>
        <v>0</v>
      </c>
      <c r="AD362" s="153" t="n">
        <f aca="false">In_Refi_On*(AD$5&gt;$G$358)</f>
        <v>0</v>
      </c>
      <c r="AE362" s="153" t="n">
        <f aca="false">In_Refi_On*(AE$5&gt;$G$358)</f>
        <v>0</v>
      </c>
      <c r="AF362" s="153" t="n">
        <f aca="false">In_Refi_On*(AF$5&gt;$G$358)</f>
        <v>0</v>
      </c>
      <c r="AG362" s="153" t="n">
        <f aca="false">In_Refi_On*(AG$5&gt;$G$358)</f>
        <v>0</v>
      </c>
      <c r="AH362" s="153" t="n">
        <f aca="false">In_Refi_On*(AH$5&gt;$G$358)</f>
        <v>0</v>
      </c>
      <c r="AI362" s="153" t="n">
        <f aca="false">In_Refi_On*(AI$5&gt;$G$358)</f>
        <v>0</v>
      </c>
      <c r="AJ362" s="153" t="n">
        <f aca="false">In_Refi_On*(AJ$5&gt;$G$358)</f>
        <v>0</v>
      </c>
      <c r="AK362" s="153" t="n">
        <f aca="false">In_Refi_On*(AK$5&gt;$G$358)</f>
        <v>0</v>
      </c>
      <c r="AL362" s="153" t="n">
        <f aca="false">In_Refi_On*(AL$5&gt;$G$358)</f>
        <v>0</v>
      </c>
      <c r="AM362" s="153" t="n">
        <f aca="false">In_Refi_On*(AM$5&gt;$G$358)</f>
        <v>0</v>
      </c>
      <c r="AN362" s="153" t="n">
        <f aca="false">In_Refi_On*(AN$5&gt;$G$358)</f>
        <v>0</v>
      </c>
      <c r="AO362" s="153" t="n">
        <f aca="false">In_Refi_On*(AO$5&gt;$G$358)</f>
        <v>0</v>
      </c>
      <c r="AP362" s="153" t="n">
        <f aca="false">In_Refi_On*(AP$5&gt;$G$358)</f>
        <v>0</v>
      </c>
      <c r="AQ362" s="153" t="n">
        <f aca="false">In_Refi_On*(AQ$5&gt;$G$358)</f>
        <v>0</v>
      </c>
    </row>
    <row r="363" customFormat="false" ht="15" hidden="false" customHeight="false" outlineLevel="0" collapsed="false">
      <c r="C363" s="0" t="s">
        <v>1451</v>
      </c>
      <c r="D363" s="0" t="s">
        <v>51</v>
      </c>
      <c r="H363" s="44" t="n">
        <f aca="false">$E$74+H362*(In_Refi_Rate-$E$74)</f>
        <v>0.05</v>
      </c>
      <c r="I363" s="44" t="n">
        <f aca="false">$E$74+I362*(In_Refi_Rate-$E$74)</f>
        <v>0.05</v>
      </c>
      <c r="J363" s="44" t="n">
        <f aca="false">$E$74+J362*(In_Refi_Rate-$E$74)</f>
        <v>0.05</v>
      </c>
      <c r="K363" s="44" t="n">
        <f aca="false">$E$74+K362*(In_Refi_Rate-$E$74)</f>
        <v>0.05</v>
      </c>
      <c r="L363" s="44" t="n">
        <f aca="false">$E$74+L362*(In_Refi_Rate-$E$74)</f>
        <v>0.05</v>
      </c>
      <c r="M363" s="44" t="n">
        <f aca="false">$E$74+M362*(In_Refi_Rate-$E$74)</f>
        <v>0.05</v>
      </c>
      <c r="N363" s="44" t="n">
        <f aca="false">$E$74+N362*(In_Refi_Rate-$E$74)</f>
        <v>0.05</v>
      </c>
      <c r="O363" s="44" t="n">
        <f aca="false">$E$74+O362*(In_Refi_Rate-$E$74)</f>
        <v>0.05</v>
      </c>
      <c r="P363" s="44" t="n">
        <f aca="false">$E$74+P362*(In_Refi_Rate-$E$74)</f>
        <v>0.05</v>
      </c>
      <c r="Q363" s="44" t="n">
        <f aca="false">$E$74+Q362*(In_Refi_Rate-$E$74)</f>
        <v>0.05</v>
      </c>
      <c r="R363" s="44" t="n">
        <f aca="false">$E$74+R362*(In_Refi_Rate-$E$74)</f>
        <v>0.05</v>
      </c>
      <c r="S363" s="44" t="n">
        <f aca="false">$E$74+S362*(In_Refi_Rate-$E$74)</f>
        <v>0.05</v>
      </c>
      <c r="T363" s="44" t="n">
        <f aca="false">$E$74+T362*(In_Refi_Rate-$E$74)</f>
        <v>0.05</v>
      </c>
      <c r="U363" s="44" t="n">
        <f aca="false">$E$74+U362*(In_Refi_Rate-$E$74)</f>
        <v>0.05</v>
      </c>
      <c r="V363" s="44" t="n">
        <f aca="false">$E$74+V362*(In_Refi_Rate-$E$74)</f>
        <v>0.05</v>
      </c>
      <c r="W363" s="44" t="n">
        <f aca="false">$E$74+W362*(In_Refi_Rate-$E$74)</f>
        <v>0.05</v>
      </c>
      <c r="X363" s="44" t="n">
        <f aca="false">$E$74+X362*(In_Refi_Rate-$E$74)</f>
        <v>0.05</v>
      </c>
      <c r="Y363" s="44" t="n">
        <f aca="false">$E$74+Y362*(In_Refi_Rate-$E$74)</f>
        <v>0.05</v>
      </c>
      <c r="Z363" s="44" t="n">
        <f aca="false">$E$74+Z362*(In_Refi_Rate-$E$74)</f>
        <v>0.05</v>
      </c>
      <c r="AA363" s="44" t="n">
        <f aca="false">$E$74+AA362*(In_Refi_Rate-$E$74)</f>
        <v>0.05</v>
      </c>
      <c r="AB363" s="44" t="n">
        <f aca="false">$E$74+AB362*(In_Refi_Rate-$E$74)</f>
        <v>0.05</v>
      </c>
      <c r="AC363" s="44" t="n">
        <f aca="false">$E$74+AC362*(In_Refi_Rate-$E$74)</f>
        <v>0.05</v>
      </c>
      <c r="AD363" s="44" t="n">
        <f aca="false">$E$74+AD362*(In_Refi_Rate-$E$74)</f>
        <v>0.05</v>
      </c>
      <c r="AE363" s="44" t="n">
        <f aca="false">$E$74+AE362*(In_Refi_Rate-$E$74)</f>
        <v>0.05</v>
      </c>
      <c r="AF363" s="44" t="n">
        <f aca="false">$E$74+AF362*(In_Refi_Rate-$E$74)</f>
        <v>0.05</v>
      </c>
      <c r="AG363" s="44" t="n">
        <f aca="false">$E$74+AG362*(In_Refi_Rate-$E$74)</f>
        <v>0.05</v>
      </c>
      <c r="AH363" s="44" t="n">
        <f aca="false">$E$74+AH362*(In_Refi_Rate-$E$74)</f>
        <v>0.05</v>
      </c>
      <c r="AI363" s="44" t="n">
        <f aca="false">$E$74+AI362*(In_Refi_Rate-$E$74)</f>
        <v>0.05</v>
      </c>
      <c r="AJ363" s="44" t="n">
        <f aca="false">$E$74+AJ362*(In_Refi_Rate-$E$74)</f>
        <v>0.05</v>
      </c>
      <c r="AK363" s="44" t="n">
        <f aca="false">$E$74+AK362*(In_Refi_Rate-$E$74)</f>
        <v>0.05</v>
      </c>
      <c r="AL363" s="44" t="n">
        <f aca="false">$E$74+AL362*(In_Refi_Rate-$E$74)</f>
        <v>0.05</v>
      </c>
      <c r="AM363" s="44" t="n">
        <f aca="false">$E$74+AM362*(In_Refi_Rate-$E$74)</f>
        <v>0.05</v>
      </c>
      <c r="AN363" s="44" t="n">
        <f aca="false">$E$74+AN362*(In_Refi_Rate-$E$74)</f>
        <v>0.05</v>
      </c>
      <c r="AO363" s="44" t="n">
        <f aca="false">$E$74+AO362*(In_Refi_Rate-$E$74)</f>
        <v>0.05</v>
      </c>
      <c r="AP363" s="44" t="n">
        <f aca="false">$E$74+AP362*(In_Refi_Rate-$E$74)</f>
        <v>0.05</v>
      </c>
      <c r="AQ363" s="44" t="n">
        <f aca="false">$E$74+AQ362*(In_Refi_Rate-$E$74)</f>
        <v>0.05</v>
      </c>
    </row>
    <row r="364" customFormat="false" ht="15" hidden="false" customHeight="false" outlineLevel="0" collapsed="false">
      <c r="C364" s="0" t="s">
        <v>1452</v>
      </c>
      <c r="D364" s="0" t="s">
        <v>125</v>
      </c>
      <c r="G364" s="146" t="n">
        <f aca="false">SUM(H364:AQ364)</f>
        <v>86869.1795643214</v>
      </c>
      <c r="H364" s="146" t="n">
        <f aca="false">IF(AND(H9&gt;=1,H9&lt;=Inputs!$E$222),MIN(MAX($E$82-H81,0),H76),0)*(1-H362)</f>
        <v>0</v>
      </c>
      <c r="I364" s="146" t="n">
        <f aca="false">IF(AND(I9&gt;=1,I9&lt;=Inputs!$E$222),MIN(MAX($E$82-I81,0),I76),0)*(1-I362)</f>
        <v>0</v>
      </c>
      <c r="J364" s="146" t="n">
        <f aca="false">IF(AND(J9&gt;=1,J9&lt;=Inputs!$E$222),MIN(MAX($E$82-J81,0),J76),0)*(1-J362)</f>
        <v>0</v>
      </c>
      <c r="K364" s="146" t="n">
        <f aca="false">IF(AND(K9&gt;=1,K9&lt;=Inputs!$E$222),MIN(MAX($E$82-K81,0),K76),0)*(1-K362)</f>
        <v>0</v>
      </c>
      <c r="L364" s="146" t="n">
        <f aca="false">IF(AND(L9&gt;=1,L9&lt;=Inputs!$E$222),MIN(MAX($E$82-L81,0),L76),0)*(1-L362)</f>
        <v>0</v>
      </c>
      <c r="M364" s="146" t="n">
        <f aca="false">IF(AND(M9&gt;=1,M9&lt;=Inputs!$E$222),MIN(MAX($E$82-M81,0),M76),0)*(1-M362)</f>
        <v>0</v>
      </c>
      <c r="N364" s="146" t="n">
        <f aca="false">IF(AND(N9&gt;=1,N9&lt;=Inputs!$E$222),MIN(MAX($E$82-N81,0),N76),0)*(1-N362)</f>
        <v>4025.71650374888</v>
      </c>
      <c r="O364" s="146" t="n">
        <f aca="false">IF(AND(O9&gt;=1,O9&lt;=Inputs!$E$222),MIN(MAX($E$82-O81,0),O76),0)*(1-O362)</f>
        <v>4227.00232893632</v>
      </c>
      <c r="P364" s="146" t="n">
        <f aca="false">IF(AND(P9&gt;=1,P9&lt;=Inputs!$E$222),MIN(MAX($E$82-P81,0),P76),0)*(1-P362)</f>
        <v>4438.35244538314</v>
      </c>
      <c r="Q364" s="146" t="n">
        <f aca="false">IF(AND(Q9&gt;=1,Q9&lt;=Inputs!$E$222),MIN(MAX($E$82-Q81,0),Q76),0)*(1-Q362)</f>
        <v>4660.2700676523</v>
      </c>
      <c r="R364" s="146" t="n">
        <f aca="false">IF(AND(R9&gt;=1,R9&lt;=Inputs!$E$222),MIN(MAX($E$82-R81,0),R76),0)*(1-R362)</f>
        <v>4893.28357103491</v>
      </c>
      <c r="S364" s="146" t="n">
        <f aca="false">IF(AND(S9&gt;=1,S9&lt;=Inputs!$E$222),MIN(MAX($E$82-S81,0),S76),0)*(1-S362)</f>
        <v>5137.94774958666</v>
      </c>
      <c r="T364" s="146" t="n">
        <f aca="false">IF(AND(T9&gt;=1,T9&lt;=Inputs!$E$222),MIN(MAX($E$82-T81,0),T76),0)*(1-T362)</f>
        <v>5394.84513706599</v>
      </c>
      <c r="U364" s="146" t="n">
        <f aca="false">IF(AND(U9&gt;=1,U9&lt;=Inputs!$E$222),MIN(MAX($E$82-U81,0),U76),0)*(1-U362)</f>
        <v>5664.58739391929</v>
      </c>
      <c r="V364" s="146" t="n">
        <f aca="false">IF(AND(V9&gt;=1,V9&lt;=Inputs!$E$222),MIN(MAX($E$82-V81,0),V76),0)*(1-V362)</f>
        <v>5947.81676361526</v>
      </c>
      <c r="W364" s="146" t="n">
        <f aca="false">IF(AND(W9&gt;=1,W9&lt;=Inputs!$E$222),MIN(MAX($E$82-W81,0),W76),0)*(1-W362)</f>
        <v>6245.20760179602</v>
      </c>
      <c r="X364" s="146" t="n">
        <f aca="false">IF(AND(X9&gt;=1,X9&lt;=Inputs!$E$222),MIN(MAX($E$82-X81,0),X76),0)*(1-X362)</f>
        <v>6557.46798188582</v>
      </c>
      <c r="Y364" s="146" t="n">
        <f aca="false">IF(AND(Y9&gt;=1,Y9&lt;=Inputs!$E$222),MIN(MAX($E$82-Y81,0),Y76),0)*(1-Y362)</f>
        <v>6885.34138098011</v>
      </c>
      <c r="Z364" s="146" t="n">
        <f aca="false">IF(AND(Z9&gt;=1,Z9&lt;=Inputs!$E$222),MIN(MAX($E$82-Z81,0),Z76),0)*(1-Z362)</f>
        <v>7229.60845002911</v>
      </c>
      <c r="AA364" s="146" t="n">
        <f aca="false">IF(AND(AA9&gt;=1,AA9&lt;=Inputs!$E$222),MIN(MAX($E$82-AA81,0),AA76),0)*(1-AA362)</f>
        <v>7591.08887253057</v>
      </c>
      <c r="AB364" s="146" t="n">
        <f aca="false">IF(AND(AB9&gt;=1,AB9&lt;=Inputs!$E$222),MIN(MAX($E$82-AB81,0),AB76),0)*(1-AB362)</f>
        <v>7970.64331615706</v>
      </c>
      <c r="AC364" s="146" t="n">
        <f aca="false">IF(AND(AC9&gt;=1,AC9&lt;=Inputs!$E$222),MIN(MAX($E$82-AC81,0),AC76),0)*(1-AC362)</f>
        <v>0</v>
      </c>
      <c r="AD364" s="146" t="n">
        <f aca="false">IF(AND(AD9&gt;=1,AD9&lt;=Inputs!$E$222),MIN(MAX($E$82-AD81,0),AD76),0)*(1-AD362)</f>
        <v>0</v>
      </c>
      <c r="AE364" s="146" t="n">
        <f aca="false">IF(AND(AE9&gt;=1,AE9&lt;=Inputs!$E$222),MIN(MAX($E$82-AE81,0),AE76),0)*(1-AE362)</f>
        <v>0</v>
      </c>
      <c r="AF364" s="146" t="n">
        <f aca="false">IF(AND(AF9&gt;=1,AF9&lt;=Inputs!$E$222),MIN(MAX($E$82-AF81,0),AF76),0)*(1-AF362)</f>
        <v>0</v>
      </c>
      <c r="AG364" s="146" t="n">
        <f aca="false">IF(AND(AG9&gt;=1,AG9&lt;=Inputs!$E$222),MIN(MAX($E$82-AG81,0),AG76),0)*(1-AG362)</f>
        <v>0</v>
      </c>
      <c r="AH364" s="146" t="n">
        <f aca="false">IF(AND(AH9&gt;=1,AH9&lt;=Inputs!$E$222),MIN(MAX($E$82-AH81,0),AH76),0)*(1-AH362)</f>
        <v>0</v>
      </c>
      <c r="AI364" s="146" t="n">
        <f aca="false">IF(AND(AI9&gt;=1,AI9&lt;=Inputs!$E$222),MIN(MAX($E$82-AI81,0),AI76),0)*(1-AI362)</f>
        <v>0</v>
      </c>
      <c r="AJ364" s="146" t="n">
        <f aca="false">IF(AND(AJ9&gt;=1,AJ9&lt;=Inputs!$E$222),MIN(MAX($E$82-AJ81,0),AJ76),0)*(1-AJ362)</f>
        <v>0</v>
      </c>
      <c r="AK364" s="146" t="n">
        <f aca="false">IF(AND(AK9&gt;=1,AK9&lt;=Inputs!$E$222),MIN(MAX($E$82-AK81,0),AK76),0)*(1-AK362)</f>
        <v>0</v>
      </c>
      <c r="AL364" s="146" t="n">
        <f aca="false">IF(AND(AL9&gt;=1,AL9&lt;=Inputs!$E$222),MIN(MAX($E$82-AL81,0),AL76),0)*(1-AL362)</f>
        <v>0</v>
      </c>
      <c r="AM364" s="146" t="n">
        <f aca="false">IF(AND(AM9&gt;=1,AM9&lt;=Inputs!$E$222),MIN(MAX($E$82-AM81,0),AM76),0)*(1-AM362)</f>
        <v>0</v>
      </c>
      <c r="AN364" s="146" t="n">
        <f aca="false">IF(AND(AN9&gt;=1,AN9&lt;=Inputs!$E$222),MIN(MAX($E$82-AN81,0),AN76),0)*(1-AN362)</f>
        <v>0</v>
      </c>
      <c r="AO364" s="146" t="n">
        <f aca="false">IF(AND(AO9&gt;=1,AO9&lt;=Inputs!$E$222),MIN(MAX($E$82-AO81,0),AO76),0)*(1-AO362)</f>
        <v>0</v>
      </c>
      <c r="AP364" s="146" t="n">
        <f aca="false">IF(AND(AP9&gt;=1,AP9&lt;=Inputs!$E$222),MIN(MAX($E$82-AP81,0),AP76),0)*(1-AP362)</f>
        <v>0</v>
      </c>
      <c r="AQ364" s="146" t="n">
        <f aca="false">IF(AND(AQ9&gt;=1,AQ9&lt;=Inputs!$E$222),MIN(MAX($E$82-AQ81,0),AQ76),0)*(1-AQ362)</f>
        <v>0</v>
      </c>
    </row>
    <row r="365" customFormat="false" ht="15" hidden="false" customHeight="false" outlineLevel="0" collapsed="false">
      <c r="C365" s="0" t="s">
        <v>1453</v>
      </c>
      <c r="D365" s="0" t="s">
        <v>125</v>
      </c>
      <c r="G365" s="146" t="n">
        <f aca="false">SUM(H365:AQ365)</f>
        <v>0</v>
      </c>
      <c r="H365" s="146" t="n">
        <f aca="false">H362*(H$5&lt;=$G$358+In_Refi_Tenor)*MIN(MAX($G$360-H81,0),H76)</f>
        <v>0</v>
      </c>
      <c r="I365" s="146" t="n">
        <f aca="false">I362*(I$5&lt;=$G$358+In_Refi_Tenor)*MIN(MAX($G$360-I81,0),I76)</f>
        <v>0</v>
      </c>
      <c r="J365" s="146" t="n">
        <f aca="false">J362*(J$5&lt;=$G$358+In_Refi_Tenor)*MIN(MAX($G$360-J81,0),J76)</f>
        <v>0</v>
      </c>
      <c r="K365" s="146" t="n">
        <f aca="false">K362*(K$5&lt;=$G$358+In_Refi_Tenor)*MIN(MAX($G$360-K81,0),K76)</f>
        <v>0</v>
      </c>
      <c r="L365" s="146" t="n">
        <f aca="false">L362*(L$5&lt;=$G$358+In_Refi_Tenor)*MIN(MAX($G$360-L81,0),L76)</f>
        <v>0</v>
      </c>
      <c r="M365" s="146" t="n">
        <f aca="false">M362*(M$5&lt;=$G$358+In_Refi_Tenor)*MIN(MAX($G$360-M81,0),M76)</f>
        <v>0</v>
      </c>
      <c r="N365" s="146" t="n">
        <f aca="false">N362*(N$5&lt;=$G$358+In_Refi_Tenor)*MIN(MAX($G$360-N81,0),N76)</f>
        <v>0</v>
      </c>
      <c r="O365" s="146" t="n">
        <f aca="false">O362*(O$5&lt;=$G$358+In_Refi_Tenor)*MIN(MAX($G$360-O81,0),O76)</f>
        <v>0</v>
      </c>
      <c r="P365" s="146" t="n">
        <f aca="false">P362*(P$5&lt;=$G$358+In_Refi_Tenor)*MIN(MAX($G$360-P81,0),P76)</f>
        <v>0</v>
      </c>
      <c r="Q365" s="146" t="n">
        <f aca="false">Q362*(Q$5&lt;=$G$358+In_Refi_Tenor)*MIN(MAX($G$360-Q81,0),Q76)</f>
        <v>0</v>
      </c>
      <c r="R365" s="146" t="n">
        <f aca="false">R362*(R$5&lt;=$G$358+In_Refi_Tenor)*MIN(MAX($G$360-R81,0),R76)</f>
        <v>0</v>
      </c>
      <c r="S365" s="146" t="n">
        <f aca="false">S362*(S$5&lt;=$G$358+In_Refi_Tenor)*MIN(MAX($G$360-S81,0),S76)</f>
        <v>0</v>
      </c>
      <c r="T365" s="146" t="n">
        <f aca="false">T362*(T$5&lt;=$G$358+In_Refi_Tenor)*MIN(MAX($G$360-T81,0),T76)</f>
        <v>0</v>
      </c>
      <c r="U365" s="146" t="n">
        <f aca="false">U362*(U$5&lt;=$G$358+In_Refi_Tenor)*MIN(MAX($G$360-U81,0),U76)</f>
        <v>0</v>
      </c>
      <c r="V365" s="146" t="n">
        <f aca="false">V362*(V$5&lt;=$G$358+In_Refi_Tenor)*MIN(MAX($G$360-V81,0),V76)</f>
        <v>0</v>
      </c>
      <c r="W365" s="146" t="n">
        <f aca="false">W362*(W$5&lt;=$G$358+In_Refi_Tenor)*MIN(MAX($G$360-W81,0),W76)</f>
        <v>0</v>
      </c>
      <c r="X365" s="146" t="n">
        <f aca="false">X362*(X$5&lt;=$G$358+In_Refi_Tenor)*MIN(MAX($G$360-X81,0),X76)</f>
        <v>0</v>
      </c>
      <c r="Y365" s="146" t="n">
        <f aca="false">Y362*(Y$5&lt;=$G$358+In_Refi_Tenor)*MIN(MAX($G$360-Y81,0),Y76)</f>
        <v>0</v>
      </c>
      <c r="Z365" s="146" t="n">
        <f aca="false">Z362*(Z$5&lt;=$G$358+In_Refi_Tenor)*MIN(MAX($G$360-Z81,0),Z76)</f>
        <v>0</v>
      </c>
      <c r="AA365" s="146" t="n">
        <f aca="false">AA362*(AA$5&lt;=$G$358+In_Refi_Tenor)*MIN(MAX($G$360-AA81,0),AA76)</f>
        <v>0</v>
      </c>
      <c r="AB365" s="146" t="n">
        <f aca="false">AB362*(AB$5&lt;=$G$358+In_Refi_Tenor)*MIN(MAX($G$360-AB81,0),AB76)</f>
        <v>0</v>
      </c>
      <c r="AC365" s="146" t="n">
        <f aca="false">AC362*(AC$5&lt;=$G$358+In_Refi_Tenor)*MIN(MAX($G$360-AC81,0),AC76)</f>
        <v>0</v>
      </c>
      <c r="AD365" s="146" t="n">
        <f aca="false">AD362*(AD$5&lt;=$G$358+In_Refi_Tenor)*MIN(MAX($G$360-AD81,0),AD76)</f>
        <v>0</v>
      </c>
      <c r="AE365" s="146" t="n">
        <f aca="false">AE362*(AE$5&lt;=$G$358+In_Refi_Tenor)*MIN(MAX($G$360-AE81,0),AE76)</f>
        <v>0</v>
      </c>
      <c r="AF365" s="146" t="n">
        <f aca="false">AF362*(AF$5&lt;=$G$358+In_Refi_Tenor)*MIN(MAX($G$360-AF81,0),AF76)</f>
        <v>0</v>
      </c>
      <c r="AG365" s="146" t="n">
        <f aca="false">AG362*(AG$5&lt;=$G$358+In_Refi_Tenor)*MIN(MAX($G$360-AG81,0),AG76)</f>
        <v>0</v>
      </c>
      <c r="AH365" s="146" t="n">
        <f aca="false">AH362*(AH$5&lt;=$G$358+In_Refi_Tenor)*MIN(MAX($G$360-AH81,0),AH76)</f>
        <v>0</v>
      </c>
      <c r="AI365" s="146" t="n">
        <f aca="false">AI362*(AI$5&lt;=$G$358+In_Refi_Tenor)*MIN(MAX($G$360-AI81,0),AI76)</f>
        <v>0</v>
      </c>
      <c r="AJ365" s="146" t="n">
        <f aca="false">AJ362*(AJ$5&lt;=$G$358+In_Refi_Tenor)*MIN(MAX($G$360-AJ81,0),AJ76)</f>
        <v>0</v>
      </c>
      <c r="AK365" s="146" t="n">
        <f aca="false">AK362*(AK$5&lt;=$G$358+In_Refi_Tenor)*MIN(MAX($G$360-AK81,0),AK76)</f>
        <v>0</v>
      </c>
      <c r="AL365" s="146" t="n">
        <f aca="false">AL362*(AL$5&lt;=$G$358+In_Refi_Tenor)*MIN(MAX($G$360-AL81,0),AL76)</f>
        <v>0</v>
      </c>
      <c r="AM365" s="146" t="n">
        <f aca="false">AM362*(AM$5&lt;=$G$358+In_Refi_Tenor)*MIN(MAX($G$360-AM81,0),AM76)</f>
        <v>0</v>
      </c>
      <c r="AN365" s="146" t="n">
        <f aca="false">AN362*(AN$5&lt;=$G$358+In_Refi_Tenor)*MIN(MAX($G$360-AN81,0),AN76)</f>
        <v>0</v>
      </c>
      <c r="AO365" s="146" t="n">
        <f aca="false">AO362*(AO$5&lt;=$G$358+In_Refi_Tenor)*MIN(MAX($G$360-AO81,0),AO76)</f>
        <v>0</v>
      </c>
      <c r="AP365" s="146" t="n">
        <f aca="false">AP362*(AP$5&lt;=$G$358+In_Refi_Tenor)*MIN(MAX($G$360-AP81,0),AP76)</f>
        <v>0</v>
      </c>
      <c r="AQ365" s="146" t="n">
        <f aca="false">AQ362*(AQ$5&lt;=$G$358+In_Refi_Tenor)*MIN(MAX($G$360-AQ81,0),AQ76)</f>
        <v>0</v>
      </c>
    </row>
    <row r="366" customFormat="false" ht="15" hidden="false" customHeight="false" outlineLevel="0" collapsed="false">
      <c r="C366" s="0" t="s">
        <v>1454</v>
      </c>
      <c r="D366" s="0" t="s">
        <v>125</v>
      </c>
      <c r="G366" s="146" t="n">
        <f aca="false">SUM(H366:AQ366)</f>
        <v>0</v>
      </c>
      <c r="H366" s="146" t="n">
        <f aca="false">IF(AND(H$9&gt;=1,H$9&lt;=Inputs!$E$272),MIN(MAX(H70+H100+H86+H89,0)*Inputs!$E$271,H76+H77+H79-H83),0)</f>
        <v>0</v>
      </c>
      <c r="I366" s="146" t="n">
        <f aca="false">IF(AND(I$9&gt;=1,I$9&lt;=Inputs!$E$272),MIN(MAX(I70+I100+I86+I89,0)*Inputs!$E$271,I76+I77+I79-I83),0)</f>
        <v>0</v>
      </c>
      <c r="J366" s="146" t="n">
        <f aca="false">IF(AND(J$9&gt;=1,J$9&lt;=Inputs!$E$272),MIN(MAX(J70+J100+J86+J89,0)*Inputs!$E$271,J76+J77+J79-J83),0)</f>
        <v>0</v>
      </c>
      <c r="K366" s="146" t="n">
        <f aca="false">IF(AND(K$9&gt;=1,K$9&lt;=Inputs!$E$272),MIN(MAX(K70+K100+K86+K89,0)*Inputs!$E$271,K76+K77+K79-K83),0)</f>
        <v>0</v>
      </c>
      <c r="L366" s="146" t="n">
        <f aca="false">IF(AND(L$9&gt;=1,L$9&lt;=Inputs!$E$272),MIN(MAX(L70+L100+L86+L89,0)*Inputs!$E$271,L76+L77+L79-L83),0)</f>
        <v>0</v>
      </c>
      <c r="M366" s="146" t="n">
        <f aca="false">IF(AND(M$9&gt;=1,M$9&lt;=Inputs!$E$272),MIN(MAX(M70+M100+M86+M89,0)*Inputs!$E$271,M76+M77+M79-M83),0)</f>
        <v>0</v>
      </c>
      <c r="N366" s="146" t="n">
        <f aca="false">IF(AND(N$9&gt;=1,N$9&lt;=Inputs!$E$272),MIN(MAX(N70+N100+N86+N89,0)*Inputs!$E$271,N76+N77+N79-N83),0)</f>
        <v>0</v>
      </c>
      <c r="O366" s="146" t="n">
        <f aca="false">IF(AND(O$9&gt;=1,O$9&lt;=Inputs!$E$272),MIN(MAX(O70+O100+O86+O89,0)*Inputs!$E$271,O76+O77+O79-O83),0)</f>
        <v>0</v>
      </c>
      <c r="P366" s="146" t="n">
        <f aca="false">IF(AND(P$9&gt;=1,P$9&lt;=Inputs!$E$272),MIN(MAX(P70+P100+P86+P89,0)*Inputs!$E$271,P76+P77+P79-P83),0)</f>
        <v>0</v>
      </c>
      <c r="Q366" s="146" t="n">
        <f aca="false">IF(AND(Q$9&gt;=1,Q$9&lt;=Inputs!$E$272),MIN(MAX(Q70+Q100+Q86+Q89,0)*Inputs!$E$271,Q76+Q77+Q79-Q83),0)</f>
        <v>0</v>
      </c>
      <c r="R366" s="146" t="n">
        <f aca="false">IF(AND(R$9&gt;=1,R$9&lt;=Inputs!$E$272),MIN(MAX(R70+R100+R86+R89,0)*Inputs!$E$271,R76+R77+R79-R83),0)</f>
        <v>0</v>
      </c>
      <c r="S366" s="146" t="n">
        <f aca="false">IF(AND(S$9&gt;=1,S$9&lt;=Inputs!$E$272),MIN(MAX(S70+S100+S86+S89,0)*Inputs!$E$271,S76+S77+S79-S83),0)</f>
        <v>0</v>
      </c>
      <c r="T366" s="146" t="n">
        <f aca="false">IF(AND(T$9&gt;=1,T$9&lt;=Inputs!$E$272),MIN(MAX(T70+T100+T86+T89,0)*Inputs!$E$271,T76+T77+T79-T83),0)</f>
        <v>0</v>
      </c>
      <c r="U366" s="146" t="n">
        <f aca="false">IF(AND(U$9&gt;=1,U$9&lt;=Inputs!$E$272),MIN(MAX(U70+U100+U86+U89,0)*Inputs!$E$271,U76+U77+U79-U83),0)</f>
        <v>0</v>
      </c>
      <c r="V366" s="146" t="n">
        <f aca="false">IF(AND(V$9&gt;=1,V$9&lt;=Inputs!$E$272),MIN(MAX(V70+V100+V86+V89,0)*Inputs!$E$271,V76+V77+V79-V83),0)</f>
        <v>0</v>
      </c>
      <c r="W366" s="146" t="n">
        <f aca="false">IF(AND(W$9&gt;=1,W$9&lt;=Inputs!$E$272),MIN(MAX(W70+W100+W86+W89,0)*Inputs!$E$271,W76+W77+W79-W83),0)</f>
        <v>0</v>
      </c>
      <c r="X366" s="146" t="n">
        <f aca="false">IF(AND(X$9&gt;=1,X$9&lt;=Inputs!$E$272),MIN(MAX(X70+X100+X86+X89,0)*Inputs!$E$271,X76+X77+X79-X83),0)</f>
        <v>0</v>
      </c>
      <c r="Y366" s="146" t="n">
        <f aca="false">IF(AND(Y$9&gt;=1,Y$9&lt;=Inputs!$E$272),MIN(MAX(Y70+Y100+Y86+Y89,0)*Inputs!$E$271,Y76+Y77+Y79-Y83),0)</f>
        <v>0</v>
      </c>
      <c r="Z366" s="146" t="n">
        <f aca="false">IF(AND(Z$9&gt;=1,Z$9&lt;=Inputs!$E$272),MIN(MAX(Z70+Z100+Z86+Z89,0)*Inputs!$E$271,Z76+Z77+Z79-Z83),0)</f>
        <v>0</v>
      </c>
      <c r="AA366" s="146" t="n">
        <f aca="false">IF(AND(AA$9&gt;=1,AA$9&lt;=Inputs!$E$272),MIN(MAX(AA70+AA100+AA86+AA89,0)*Inputs!$E$271,AA76+AA77+AA79-AA83),0)</f>
        <v>0</v>
      </c>
      <c r="AB366" s="146" t="n">
        <f aca="false">IF(AND(AB$9&gt;=1,AB$9&lt;=Inputs!$E$272),MIN(MAX(AB70+AB100+AB86+AB89,0)*Inputs!$E$271,AB76+AB77+AB79-AB83),0)</f>
        <v>0</v>
      </c>
      <c r="AC366" s="146" t="n">
        <f aca="false">IF(AND(AC$9&gt;=1,AC$9&lt;=Inputs!$E$272),MIN(MAX(AC70+AC100+AC86+AC89,0)*Inputs!$E$271,AC76+AC77+AC79-AC83),0)</f>
        <v>0</v>
      </c>
      <c r="AD366" s="146" t="n">
        <f aca="false">IF(AND(AD$9&gt;=1,AD$9&lt;=Inputs!$E$272),MIN(MAX(AD70+AD100+AD86+AD89,0)*Inputs!$E$271,AD76+AD77+AD79-AD83),0)</f>
        <v>0</v>
      </c>
      <c r="AE366" s="146" t="n">
        <f aca="false">IF(AND(AE$9&gt;=1,AE$9&lt;=Inputs!$E$272),MIN(MAX(AE70+AE100+AE86+AE89,0)*Inputs!$E$271,AE76+AE77+AE79-AE83),0)</f>
        <v>0</v>
      </c>
      <c r="AF366" s="146" t="n">
        <f aca="false">IF(AND(AF$9&gt;=1,AF$9&lt;=Inputs!$E$272),MIN(MAX(AF70+AF100+AF86+AF89,0)*Inputs!$E$271,AF76+AF77+AF79-AF83),0)</f>
        <v>0</v>
      </c>
      <c r="AG366" s="146" t="n">
        <f aca="false">IF(AND(AG$9&gt;=1,AG$9&lt;=Inputs!$E$272),MIN(MAX(AG70+AG100+AG86+AG89,0)*Inputs!$E$271,AG76+AG77+AG79-AG83),0)</f>
        <v>0</v>
      </c>
      <c r="AH366" s="146" t="n">
        <f aca="false">IF(AND(AH$9&gt;=1,AH$9&lt;=Inputs!$E$272),MIN(MAX(AH70+AH100+AH86+AH89,0)*Inputs!$E$271,AH76+AH77+AH79-AH83),0)</f>
        <v>0</v>
      </c>
      <c r="AI366" s="146" t="n">
        <f aca="false">IF(AND(AI$9&gt;=1,AI$9&lt;=Inputs!$E$272),MIN(MAX(AI70+AI100+AI86+AI89,0)*Inputs!$E$271,AI76+AI77+AI79-AI83),0)</f>
        <v>0</v>
      </c>
      <c r="AJ366" s="146" t="n">
        <f aca="false">IF(AND(AJ$9&gt;=1,AJ$9&lt;=Inputs!$E$272),MIN(MAX(AJ70+AJ100+AJ86+AJ89,0)*Inputs!$E$271,AJ76+AJ77+AJ79-AJ83),0)</f>
        <v>0</v>
      </c>
      <c r="AK366" s="146" t="n">
        <f aca="false">IF(AND(AK$9&gt;=1,AK$9&lt;=Inputs!$E$272),MIN(MAX(AK70+AK100+AK86+AK89,0)*Inputs!$E$271,AK76+AK77+AK79-AK83),0)</f>
        <v>0</v>
      </c>
      <c r="AL366" s="146" t="n">
        <f aca="false">IF(AND(AL$9&gt;=1,AL$9&lt;=Inputs!$E$272),MIN(MAX(AL70+AL100+AL86+AL89,0)*Inputs!$E$271,AL76+AL77+AL79-AL83),0)</f>
        <v>0</v>
      </c>
      <c r="AM366" s="146" t="n">
        <f aca="false">IF(AND(AM$9&gt;=1,AM$9&lt;=Inputs!$E$272),MIN(MAX(AM70+AM100+AM86+AM89,0)*Inputs!$E$271,AM76+AM77+AM79-AM83),0)</f>
        <v>0</v>
      </c>
      <c r="AN366" s="146" t="n">
        <f aca="false">IF(AND(AN$9&gt;=1,AN$9&lt;=Inputs!$E$272),MIN(MAX(AN70+AN100+AN86+AN89,0)*Inputs!$E$271,AN76+AN77+AN79-AN83),0)</f>
        <v>0</v>
      </c>
      <c r="AO366" s="146" t="n">
        <f aca="false">IF(AND(AO$9&gt;=1,AO$9&lt;=Inputs!$E$272),MIN(MAX(AO70+AO100+AO86+AO89,0)*Inputs!$E$271,AO76+AO77+AO79-AO83),0)</f>
        <v>0</v>
      </c>
      <c r="AP366" s="146" t="n">
        <f aca="false">IF(AND(AP$9&gt;=1,AP$9&lt;=Inputs!$E$272),MIN(MAX(AP70+AP100+AP86+AP89,0)*Inputs!$E$271,AP76+AP77+AP79-AP83),0)</f>
        <v>0</v>
      </c>
      <c r="AQ366" s="146" t="n">
        <f aca="false">IF(AND(AQ$9&gt;=1,AQ$9&lt;=Inputs!$E$272),MIN(MAX(AQ70+AQ100+AQ86+AQ89,0)*Inputs!$E$271,AQ76+AQ77+AQ79-AQ83),0)</f>
        <v>0</v>
      </c>
    </row>
    <row r="367" customFormat="false" ht="15" hidden="false" customHeight="false" outlineLevel="0" collapsed="false">
      <c r="C367" s="0" t="s">
        <v>1455</v>
      </c>
      <c r="D367" s="0" t="s">
        <v>125</v>
      </c>
      <c r="G367" s="146" t="n">
        <f aca="false">SUM(H367:AQ367)</f>
        <v>0</v>
      </c>
      <c r="H367" s="146" t="n">
        <f aca="false">H361*(H76-H364-H366)</f>
        <v>0</v>
      </c>
      <c r="I367" s="146" t="n">
        <f aca="false">I361*(I76-I364-I366)</f>
        <v>0</v>
      </c>
      <c r="J367" s="146" t="n">
        <f aca="false">J361*(J76-J364-J366)</f>
        <v>0</v>
      </c>
      <c r="K367" s="146" t="n">
        <f aca="false">K361*(K76-K364-K366)</f>
        <v>0</v>
      </c>
      <c r="L367" s="146" t="n">
        <f aca="false">L361*(L76-L364-L366)</f>
        <v>0</v>
      </c>
      <c r="M367" s="146" t="n">
        <f aca="false">M361*(M76-M364-M366)</f>
        <v>0</v>
      </c>
      <c r="N367" s="146" t="n">
        <f aca="false">N361*(N76-N364-N366)</f>
        <v>0</v>
      </c>
      <c r="O367" s="146" t="n">
        <f aca="false">O361*(O76-O364-O366)</f>
        <v>0</v>
      </c>
      <c r="P367" s="146" t="n">
        <f aca="false">P361*(P76-P364-P366)</f>
        <v>0</v>
      </c>
      <c r="Q367" s="146" t="n">
        <f aca="false">Q361*(Q76-Q364-Q366)</f>
        <v>0</v>
      </c>
      <c r="R367" s="146" t="n">
        <f aca="false">R361*(R76-R364-R366)</f>
        <v>0</v>
      </c>
      <c r="S367" s="146" t="n">
        <f aca="false">S361*(S76-S364-S366)</f>
        <v>0</v>
      </c>
      <c r="T367" s="146" t="n">
        <f aca="false">T361*(T76-T364-T366)</f>
        <v>0</v>
      </c>
      <c r="U367" s="146" t="n">
        <f aca="false">U361*(U76-U364-U366)</f>
        <v>0</v>
      </c>
      <c r="V367" s="146" t="n">
        <f aca="false">V361*(V76-V364-V366)</f>
        <v>0</v>
      </c>
      <c r="W367" s="146" t="n">
        <f aca="false">W361*(W76-W364-W366)</f>
        <v>0</v>
      </c>
      <c r="X367" s="146" t="n">
        <f aca="false">X361*(X76-X364-X366)</f>
        <v>0</v>
      </c>
      <c r="Y367" s="146" t="n">
        <f aca="false">Y361*(Y76-Y364-Y366)</f>
        <v>0</v>
      </c>
      <c r="Z367" s="146" t="n">
        <f aca="false">Z361*(Z76-Z364-Z366)</f>
        <v>0</v>
      </c>
      <c r="AA367" s="146" t="n">
        <f aca="false">AA361*(AA76-AA364-AA366)</f>
        <v>0</v>
      </c>
      <c r="AB367" s="146" t="n">
        <f aca="false">AB361*(AB76-AB364-AB366)</f>
        <v>0</v>
      </c>
      <c r="AC367" s="146" t="n">
        <f aca="false">AC361*(AC76-AC364-AC366)</f>
        <v>0</v>
      </c>
      <c r="AD367" s="146" t="n">
        <f aca="false">AD361*(AD76-AD364-AD366)</f>
        <v>0</v>
      </c>
      <c r="AE367" s="146" t="n">
        <f aca="false">AE361*(AE76-AE364-AE366)</f>
        <v>0</v>
      </c>
      <c r="AF367" s="146" t="n">
        <f aca="false">AF361*(AF76-AF364-AF366)</f>
        <v>0</v>
      </c>
      <c r="AG367" s="146" t="n">
        <f aca="false">AG361*(AG76-AG364-AG366)</f>
        <v>0</v>
      </c>
      <c r="AH367" s="146" t="n">
        <f aca="false">AH361*(AH76-AH364-AH366)</f>
        <v>0</v>
      </c>
      <c r="AI367" s="146" t="n">
        <f aca="false">AI361*(AI76-AI364-AI366)</f>
        <v>0</v>
      </c>
      <c r="AJ367" s="146" t="n">
        <f aca="false">AJ361*(AJ76-AJ364-AJ366)</f>
        <v>0</v>
      </c>
      <c r="AK367" s="146" t="n">
        <f aca="false">AK361*(AK76-AK364-AK366)</f>
        <v>0</v>
      </c>
      <c r="AL367" s="146" t="n">
        <f aca="false">AL361*(AL76-AL364-AL366)</f>
        <v>0</v>
      </c>
      <c r="AM367" s="146" t="n">
        <f aca="false">AM361*(AM76-AM364-AM366)</f>
        <v>0</v>
      </c>
      <c r="AN367" s="146" t="n">
        <f aca="false">AN361*(AN76-AN364-AN366)</f>
        <v>0</v>
      </c>
      <c r="AO367" s="146" t="n">
        <f aca="false">AO361*(AO76-AO364-AO366)</f>
        <v>0</v>
      </c>
      <c r="AP367" s="146" t="n">
        <f aca="false">AP361*(AP76-AP364-AP366)</f>
        <v>0</v>
      </c>
      <c r="AQ367" s="146" t="n">
        <f aca="false">AQ361*(AQ76-AQ364-AQ366)</f>
        <v>0</v>
      </c>
    </row>
    <row r="368" customFormat="false" ht="15" hidden="false" customHeight="false" outlineLevel="0" collapsed="false">
      <c r="C368" s="0" t="s">
        <v>1456</v>
      </c>
      <c r="D368" s="0" t="s">
        <v>125</v>
      </c>
      <c r="G368" s="146" t="n">
        <f aca="false">SUM(H368:AQ368)</f>
        <v>0</v>
      </c>
      <c r="H368" s="146" t="n">
        <f aca="false">-H361*$G$359*In_Refi_Fee</f>
        <v>-0</v>
      </c>
      <c r="I368" s="146" t="n">
        <f aca="false">-I361*$G$359*In_Refi_Fee</f>
        <v>-0</v>
      </c>
      <c r="J368" s="146" t="n">
        <f aca="false">-J361*$G$359*In_Refi_Fee</f>
        <v>-0</v>
      </c>
      <c r="K368" s="146" t="n">
        <f aca="false">-K361*$G$359*In_Refi_Fee</f>
        <v>-0</v>
      </c>
      <c r="L368" s="146" t="n">
        <f aca="false">-L361*$G$359*In_Refi_Fee</f>
        <v>-0</v>
      </c>
      <c r="M368" s="146" t="n">
        <f aca="false">-M361*$G$359*In_Refi_Fee</f>
        <v>-0</v>
      </c>
      <c r="N368" s="146" t="n">
        <f aca="false">-N361*$G$359*In_Refi_Fee</f>
        <v>-0</v>
      </c>
      <c r="O368" s="146" t="n">
        <f aca="false">-O361*$G$359*In_Refi_Fee</f>
        <v>-0</v>
      </c>
      <c r="P368" s="146" t="n">
        <f aca="false">-P361*$G$359*In_Refi_Fee</f>
        <v>-0</v>
      </c>
      <c r="Q368" s="146" t="n">
        <f aca="false">-Q361*$G$359*In_Refi_Fee</f>
        <v>-0</v>
      </c>
      <c r="R368" s="146" t="n">
        <f aca="false">-R361*$G$359*In_Refi_Fee</f>
        <v>-0</v>
      </c>
      <c r="S368" s="146" t="n">
        <f aca="false">-S361*$G$359*In_Refi_Fee</f>
        <v>-0</v>
      </c>
      <c r="T368" s="146" t="n">
        <f aca="false">-T361*$G$359*In_Refi_Fee</f>
        <v>-0</v>
      </c>
      <c r="U368" s="146" t="n">
        <f aca="false">-U361*$G$359*In_Refi_Fee</f>
        <v>-0</v>
      </c>
      <c r="V368" s="146" t="n">
        <f aca="false">-V361*$G$359*In_Refi_Fee</f>
        <v>-0</v>
      </c>
      <c r="W368" s="146" t="n">
        <f aca="false">-W361*$G$359*In_Refi_Fee</f>
        <v>-0</v>
      </c>
      <c r="X368" s="146" t="n">
        <f aca="false">-X361*$G$359*In_Refi_Fee</f>
        <v>-0</v>
      </c>
      <c r="Y368" s="146" t="n">
        <f aca="false">-Y361*$G$359*In_Refi_Fee</f>
        <v>-0</v>
      </c>
      <c r="Z368" s="146" t="n">
        <f aca="false">-Z361*$G$359*In_Refi_Fee</f>
        <v>-0</v>
      </c>
      <c r="AA368" s="146" t="n">
        <f aca="false">-AA361*$G$359*In_Refi_Fee</f>
        <v>-0</v>
      </c>
      <c r="AB368" s="146" t="n">
        <f aca="false">-AB361*$G$359*In_Refi_Fee</f>
        <v>-0</v>
      </c>
      <c r="AC368" s="146" t="n">
        <f aca="false">-AC361*$G$359*In_Refi_Fee</f>
        <v>-0</v>
      </c>
      <c r="AD368" s="146" t="n">
        <f aca="false">-AD361*$G$359*In_Refi_Fee</f>
        <v>-0</v>
      </c>
      <c r="AE368" s="146" t="n">
        <f aca="false">-AE361*$G$359*In_Refi_Fee</f>
        <v>-0</v>
      </c>
      <c r="AF368" s="146" t="n">
        <f aca="false">-AF361*$G$359*In_Refi_Fee</f>
        <v>-0</v>
      </c>
      <c r="AG368" s="146" t="n">
        <f aca="false">-AG361*$G$359*In_Refi_Fee</f>
        <v>-0</v>
      </c>
      <c r="AH368" s="146" t="n">
        <f aca="false">-AH361*$G$359*In_Refi_Fee</f>
        <v>-0</v>
      </c>
      <c r="AI368" s="146" t="n">
        <f aca="false">-AI361*$G$359*In_Refi_Fee</f>
        <v>-0</v>
      </c>
      <c r="AJ368" s="146" t="n">
        <f aca="false">-AJ361*$G$359*In_Refi_Fee</f>
        <v>-0</v>
      </c>
      <c r="AK368" s="146" t="n">
        <f aca="false">-AK361*$G$359*In_Refi_Fee</f>
        <v>-0</v>
      </c>
      <c r="AL368" s="146" t="n">
        <f aca="false">-AL361*$G$359*In_Refi_Fee</f>
        <v>-0</v>
      </c>
      <c r="AM368" s="146" t="n">
        <f aca="false">-AM361*$G$359*In_Refi_Fee</f>
        <v>-0</v>
      </c>
      <c r="AN368" s="146" t="n">
        <f aca="false">-AN361*$G$359*In_Refi_Fee</f>
        <v>-0</v>
      </c>
      <c r="AO368" s="146" t="n">
        <f aca="false">-AO361*$G$359*In_Refi_Fee</f>
        <v>-0</v>
      </c>
      <c r="AP368" s="146" t="n">
        <f aca="false">-AP361*$G$359*In_Refi_Fee</f>
        <v>-0</v>
      </c>
      <c r="AQ368" s="146" t="n">
        <f aca="false">-AQ361*$G$359*In_Refi_Fee</f>
        <v>-0</v>
      </c>
    </row>
    <row r="369" customFormat="false" ht="15" hidden="false" customHeight="false" outlineLevel="0" collapsed="false">
      <c r="C369" s="0" t="s">
        <v>1457</v>
      </c>
      <c r="D369" s="0" t="s">
        <v>125</v>
      </c>
      <c r="G369" s="146" t="n">
        <f aca="false">SUM(H369:AQ369)</f>
        <v>0</v>
      </c>
      <c r="H369" s="146" t="n">
        <f aca="false">H361*$G$359</f>
        <v>0</v>
      </c>
      <c r="I369" s="146" t="n">
        <f aca="false">I361*$G$359</f>
        <v>0</v>
      </c>
      <c r="J369" s="146" t="n">
        <f aca="false">J361*$G$359</f>
        <v>0</v>
      </c>
      <c r="K369" s="146" t="n">
        <f aca="false">K361*$G$359</f>
        <v>0</v>
      </c>
      <c r="L369" s="146" t="n">
        <f aca="false">L361*$G$359</f>
        <v>0</v>
      </c>
      <c r="M369" s="146" t="n">
        <f aca="false">M361*$G$359</f>
        <v>0</v>
      </c>
      <c r="N369" s="146" t="n">
        <f aca="false">N361*$G$359</f>
        <v>0</v>
      </c>
      <c r="O369" s="146" t="n">
        <f aca="false">O361*$G$359</f>
        <v>0</v>
      </c>
      <c r="P369" s="146" t="n">
        <f aca="false">P361*$G$359</f>
        <v>0</v>
      </c>
      <c r="Q369" s="146" t="n">
        <f aca="false">Q361*$G$359</f>
        <v>0</v>
      </c>
      <c r="R369" s="146" t="n">
        <f aca="false">R361*$G$359</f>
        <v>0</v>
      </c>
      <c r="S369" s="146" t="n">
        <f aca="false">S361*$G$359</f>
        <v>0</v>
      </c>
      <c r="T369" s="146" t="n">
        <f aca="false">T361*$G$359</f>
        <v>0</v>
      </c>
      <c r="U369" s="146" t="n">
        <f aca="false">U361*$G$359</f>
        <v>0</v>
      </c>
      <c r="V369" s="146" t="n">
        <f aca="false">V361*$G$359</f>
        <v>0</v>
      </c>
      <c r="W369" s="146" t="n">
        <f aca="false">W361*$G$359</f>
        <v>0</v>
      </c>
      <c r="X369" s="146" t="n">
        <f aca="false">X361*$G$359</f>
        <v>0</v>
      </c>
      <c r="Y369" s="146" t="n">
        <f aca="false">Y361*$G$359</f>
        <v>0</v>
      </c>
      <c r="Z369" s="146" t="n">
        <f aca="false">Z361*$G$359</f>
        <v>0</v>
      </c>
      <c r="AA369" s="146" t="n">
        <f aca="false">AA361*$G$359</f>
        <v>0</v>
      </c>
      <c r="AB369" s="146" t="n">
        <f aca="false">AB361*$G$359</f>
        <v>0</v>
      </c>
      <c r="AC369" s="146" t="n">
        <f aca="false">AC361*$G$359</f>
        <v>0</v>
      </c>
      <c r="AD369" s="146" t="n">
        <f aca="false">AD361*$G$359</f>
        <v>0</v>
      </c>
      <c r="AE369" s="146" t="n">
        <f aca="false">AE361*$G$359</f>
        <v>0</v>
      </c>
      <c r="AF369" s="146" t="n">
        <f aca="false">AF361*$G$359</f>
        <v>0</v>
      </c>
      <c r="AG369" s="146" t="n">
        <f aca="false">AG361*$G$359</f>
        <v>0</v>
      </c>
      <c r="AH369" s="146" t="n">
        <f aca="false">AH361*$G$359</f>
        <v>0</v>
      </c>
      <c r="AI369" s="146" t="n">
        <f aca="false">AI361*$G$359</f>
        <v>0</v>
      </c>
      <c r="AJ369" s="146" t="n">
        <f aca="false">AJ361*$G$359</f>
        <v>0</v>
      </c>
      <c r="AK369" s="146" t="n">
        <f aca="false">AK361*$G$359</f>
        <v>0</v>
      </c>
      <c r="AL369" s="146" t="n">
        <f aca="false">AL361*$G$359</f>
        <v>0</v>
      </c>
      <c r="AM369" s="146" t="n">
        <f aca="false">AM361*$G$359</f>
        <v>0</v>
      </c>
      <c r="AN369" s="146" t="n">
        <f aca="false">AN361*$G$359</f>
        <v>0</v>
      </c>
      <c r="AO369" s="146" t="n">
        <f aca="false">AO361*$G$359</f>
        <v>0</v>
      </c>
      <c r="AP369" s="146" t="n">
        <f aca="false">AP361*$G$359</f>
        <v>0</v>
      </c>
      <c r="AQ369" s="146" t="n">
        <f aca="false">AQ361*$G$359</f>
        <v>0</v>
      </c>
    </row>
    <row r="370" customFormat="false" ht="15" hidden="false" customHeight="false" outlineLevel="0" collapsed="false">
      <c r="C370" s="0" t="s">
        <v>1458</v>
      </c>
      <c r="D370" s="0" t="s">
        <v>6</v>
      </c>
      <c r="G370" s="153" t="n">
        <f aca="false">MAX(Inputs!$E$156+Inputs!$E$222-1,In_Refi_On*($G$358+In_Refi_Tenor))</f>
        <v>2046</v>
      </c>
    </row>
    <row r="371" customFormat="false" ht="15" hidden="false" customHeight="false" outlineLevel="0" collapsed="false">
      <c r="C371" s="0" t="s">
        <v>1459</v>
      </c>
      <c r="D371" s="0" t="s">
        <v>125</v>
      </c>
      <c r="G371" s="146" t="n">
        <f aca="false">SUMIF(H5:AQ5,$G$370,H84:AQ84)</f>
        <v>0</v>
      </c>
    </row>
    <row r="372" customFormat="false" ht="15" hidden="false" customHeight="false" outlineLevel="0" collapsed="false">
      <c r="C372" s="0" t="s">
        <v>1460</v>
      </c>
      <c r="D372" s="0" t="s">
        <v>125</v>
      </c>
      <c r="G372" s="146" t="n">
        <f aca="false">In_Refi_On*SUMIF(H5:AQ5,$G$358,H84:AQ84)</f>
        <v>0</v>
      </c>
    </row>
    <row r="373" customFormat="false" ht="15" hidden="false" customHeight="false" outlineLevel="0" collapsed="false">
      <c r="C373" s="0" t="s">
        <v>1461</v>
      </c>
      <c r="D373" s="0" t="s">
        <v>51</v>
      </c>
      <c r="G373" s="141" t="n">
        <f aca="false">$G$372/-$G$30</f>
        <v>0</v>
      </c>
    </row>
    <row r="374" customFormat="false" ht="15" hidden="false" customHeight="false" outlineLevel="0" collapsed="false">
      <c r="C374" s="0" t="s">
        <v>147</v>
      </c>
      <c r="D374" s="0" t="s">
        <v>7</v>
      </c>
      <c r="G374" s="162" t="str">
        <f aca="false">IF(In_Refi_On=1,_xlfn.MINIFS(H126:AQ126,H5:AQ5,"&gt;"&amp;$G$358),"n/a")</f>
        <v>n/a</v>
      </c>
    </row>
    <row r="375" customFormat="false" ht="15" hidden="false" customHeight="false" outlineLevel="0" collapsed="false">
      <c r="C375" s="0" t="s">
        <v>1462</v>
      </c>
      <c r="D375" s="0" t="s">
        <v>125</v>
      </c>
      <c r="G375" s="146" t="n">
        <f aca="false">In_Refi_On*$G$359-$G$367+$G$368</f>
        <v>0</v>
      </c>
    </row>
  </sheetData>
  <conditionalFormatting sqref="G163:G172">
    <cfRule type="containsText" priority="2" operator="containsText" aboveAverage="0" equalAverage="0" bottom="0" percent="0" rank="0" text="OK" dxfId="2">
      <formula>NOT(ISERROR(SEARCH("OK",G163)))</formula>
    </cfRule>
    <cfRule type="containsText" priority="3" operator="containsText" aboveAverage="0" equalAverage="0" bottom="0" percent="0" rank="0" text="FAIL" dxfId="3">
      <formula>NOT(ISERROR(SEARCH("FAIL",G163)))</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E6" activeCellId="0" sqref="E6"/>
    </sheetView>
  </sheetViews>
  <sheetFormatPr defaultColWidth="8.5703125" defaultRowHeight="15" zeroHeight="false" outlineLevelRow="0" outlineLevelCol="0"/>
  <cols>
    <col collapsed="false" customWidth="true" hidden="false" outlineLevel="0" max="1" min="1" style="0" width="3.57"/>
    <col collapsed="false" customWidth="true" hidden="false" outlineLevel="0" max="2" min="2" style="0" width="5.57"/>
    <col collapsed="false" customWidth="true" hidden="false" outlineLevel="0" max="3" min="3" style="0" width="17.57"/>
    <col collapsed="false" customWidth="true" hidden="false" outlineLevel="0" max="4" min="4" style="0" width="37"/>
    <col collapsed="false" customWidth="true" hidden="false" outlineLevel="0" max="6" min="5" style="0" width="61.15"/>
    <col collapsed="false" customWidth="true" hidden="false" outlineLevel="0" max="7" min="7" style="0" width="17.57"/>
    <col collapsed="false" customWidth="true" hidden="false" outlineLevel="0" max="8" min="8" style="0" width="13"/>
    <col collapsed="false" customWidth="true" hidden="false" outlineLevel="0" max="9" min="9" style="0" width="37"/>
  </cols>
  <sheetData>
    <row r="1" customFormat="false" ht="15" hidden="false" customHeight="false" outlineLevel="0" collapsed="false">
      <c r="A1" s="295" t="s">
        <v>1463</v>
      </c>
    </row>
    <row r="2" customFormat="false" ht="15" hidden="false" customHeight="false" outlineLevel="0" collapsed="false">
      <c r="A2" s="296" t="s">
        <v>1464</v>
      </c>
    </row>
    <row r="3" customFormat="false" ht="15" hidden="false" customHeight="false" outlineLevel="0" collapsed="false">
      <c r="A3" s="297" t="s">
        <v>1465</v>
      </c>
    </row>
    <row r="4" customFormat="false" ht="15" hidden="false" customHeight="false" outlineLevel="0" collapsed="false">
      <c r="B4" s="0" t="s">
        <v>1466</v>
      </c>
    </row>
    <row r="5" customFormat="false" ht="30" hidden="false" customHeight="true" outlineLevel="0" collapsed="false">
      <c r="A5" s="298"/>
      <c r="B5" s="299" t="s">
        <v>29</v>
      </c>
      <c r="C5" s="300" t="s">
        <v>1467</v>
      </c>
      <c r="D5" s="300" t="s">
        <v>1468</v>
      </c>
      <c r="E5" s="301" t="s">
        <v>1469</v>
      </c>
      <c r="F5" s="301" t="s">
        <v>1470</v>
      </c>
      <c r="G5" s="300" t="s">
        <v>1471</v>
      </c>
      <c r="H5" s="299" t="s">
        <v>194</v>
      </c>
      <c r="I5" s="302" t="s">
        <v>1472</v>
      </c>
    </row>
    <row r="6" customFormat="false" ht="60" hidden="false" customHeight="true" outlineLevel="0" collapsed="false">
      <c r="A6" s="298"/>
      <c r="B6" s="298" t="n">
        <v>1</v>
      </c>
      <c r="C6" s="298" t="s">
        <v>1473</v>
      </c>
      <c r="D6" s="298" t="s">
        <v>1474</v>
      </c>
      <c r="E6" s="303" t="s">
        <v>1475</v>
      </c>
      <c r="F6" s="303" t="s">
        <v>1476</v>
      </c>
      <c r="G6" s="303" t="s">
        <v>1477</v>
      </c>
      <c r="H6" s="304" t="s">
        <v>1478</v>
      </c>
      <c r="I6" s="303"/>
    </row>
    <row r="7" customFormat="false" ht="75" hidden="false" customHeight="true" outlineLevel="0" collapsed="false">
      <c r="A7" s="298"/>
      <c r="B7" s="298" t="n">
        <v>2</v>
      </c>
      <c r="C7" s="298" t="s">
        <v>1479</v>
      </c>
      <c r="D7" s="298" t="s">
        <v>1480</v>
      </c>
      <c r="E7" s="303" t="s">
        <v>1481</v>
      </c>
      <c r="F7" s="303" t="s">
        <v>1482</v>
      </c>
      <c r="G7" s="303" t="s">
        <v>1483</v>
      </c>
      <c r="H7" s="304" t="s">
        <v>1484</v>
      </c>
      <c r="I7" s="303" t="s">
        <v>1485</v>
      </c>
    </row>
    <row r="8" customFormat="false" ht="60" hidden="false" customHeight="true" outlineLevel="0" collapsed="false">
      <c r="A8" s="298"/>
      <c r="B8" s="298" t="n">
        <v>3</v>
      </c>
      <c r="C8" s="298" t="s">
        <v>1486</v>
      </c>
      <c r="D8" s="298" t="s">
        <v>1487</v>
      </c>
      <c r="E8" s="303" t="s">
        <v>1488</v>
      </c>
      <c r="F8" s="303" t="s">
        <v>1489</v>
      </c>
      <c r="G8" s="303" t="s">
        <v>1490</v>
      </c>
      <c r="H8" s="304" t="s">
        <v>1491</v>
      </c>
      <c r="I8" s="303" t="s">
        <v>1492</v>
      </c>
    </row>
    <row r="9" customFormat="false" ht="105" hidden="false" customHeight="true" outlineLevel="0" collapsed="false">
      <c r="A9" s="298"/>
      <c r="B9" s="298" t="n">
        <v>4</v>
      </c>
      <c r="C9" s="298" t="s">
        <v>1493</v>
      </c>
      <c r="D9" s="298" t="s">
        <v>1494</v>
      </c>
      <c r="E9" s="303" t="s">
        <v>1495</v>
      </c>
      <c r="F9" s="303" t="s">
        <v>1496</v>
      </c>
      <c r="G9" s="303" t="s">
        <v>1497</v>
      </c>
      <c r="H9" s="304" t="s">
        <v>1498</v>
      </c>
      <c r="I9" s="303" t="s">
        <v>148</v>
      </c>
    </row>
    <row r="10" customFormat="false" ht="75" hidden="false" customHeight="true" outlineLevel="0" collapsed="false">
      <c r="A10" s="298"/>
      <c r="B10" s="298" t="n">
        <v>5</v>
      </c>
      <c r="C10" s="298" t="s">
        <v>1499</v>
      </c>
      <c r="D10" s="298" t="s">
        <v>1500</v>
      </c>
      <c r="E10" s="303" t="s">
        <v>1501</v>
      </c>
      <c r="F10" s="303" t="s">
        <v>1502</v>
      </c>
      <c r="G10" s="303" t="s">
        <v>1503</v>
      </c>
      <c r="H10" s="304" t="s">
        <v>1504</v>
      </c>
      <c r="I10" s="303" t="s">
        <v>148</v>
      </c>
    </row>
    <row r="11" customFormat="false" ht="75" hidden="false" customHeight="true" outlineLevel="0" collapsed="false">
      <c r="A11" s="298"/>
      <c r="B11" s="298" t="n">
        <v>6</v>
      </c>
      <c r="C11" s="298" t="s">
        <v>1505</v>
      </c>
      <c r="D11" s="298" t="s">
        <v>1506</v>
      </c>
      <c r="E11" s="303" t="s">
        <v>1507</v>
      </c>
      <c r="F11" s="303" t="s">
        <v>1508</v>
      </c>
      <c r="G11" s="303" t="s">
        <v>1509</v>
      </c>
      <c r="H11" s="304" t="s">
        <v>1510</v>
      </c>
      <c r="I11" s="303" t="s">
        <v>1511</v>
      </c>
    </row>
    <row r="12" customFormat="false" ht="105" hidden="false" customHeight="true" outlineLevel="0" collapsed="false">
      <c r="A12" s="298"/>
      <c r="B12" s="298" t="n">
        <v>7</v>
      </c>
      <c r="C12" s="298" t="s">
        <v>1486</v>
      </c>
      <c r="D12" s="298" t="s">
        <v>1512</v>
      </c>
      <c r="E12" s="303" t="s">
        <v>1513</v>
      </c>
      <c r="F12" s="303" t="s">
        <v>1514</v>
      </c>
      <c r="G12" s="303" t="s">
        <v>1515</v>
      </c>
      <c r="H12" s="304" t="s">
        <v>1516</v>
      </c>
      <c r="I12" s="303" t="s">
        <v>1492</v>
      </c>
    </row>
    <row r="13" customFormat="false" ht="135" hidden="false" customHeight="true" outlineLevel="0" collapsed="false">
      <c r="A13" s="298"/>
      <c r="B13" s="298" t="n">
        <v>8</v>
      </c>
      <c r="C13" s="298" t="s">
        <v>1473</v>
      </c>
      <c r="D13" s="298" t="s">
        <v>1517</v>
      </c>
      <c r="E13" s="303" t="s">
        <v>1518</v>
      </c>
      <c r="F13" s="303" t="s">
        <v>1519</v>
      </c>
      <c r="G13" s="298" t="s">
        <v>1497</v>
      </c>
      <c r="H13" s="305" t="s">
        <v>1520</v>
      </c>
      <c r="I13" s="303" t="s">
        <v>1521</v>
      </c>
    </row>
    <row r="14" customFormat="false" ht="135" hidden="false" customHeight="true" outlineLevel="0" collapsed="false">
      <c r="A14" s="298"/>
      <c r="B14" s="298" t="n">
        <v>9</v>
      </c>
      <c r="C14" s="298" t="s">
        <v>1522</v>
      </c>
      <c r="D14" s="298" t="s">
        <v>1523</v>
      </c>
      <c r="E14" s="303" t="s">
        <v>1524</v>
      </c>
      <c r="F14" s="303" t="s">
        <v>1525</v>
      </c>
      <c r="G14" s="303" t="s">
        <v>1526</v>
      </c>
      <c r="H14" s="304" t="s">
        <v>1527</v>
      </c>
      <c r="I14" s="303"/>
    </row>
    <row r="15" customFormat="false" ht="60" hidden="false" customHeight="true" outlineLevel="0" collapsed="false">
      <c r="A15" s="298"/>
      <c r="B15" s="298" t="n">
        <v>10</v>
      </c>
      <c r="C15" s="298" t="s">
        <v>1528</v>
      </c>
      <c r="D15" s="298" t="s">
        <v>1529</v>
      </c>
      <c r="E15" s="303" t="s">
        <v>1530</v>
      </c>
      <c r="F15" s="303" t="s">
        <v>1531</v>
      </c>
      <c r="G15" s="298" t="s">
        <v>1526</v>
      </c>
      <c r="H15" s="305" t="s">
        <v>1532</v>
      </c>
      <c r="I15" s="306"/>
    </row>
    <row r="16" customFormat="false" ht="120" hidden="false" customHeight="true" outlineLevel="0" collapsed="false">
      <c r="A16" s="298"/>
      <c r="B16" s="298" t="n">
        <v>11</v>
      </c>
      <c r="C16" s="298" t="s">
        <v>1533</v>
      </c>
      <c r="D16" s="298" t="s">
        <v>1534</v>
      </c>
      <c r="E16" s="303" t="s">
        <v>1535</v>
      </c>
      <c r="F16" s="303" t="s">
        <v>1536</v>
      </c>
      <c r="G16" s="298" t="s">
        <v>1537</v>
      </c>
      <c r="H16" s="305" t="s">
        <v>1538</v>
      </c>
      <c r="I16" s="306"/>
    </row>
    <row r="17" customFormat="false" ht="75" hidden="false" customHeight="true" outlineLevel="0" collapsed="false">
      <c r="A17" s="298"/>
      <c r="B17" s="298" t="n">
        <v>12</v>
      </c>
      <c r="C17" s="298" t="s">
        <v>1539</v>
      </c>
      <c r="D17" s="298" t="s">
        <v>1540</v>
      </c>
      <c r="E17" s="303" t="s">
        <v>1541</v>
      </c>
      <c r="F17" s="303" t="s">
        <v>1542</v>
      </c>
      <c r="G17" s="303" t="s">
        <v>1543</v>
      </c>
      <c r="H17" s="304" t="s">
        <v>1544</v>
      </c>
      <c r="I17" s="303" t="s">
        <v>1492</v>
      </c>
    </row>
    <row r="18" customFormat="false" ht="90" hidden="false" customHeight="true" outlineLevel="0" collapsed="false">
      <c r="A18" s="298"/>
      <c r="B18" s="298" t="n">
        <v>13</v>
      </c>
      <c r="C18" s="298" t="s">
        <v>1545</v>
      </c>
      <c r="D18" s="298" t="s">
        <v>1546</v>
      </c>
      <c r="E18" s="303" t="s">
        <v>1547</v>
      </c>
      <c r="F18" s="303" t="s">
        <v>1548</v>
      </c>
      <c r="G18" s="303" t="s">
        <v>1515</v>
      </c>
      <c r="H18" s="304" t="s">
        <v>1549</v>
      </c>
      <c r="I18" s="303" t="s">
        <v>1550</v>
      </c>
    </row>
    <row r="19" customFormat="false" ht="60" hidden="false" customHeight="true" outlineLevel="0" collapsed="false">
      <c r="A19" s="298"/>
      <c r="B19" s="298" t="n">
        <v>14</v>
      </c>
      <c r="C19" s="298" t="s">
        <v>1473</v>
      </c>
      <c r="D19" s="298" t="s">
        <v>1551</v>
      </c>
      <c r="E19" s="303" t="s">
        <v>1552</v>
      </c>
      <c r="F19" s="303" t="s">
        <v>1553</v>
      </c>
      <c r="G19" s="303" t="s">
        <v>1526</v>
      </c>
      <c r="H19" s="304" t="s">
        <v>1554</v>
      </c>
      <c r="I19" s="303"/>
    </row>
    <row r="20" customFormat="false" ht="45" hidden="false" customHeight="true" outlineLevel="0" collapsed="false">
      <c r="A20" s="298"/>
      <c r="B20" s="298" t="n">
        <v>15</v>
      </c>
      <c r="C20" s="298" t="s">
        <v>1486</v>
      </c>
      <c r="D20" s="298" t="s">
        <v>1555</v>
      </c>
      <c r="E20" s="303" t="s">
        <v>1556</v>
      </c>
      <c r="F20" s="303" t="s">
        <v>1557</v>
      </c>
      <c r="G20" s="303" t="s">
        <v>1490</v>
      </c>
      <c r="H20" s="304" t="s">
        <v>1558</v>
      </c>
      <c r="I20" s="303"/>
    </row>
    <row r="21" customFormat="false" ht="135" hidden="false" customHeight="true" outlineLevel="0" collapsed="false">
      <c r="A21" s="298"/>
      <c r="B21" s="298" t="n">
        <v>16</v>
      </c>
      <c r="C21" s="298" t="s">
        <v>1292</v>
      </c>
      <c r="D21" s="298" t="s">
        <v>1559</v>
      </c>
      <c r="E21" s="303" t="s">
        <v>1560</v>
      </c>
      <c r="F21" s="303" t="s">
        <v>1561</v>
      </c>
      <c r="G21" s="298" t="s">
        <v>1537</v>
      </c>
      <c r="H21" s="305" t="s">
        <v>1562</v>
      </c>
      <c r="I21" s="306"/>
    </row>
    <row r="22" customFormat="false" ht="135" hidden="false" customHeight="true" outlineLevel="0" collapsed="false">
      <c r="A22" s="298"/>
      <c r="B22" s="298" t="n">
        <v>17</v>
      </c>
      <c r="C22" s="298" t="s">
        <v>1486</v>
      </c>
      <c r="D22" s="298" t="s">
        <v>1563</v>
      </c>
      <c r="E22" s="303" t="s">
        <v>1564</v>
      </c>
      <c r="F22" s="303" t="s">
        <v>1565</v>
      </c>
      <c r="G22" s="303" t="s">
        <v>1503</v>
      </c>
      <c r="H22" s="307" t="s">
        <v>1566</v>
      </c>
      <c r="I22" s="303" t="s">
        <v>1567</v>
      </c>
    </row>
    <row r="23" customFormat="false" ht="60" hidden="false" customHeight="true" outlineLevel="0" collapsed="false">
      <c r="A23" s="298"/>
      <c r="B23" s="298" t="n">
        <v>18</v>
      </c>
      <c r="C23" s="298" t="s">
        <v>1568</v>
      </c>
      <c r="D23" s="298" t="s">
        <v>1569</v>
      </c>
      <c r="E23" s="303" t="s">
        <v>1570</v>
      </c>
      <c r="F23" s="303" t="s">
        <v>1571</v>
      </c>
      <c r="G23" s="298" t="s">
        <v>1515</v>
      </c>
      <c r="H23" s="305" t="s">
        <v>1572</v>
      </c>
      <c r="I23" s="306"/>
    </row>
    <row r="24" customFormat="false" ht="150" hidden="false" customHeight="true" outlineLevel="0" collapsed="false">
      <c r="A24" s="298"/>
      <c r="B24" s="298" t="n">
        <v>19</v>
      </c>
      <c r="C24" s="298" t="s">
        <v>1573</v>
      </c>
      <c r="D24" s="298" t="s">
        <v>1574</v>
      </c>
      <c r="E24" s="303" t="s">
        <v>1575</v>
      </c>
      <c r="F24" s="303" t="s">
        <v>1576</v>
      </c>
      <c r="G24" s="303" t="s">
        <v>1515</v>
      </c>
      <c r="H24" s="304" t="s">
        <v>1566</v>
      </c>
      <c r="I24" s="303"/>
    </row>
    <row r="25" customFormat="false" ht="45" hidden="false" customHeight="true" outlineLevel="0" collapsed="false">
      <c r="A25" s="298"/>
      <c r="B25" s="298" t="n">
        <v>20</v>
      </c>
      <c r="C25" s="298" t="s">
        <v>1573</v>
      </c>
      <c r="D25" s="298" t="s">
        <v>1577</v>
      </c>
      <c r="E25" s="303" t="s">
        <v>1578</v>
      </c>
      <c r="F25" s="303" t="s">
        <v>1579</v>
      </c>
      <c r="G25" s="303" t="s">
        <v>1515</v>
      </c>
      <c r="H25" s="304" t="s">
        <v>1566</v>
      </c>
      <c r="I25" s="303"/>
    </row>
    <row r="26" customFormat="false" ht="105" hidden="false" customHeight="true" outlineLevel="0" collapsed="false">
      <c r="A26" s="298"/>
      <c r="B26" s="298" t="n">
        <v>21</v>
      </c>
      <c r="C26" s="298" t="s">
        <v>1580</v>
      </c>
      <c r="D26" s="298" t="s">
        <v>1581</v>
      </c>
      <c r="E26" s="303" t="s">
        <v>1582</v>
      </c>
      <c r="F26" s="303" t="s">
        <v>1583</v>
      </c>
      <c r="G26" s="303" t="s">
        <v>1584</v>
      </c>
      <c r="H26" s="304" t="s">
        <v>1585</v>
      </c>
      <c r="I26" s="303" t="s">
        <v>1586</v>
      </c>
    </row>
    <row r="27" customFormat="false" ht="60" hidden="false" customHeight="true" outlineLevel="0" collapsed="false">
      <c r="A27" s="298"/>
      <c r="B27" s="298" t="n">
        <v>22</v>
      </c>
      <c r="C27" s="298" t="s">
        <v>1486</v>
      </c>
      <c r="D27" s="298" t="s">
        <v>1587</v>
      </c>
      <c r="E27" s="303" t="s">
        <v>1588</v>
      </c>
      <c r="F27" s="303" t="s">
        <v>1589</v>
      </c>
      <c r="G27" s="303" t="s">
        <v>1515</v>
      </c>
      <c r="H27" s="304" t="s">
        <v>1566</v>
      </c>
      <c r="I27" s="303" t="s">
        <v>1590</v>
      </c>
    </row>
    <row r="28" customFormat="false" ht="240" hidden="false" customHeight="true" outlineLevel="0" collapsed="false">
      <c r="A28" s="298"/>
      <c r="B28" s="298" t="n">
        <v>23</v>
      </c>
      <c r="C28" s="298" t="s">
        <v>1591</v>
      </c>
      <c r="D28" s="298" t="s">
        <v>1592</v>
      </c>
      <c r="E28" s="303" t="s">
        <v>1593</v>
      </c>
      <c r="F28" s="303" t="s">
        <v>1594</v>
      </c>
      <c r="G28" s="303" t="s">
        <v>1515</v>
      </c>
      <c r="H28" s="304" t="s">
        <v>1595</v>
      </c>
      <c r="I28" s="303"/>
    </row>
    <row r="29" customFormat="false" ht="195" hidden="false" customHeight="true" outlineLevel="0" collapsed="false">
      <c r="A29" s="298"/>
      <c r="B29" s="298" t="n">
        <v>24</v>
      </c>
      <c r="C29" s="298" t="s">
        <v>1194</v>
      </c>
      <c r="D29" s="298" t="s">
        <v>1596</v>
      </c>
      <c r="E29" s="303" t="s">
        <v>1597</v>
      </c>
      <c r="F29" s="303" t="s">
        <v>1598</v>
      </c>
      <c r="G29" s="303" t="s">
        <v>1515</v>
      </c>
      <c r="H29" s="304" t="s">
        <v>1566</v>
      </c>
      <c r="I29" s="303"/>
    </row>
    <row r="30" customFormat="false" ht="135" hidden="false" customHeight="true" outlineLevel="0" collapsed="false">
      <c r="B30" s="298" t="n">
        <v>25</v>
      </c>
      <c r="C30" s="298" t="s">
        <v>1599</v>
      </c>
      <c r="D30" s="298" t="s">
        <v>1600</v>
      </c>
      <c r="E30" s="303" t="s">
        <v>1601</v>
      </c>
      <c r="F30" s="303" t="s">
        <v>1602</v>
      </c>
      <c r="G30" s="303" t="s">
        <v>1503</v>
      </c>
      <c r="H30" s="304" t="s">
        <v>1603</v>
      </c>
      <c r="I30" s="303" t="s">
        <v>1604</v>
      </c>
    </row>
    <row r="31" customFormat="false" ht="225" hidden="false" customHeight="true" outlineLevel="0" collapsed="false">
      <c r="B31" s="298" t="n">
        <v>26</v>
      </c>
      <c r="C31" s="298" t="s">
        <v>1599</v>
      </c>
      <c r="D31" s="298" t="s">
        <v>1605</v>
      </c>
      <c r="E31" s="303" t="s">
        <v>1606</v>
      </c>
      <c r="F31" s="303" t="s">
        <v>1607</v>
      </c>
      <c r="G31" s="303" t="s">
        <v>1515</v>
      </c>
      <c r="H31" s="304" t="s">
        <v>1608</v>
      </c>
      <c r="I31" s="303" t="s">
        <v>1609</v>
      </c>
    </row>
    <row r="32" customFormat="false" ht="135" hidden="false" customHeight="true" outlineLevel="0" collapsed="false">
      <c r="B32" s="298" t="n">
        <v>27</v>
      </c>
      <c r="C32" s="298" t="s">
        <v>1194</v>
      </c>
      <c r="D32" s="298" t="s">
        <v>1610</v>
      </c>
      <c r="E32" s="303" t="s">
        <v>1611</v>
      </c>
      <c r="F32" s="303" t="s">
        <v>1612</v>
      </c>
      <c r="G32" s="303" t="s">
        <v>1515</v>
      </c>
      <c r="H32" s="304" t="s">
        <v>1603</v>
      </c>
      <c r="I32" s="303" t="s">
        <v>1613</v>
      </c>
    </row>
    <row r="33" customFormat="false" ht="210" hidden="false" customHeight="true" outlineLevel="0" collapsed="false">
      <c r="B33" s="298" t="n">
        <v>28</v>
      </c>
      <c r="C33" s="298" t="s">
        <v>1614</v>
      </c>
      <c r="D33" s="298" t="s">
        <v>1615</v>
      </c>
      <c r="E33" s="303" t="s">
        <v>1616</v>
      </c>
      <c r="F33" s="303" t="s">
        <v>1617</v>
      </c>
      <c r="G33" s="303" t="s">
        <v>1618</v>
      </c>
      <c r="H33" s="304" t="s">
        <v>1619</v>
      </c>
      <c r="I33" s="303"/>
    </row>
    <row r="34" customFormat="false" ht="60" hidden="false" customHeight="true" outlineLevel="0" collapsed="false">
      <c r="B34" s="298" t="n">
        <v>29</v>
      </c>
      <c r="C34" s="298" t="s">
        <v>1620</v>
      </c>
      <c r="D34" s="298" t="s">
        <v>1621</v>
      </c>
      <c r="E34" s="303" t="s">
        <v>1622</v>
      </c>
      <c r="F34" s="303" t="s">
        <v>1623</v>
      </c>
      <c r="G34" s="303" t="s">
        <v>1526</v>
      </c>
      <c r="H34" s="304" t="s">
        <v>1624</v>
      </c>
      <c r="I34" s="303"/>
    </row>
    <row r="35" customFormat="false" ht="45" hidden="false" customHeight="true" outlineLevel="0" collapsed="false">
      <c r="B35" s="298" t="n">
        <v>30</v>
      </c>
      <c r="C35" s="298" t="s">
        <v>1522</v>
      </c>
      <c r="D35" s="298" t="s">
        <v>1625</v>
      </c>
      <c r="E35" s="303" t="s">
        <v>1626</v>
      </c>
      <c r="F35" s="303" t="s">
        <v>1627</v>
      </c>
      <c r="G35" s="303" t="s">
        <v>1628</v>
      </c>
      <c r="H35" s="304" t="s">
        <v>1629</v>
      </c>
      <c r="I35" s="303"/>
    </row>
    <row r="36" customFormat="false" ht="60" hidden="false" customHeight="true" outlineLevel="0" collapsed="false">
      <c r="B36" s="298" t="n">
        <v>31</v>
      </c>
      <c r="C36" s="298" t="s">
        <v>1473</v>
      </c>
      <c r="D36" s="298" t="s">
        <v>1630</v>
      </c>
      <c r="E36" s="303" t="s">
        <v>1631</v>
      </c>
      <c r="F36" s="303" t="s">
        <v>1632</v>
      </c>
      <c r="G36" s="303" t="s">
        <v>1477</v>
      </c>
      <c r="H36" s="304" t="s">
        <v>1633</v>
      </c>
      <c r="I36" s="303"/>
    </row>
    <row r="37" customFormat="false" ht="60" hidden="false" customHeight="true" outlineLevel="0" collapsed="false">
      <c r="B37" s="298" t="n">
        <v>32</v>
      </c>
      <c r="C37" s="298" t="s">
        <v>1473</v>
      </c>
      <c r="D37" s="298" t="s">
        <v>1634</v>
      </c>
      <c r="E37" s="303" t="s">
        <v>1635</v>
      </c>
      <c r="F37" s="303" t="s">
        <v>1636</v>
      </c>
      <c r="G37" s="303" t="s">
        <v>1526</v>
      </c>
      <c r="H37" s="304" t="s">
        <v>1637</v>
      </c>
      <c r="I37" s="303"/>
    </row>
    <row r="38" customFormat="false" ht="60" hidden="false" customHeight="true" outlineLevel="0" collapsed="false">
      <c r="B38" s="298" t="n">
        <v>33</v>
      </c>
      <c r="C38" s="298" t="s">
        <v>1473</v>
      </c>
      <c r="D38" s="298" t="s">
        <v>1638</v>
      </c>
      <c r="E38" s="303" t="s">
        <v>1639</v>
      </c>
      <c r="F38" s="303" t="s">
        <v>1640</v>
      </c>
      <c r="G38" s="303" t="s">
        <v>1477</v>
      </c>
      <c r="H38" s="304" t="s">
        <v>1641</v>
      </c>
      <c r="I38" s="303"/>
    </row>
    <row r="39" customFormat="false" ht="60" hidden="false" customHeight="true" outlineLevel="0" collapsed="false">
      <c r="B39" s="298" t="n">
        <v>34</v>
      </c>
      <c r="C39" s="298" t="s">
        <v>1614</v>
      </c>
      <c r="D39" s="298" t="s">
        <v>1642</v>
      </c>
      <c r="E39" s="303" t="s">
        <v>1643</v>
      </c>
      <c r="F39" s="303" t="s">
        <v>1644</v>
      </c>
      <c r="G39" s="303" t="s">
        <v>1515</v>
      </c>
      <c r="H39" s="304" t="s">
        <v>1645</v>
      </c>
      <c r="I39" s="303"/>
    </row>
    <row r="40" customFormat="false" ht="45" hidden="false" customHeight="true" outlineLevel="0" collapsed="false">
      <c r="B40" s="298" t="n">
        <v>35</v>
      </c>
      <c r="C40" s="298" t="s">
        <v>1646</v>
      </c>
      <c r="D40" s="298" t="s">
        <v>1647</v>
      </c>
      <c r="E40" s="303" t="s">
        <v>1648</v>
      </c>
      <c r="F40" s="303" t="s">
        <v>1649</v>
      </c>
      <c r="G40" s="298" t="s">
        <v>1526</v>
      </c>
      <c r="H40" s="305" t="s">
        <v>1603</v>
      </c>
      <c r="I40" s="306"/>
    </row>
    <row r="41" customFormat="false" ht="45" hidden="false" customHeight="true" outlineLevel="0" collapsed="false">
      <c r="B41" s="298" t="n">
        <v>36</v>
      </c>
      <c r="C41" s="298" t="s">
        <v>1650</v>
      </c>
      <c r="D41" s="298" t="s">
        <v>1651</v>
      </c>
      <c r="E41" s="303" t="s">
        <v>1652</v>
      </c>
      <c r="F41" s="303" t="s">
        <v>1653</v>
      </c>
      <c r="G41" s="298" t="s">
        <v>1654</v>
      </c>
      <c r="H41" s="308" t="s">
        <v>1603</v>
      </c>
      <c r="I41" s="306"/>
    </row>
    <row r="42" customFormat="false" ht="60" hidden="false" customHeight="true" outlineLevel="0" collapsed="false">
      <c r="B42" s="298" t="n">
        <v>37</v>
      </c>
      <c r="C42" s="298" t="s">
        <v>1655</v>
      </c>
      <c r="D42" s="298" t="s">
        <v>1656</v>
      </c>
      <c r="E42" s="303" t="s">
        <v>1657</v>
      </c>
      <c r="F42" s="303" t="s">
        <v>1658</v>
      </c>
      <c r="G42" s="298" t="s">
        <v>1659</v>
      </c>
      <c r="H42" s="308" t="s">
        <v>1603</v>
      </c>
      <c r="I42" s="306"/>
    </row>
    <row r="43" customFormat="false" ht="45" hidden="false" customHeight="true" outlineLevel="0" collapsed="false">
      <c r="B43" s="298" t="n">
        <v>38</v>
      </c>
      <c r="C43" s="298" t="s">
        <v>1655</v>
      </c>
      <c r="D43" s="298" t="s">
        <v>1660</v>
      </c>
      <c r="E43" s="303" t="s">
        <v>1661</v>
      </c>
      <c r="F43" s="303" t="s">
        <v>1662</v>
      </c>
      <c r="G43" s="298" t="s">
        <v>1659</v>
      </c>
      <c r="H43" s="308" t="s">
        <v>1603</v>
      </c>
      <c r="I43" s="306"/>
    </row>
    <row r="44" customFormat="false" ht="45" hidden="false" customHeight="true" outlineLevel="0" collapsed="false">
      <c r="B44" s="298" t="n">
        <v>39</v>
      </c>
      <c r="C44" s="298" t="s">
        <v>1655</v>
      </c>
      <c r="D44" s="298" t="s">
        <v>1663</v>
      </c>
      <c r="E44" s="303" t="s">
        <v>1664</v>
      </c>
      <c r="F44" s="303" t="s">
        <v>1665</v>
      </c>
      <c r="G44" s="298" t="s">
        <v>1659</v>
      </c>
      <c r="H44" s="308" t="s">
        <v>1603</v>
      </c>
      <c r="I44" s="306"/>
    </row>
    <row r="45" customFormat="false" ht="30" hidden="false" customHeight="true" outlineLevel="0" collapsed="false">
      <c r="B45" s="298" t="n">
        <v>40</v>
      </c>
      <c r="C45" s="298" t="s">
        <v>1666</v>
      </c>
      <c r="D45" s="298" t="s">
        <v>1667</v>
      </c>
      <c r="E45" s="303" t="s">
        <v>1668</v>
      </c>
      <c r="F45" s="303" t="s">
        <v>1669</v>
      </c>
      <c r="G45" s="298" t="s">
        <v>1659</v>
      </c>
      <c r="H45" s="308" t="s">
        <v>1603</v>
      </c>
      <c r="I45" s="306"/>
    </row>
    <row r="46" customFormat="false" ht="90" hidden="false" customHeight="true" outlineLevel="0" collapsed="false">
      <c r="B46" s="298" t="n">
        <v>41</v>
      </c>
      <c r="C46" s="298" t="s">
        <v>1670</v>
      </c>
      <c r="D46" s="298" t="s">
        <v>1671</v>
      </c>
      <c r="E46" s="303" t="s">
        <v>1672</v>
      </c>
      <c r="F46" s="303" t="s">
        <v>1673</v>
      </c>
      <c r="G46" s="298" t="s">
        <v>1537</v>
      </c>
      <c r="H46" s="305" t="s">
        <v>1674</v>
      </c>
      <c r="I46" s="303" t="s">
        <v>1675</v>
      </c>
    </row>
    <row r="47" customFormat="false" ht="45" hidden="false" customHeight="true" outlineLevel="0" collapsed="false">
      <c r="B47" s="298" t="n">
        <v>42</v>
      </c>
      <c r="C47" s="298" t="s">
        <v>1676</v>
      </c>
      <c r="D47" s="298" t="s">
        <v>1677</v>
      </c>
      <c r="E47" s="303" t="s">
        <v>1678</v>
      </c>
      <c r="F47" s="303" t="s">
        <v>1679</v>
      </c>
      <c r="G47" s="298" t="s">
        <v>1515</v>
      </c>
      <c r="H47" s="305" t="s">
        <v>1680</v>
      </c>
      <c r="I47" s="306"/>
    </row>
    <row r="48" customFormat="false" ht="45" hidden="false" customHeight="true" outlineLevel="0" collapsed="false">
      <c r="B48" s="298" t="n">
        <v>43</v>
      </c>
      <c r="C48" s="298" t="s">
        <v>1681</v>
      </c>
      <c r="D48" s="298" t="s">
        <v>1682</v>
      </c>
      <c r="E48" s="303" t="s">
        <v>1683</v>
      </c>
      <c r="F48" s="303" t="s">
        <v>1684</v>
      </c>
      <c r="G48" s="298" t="s">
        <v>1515</v>
      </c>
      <c r="H48" s="305" t="s">
        <v>1680</v>
      </c>
      <c r="I48" s="306"/>
    </row>
    <row r="49" customFormat="false" ht="45" hidden="false" customHeight="true" outlineLevel="0" collapsed="false">
      <c r="B49" s="298" t="n">
        <v>44</v>
      </c>
      <c r="C49" s="298" t="s">
        <v>1473</v>
      </c>
      <c r="D49" s="298" t="s">
        <v>1685</v>
      </c>
      <c r="E49" s="303" t="s">
        <v>1686</v>
      </c>
      <c r="F49" s="303" t="s">
        <v>1687</v>
      </c>
      <c r="G49" s="298" t="s">
        <v>1515</v>
      </c>
      <c r="H49" s="305" t="s">
        <v>1680</v>
      </c>
      <c r="I49" s="306"/>
    </row>
    <row r="50" customFormat="false" ht="60" hidden="false" customHeight="true" outlineLevel="0" collapsed="false">
      <c r="B50" s="298" t="n">
        <v>45</v>
      </c>
      <c r="C50" s="298" t="s">
        <v>1681</v>
      </c>
      <c r="D50" s="298" t="s">
        <v>1688</v>
      </c>
      <c r="E50" s="303" t="s">
        <v>1689</v>
      </c>
      <c r="F50" s="303" t="s">
        <v>1690</v>
      </c>
      <c r="G50" s="298" t="s">
        <v>1515</v>
      </c>
      <c r="H50" s="305" t="s">
        <v>1680</v>
      </c>
      <c r="I50" s="306"/>
    </row>
    <row r="51" customFormat="false" ht="45" hidden="false" customHeight="true" outlineLevel="0" collapsed="false">
      <c r="B51" s="298" t="n">
        <v>46</v>
      </c>
      <c r="C51" s="298" t="s">
        <v>1681</v>
      </c>
      <c r="D51" s="298" t="s">
        <v>1691</v>
      </c>
      <c r="E51" s="303" t="s">
        <v>1692</v>
      </c>
      <c r="F51" s="303" t="s">
        <v>1693</v>
      </c>
      <c r="G51" s="298" t="s">
        <v>1515</v>
      </c>
      <c r="H51" s="305" t="s">
        <v>1680</v>
      </c>
      <c r="I51" s="306"/>
    </row>
    <row r="52" customFormat="false" ht="135" hidden="false" customHeight="true" outlineLevel="0" collapsed="false">
      <c r="B52" s="298" t="n">
        <v>47</v>
      </c>
      <c r="C52" s="298" t="s">
        <v>1694</v>
      </c>
      <c r="D52" s="298" t="s">
        <v>1695</v>
      </c>
      <c r="E52" s="303" t="s">
        <v>1696</v>
      </c>
      <c r="F52" s="303" t="s">
        <v>1697</v>
      </c>
      <c r="G52" s="298" t="s">
        <v>1698</v>
      </c>
      <c r="H52" s="308" t="s">
        <v>1680</v>
      </c>
      <c r="I52" s="306"/>
    </row>
    <row r="53" customFormat="false" ht="105" hidden="false" customHeight="true" outlineLevel="0" collapsed="false">
      <c r="B53" s="298" t="n">
        <v>48</v>
      </c>
      <c r="C53" s="298" t="s">
        <v>1194</v>
      </c>
      <c r="D53" s="298" t="s">
        <v>1699</v>
      </c>
      <c r="E53" s="303" t="s">
        <v>1700</v>
      </c>
      <c r="F53" s="303" t="s">
        <v>1701</v>
      </c>
      <c r="G53" s="298" t="s">
        <v>1515</v>
      </c>
      <c r="H53" s="305" t="s">
        <v>1680</v>
      </c>
      <c r="I53" s="303" t="s">
        <v>1702</v>
      </c>
    </row>
    <row r="54" customFormat="false" ht="105" hidden="false" customHeight="true" outlineLevel="0" collapsed="false">
      <c r="B54" s="298" t="n">
        <v>49</v>
      </c>
      <c r="C54" s="298" t="s">
        <v>1194</v>
      </c>
      <c r="D54" s="298" t="s">
        <v>1703</v>
      </c>
      <c r="E54" s="303" t="s">
        <v>1704</v>
      </c>
      <c r="F54" s="303" t="s">
        <v>1705</v>
      </c>
      <c r="G54" s="298" t="s">
        <v>1515</v>
      </c>
      <c r="H54" s="305" t="s">
        <v>1680</v>
      </c>
      <c r="I54" s="303" t="s">
        <v>1706</v>
      </c>
    </row>
    <row r="55" customFormat="false" ht="45" hidden="false" customHeight="true" outlineLevel="0" collapsed="false">
      <c r="B55" s="298" t="n">
        <v>50</v>
      </c>
      <c r="C55" s="298" t="s">
        <v>1194</v>
      </c>
      <c r="D55" s="298" t="s">
        <v>1707</v>
      </c>
      <c r="E55" s="303" t="s">
        <v>1708</v>
      </c>
      <c r="F55" s="303" t="s">
        <v>1709</v>
      </c>
      <c r="G55" s="298" t="s">
        <v>1515</v>
      </c>
      <c r="H55" s="305" t="s">
        <v>1680</v>
      </c>
      <c r="I55" s="303" t="s">
        <v>1710</v>
      </c>
    </row>
    <row r="56" customFormat="false" ht="105" hidden="false" customHeight="true" outlineLevel="0" collapsed="false">
      <c r="B56" s="298" t="n">
        <v>51</v>
      </c>
      <c r="C56" s="298" t="s">
        <v>1194</v>
      </c>
      <c r="D56" s="298" t="s">
        <v>1711</v>
      </c>
      <c r="E56" s="303" t="s">
        <v>1712</v>
      </c>
      <c r="F56" s="303" t="s">
        <v>1713</v>
      </c>
      <c r="G56" s="298" t="s">
        <v>1515</v>
      </c>
      <c r="H56" s="305" t="s">
        <v>1680</v>
      </c>
      <c r="I56" s="303" t="s">
        <v>1714</v>
      </c>
    </row>
    <row r="57" customFormat="false" ht="150" hidden="false" customHeight="true" outlineLevel="0" collapsed="false">
      <c r="B57" s="298" t="n">
        <v>52</v>
      </c>
      <c r="C57" s="298" t="s">
        <v>1715</v>
      </c>
      <c r="D57" s="298" t="s">
        <v>1716</v>
      </c>
      <c r="E57" s="303" t="s">
        <v>1717</v>
      </c>
      <c r="F57" s="303" t="s">
        <v>1718</v>
      </c>
      <c r="G57" s="298" t="s">
        <v>1719</v>
      </c>
      <c r="H57" s="305" t="s">
        <v>1680</v>
      </c>
      <c r="I57" s="303" t="s">
        <v>1720</v>
      </c>
    </row>
    <row r="58" customFormat="false" ht="240" hidden="false" customHeight="true" outlineLevel="0" collapsed="false">
      <c r="B58" s="298" t="n">
        <v>53</v>
      </c>
      <c r="C58" s="298" t="s">
        <v>1721</v>
      </c>
      <c r="D58" s="298" t="s">
        <v>1722</v>
      </c>
      <c r="E58" s="303" t="s">
        <v>1723</v>
      </c>
      <c r="F58" s="303" t="s">
        <v>1724</v>
      </c>
      <c r="G58" s="303" t="s">
        <v>1515</v>
      </c>
      <c r="H58" s="304" t="s">
        <v>1680</v>
      </c>
      <c r="I58" s="303" t="s">
        <v>1725</v>
      </c>
    </row>
    <row r="59" customFormat="false" ht="60" hidden="false" customHeight="true" outlineLevel="0" collapsed="false">
      <c r="B59" s="298" t="n">
        <v>54</v>
      </c>
      <c r="C59" s="298" t="s">
        <v>12</v>
      </c>
      <c r="D59" s="298" t="s">
        <v>1726</v>
      </c>
      <c r="E59" s="303" t="s">
        <v>1727</v>
      </c>
      <c r="F59" s="303" t="s">
        <v>1728</v>
      </c>
      <c r="G59" s="303" t="s">
        <v>1618</v>
      </c>
      <c r="H59" s="304" t="s">
        <v>1729</v>
      </c>
      <c r="I59" s="303"/>
    </row>
    <row r="60" customFormat="false" ht="60" hidden="false" customHeight="true" outlineLevel="0" collapsed="false">
      <c r="B60" s="298" t="n">
        <v>55</v>
      </c>
      <c r="C60" s="298" t="s">
        <v>1528</v>
      </c>
      <c r="D60" s="298" t="s">
        <v>1730</v>
      </c>
      <c r="E60" s="303" t="s">
        <v>1731</v>
      </c>
      <c r="F60" s="303" t="s">
        <v>1732</v>
      </c>
      <c r="G60" s="303" t="s">
        <v>1526</v>
      </c>
      <c r="H60" s="304" t="s">
        <v>1733</v>
      </c>
      <c r="I60" s="303"/>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3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E5" activeCellId="0" sqref="E5"/>
    </sheetView>
  </sheetViews>
  <sheetFormatPr defaultColWidth="8.5703125" defaultRowHeight="15" zeroHeight="false" outlineLevelRow="0" outlineLevelCol="0"/>
  <cols>
    <col collapsed="false" customWidth="true" hidden="false" outlineLevel="0" max="1" min="1" style="0" width="3.57"/>
    <col collapsed="false" customWidth="true" hidden="false" outlineLevel="0" max="2" min="2" style="0" width="5.57"/>
    <col collapsed="false" customWidth="true" hidden="false" outlineLevel="0" max="3" min="3" style="0" width="13.86"/>
    <col collapsed="false" customWidth="true" hidden="false" outlineLevel="0" max="4" min="4" style="0" width="19.42"/>
    <col collapsed="false" customWidth="true" hidden="false" outlineLevel="0" max="5" min="5" style="0" width="27.57"/>
    <col collapsed="false" customWidth="true" hidden="false" outlineLevel="0" max="6" min="6" style="0" width="14.57"/>
    <col collapsed="false" customWidth="true" hidden="false" outlineLevel="0" max="7" min="7" style="0" width="66.57"/>
    <col collapsed="false" customWidth="true" hidden="false" outlineLevel="0" max="9" min="8" style="0" width="29.57"/>
    <col collapsed="false" customWidth="true" hidden="false" outlineLevel="0" max="10" min="10" style="0" width="37"/>
  </cols>
  <sheetData>
    <row r="1" customFormat="false" ht="15" hidden="false" customHeight="false" outlineLevel="0" collapsed="false">
      <c r="A1" s="295" t="s">
        <v>1463</v>
      </c>
    </row>
    <row r="2" customFormat="false" ht="15" hidden="false" customHeight="false" outlineLevel="0" collapsed="false">
      <c r="A2" s="296" t="s">
        <v>1734</v>
      </c>
    </row>
    <row r="4" customFormat="false" ht="15" hidden="false" customHeight="false" outlineLevel="0" collapsed="false">
      <c r="A4" s="298"/>
      <c r="B4" s="299" t="s">
        <v>29</v>
      </c>
      <c r="C4" s="299" t="s">
        <v>269</v>
      </c>
      <c r="D4" s="300" t="s">
        <v>1735</v>
      </c>
      <c r="E4" s="300" t="s">
        <v>1736</v>
      </c>
      <c r="F4" s="300" t="s">
        <v>1737</v>
      </c>
      <c r="G4" s="300" t="s">
        <v>1738</v>
      </c>
      <c r="H4" s="300" t="s">
        <v>1739</v>
      </c>
      <c r="I4" s="300" t="s">
        <v>1740</v>
      </c>
      <c r="J4" s="300" t="s">
        <v>923</v>
      </c>
    </row>
    <row r="5" customFormat="false" ht="60" hidden="false" customHeight="true" outlineLevel="0" collapsed="false">
      <c r="A5" s="298"/>
      <c r="B5" s="298" t="n">
        <v>1</v>
      </c>
      <c r="C5" s="309" t="n">
        <v>46268</v>
      </c>
      <c r="D5" s="298" t="s">
        <v>1741</v>
      </c>
      <c r="E5" s="298" t="s">
        <v>1742</v>
      </c>
      <c r="F5" s="298" t="s">
        <v>1743</v>
      </c>
      <c r="G5" s="303" t="s">
        <v>1744</v>
      </c>
      <c r="H5" s="303" t="s">
        <v>1745</v>
      </c>
      <c r="I5" s="303" t="s">
        <v>1746</v>
      </c>
      <c r="J5" s="303" t="s">
        <v>1747</v>
      </c>
    </row>
    <row r="6" customFormat="false" ht="60" hidden="false" customHeight="true" outlineLevel="0" collapsed="false">
      <c r="A6" s="298"/>
      <c r="B6" s="298" t="n">
        <v>2</v>
      </c>
      <c r="C6" s="309" t="n">
        <v>46268</v>
      </c>
      <c r="D6" s="298" t="s">
        <v>1741</v>
      </c>
      <c r="E6" s="298" t="s">
        <v>1748</v>
      </c>
      <c r="F6" s="298" t="s">
        <v>1743</v>
      </c>
      <c r="G6" s="303" t="s">
        <v>1749</v>
      </c>
      <c r="H6" s="303" t="s">
        <v>1745</v>
      </c>
      <c r="I6" s="303" t="s">
        <v>1750</v>
      </c>
      <c r="J6" s="303" t="s">
        <v>1751</v>
      </c>
    </row>
    <row r="7" customFormat="false" ht="15" hidden="false" customHeight="false" outlineLevel="0" collapsed="false">
      <c r="A7" s="298"/>
      <c r="B7" s="298" t="n">
        <v>3</v>
      </c>
      <c r="C7" s="309" t="n">
        <v>46268</v>
      </c>
      <c r="D7" s="298" t="s">
        <v>1741</v>
      </c>
      <c r="E7" s="298" t="s">
        <v>1752</v>
      </c>
      <c r="F7" s="298" t="s">
        <v>1743</v>
      </c>
      <c r="G7" s="303" t="s">
        <v>1753</v>
      </c>
      <c r="H7" s="303" t="s">
        <v>1745</v>
      </c>
      <c r="I7" s="303" t="s">
        <v>148</v>
      </c>
      <c r="J7" s="303" t="s">
        <v>1754</v>
      </c>
    </row>
    <row r="8" customFormat="false" ht="75" hidden="false" customHeight="true" outlineLevel="0" collapsed="false">
      <c r="A8" s="298"/>
      <c r="B8" s="298" t="n">
        <v>4</v>
      </c>
      <c r="C8" s="309" t="n">
        <v>46268</v>
      </c>
      <c r="D8" s="298" t="s">
        <v>1741</v>
      </c>
      <c r="E8" s="298" t="s">
        <v>1755</v>
      </c>
      <c r="F8" s="298" t="s">
        <v>1756</v>
      </c>
      <c r="G8" s="303" t="s">
        <v>1757</v>
      </c>
      <c r="H8" s="303" t="s">
        <v>1758</v>
      </c>
      <c r="I8" s="303" t="s">
        <v>1758</v>
      </c>
      <c r="J8" s="303" t="s">
        <v>1759</v>
      </c>
    </row>
    <row r="9" customFormat="false" ht="75" hidden="false" customHeight="true" outlineLevel="0" collapsed="false">
      <c r="A9" s="298"/>
      <c r="B9" s="298" t="n">
        <v>5</v>
      </c>
      <c r="C9" s="309" t="n">
        <v>46268</v>
      </c>
      <c r="D9" s="298" t="s">
        <v>1760</v>
      </c>
      <c r="E9" s="298" t="s">
        <v>1742</v>
      </c>
      <c r="F9" s="298" t="s">
        <v>1761</v>
      </c>
      <c r="G9" s="303" t="s">
        <v>1762</v>
      </c>
      <c r="H9" s="303" t="s">
        <v>1763</v>
      </c>
      <c r="I9" s="303" t="s">
        <v>1764</v>
      </c>
      <c r="J9" s="303" t="s">
        <v>1765</v>
      </c>
    </row>
    <row r="10" customFormat="false" ht="60" hidden="false" customHeight="true" outlineLevel="0" collapsed="false">
      <c r="A10" s="298"/>
      <c r="B10" s="298" t="n">
        <v>6</v>
      </c>
      <c r="C10" s="309" t="n">
        <v>46268</v>
      </c>
      <c r="D10" s="298" t="s">
        <v>1760</v>
      </c>
      <c r="E10" s="298" t="s">
        <v>1766</v>
      </c>
      <c r="F10" s="298" t="s">
        <v>1767</v>
      </c>
      <c r="G10" s="303" t="s">
        <v>1768</v>
      </c>
      <c r="H10" s="303" t="s">
        <v>1745</v>
      </c>
      <c r="I10" s="303" t="s">
        <v>1769</v>
      </c>
      <c r="J10" s="303" t="s">
        <v>1770</v>
      </c>
    </row>
    <row r="11" customFormat="false" ht="60" hidden="false" customHeight="true" outlineLevel="0" collapsed="false">
      <c r="A11" s="298"/>
      <c r="B11" s="298" t="n">
        <v>7</v>
      </c>
      <c r="C11" s="309" t="n">
        <v>46268</v>
      </c>
      <c r="D11" s="298" t="s">
        <v>1760</v>
      </c>
      <c r="E11" s="298" t="s">
        <v>1771</v>
      </c>
      <c r="F11" s="298" t="s">
        <v>1772</v>
      </c>
      <c r="G11" s="303" t="s">
        <v>1773</v>
      </c>
      <c r="H11" s="303" t="n">
        <v>280</v>
      </c>
      <c r="I11" s="303" t="n">
        <v>200</v>
      </c>
      <c r="J11" s="303" t="s">
        <v>1774</v>
      </c>
    </row>
    <row r="12" customFormat="false" ht="60" hidden="false" customHeight="true" outlineLevel="0" collapsed="false">
      <c r="A12" s="298"/>
      <c r="B12" s="298" t="n">
        <v>8</v>
      </c>
      <c r="C12" s="309" t="n">
        <v>46268</v>
      </c>
      <c r="D12" s="298" t="s">
        <v>1760</v>
      </c>
      <c r="E12" s="298" t="s">
        <v>1775</v>
      </c>
      <c r="F12" s="298" t="s">
        <v>1776</v>
      </c>
      <c r="G12" s="303" t="s">
        <v>1777</v>
      </c>
      <c r="H12" s="303" t="s">
        <v>1778</v>
      </c>
      <c r="I12" s="303" t="s">
        <v>1779</v>
      </c>
      <c r="J12" s="303" t="s">
        <v>1780</v>
      </c>
    </row>
    <row r="13" customFormat="false" ht="60" hidden="false" customHeight="true" outlineLevel="0" collapsed="false">
      <c r="A13" s="298"/>
      <c r="B13" s="298" t="n">
        <v>9</v>
      </c>
      <c r="C13" s="309" t="n">
        <v>46268</v>
      </c>
      <c r="D13" s="298" t="s">
        <v>1760</v>
      </c>
      <c r="E13" s="298" t="s">
        <v>1775</v>
      </c>
      <c r="F13" s="298" t="s">
        <v>1781</v>
      </c>
      <c r="G13" s="303" t="s">
        <v>1782</v>
      </c>
      <c r="H13" s="303" t="s">
        <v>1783</v>
      </c>
      <c r="I13" s="303" t="s">
        <v>1784</v>
      </c>
      <c r="J13" s="303" t="s">
        <v>1780</v>
      </c>
    </row>
    <row r="14" customFormat="false" ht="90" hidden="false" customHeight="true" outlineLevel="0" collapsed="false">
      <c r="A14" s="298"/>
      <c r="B14" s="298" t="n">
        <v>10</v>
      </c>
      <c r="C14" s="309" t="n">
        <v>46268</v>
      </c>
      <c r="D14" s="298" t="s">
        <v>1760</v>
      </c>
      <c r="E14" s="298" t="s">
        <v>1742</v>
      </c>
      <c r="F14" s="298" t="s">
        <v>1785</v>
      </c>
      <c r="G14" s="303" t="s">
        <v>1786</v>
      </c>
      <c r="H14" s="303" t="s">
        <v>1787</v>
      </c>
      <c r="I14" s="303" t="s">
        <v>1788</v>
      </c>
      <c r="J14" s="303" t="s">
        <v>1789</v>
      </c>
    </row>
    <row r="15" customFormat="false" ht="75" hidden="false" customHeight="true" outlineLevel="0" collapsed="false">
      <c r="A15" s="298"/>
      <c r="B15" s="298" t="n">
        <v>11</v>
      </c>
      <c r="C15" s="309" t="n">
        <v>46268</v>
      </c>
      <c r="D15" s="298" t="s">
        <v>1760</v>
      </c>
      <c r="E15" s="298" t="s">
        <v>1748</v>
      </c>
      <c r="F15" s="298" t="s">
        <v>1790</v>
      </c>
      <c r="G15" s="303" t="s">
        <v>1791</v>
      </c>
      <c r="H15" s="303" t="s">
        <v>1792</v>
      </c>
      <c r="I15" s="303" t="s">
        <v>1793</v>
      </c>
      <c r="J15" s="303" t="s">
        <v>1794</v>
      </c>
    </row>
    <row r="16" customFormat="false" ht="90" hidden="false" customHeight="true" outlineLevel="0" collapsed="false">
      <c r="A16" s="298"/>
      <c r="B16" s="298" t="n">
        <v>12</v>
      </c>
      <c r="C16" s="309" t="n">
        <v>46268</v>
      </c>
      <c r="D16" s="298" t="s">
        <v>1760</v>
      </c>
      <c r="E16" s="298" t="s">
        <v>1742</v>
      </c>
      <c r="F16" s="298" t="s">
        <v>1795</v>
      </c>
      <c r="G16" s="303" t="s">
        <v>1796</v>
      </c>
      <c r="H16" s="303" t="s">
        <v>1797</v>
      </c>
      <c r="I16" s="303" t="s">
        <v>1798</v>
      </c>
      <c r="J16" s="303" t="s">
        <v>1799</v>
      </c>
    </row>
    <row r="17" customFormat="false" ht="90" hidden="false" customHeight="true" outlineLevel="0" collapsed="false">
      <c r="A17" s="298"/>
      <c r="B17" s="298" t="n">
        <v>13</v>
      </c>
      <c r="C17" s="309" t="n">
        <v>46268</v>
      </c>
      <c r="D17" s="298" t="s">
        <v>1760</v>
      </c>
      <c r="E17" s="298" t="s">
        <v>1800</v>
      </c>
      <c r="F17" s="298" t="s">
        <v>1801</v>
      </c>
      <c r="G17" s="303" t="s">
        <v>1802</v>
      </c>
      <c r="H17" s="303" t="s">
        <v>1803</v>
      </c>
      <c r="I17" s="303" t="s">
        <v>1804</v>
      </c>
      <c r="J17" s="303" t="s">
        <v>1805</v>
      </c>
    </row>
    <row r="18" customFormat="false" ht="90" hidden="false" customHeight="true" outlineLevel="0" collapsed="false">
      <c r="A18" s="298"/>
      <c r="B18" s="298" t="n">
        <v>14</v>
      </c>
      <c r="C18" s="309" t="n">
        <v>46268</v>
      </c>
      <c r="D18" s="298" t="s">
        <v>1760</v>
      </c>
      <c r="E18" s="298" t="s">
        <v>1742</v>
      </c>
      <c r="F18" s="298" t="s">
        <v>1806</v>
      </c>
      <c r="G18" s="303" t="s">
        <v>1807</v>
      </c>
      <c r="H18" s="303" t="s">
        <v>1808</v>
      </c>
      <c r="I18" s="303" t="s">
        <v>1809</v>
      </c>
      <c r="J18" s="303" t="s">
        <v>1810</v>
      </c>
    </row>
    <row r="19" customFormat="false" ht="105" hidden="false" customHeight="true" outlineLevel="0" collapsed="false">
      <c r="A19" s="298"/>
      <c r="B19" s="298" t="n">
        <v>15</v>
      </c>
      <c r="C19" s="309" t="n">
        <v>46268</v>
      </c>
      <c r="D19" s="298" t="s">
        <v>1760</v>
      </c>
      <c r="E19" s="298" t="s">
        <v>1748</v>
      </c>
      <c r="F19" s="298" t="s">
        <v>1811</v>
      </c>
      <c r="G19" s="303" t="s">
        <v>1812</v>
      </c>
      <c r="H19" s="303" t="s">
        <v>1813</v>
      </c>
      <c r="I19" s="303" t="s">
        <v>1814</v>
      </c>
      <c r="J19" s="303" t="s">
        <v>1815</v>
      </c>
    </row>
    <row r="20" customFormat="false" ht="180" hidden="false" customHeight="true" outlineLevel="0" collapsed="false">
      <c r="A20" s="298"/>
      <c r="B20" s="298" t="n">
        <v>16</v>
      </c>
      <c r="C20" s="309" t="n">
        <v>46268</v>
      </c>
      <c r="D20" s="298" t="s">
        <v>1816</v>
      </c>
      <c r="E20" s="298" t="s">
        <v>1766</v>
      </c>
      <c r="F20" s="298" t="s">
        <v>1817</v>
      </c>
      <c r="G20" s="303" t="s">
        <v>1818</v>
      </c>
      <c r="H20" s="303" t="s">
        <v>1819</v>
      </c>
      <c r="I20" s="303" t="s">
        <v>1820</v>
      </c>
      <c r="J20" s="303" t="s">
        <v>1821</v>
      </c>
    </row>
    <row r="21" customFormat="false" ht="165" hidden="false" customHeight="true" outlineLevel="0" collapsed="false">
      <c r="A21" s="298"/>
      <c r="B21" s="298" t="n">
        <v>17</v>
      </c>
      <c r="C21" s="309" t="n">
        <v>46268</v>
      </c>
      <c r="D21" s="298" t="s">
        <v>1816</v>
      </c>
      <c r="E21" s="298" t="s">
        <v>1822</v>
      </c>
      <c r="F21" s="298" t="s">
        <v>1823</v>
      </c>
      <c r="G21" s="303" t="s">
        <v>1824</v>
      </c>
      <c r="H21" s="303" t="s">
        <v>1825</v>
      </c>
      <c r="I21" s="303" t="s">
        <v>1826</v>
      </c>
      <c r="J21" s="303" t="s">
        <v>1827</v>
      </c>
    </row>
    <row r="22" customFormat="false" ht="240" hidden="false" customHeight="true" outlineLevel="0" collapsed="false">
      <c r="A22" s="298"/>
      <c r="B22" s="298" t="n">
        <v>18</v>
      </c>
      <c r="C22" s="309" t="n">
        <v>46268</v>
      </c>
      <c r="D22" s="298" t="s">
        <v>1816</v>
      </c>
      <c r="E22" s="298" t="s">
        <v>1766</v>
      </c>
      <c r="F22" s="298" t="s">
        <v>1828</v>
      </c>
      <c r="G22" s="303" t="s">
        <v>1829</v>
      </c>
      <c r="H22" s="303" t="s">
        <v>1830</v>
      </c>
      <c r="I22" s="303" t="s">
        <v>1831</v>
      </c>
      <c r="J22" s="303" t="s">
        <v>1832</v>
      </c>
    </row>
    <row r="23" customFormat="false" ht="195" hidden="false" customHeight="true" outlineLevel="0" collapsed="false">
      <c r="A23" s="298"/>
      <c r="B23" s="298" t="n">
        <v>19</v>
      </c>
      <c r="C23" s="309" t="n">
        <v>46268</v>
      </c>
      <c r="D23" s="298" t="s">
        <v>1816</v>
      </c>
      <c r="E23" s="298" t="s">
        <v>1833</v>
      </c>
      <c r="F23" s="298" t="s">
        <v>1834</v>
      </c>
      <c r="G23" s="303" t="s">
        <v>1835</v>
      </c>
      <c r="H23" s="303" t="s">
        <v>1836</v>
      </c>
      <c r="I23" s="303" t="s">
        <v>1837</v>
      </c>
      <c r="J23" s="303" t="s">
        <v>1838</v>
      </c>
    </row>
    <row r="24" customFormat="false" ht="210" hidden="false" customHeight="true" outlineLevel="0" collapsed="false">
      <c r="A24" s="298"/>
      <c r="B24" s="298" t="n">
        <v>20</v>
      </c>
      <c r="C24" s="309" t="n">
        <v>46268</v>
      </c>
      <c r="D24" s="298" t="s">
        <v>1816</v>
      </c>
      <c r="E24" s="298" t="s">
        <v>1766</v>
      </c>
      <c r="F24" s="298" t="s">
        <v>1839</v>
      </c>
      <c r="G24" s="303" t="s">
        <v>1840</v>
      </c>
      <c r="H24" s="303" t="s">
        <v>1841</v>
      </c>
      <c r="I24" s="303" t="s">
        <v>1842</v>
      </c>
      <c r="J24" s="303" t="s">
        <v>1832</v>
      </c>
    </row>
    <row r="25" customFormat="false" ht="225" hidden="false" customHeight="true" outlineLevel="0" collapsed="false">
      <c r="B25" s="298" t="n">
        <v>21</v>
      </c>
      <c r="C25" s="310" t="n">
        <v>46268</v>
      </c>
      <c r="D25" s="298" t="s">
        <v>1816</v>
      </c>
      <c r="E25" s="298" t="s">
        <v>1843</v>
      </c>
      <c r="F25" s="298" t="s">
        <v>1844</v>
      </c>
      <c r="G25" s="303" t="s">
        <v>1845</v>
      </c>
      <c r="H25" s="303" t="s">
        <v>1846</v>
      </c>
      <c r="I25" s="303" t="s">
        <v>1847</v>
      </c>
      <c r="J25" s="303" t="s">
        <v>1848</v>
      </c>
    </row>
    <row r="26" customFormat="false" ht="210" hidden="false" customHeight="true" outlineLevel="0" collapsed="false">
      <c r="B26" s="298" t="n">
        <v>22</v>
      </c>
      <c r="C26" s="310" t="n">
        <v>46268</v>
      </c>
      <c r="D26" s="298" t="s">
        <v>1816</v>
      </c>
      <c r="E26" s="298" t="s">
        <v>1766</v>
      </c>
      <c r="F26" s="298" t="s">
        <v>1839</v>
      </c>
      <c r="G26" s="303" t="s">
        <v>1849</v>
      </c>
      <c r="H26" s="303" t="s">
        <v>1841</v>
      </c>
      <c r="I26" s="303" t="s">
        <v>1842</v>
      </c>
      <c r="J26" s="303" t="s">
        <v>1832</v>
      </c>
    </row>
    <row r="27" customFormat="false" ht="165" hidden="false" customHeight="true" outlineLevel="0" collapsed="false">
      <c r="A27" s="298"/>
      <c r="B27" s="298" t="n">
        <v>23</v>
      </c>
      <c r="C27" s="309" t="n">
        <v>46268</v>
      </c>
      <c r="D27" s="298" t="s">
        <v>1850</v>
      </c>
      <c r="E27" s="298" t="s">
        <v>1766</v>
      </c>
      <c r="F27" s="298" t="s">
        <v>1851</v>
      </c>
      <c r="G27" s="303" t="s">
        <v>1852</v>
      </c>
      <c r="H27" s="303" t="s">
        <v>1853</v>
      </c>
      <c r="I27" s="303" t="s">
        <v>1854</v>
      </c>
      <c r="J27" s="303" t="s">
        <v>1855</v>
      </c>
    </row>
    <row r="28" customFormat="false" ht="180" hidden="false" customHeight="true" outlineLevel="0" collapsed="false">
      <c r="A28" s="298"/>
      <c r="B28" s="298" t="n">
        <v>24</v>
      </c>
      <c r="C28" s="309" t="n">
        <v>46268</v>
      </c>
      <c r="D28" s="298" t="s">
        <v>1850</v>
      </c>
      <c r="E28" s="298" t="s">
        <v>1856</v>
      </c>
      <c r="F28" s="298" t="s">
        <v>1857</v>
      </c>
      <c r="G28" s="303" t="s">
        <v>1858</v>
      </c>
      <c r="H28" s="303" t="s">
        <v>1859</v>
      </c>
      <c r="I28" s="303" t="s">
        <v>1860</v>
      </c>
      <c r="J28" s="303" t="s">
        <v>1861</v>
      </c>
    </row>
    <row r="29" customFormat="false" ht="285" hidden="false" customHeight="true" outlineLevel="0" collapsed="false">
      <c r="A29" s="298"/>
      <c r="B29" s="298" t="n">
        <v>25</v>
      </c>
      <c r="C29" s="309" t="n">
        <v>46268</v>
      </c>
      <c r="D29" s="298" t="s">
        <v>1850</v>
      </c>
      <c r="E29" s="298" t="s">
        <v>1862</v>
      </c>
      <c r="F29" s="298" t="s">
        <v>1863</v>
      </c>
      <c r="G29" s="303" t="s">
        <v>1864</v>
      </c>
      <c r="H29" s="303" t="s">
        <v>1865</v>
      </c>
      <c r="I29" s="303" t="s">
        <v>1866</v>
      </c>
      <c r="J29" s="303" t="s">
        <v>1832</v>
      </c>
    </row>
    <row r="30" customFormat="false" ht="225" hidden="false" customHeight="true" outlineLevel="0" collapsed="false">
      <c r="A30" s="298"/>
      <c r="B30" s="298" t="n">
        <v>26</v>
      </c>
      <c r="C30" s="309" t="n">
        <v>46268</v>
      </c>
      <c r="D30" s="298" t="s">
        <v>1850</v>
      </c>
      <c r="E30" s="298" t="s">
        <v>1867</v>
      </c>
      <c r="F30" s="298" t="s">
        <v>1868</v>
      </c>
      <c r="G30" s="303" t="s">
        <v>1869</v>
      </c>
      <c r="H30" s="303" t="s">
        <v>1870</v>
      </c>
      <c r="I30" s="303" t="s">
        <v>1871</v>
      </c>
      <c r="J30" s="303" t="s">
        <v>1872</v>
      </c>
    </row>
    <row r="31" customFormat="false" ht="195" hidden="false" customHeight="true" outlineLevel="0" collapsed="false">
      <c r="A31" s="298"/>
      <c r="B31" s="298" t="n">
        <v>27</v>
      </c>
      <c r="C31" s="309" t="n">
        <v>46268</v>
      </c>
      <c r="D31" s="298" t="s">
        <v>1850</v>
      </c>
      <c r="E31" s="298" t="s">
        <v>1873</v>
      </c>
      <c r="F31" s="298" t="s">
        <v>1874</v>
      </c>
      <c r="G31" s="303" t="s">
        <v>1875</v>
      </c>
      <c r="H31" s="303" t="s">
        <v>1876</v>
      </c>
      <c r="I31" s="303" t="s">
        <v>1877</v>
      </c>
      <c r="J31" s="303" t="s">
        <v>1878</v>
      </c>
    </row>
    <row r="32" customFormat="false" ht="315" hidden="false" customHeight="true" outlineLevel="0" collapsed="false">
      <c r="A32" s="298"/>
      <c r="B32" s="298" t="n">
        <v>28</v>
      </c>
      <c r="C32" s="309" t="n">
        <v>46268</v>
      </c>
      <c r="D32" s="298" t="s">
        <v>1879</v>
      </c>
      <c r="E32" s="298" t="s">
        <v>1880</v>
      </c>
      <c r="F32" s="298" t="s">
        <v>1881</v>
      </c>
      <c r="G32" s="303" t="s">
        <v>1882</v>
      </c>
      <c r="H32" s="303" t="s">
        <v>1883</v>
      </c>
      <c r="I32" s="303" t="s">
        <v>1884</v>
      </c>
      <c r="J32" s="303" t="s">
        <v>1885</v>
      </c>
    </row>
    <row r="33" customFormat="false" ht="210" hidden="false" customHeight="true" outlineLevel="0" collapsed="false">
      <c r="A33" s="298"/>
      <c r="B33" s="298" t="n">
        <v>29</v>
      </c>
      <c r="C33" s="309" t="n">
        <v>46268</v>
      </c>
      <c r="D33" s="298" t="s">
        <v>1850</v>
      </c>
      <c r="E33" s="298" t="s">
        <v>1721</v>
      </c>
      <c r="F33" s="298" t="s">
        <v>1886</v>
      </c>
      <c r="G33" s="303" t="s">
        <v>1887</v>
      </c>
      <c r="H33" s="303" t="s">
        <v>1888</v>
      </c>
      <c r="I33" s="303" t="s">
        <v>1889</v>
      </c>
      <c r="J33" s="303" t="s">
        <v>1890</v>
      </c>
    </row>
    <row r="34" customFormat="false" ht="90" hidden="false" customHeight="true" outlineLevel="0" collapsed="false">
      <c r="A34" s="298"/>
      <c r="B34" s="298" t="n">
        <v>30</v>
      </c>
      <c r="C34" s="309" t="n">
        <v>46268</v>
      </c>
      <c r="D34" s="298" t="s">
        <v>1879</v>
      </c>
      <c r="E34" s="298" t="s">
        <v>1766</v>
      </c>
      <c r="F34" s="298" t="s">
        <v>1891</v>
      </c>
      <c r="G34" s="303" t="s">
        <v>1892</v>
      </c>
      <c r="H34" s="303" t="s">
        <v>148</v>
      </c>
      <c r="I34" s="303" t="s">
        <v>1893</v>
      </c>
      <c r="J34" s="303" t="s">
        <v>1832</v>
      </c>
    </row>
    <row r="35" customFormat="false" ht="240" hidden="false" customHeight="true" outlineLevel="0" collapsed="false">
      <c r="A35" s="298"/>
      <c r="B35" s="298" t="n">
        <v>31</v>
      </c>
      <c r="C35" s="309" t="n">
        <v>46268</v>
      </c>
      <c r="D35" s="298" t="s">
        <v>1879</v>
      </c>
      <c r="E35" s="298" t="s">
        <v>1880</v>
      </c>
      <c r="F35" s="298" t="s">
        <v>1894</v>
      </c>
      <c r="G35" s="303" t="s">
        <v>1895</v>
      </c>
      <c r="H35" s="303" t="s">
        <v>1896</v>
      </c>
      <c r="I35" s="303" t="s">
        <v>1897</v>
      </c>
      <c r="J35" s="303" t="s">
        <v>1898</v>
      </c>
    </row>
    <row r="36" customFormat="false" ht="240" hidden="false" customHeight="true" outlineLevel="0" collapsed="false">
      <c r="A36" s="298"/>
      <c r="B36" s="298" t="n">
        <v>32</v>
      </c>
      <c r="C36" s="309" t="n">
        <v>46268</v>
      </c>
      <c r="D36" s="298" t="s">
        <v>1850</v>
      </c>
      <c r="E36" s="298" t="s">
        <v>1748</v>
      </c>
      <c r="F36" s="298" t="s">
        <v>1899</v>
      </c>
      <c r="G36" s="303" t="s">
        <v>1900</v>
      </c>
      <c r="H36" s="303" t="s">
        <v>1901</v>
      </c>
      <c r="I36" s="303" t="s">
        <v>1902</v>
      </c>
      <c r="J36" s="303" t="s">
        <v>1903</v>
      </c>
    </row>
    <row r="37" customFormat="false" ht="225" hidden="false" customHeight="true" outlineLevel="0" collapsed="false">
      <c r="A37" s="298"/>
      <c r="B37" s="298" t="n">
        <v>33</v>
      </c>
      <c r="C37" s="309" t="n">
        <v>46268</v>
      </c>
      <c r="D37" s="298" t="s">
        <v>1904</v>
      </c>
      <c r="E37" s="298" t="s">
        <v>1905</v>
      </c>
      <c r="F37" s="298" t="s">
        <v>1906</v>
      </c>
      <c r="G37" s="303" t="s">
        <v>1907</v>
      </c>
      <c r="H37" s="303" t="s">
        <v>1908</v>
      </c>
      <c r="I37" s="303" t="s">
        <v>1909</v>
      </c>
      <c r="J37" s="303" t="s">
        <v>1910</v>
      </c>
    </row>
    <row r="38" customFormat="false" ht="225" hidden="false" customHeight="true" outlineLevel="0" collapsed="false">
      <c r="A38" s="298"/>
      <c r="B38" s="298" t="n">
        <v>34</v>
      </c>
      <c r="C38" s="309" t="n">
        <v>46268</v>
      </c>
      <c r="D38" s="298" t="s">
        <v>1904</v>
      </c>
      <c r="E38" s="298" t="s">
        <v>1911</v>
      </c>
      <c r="F38" s="298" t="s">
        <v>1912</v>
      </c>
      <c r="G38" s="303" t="s">
        <v>1913</v>
      </c>
      <c r="H38" s="303" t="s">
        <v>1914</v>
      </c>
      <c r="I38" s="303" t="s">
        <v>1915</v>
      </c>
      <c r="J38" s="303" t="s">
        <v>1916</v>
      </c>
    </row>
    <row r="39" customFormat="false" ht="240" hidden="false" customHeight="true" outlineLevel="0" collapsed="false">
      <c r="A39" s="298"/>
      <c r="B39" s="298" t="n">
        <v>35</v>
      </c>
      <c r="C39" s="309" t="n">
        <v>46268</v>
      </c>
      <c r="D39" s="298" t="s">
        <v>1650</v>
      </c>
      <c r="E39" s="298" t="s">
        <v>1917</v>
      </c>
      <c r="F39" s="298" t="s">
        <v>1918</v>
      </c>
      <c r="G39" s="303" t="s">
        <v>1919</v>
      </c>
      <c r="H39" s="303" t="s">
        <v>1920</v>
      </c>
      <c r="I39" s="303" t="s">
        <v>1921</v>
      </c>
      <c r="J39" s="303" t="s">
        <v>1922</v>
      </c>
    </row>
    <row r="40" customFormat="false" ht="105" hidden="false" customHeight="true" outlineLevel="0" collapsed="false">
      <c r="A40" s="298"/>
      <c r="B40" s="298" t="n">
        <v>36</v>
      </c>
      <c r="C40" s="309" t="n">
        <v>46268</v>
      </c>
      <c r="D40" s="298" t="s">
        <v>1923</v>
      </c>
      <c r="E40" s="298" t="s">
        <v>1924</v>
      </c>
      <c r="F40" s="298" t="s">
        <v>1925</v>
      </c>
      <c r="G40" s="303" t="s">
        <v>1926</v>
      </c>
      <c r="H40" s="303" t="s">
        <v>1927</v>
      </c>
      <c r="I40" s="303" t="s">
        <v>1928</v>
      </c>
      <c r="J40" s="303" t="s">
        <v>1872</v>
      </c>
    </row>
    <row r="41" customFormat="false" ht="195" hidden="false" customHeight="true" outlineLevel="0" collapsed="false">
      <c r="A41" s="298"/>
      <c r="B41" s="298" t="n">
        <v>37</v>
      </c>
      <c r="C41" s="309" t="n">
        <v>46268</v>
      </c>
      <c r="D41" s="298" t="s">
        <v>1850</v>
      </c>
      <c r="E41" s="298" t="s">
        <v>1862</v>
      </c>
      <c r="F41" s="298" t="s">
        <v>1929</v>
      </c>
      <c r="G41" s="303" t="s">
        <v>1930</v>
      </c>
      <c r="H41" s="303" t="s">
        <v>1931</v>
      </c>
      <c r="I41" s="303" t="s">
        <v>1932</v>
      </c>
      <c r="J41" s="303" t="s">
        <v>1933</v>
      </c>
    </row>
    <row r="42" customFormat="false" ht="225" hidden="false" customHeight="true" outlineLevel="0" collapsed="false">
      <c r="A42" s="298"/>
      <c r="B42" s="298" t="n">
        <v>38</v>
      </c>
      <c r="C42" s="309" t="n">
        <v>46268</v>
      </c>
      <c r="D42" s="298" t="s">
        <v>1934</v>
      </c>
      <c r="E42" s="298" t="s">
        <v>1766</v>
      </c>
      <c r="F42" s="298" t="s">
        <v>1935</v>
      </c>
      <c r="G42" s="303" t="s">
        <v>1936</v>
      </c>
      <c r="H42" s="303" t="s">
        <v>1937</v>
      </c>
      <c r="I42" s="303" t="s">
        <v>1938</v>
      </c>
      <c r="J42" s="303" t="s">
        <v>1939</v>
      </c>
    </row>
    <row r="43" customFormat="false" ht="225" hidden="false" customHeight="true" outlineLevel="0" collapsed="false">
      <c r="A43" s="298"/>
      <c r="B43" s="298" t="n">
        <v>39</v>
      </c>
      <c r="C43" s="309" t="n">
        <v>46268</v>
      </c>
      <c r="D43" s="298" t="s">
        <v>1934</v>
      </c>
      <c r="E43" s="298" t="s">
        <v>1940</v>
      </c>
      <c r="F43" s="298" t="s">
        <v>1941</v>
      </c>
      <c r="G43" s="303" t="s">
        <v>1942</v>
      </c>
      <c r="H43" s="303" t="s">
        <v>1943</v>
      </c>
      <c r="I43" s="303" t="s">
        <v>1944</v>
      </c>
      <c r="J43" s="303" t="s">
        <v>1939</v>
      </c>
    </row>
    <row r="44" customFormat="false" ht="240" hidden="false" customHeight="true" outlineLevel="0" collapsed="false">
      <c r="A44" s="298"/>
      <c r="B44" s="298" t="n">
        <v>40</v>
      </c>
      <c r="C44" s="309" t="n">
        <v>46268</v>
      </c>
      <c r="D44" s="298" t="s">
        <v>1934</v>
      </c>
      <c r="E44" s="298" t="s">
        <v>1945</v>
      </c>
      <c r="F44" s="298" t="s">
        <v>1946</v>
      </c>
      <c r="G44" s="303" t="s">
        <v>1947</v>
      </c>
      <c r="H44" s="303" t="s">
        <v>1948</v>
      </c>
      <c r="I44" s="303" t="s">
        <v>1949</v>
      </c>
      <c r="J44" s="303" t="s">
        <v>1950</v>
      </c>
    </row>
    <row r="45" customFormat="false" ht="255" hidden="false" customHeight="true" outlineLevel="0" collapsed="false">
      <c r="A45" s="298"/>
      <c r="B45" s="298" t="n">
        <v>41</v>
      </c>
      <c r="C45" s="309" t="n">
        <v>46268</v>
      </c>
      <c r="D45" s="298" t="s">
        <v>1951</v>
      </c>
      <c r="E45" s="298" t="s">
        <v>1952</v>
      </c>
      <c r="F45" s="298" t="s">
        <v>1953</v>
      </c>
      <c r="G45" s="303" t="s">
        <v>1954</v>
      </c>
      <c r="H45" s="303" t="s">
        <v>1955</v>
      </c>
      <c r="I45" s="303" t="s">
        <v>1956</v>
      </c>
      <c r="J45" s="303" t="s">
        <v>1957</v>
      </c>
    </row>
    <row r="46" customFormat="false" ht="195" hidden="false" customHeight="true" outlineLevel="0" collapsed="false">
      <c r="A46" s="298"/>
      <c r="B46" s="298" t="n">
        <v>42</v>
      </c>
      <c r="C46" s="309" t="n">
        <v>46268</v>
      </c>
      <c r="D46" s="298" t="s">
        <v>1904</v>
      </c>
      <c r="E46" s="298" t="s">
        <v>1911</v>
      </c>
      <c r="F46" s="298" t="s">
        <v>1958</v>
      </c>
      <c r="G46" s="303" t="s">
        <v>1959</v>
      </c>
      <c r="H46" s="303" t="s">
        <v>1960</v>
      </c>
      <c r="I46" s="303" t="s">
        <v>1961</v>
      </c>
      <c r="J46" s="303" t="s">
        <v>1962</v>
      </c>
    </row>
    <row r="47" customFormat="false" ht="285" hidden="false" customHeight="true" outlineLevel="0" collapsed="false">
      <c r="A47" s="298"/>
      <c r="B47" s="298" t="n">
        <v>43</v>
      </c>
      <c r="C47" s="309" t="n">
        <v>46268</v>
      </c>
      <c r="D47" s="298" t="s">
        <v>1904</v>
      </c>
      <c r="E47" s="298" t="s">
        <v>1963</v>
      </c>
      <c r="F47" s="298" t="s">
        <v>1964</v>
      </c>
      <c r="G47" s="303" t="s">
        <v>1965</v>
      </c>
      <c r="H47" s="303" t="s">
        <v>1966</v>
      </c>
      <c r="I47" s="303" t="s">
        <v>1967</v>
      </c>
      <c r="J47" s="303" t="s">
        <v>1968</v>
      </c>
    </row>
    <row r="48" customFormat="false" ht="255" hidden="false" customHeight="true" outlineLevel="0" collapsed="false">
      <c r="A48" s="298"/>
      <c r="B48" s="298" t="n">
        <v>44</v>
      </c>
      <c r="C48" s="309" t="n">
        <v>46268</v>
      </c>
      <c r="D48" s="298" t="s">
        <v>1650</v>
      </c>
      <c r="E48" s="298" t="s">
        <v>1917</v>
      </c>
      <c r="F48" s="298" t="s">
        <v>1969</v>
      </c>
      <c r="G48" s="303" t="s">
        <v>1970</v>
      </c>
      <c r="H48" s="303" t="s">
        <v>1971</v>
      </c>
      <c r="I48" s="303" t="s">
        <v>1972</v>
      </c>
      <c r="J48" s="303" t="s">
        <v>1973</v>
      </c>
    </row>
    <row r="49" customFormat="false" ht="150" hidden="false" customHeight="true" outlineLevel="0" collapsed="false">
      <c r="A49" s="298"/>
      <c r="B49" s="298" t="n">
        <v>45</v>
      </c>
      <c r="C49" s="311" t="n">
        <v>46268</v>
      </c>
      <c r="D49" s="298" t="s">
        <v>1974</v>
      </c>
      <c r="E49" s="298" t="s">
        <v>1766</v>
      </c>
      <c r="F49" s="298" t="s">
        <v>1975</v>
      </c>
      <c r="G49" s="303" t="s">
        <v>1976</v>
      </c>
      <c r="H49" s="303" t="s">
        <v>1977</v>
      </c>
      <c r="I49" s="303" t="s">
        <v>1978</v>
      </c>
      <c r="J49" s="303" t="s">
        <v>1979</v>
      </c>
    </row>
    <row r="50" customFormat="false" ht="135" hidden="false" customHeight="true" outlineLevel="0" collapsed="false">
      <c r="A50" s="298"/>
      <c r="B50" s="298" t="n">
        <v>46</v>
      </c>
      <c r="C50" s="311" t="n">
        <v>46268</v>
      </c>
      <c r="D50" s="298" t="s">
        <v>1974</v>
      </c>
      <c r="E50" s="298" t="s">
        <v>1980</v>
      </c>
      <c r="F50" s="298" t="s">
        <v>1981</v>
      </c>
      <c r="G50" s="303" t="s">
        <v>1982</v>
      </c>
      <c r="H50" s="303" t="s">
        <v>1983</v>
      </c>
      <c r="I50" s="303" t="s">
        <v>1984</v>
      </c>
      <c r="J50" s="303" t="s">
        <v>1985</v>
      </c>
    </row>
    <row r="51" customFormat="false" ht="255" hidden="false" customHeight="true" outlineLevel="0" collapsed="false">
      <c r="A51" s="298"/>
      <c r="B51" s="298" t="n">
        <v>47</v>
      </c>
      <c r="C51" s="311" t="n">
        <v>46268</v>
      </c>
      <c r="D51" s="298" t="s">
        <v>1951</v>
      </c>
      <c r="E51" s="298" t="s">
        <v>1473</v>
      </c>
      <c r="F51" s="298" t="s">
        <v>1986</v>
      </c>
      <c r="G51" s="303" t="s">
        <v>1987</v>
      </c>
      <c r="H51" s="303" t="s">
        <v>1988</v>
      </c>
      <c r="I51" s="303" t="s">
        <v>1989</v>
      </c>
      <c r="J51" s="303" t="s">
        <v>1957</v>
      </c>
    </row>
    <row r="52" customFormat="false" ht="225" hidden="false" customHeight="true" outlineLevel="0" collapsed="false">
      <c r="A52" s="298"/>
      <c r="B52" s="298" t="n">
        <v>48</v>
      </c>
      <c r="C52" s="311" t="n">
        <v>46268</v>
      </c>
      <c r="D52" s="298" t="s">
        <v>1990</v>
      </c>
      <c r="E52" s="298" t="s">
        <v>1991</v>
      </c>
      <c r="F52" s="298" t="s">
        <v>1992</v>
      </c>
      <c r="G52" s="303" t="s">
        <v>1993</v>
      </c>
      <c r="H52" s="303" t="s">
        <v>1994</v>
      </c>
      <c r="I52" s="303" t="s">
        <v>1995</v>
      </c>
      <c r="J52" s="303" t="s">
        <v>1996</v>
      </c>
    </row>
    <row r="53" customFormat="false" ht="315" hidden="false" customHeight="true" outlineLevel="0" collapsed="false">
      <c r="A53" s="298"/>
      <c r="B53" s="298" t="n">
        <v>49</v>
      </c>
      <c r="C53" s="311" t="n">
        <v>46268</v>
      </c>
      <c r="D53" s="298" t="s">
        <v>1997</v>
      </c>
      <c r="E53" s="298" t="s">
        <v>1473</v>
      </c>
      <c r="F53" s="298" t="s">
        <v>1998</v>
      </c>
      <c r="G53" s="303" t="s">
        <v>1999</v>
      </c>
      <c r="H53" s="303" t="s">
        <v>2000</v>
      </c>
      <c r="I53" s="303" t="s">
        <v>2001</v>
      </c>
      <c r="J53" s="303" t="s">
        <v>2002</v>
      </c>
    </row>
    <row r="54" customFormat="false" ht="165" hidden="false" customHeight="true" outlineLevel="0" collapsed="false">
      <c r="B54" s="298" t="n">
        <v>50</v>
      </c>
      <c r="C54" s="311" t="n">
        <v>46271</v>
      </c>
      <c r="D54" s="298" t="s">
        <v>2003</v>
      </c>
      <c r="E54" s="298" t="s">
        <v>2004</v>
      </c>
      <c r="F54" s="298" t="s">
        <v>2005</v>
      </c>
      <c r="G54" s="303" t="s">
        <v>2006</v>
      </c>
      <c r="H54" s="303" t="s">
        <v>2007</v>
      </c>
      <c r="I54" s="303" t="s">
        <v>2008</v>
      </c>
      <c r="J54" s="303" t="s">
        <v>2009</v>
      </c>
    </row>
    <row r="55" customFormat="false" ht="90" hidden="false" customHeight="true" outlineLevel="0" collapsed="false">
      <c r="B55" s="298" t="n">
        <v>51</v>
      </c>
      <c r="C55" s="311" t="n">
        <v>46271</v>
      </c>
      <c r="D55" s="298" t="s">
        <v>2003</v>
      </c>
      <c r="E55" s="298" t="s">
        <v>2010</v>
      </c>
      <c r="F55" s="298" t="s">
        <v>2011</v>
      </c>
      <c r="G55" s="303" t="s">
        <v>2012</v>
      </c>
      <c r="H55" s="303" t="s">
        <v>2013</v>
      </c>
      <c r="I55" s="303" t="s">
        <v>2014</v>
      </c>
      <c r="J55" s="303" t="s">
        <v>2015</v>
      </c>
    </row>
    <row r="56" customFormat="false" ht="165" hidden="false" customHeight="true" outlineLevel="0" collapsed="false">
      <c r="B56" s="298" t="n">
        <v>52</v>
      </c>
      <c r="C56" s="311" t="n">
        <v>46271</v>
      </c>
      <c r="D56" s="298" t="s">
        <v>2003</v>
      </c>
      <c r="E56" s="298" t="s">
        <v>2016</v>
      </c>
      <c r="F56" s="298" t="s">
        <v>2017</v>
      </c>
      <c r="G56" s="303" t="s">
        <v>2018</v>
      </c>
      <c r="H56" s="303" t="s">
        <v>2019</v>
      </c>
      <c r="I56" s="303" t="s">
        <v>2020</v>
      </c>
      <c r="J56" s="303" t="s">
        <v>2021</v>
      </c>
    </row>
    <row r="57" customFormat="false" ht="120" hidden="false" customHeight="true" outlineLevel="0" collapsed="false">
      <c r="B57" s="298" t="n">
        <v>53</v>
      </c>
      <c r="C57" s="311" t="n">
        <v>46271</v>
      </c>
      <c r="D57" s="298" t="s">
        <v>2003</v>
      </c>
      <c r="E57" s="298" t="s">
        <v>2022</v>
      </c>
      <c r="F57" s="298" t="s">
        <v>2023</v>
      </c>
      <c r="G57" s="303" t="s">
        <v>2024</v>
      </c>
      <c r="H57" s="303" t="s">
        <v>2025</v>
      </c>
      <c r="I57" s="303" t="s">
        <v>2026</v>
      </c>
      <c r="J57" s="303" t="s">
        <v>2027</v>
      </c>
    </row>
    <row r="58" customFormat="false" ht="210" hidden="false" customHeight="true" outlineLevel="0" collapsed="false">
      <c r="B58" s="298" t="n">
        <v>54</v>
      </c>
      <c r="C58" s="312" t="n">
        <v>46271</v>
      </c>
      <c r="D58" s="298" t="s">
        <v>2003</v>
      </c>
      <c r="E58" s="298" t="s">
        <v>2028</v>
      </c>
      <c r="F58" s="298" t="s">
        <v>2029</v>
      </c>
      <c r="G58" s="303" t="s">
        <v>2030</v>
      </c>
      <c r="H58" s="303" t="s">
        <v>2031</v>
      </c>
      <c r="I58" s="303" t="s">
        <v>2032</v>
      </c>
      <c r="J58" s="303" t="s">
        <v>2033</v>
      </c>
    </row>
    <row r="59" customFormat="false" ht="210" hidden="false" customHeight="true" outlineLevel="0" collapsed="false">
      <c r="B59" s="298" t="n">
        <v>55</v>
      </c>
      <c r="C59" s="312" t="n">
        <v>46271</v>
      </c>
      <c r="D59" s="298" t="s">
        <v>2034</v>
      </c>
      <c r="E59" s="298" t="s">
        <v>2035</v>
      </c>
      <c r="F59" s="298" t="s">
        <v>1740</v>
      </c>
      <c r="G59" s="303" t="s">
        <v>2036</v>
      </c>
      <c r="H59" s="303" t="s">
        <v>2037</v>
      </c>
      <c r="I59" s="303" t="s">
        <v>2038</v>
      </c>
      <c r="J59" s="303" t="s">
        <v>2039</v>
      </c>
    </row>
    <row r="60" customFormat="false" ht="75" hidden="false" customHeight="true" outlineLevel="0" collapsed="false">
      <c r="B60" s="298" t="n">
        <v>56</v>
      </c>
      <c r="C60" s="312" t="n">
        <v>46271</v>
      </c>
      <c r="D60" s="298" t="s">
        <v>2034</v>
      </c>
      <c r="E60" s="298" t="s">
        <v>2040</v>
      </c>
      <c r="F60" s="298" t="s">
        <v>2011</v>
      </c>
      <c r="G60" s="303" t="s">
        <v>2041</v>
      </c>
      <c r="H60" s="303" t="s">
        <v>2042</v>
      </c>
      <c r="I60" s="303" t="s">
        <v>2043</v>
      </c>
      <c r="J60" s="303" t="s">
        <v>2044</v>
      </c>
    </row>
    <row r="61" customFormat="false" ht="150" hidden="false" customHeight="true" outlineLevel="0" collapsed="false">
      <c r="B61" s="298" t="n">
        <v>61</v>
      </c>
      <c r="C61" s="312" t="n">
        <v>46272</v>
      </c>
      <c r="D61" s="298" t="s">
        <v>2045</v>
      </c>
      <c r="E61" s="298" t="s">
        <v>2046</v>
      </c>
      <c r="F61" s="298" t="s">
        <v>2047</v>
      </c>
      <c r="G61" s="303" t="s">
        <v>2048</v>
      </c>
      <c r="H61" s="303" t="s">
        <v>2049</v>
      </c>
      <c r="I61" s="303" t="s">
        <v>2050</v>
      </c>
      <c r="J61" s="303" t="s">
        <v>2051</v>
      </c>
    </row>
    <row r="62" customFormat="false" ht="165" hidden="false" customHeight="true" outlineLevel="0" collapsed="false">
      <c r="B62" s="298" t="n">
        <v>58</v>
      </c>
      <c r="C62" s="312" t="n">
        <v>46271</v>
      </c>
      <c r="D62" s="298" t="s">
        <v>2045</v>
      </c>
      <c r="E62" s="298" t="s">
        <v>2052</v>
      </c>
      <c r="F62" s="298" t="s">
        <v>2053</v>
      </c>
      <c r="G62" s="303" t="s">
        <v>2054</v>
      </c>
      <c r="H62" s="303" t="s">
        <v>2055</v>
      </c>
      <c r="I62" s="303" t="s">
        <v>2056</v>
      </c>
      <c r="J62" s="303" t="s">
        <v>2057</v>
      </c>
    </row>
    <row r="63" customFormat="false" ht="75" hidden="false" customHeight="true" outlineLevel="0" collapsed="false">
      <c r="B63" s="298" t="n">
        <v>59</v>
      </c>
      <c r="C63" s="312" t="n">
        <v>46271</v>
      </c>
      <c r="D63" s="298" t="s">
        <v>2045</v>
      </c>
      <c r="E63" s="298" t="s">
        <v>2058</v>
      </c>
      <c r="F63" s="298" t="s">
        <v>2059</v>
      </c>
      <c r="G63" s="303" t="s">
        <v>2060</v>
      </c>
      <c r="H63" s="303" t="s">
        <v>1756</v>
      </c>
      <c r="I63" s="303" t="s">
        <v>2061</v>
      </c>
      <c r="J63" s="303" t="s">
        <v>2062</v>
      </c>
    </row>
    <row r="64" customFormat="false" ht="105" hidden="false" customHeight="true" outlineLevel="0" collapsed="false">
      <c r="B64" s="298" t="n">
        <v>60</v>
      </c>
      <c r="C64" s="312" t="n">
        <v>46271</v>
      </c>
      <c r="D64" s="298" t="s">
        <v>2045</v>
      </c>
      <c r="E64" s="298" t="s">
        <v>2063</v>
      </c>
      <c r="F64" s="298" t="s">
        <v>2064</v>
      </c>
      <c r="G64" s="303" t="s">
        <v>2065</v>
      </c>
      <c r="H64" s="303" t="s">
        <v>2066</v>
      </c>
      <c r="I64" s="303" t="s">
        <v>2067</v>
      </c>
      <c r="J64" s="303" t="s">
        <v>2068</v>
      </c>
    </row>
    <row r="65" customFormat="false" ht="180" hidden="false" customHeight="true" outlineLevel="0" collapsed="false">
      <c r="B65" s="298" t="n">
        <v>62</v>
      </c>
      <c r="C65" s="312" t="n">
        <v>46286</v>
      </c>
      <c r="D65" s="298" t="s">
        <v>2045</v>
      </c>
      <c r="E65" s="298" t="s">
        <v>2069</v>
      </c>
      <c r="F65" s="298" t="s">
        <v>2070</v>
      </c>
      <c r="G65" s="303" t="s">
        <v>2071</v>
      </c>
      <c r="H65" s="303" t="s">
        <v>2072</v>
      </c>
      <c r="I65" s="303" t="s">
        <v>2073</v>
      </c>
      <c r="J65" s="303" t="s">
        <v>2074</v>
      </c>
    </row>
    <row r="66" customFormat="false" ht="60" hidden="false" customHeight="true" outlineLevel="0" collapsed="false">
      <c r="B66" s="298" t="n">
        <v>63</v>
      </c>
      <c r="C66" s="312" t="n">
        <v>46290</v>
      </c>
      <c r="D66" s="298" t="s">
        <v>2075</v>
      </c>
      <c r="E66" s="298" t="s">
        <v>2076</v>
      </c>
      <c r="F66" s="298" t="s">
        <v>2077</v>
      </c>
      <c r="G66" s="303" t="s">
        <v>2078</v>
      </c>
      <c r="H66" s="303" t="s">
        <v>2079</v>
      </c>
      <c r="I66" s="303" t="s">
        <v>2080</v>
      </c>
      <c r="J66" s="303" t="s">
        <v>2081</v>
      </c>
    </row>
    <row r="67" customFormat="false" ht="60" hidden="false" customHeight="true" outlineLevel="0" collapsed="false">
      <c r="B67" s="298" t="n">
        <v>64</v>
      </c>
      <c r="C67" s="312" t="n">
        <v>46290</v>
      </c>
      <c r="D67" s="298" t="s">
        <v>2075</v>
      </c>
      <c r="E67" s="298" t="s">
        <v>2082</v>
      </c>
      <c r="F67" s="298" t="s">
        <v>2083</v>
      </c>
      <c r="G67" s="303" t="s">
        <v>2084</v>
      </c>
      <c r="H67" s="303" t="s">
        <v>2085</v>
      </c>
      <c r="I67" s="303" t="s">
        <v>2086</v>
      </c>
      <c r="J67" s="303" t="s">
        <v>2081</v>
      </c>
    </row>
    <row r="68" customFormat="false" ht="60" hidden="false" customHeight="true" outlineLevel="0" collapsed="false">
      <c r="B68" s="298" t="n">
        <v>65</v>
      </c>
      <c r="C68" s="312" t="n">
        <v>46290</v>
      </c>
      <c r="D68" s="298" t="s">
        <v>2075</v>
      </c>
      <c r="E68" s="298" t="s">
        <v>1620</v>
      </c>
      <c r="F68" s="298" t="s">
        <v>2087</v>
      </c>
      <c r="G68" s="303" t="s">
        <v>2088</v>
      </c>
      <c r="H68" s="303" t="s">
        <v>2089</v>
      </c>
      <c r="I68" s="303" t="s">
        <v>2090</v>
      </c>
      <c r="J68" s="303" t="s">
        <v>2081</v>
      </c>
    </row>
    <row r="69" customFormat="false" ht="30" hidden="false" customHeight="true" outlineLevel="0" collapsed="false">
      <c r="B69" s="298" t="n">
        <v>66</v>
      </c>
      <c r="C69" s="312" t="n">
        <v>46290</v>
      </c>
      <c r="D69" s="298" t="s">
        <v>2075</v>
      </c>
      <c r="E69" s="298" t="s">
        <v>1620</v>
      </c>
      <c r="F69" s="298" t="s">
        <v>2091</v>
      </c>
      <c r="G69" s="303" t="s">
        <v>2092</v>
      </c>
      <c r="H69" s="303" t="s">
        <v>2093</v>
      </c>
      <c r="I69" s="303" t="s">
        <v>2094</v>
      </c>
      <c r="J69" s="303" t="s">
        <v>2081</v>
      </c>
    </row>
    <row r="70" customFormat="false" ht="30" hidden="false" customHeight="true" outlineLevel="0" collapsed="false">
      <c r="B70" s="298" t="n">
        <v>67</v>
      </c>
      <c r="C70" s="312" t="n">
        <v>46290</v>
      </c>
      <c r="D70" s="298" t="s">
        <v>2075</v>
      </c>
      <c r="E70" s="298" t="s">
        <v>2095</v>
      </c>
      <c r="F70" s="298" t="s">
        <v>2096</v>
      </c>
      <c r="G70" s="303" t="s">
        <v>2097</v>
      </c>
      <c r="H70" s="303" t="s">
        <v>2098</v>
      </c>
      <c r="I70" s="303" t="s">
        <v>2099</v>
      </c>
      <c r="J70" s="303" t="s">
        <v>2081</v>
      </c>
    </row>
    <row r="71" customFormat="false" ht="45" hidden="false" customHeight="true" outlineLevel="0" collapsed="false">
      <c r="B71" s="298" t="n">
        <v>68</v>
      </c>
      <c r="C71" s="312" t="n">
        <v>46290</v>
      </c>
      <c r="D71" s="298" t="s">
        <v>2075</v>
      </c>
      <c r="E71" s="298" t="s">
        <v>2100</v>
      </c>
      <c r="F71" s="298" t="s">
        <v>2101</v>
      </c>
      <c r="G71" s="303" t="s">
        <v>2102</v>
      </c>
      <c r="H71" s="303" t="s">
        <v>148</v>
      </c>
      <c r="I71" s="303" t="s">
        <v>2103</v>
      </c>
      <c r="J71" s="303" t="s">
        <v>2081</v>
      </c>
    </row>
    <row r="72" customFormat="false" ht="75" hidden="false" customHeight="true" outlineLevel="0" collapsed="false">
      <c r="B72" s="298" t="n">
        <v>69</v>
      </c>
      <c r="C72" s="312" t="n">
        <v>46290</v>
      </c>
      <c r="D72" s="298" t="s">
        <v>2075</v>
      </c>
      <c r="E72" s="298" t="s">
        <v>2058</v>
      </c>
      <c r="F72" s="298" t="s">
        <v>2104</v>
      </c>
      <c r="G72" s="303" t="s">
        <v>2105</v>
      </c>
      <c r="H72" s="303" t="s">
        <v>148</v>
      </c>
      <c r="I72" s="303" t="s">
        <v>2106</v>
      </c>
      <c r="J72" s="303" t="s">
        <v>2081</v>
      </c>
    </row>
    <row r="73" customFormat="false" ht="75" hidden="false" customHeight="true" outlineLevel="0" collapsed="false">
      <c r="B73" s="298" t="n">
        <v>70</v>
      </c>
      <c r="C73" s="312" t="n">
        <v>46290</v>
      </c>
      <c r="D73" s="298" t="s">
        <v>2075</v>
      </c>
      <c r="E73" s="298" t="s">
        <v>2107</v>
      </c>
      <c r="F73" s="298" t="s">
        <v>2108</v>
      </c>
      <c r="G73" s="303" t="s">
        <v>2109</v>
      </c>
      <c r="H73" s="303" t="s">
        <v>148</v>
      </c>
      <c r="I73" s="303" t="s">
        <v>2110</v>
      </c>
      <c r="J73" s="303" t="s">
        <v>2081</v>
      </c>
    </row>
    <row r="74" customFormat="false" ht="30" hidden="false" customHeight="true" outlineLevel="0" collapsed="false">
      <c r="B74" s="298" t="n">
        <v>71</v>
      </c>
      <c r="C74" s="312" t="n">
        <v>46290</v>
      </c>
      <c r="D74" s="298" t="s">
        <v>2075</v>
      </c>
      <c r="E74" s="298" t="s">
        <v>1620</v>
      </c>
      <c r="F74" s="298" t="s">
        <v>2111</v>
      </c>
      <c r="G74" s="303" t="s">
        <v>2112</v>
      </c>
      <c r="H74" s="303" t="s">
        <v>2113</v>
      </c>
      <c r="I74" s="303" t="s">
        <v>2114</v>
      </c>
      <c r="J74" s="303" t="s">
        <v>2068</v>
      </c>
    </row>
    <row r="75" customFormat="false" ht="90" hidden="false" customHeight="true" outlineLevel="0" collapsed="false">
      <c r="B75" s="298" t="n">
        <v>72</v>
      </c>
      <c r="C75" s="312" t="n">
        <v>46290</v>
      </c>
      <c r="D75" s="298" t="s">
        <v>2075</v>
      </c>
      <c r="E75" s="298" t="s">
        <v>2115</v>
      </c>
      <c r="F75" s="298" t="s">
        <v>2116</v>
      </c>
      <c r="G75" s="303" t="s">
        <v>2117</v>
      </c>
      <c r="H75" s="303" t="s">
        <v>2118</v>
      </c>
      <c r="I75" s="303" t="s">
        <v>2119</v>
      </c>
      <c r="J75" s="303" t="s">
        <v>2081</v>
      </c>
    </row>
    <row r="76" customFormat="false" ht="90" hidden="false" customHeight="true" outlineLevel="0" collapsed="false">
      <c r="B76" s="298" t="n">
        <v>73</v>
      </c>
      <c r="C76" s="312" t="n">
        <v>46292</v>
      </c>
      <c r="D76" s="298" t="s">
        <v>2075</v>
      </c>
      <c r="E76" s="298" t="s">
        <v>2120</v>
      </c>
      <c r="F76" s="298" t="s">
        <v>2121</v>
      </c>
      <c r="G76" s="303" t="s">
        <v>2122</v>
      </c>
      <c r="H76" s="303" t="s">
        <v>2123</v>
      </c>
      <c r="I76" s="303" t="s">
        <v>2124</v>
      </c>
      <c r="J76" s="303" t="s">
        <v>2125</v>
      </c>
    </row>
    <row r="77" customFormat="false" ht="45" hidden="false" customHeight="true" outlineLevel="0" collapsed="false">
      <c r="B77" s="298" t="n">
        <v>74</v>
      </c>
      <c r="C77" s="312" t="n">
        <v>46292</v>
      </c>
      <c r="D77" s="298" t="s">
        <v>2075</v>
      </c>
      <c r="E77" s="298" t="s">
        <v>2126</v>
      </c>
      <c r="F77" s="298" t="s">
        <v>2127</v>
      </c>
      <c r="G77" s="303" t="s">
        <v>2128</v>
      </c>
      <c r="H77" s="303" t="s">
        <v>2129</v>
      </c>
      <c r="I77" s="303" t="s">
        <v>2130</v>
      </c>
      <c r="J77" s="303" t="s">
        <v>2125</v>
      </c>
    </row>
    <row r="78" customFormat="false" ht="45" hidden="false" customHeight="true" outlineLevel="0" collapsed="false">
      <c r="B78" s="298" t="n">
        <v>75</v>
      </c>
      <c r="C78" s="312" t="n">
        <v>46292</v>
      </c>
      <c r="D78" s="298" t="s">
        <v>2075</v>
      </c>
      <c r="E78" s="298" t="s">
        <v>2095</v>
      </c>
      <c r="F78" s="298" t="s">
        <v>2131</v>
      </c>
      <c r="G78" s="303" t="s">
        <v>2132</v>
      </c>
      <c r="H78" s="303" t="s">
        <v>2133</v>
      </c>
      <c r="I78" s="303" t="s">
        <v>2134</v>
      </c>
      <c r="J78" s="303" t="s">
        <v>2125</v>
      </c>
    </row>
    <row r="79" customFormat="false" ht="15" hidden="false" customHeight="false" outlineLevel="0" collapsed="false">
      <c r="B79" s="298" t="n">
        <v>76</v>
      </c>
      <c r="C79" s="312" t="n">
        <v>46292</v>
      </c>
      <c r="D79" s="298" t="s">
        <v>2075</v>
      </c>
      <c r="E79" s="298" t="s">
        <v>1620</v>
      </c>
      <c r="F79" s="298" t="s">
        <v>2135</v>
      </c>
      <c r="G79" s="303" t="s">
        <v>2136</v>
      </c>
      <c r="H79" s="303"/>
      <c r="I79" s="303"/>
      <c r="J79" s="303" t="s">
        <v>2125</v>
      </c>
    </row>
    <row r="80" customFormat="false" ht="75" hidden="false" customHeight="true" outlineLevel="0" collapsed="false">
      <c r="B80" s="298" t="n">
        <v>77</v>
      </c>
      <c r="C80" s="312" t="n">
        <v>46292</v>
      </c>
      <c r="D80" s="298" t="s">
        <v>2137</v>
      </c>
      <c r="E80" s="298" t="s">
        <v>2095</v>
      </c>
      <c r="F80" s="298" t="s">
        <v>2138</v>
      </c>
      <c r="G80" s="303" t="s">
        <v>2139</v>
      </c>
      <c r="H80" s="313" t="n">
        <v>0</v>
      </c>
      <c r="I80" s="313" t="n">
        <v>1</v>
      </c>
      <c r="J80" s="303" t="s">
        <v>2140</v>
      </c>
    </row>
    <row r="81" customFormat="false" ht="60" hidden="false" customHeight="true" outlineLevel="0" collapsed="false">
      <c r="B81" s="298" t="n">
        <v>78</v>
      </c>
      <c r="C81" s="312" t="n">
        <v>46292</v>
      </c>
      <c r="D81" s="298" t="s">
        <v>2137</v>
      </c>
      <c r="E81" s="298" t="s">
        <v>1620</v>
      </c>
      <c r="F81" s="298" t="s">
        <v>2141</v>
      </c>
      <c r="G81" s="303" t="s">
        <v>2142</v>
      </c>
      <c r="H81" s="303" t="s">
        <v>2143</v>
      </c>
      <c r="I81" s="303" t="s">
        <v>2144</v>
      </c>
      <c r="J81" s="303" t="s">
        <v>2140</v>
      </c>
    </row>
    <row r="82" customFormat="false" ht="45" hidden="false" customHeight="true" outlineLevel="0" collapsed="false">
      <c r="B82" s="298" t="n">
        <v>79</v>
      </c>
      <c r="C82" s="312" t="n">
        <v>46292</v>
      </c>
      <c r="D82" s="298" t="s">
        <v>2137</v>
      </c>
      <c r="E82" s="298" t="s">
        <v>2145</v>
      </c>
      <c r="F82" s="298" t="s">
        <v>2146</v>
      </c>
      <c r="G82" s="303" t="s">
        <v>2147</v>
      </c>
      <c r="H82" s="303"/>
      <c r="I82" s="303"/>
      <c r="J82" s="303" t="s">
        <v>2140</v>
      </c>
    </row>
    <row r="83" customFormat="false" ht="45" hidden="false" customHeight="true" outlineLevel="0" collapsed="false">
      <c r="B83" s="298" t="n">
        <v>80</v>
      </c>
      <c r="C83" s="312" t="n">
        <v>46292</v>
      </c>
      <c r="D83" s="298" t="s">
        <v>2137</v>
      </c>
      <c r="E83" s="298" t="s">
        <v>2148</v>
      </c>
      <c r="F83" s="298" t="s">
        <v>2149</v>
      </c>
      <c r="G83" s="303" t="s">
        <v>2150</v>
      </c>
      <c r="H83" s="313" t="n">
        <v>0.6</v>
      </c>
      <c r="I83" s="313" t="n">
        <v>0.55</v>
      </c>
      <c r="J83" s="303" t="s">
        <v>2125</v>
      </c>
    </row>
    <row r="84" customFormat="false" ht="75" hidden="false" customHeight="true" outlineLevel="0" collapsed="false">
      <c r="B84" s="298" t="n">
        <v>81</v>
      </c>
      <c r="C84" s="312" t="n">
        <v>46292</v>
      </c>
      <c r="D84" s="298" t="s">
        <v>2137</v>
      </c>
      <c r="E84" s="298" t="s">
        <v>2076</v>
      </c>
      <c r="F84" s="298" t="s">
        <v>2151</v>
      </c>
      <c r="G84" s="303" t="s">
        <v>2152</v>
      </c>
      <c r="H84" s="303" t="s">
        <v>148</v>
      </c>
      <c r="I84" s="303" t="s">
        <v>2153</v>
      </c>
      <c r="J84" s="303" t="s">
        <v>2125</v>
      </c>
    </row>
    <row r="85" customFormat="false" ht="45" hidden="false" customHeight="true" outlineLevel="0" collapsed="false">
      <c r="B85" s="298" t="n">
        <v>82</v>
      </c>
      <c r="C85" s="312" t="n">
        <v>46292</v>
      </c>
      <c r="D85" s="298" t="s">
        <v>2137</v>
      </c>
      <c r="E85" s="298" t="s">
        <v>2107</v>
      </c>
      <c r="F85" s="298" t="s">
        <v>2154</v>
      </c>
      <c r="G85" s="303" t="s">
        <v>2155</v>
      </c>
      <c r="H85" s="303" t="s">
        <v>148</v>
      </c>
      <c r="I85" s="303" t="s">
        <v>2156</v>
      </c>
      <c r="J85" s="303" t="s">
        <v>2125</v>
      </c>
    </row>
    <row r="86" customFormat="false" ht="30" hidden="false" customHeight="true" outlineLevel="0" collapsed="false">
      <c r="B86" s="298" t="n">
        <v>83</v>
      </c>
      <c r="C86" s="312" t="n">
        <v>46292</v>
      </c>
      <c r="D86" s="298" t="s">
        <v>2137</v>
      </c>
      <c r="E86" s="298" t="s">
        <v>1620</v>
      </c>
      <c r="F86" s="298" t="s">
        <v>2157</v>
      </c>
      <c r="G86" s="303" t="s">
        <v>2158</v>
      </c>
      <c r="H86" s="303" t="s">
        <v>2159</v>
      </c>
      <c r="I86" s="303" t="s">
        <v>2160</v>
      </c>
      <c r="J86" s="303" t="s">
        <v>2125</v>
      </c>
    </row>
    <row r="87" customFormat="false" ht="90" hidden="false" customHeight="true" outlineLevel="0" collapsed="false">
      <c r="B87" s="298" t="n">
        <v>84</v>
      </c>
      <c r="C87" s="312" t="n">
        <v>46292</v>
      </c>
      <c r="D87" s="298" t="s">
        <v>2137</v>
      </c>
      <c r="E87" s="298" t="s">
        <v>2022</v>
      </c>
      <c r="F87" s="298" t="s">
        <v>2161</v>
      </c>
      <c r="G87" s="303" t="s">
        <v>2162</v>
      </c>
      <c r="H87" s="303"/>
      <c r="I87" s="303"/>
      <c r="J87" s="303" t="s">
        <v>2125</v>
      </c>
    </row>
    <row r="88" customFormat="false" ht="60" hidden="false" customHeight="true" outlineLevel="0" collapsed="false">
      <c r="B88" s="298" t="n">
        <v>85</v>
      </c>
      <c r="C88" s="312" t="n">
        <v>46293</v>
      </c>
      <c r="D88" s="298" t="s">
        <v>2137</v>
      </c>
      <c r="E88" s="298" t="s">
        <v>2163</v>
      </c>
      <c r="F88" s="298" t="s">
        <v>2164</v>
      </c>
      <c r="G88" s="303" t="s">
        <v>2165</v>
      </c>
      <c r="H88" s="303" t="s">
        <v>148</v>
      </c>
      <c r="I88" s="303" t="s">
        <v>148</v>
      </c>
      <c r="J88" s="303" t="s">
        <v>2166</v>
      </c>
    </row>
    <row r="89" customFormat="false" ht="60" hidden="false" customHeight="true" outlineLevel="0" collapsed="false">
      <c r="B89" s="298" t="n">
        <v>86</v>
      </c>
      <c r="C89" s="312" t="n">
        <v>46294</v>
      </c>
      <c r="D89" s="298" t="s">
        <v>2137</v>
      </c>
      <c r="E89" s="298" t="s">
        <v>2069</v>
      </c>
      <c r="F89" s="298" t="s">
        <v>2167</v>
      </c>
      <c r="G89" s="303" t="s">
        <v>2168</v>
      </c>
      <c r="H89" s="303" t="s">
        <v>2169</v>
      </c>
      <c r="I89" s="303" t="s">
        <v>2170</v>
      </c>
      <c r="J89" s="303" t="s">
        <v>2171</v>
      </c>
    </row>
    <row r="90" customFormat="false" ht="30" hidden="false" customHeight="true" outlineLevel="0" collapsed="false">
      <c r="B90" s="298" t="n">
        <v>87</v>
      </c>
      <c r="C90" s="312" t="n">
        <v>46294</v>
      </c>
      <c r="D90" s="298" t="s">
        <v>2137</v>
      </c>
      <c r="E90" s="298" t="s">
        <v>2095</v>
      </c>
      <c r="F90" s="298" t="s">
        <v>2172</v>
      </c>
      <c r="G90" s="303" t="s">
        <v>2173</v>
      </c>
      <c r="H90" s="303" t="s">
        <v>148</v>
      </c>
      <c r="I90" s="303" t="s">
        <v>148</v>
      </c>
      <c r="J90" s="303" t="s">
        <v>2174</v>
      </c>
    </row>
    <row r="91" customFormat="false" ht="45" hidden="false" customHeight="true" outlineLevel="0" collapsed="false">
      <c r="B91" s="298" t="n">
        <v>88</v>
      </c>
      <c r="C91" s="312" t="n">
        <v>46294</v>
      </c>
      <c r="D91" s="298" t="s">
        <v>2137</v>
      </c>
      <c r="E91" s="298" t="s">
        <v>1748</v>
      </c>
      <c r="F91" s="298" t="s">
        <v>2175</v>
      </c>
      <c r="G91" s="303" t="s">
        <v>2176</v>
      </c>
      <c r="H91" s="303" t="s">
        <v>148</v>
      </c>
      <c r="I91" s="303" t="s">
        <v>148</v>
      </c>
      <c r="J91" s="303" t="s">
        <v>2177</v>
      </c>
    </row>
    <row r="92" customFormat="false" ht="75" hidden="false" customHeight="true" outlineLevel="0" collapsed="false">
      <c r="B92" s="298" t="n">
        <v>89</v>
      </c>
      <c r="C92" s="312" t="n">
        <v>46294</v>
      </c>
      <c r="D92" s="298" t="s">
        <v>2137</v>
      </c>
      <c r="E92" s="298" t="s">
        <v>2178</v>
      </c>
      <c r="F92" s="298" t="s">
        <v>2179</v>
      </c>
      <c r="G92" s="303" t="s">
        <v>2180</v>
      </c>
      <c r="H92" s="303" t="s">
        <v>2181</v>
      </c>
      <c r="I92" s="303" t="s">
        <v>2182</v>
      </c>
      <c r="J92" s="303" t="s">
        <v>2177</v>
      </c>
    </row>
    <row r="93" customFormat="false" ht="90" hidden="false" customHeight="true" outlineLevel="0" collapsed="false">
      <c r="B93" s="298" t="n">
        <v>90</v>
      </c>
      <c r="C93" s="312" t="n">
        <v>46294</v>
      </c>
      <c r="D93" s="298" t="s">
        <v>2137</v>
      </c>
      <c r="E93" s="298" t="s">
        <v>2183</v>
      </c>
      <c r="F93" s="298" t="s">
        <v>2184</v>
      </c>
      <c r="G93" s="303" t="s">
        <v>2185</v>
      </c>
      <c r="H93" s="303" t="s">
        <v>2182</v>
      </c>
      <c r="I93" s="303" t="s">
        <v>2182</v>
      </c>
      <c r="J93" s="303" t="s">
        <v>2186</v>
      </c>
    </row>
    <row r="94" customFormat="false" ht="60" hidden="false" customHeight="true" outlineLevel="0" collapsed="false">
      <c r="B94" s="298" t="n">
        <v>91</v>
      </c>
      <c r="C94" s="312" t="n">
        <v>46294</v>
      </c>
      <c r="D94" s="298" t="s">
        <v>2137</v>
      </c>
      <c r="E94" s="298" t="s">
        <v>2178</v>
      </c>
      <c r="F94" s="298" t="s">
        <v>2187</v>
      </c>
      <c r="G94" s="303" t="s">
        <v>2188</v>
      </c>
      <c r="H94" s="303" t="s">
        <v>2182</v>
      </c>
      <c r="I94" s="303" t="s">
        <v>2181</v>
      </c>
      <c r="J94" s="303" t="s">
        <v>2177</v>
      </c>
    </row>
    <row r="95" customFormat="false" ht="75" hidden="false" customHeight="true" outlineLevel="0" collapsed="false">
      <c r="B95" s="298" t="n">
        <v>92</v>
      </c>
      <c r="C95" s="312" t="n">
        <v>46294</v>
      </c>
      <c r="D95" s="298" t="s">
        <v>2137</v>
      </c>
      <c r="E95" s="298" t="s">
        <v>2189</v>
      </c>
      <c r="F95" s="298" t="s">
        <v>2190</v>
      </c>
      <c r="G95" s="303" t="s">
        <v>2191</v>
      </c>
      <c r="H95" s="303" t="s">
        <v>2181</v>
      </c>
      <c r="I95" s="303" t="s">
        <v>2181</v>
      </c>
      <c r="J95" s="303" t="s">
        <v>2177</v>
      </c>
    </row>
    <row r="96" customFormat="false" ht="60" hidden="false" customHeight="true" outlineLevel="0" collapsed="false">
      <c r="B96" s="298" t="n">
        <v>93</v>
      </c>
      <c r="C96" s="312" t="n">
        <v>46294</v>
      </c>
      <c r="D96" s="298" t="s">
        <v>2137</v>
      </c>
      <c r="E96" s="298" t="s">
        <v>2163</v>
      </c>
      <c r="F96" s="298" t="s">
        <v>2192</v>
      </c>
      <c r="G96" s="303" t="s">
        <v>2193</v>
      </c>
      <c r="H96" s="303" t="s">
        <v>2194</v>
      </c>
      <c r="I96" s="303" t="s">
        <v>2195</v>
      </c>
      <c r="J96" s="303" t="s">
        <v>2177</v>
      </c>
    </row>
    <row r="97" customFormat="false" ht="90" hidden="false" customHeight="true" outlineLevel="0" collapsed="false">
      <c r="B97" s="298" t="n">
        <v>94</v>
      </c>
      <c r="C97" s="312" t="n">
        <v>46296</v>
      </c>
      <c r="D97" s="298" t="s">
        <v>2196</v>
      </c>
      <c r="E97" s="298" t="s">
        <v>2197</v>
      </c>
      <c r="F97" s="298" t="s">
        <v>2198</v>
      </c>
      <c r="G97" s="303" t="s">
        <v>2199</v>
      </c>
      <c r="H97" s="303" t="s">
        <v>2200</v>
      </c>
      <c r="I97" s="303" t="s">
        <v>2201</v>
      </c>
      <c r="J97" s="303" t="s">
        <v>2202</v>
      </c>
    </row>
    <row r="98" customFormat="false" ht="90" hidden="false" customHeight="true" outlineLevel="0" collapsed="false">
      <c r="B98" s="298" t="n">
        <f aca="false">B97+1</f>
        <v>95</v>
      </c>
      <c r="C98" s="312" t="n">
        <v>46296</v>
      </c>
      <c r="D98" s="298" t="s">
        <v>2196</v>
      </c>
      <c r="E98" s="298" t="s">
        <v>2203</v>
      </c>
      <c r="F98" s="298" t="s">
        <v>2204</v>
      </c>
      <c r="G98" s="303" t="s">
        <v>2205</v>
      </c>
      <c r="H98" s="303" t="s">
        <v>2206</v>
      </c>
      <c r="I98" s="303" t="s">
        <v>2207</v>
      </c>
      <c r="J98" s="303" t="s">
        <v>2202</v>
      </c>
    </row>
    <row r="99" customFormat="false" ht="135" hidden="false" customHeight="true" outlineLevel="0" collapsed="false">
      <c r="B99" s="298" t="n">
        <f aca="false">B98+1</f>
        <v>96</v>
      </c>
      <c r="C99" s="312" t="n">
        <v>46296</v>
      </c>
      <c r="D99" s="298" t="s">
        <v>2208</v>
      </c>
      <c r="E99" s="298" t="s">
        <v>2209</v>
      </c>
      <c r="F99" s="298" t="s">
        <v>2210</v>
      </c>
      <c r="G99" s="303" t="s">
        <v>2211</v>
      </c>
      <c r="H99" s="303" t="s">
        <v>2212</v>
      </c>
      <c r="I99" s="303" t="s">
        <v>2213</v>
      </c>
      <c r="J99" s="303" t="s">
        <v>2214</v>
      </c>
    </row>
    <row r="100" customFormat="false" ht="105" hidden="false" customHeight="true" outlineLevel="0" collapsed="false">
      <c r="B100" s="298" t="n">
        <f aca="false">B99+1</f>
        <v>97</v>
      </c>
      <c r="C100" s="312" t="n">
        <v>46296</v>
      </c>
      <c r="D100" s="298" t="s">
        <v>2215</v>
      </c>
      <c r="E100" s="298" t="s">
        <v>2216</v>
      </c>
      <c r="F100" s="298" t="s">
        <v>2217</v>
      </c>
      <c r="G100" s="303" t="s">
        <v>2218</v>
      </c>
      <c r="H100" s="303" t="s">
        <v>2219</v>
      </c>
      <c r="I100" s="303" t="s">
        <v>2220</v>
      </c>
      <c r="J100" s="303" t="s">
        <v>2202</v>
      </c>
    </row>
    <row r="101" customFormat="false" ht="45" hidden="false" customHeight="true" outlineLevel="0" collapsed="false">
      <c r="B101" s="298" t="n">
        <v>98</v>
      </c>
      <c r="C101" s="312" t="n">
        <v>46297</v>
      </c>
      <c r="D101" s="298" t="s">
        <v>2221</v>
      </c>
      <c r="E101" s="298" t="s">
        <v>2222</v>
      </c>
      <c r="F101" s="298" t="s">
        <v>2223</v>
      </c>
      <c r="G101" s="303" t="s">
        <v>2224</v>
      </c>
      <c r="H101" s="303" t="s">
        <v>2225</v>
      </c>
      <c r="I101" s="303" t="s">
        <v>2226</v>
      </c>
      <c r="J101" s="303" t="s">
        <v>2227</v>
      </c>
    </row>
    <row r="102" customFormat="false" ht="45" hidden="false" customHeight="true" outlineLevel="0" collapsed="false">
      <c r="B102" s="298" t="n">
        <v>99</v>
      </c>
      <c r="C102" s="312" t="n">
        <v>46297</v>
      </c>
      <c r="D102" s="298" t="s">
        <v>2221</v>
      </c>
      <c r="E102" s="298" t="s">
        <v>2228</v>
      </c>
      <c r="F102" s="298" t="s">
        <v>2229</v>
      </c>
      <c r="G102" s="303" t="s">
        <v>2230</v>
      </c>
      <c r="H102" s="303" t="s">
        <v>2231</v>
      </c>
      <c r="I102" s="303" t="s">
        <v>2232</v>
      </c>
      <c r="J102" s="303" t="s">
        <v>2227</v>
      </c>
    </row>
    <row r="103" customFormat="false" ht="45" hidden="false" customHeight="true" outlineLevel="0" collapsed="false">
      <c r="B103" s="298" t="n">
        <v>100</v>
      </c>
      <c r="C103" s="312" t="n">
        <v>46297</v>
      </c>
      <c r="D103" s="298" t="s">
        <v>2221</v>
      </c>
      <c r="E103" s="298" t="s">
        <v>2233</v>
      </c>
      <c r="F103" s="298" t="s">
        <v>2234</v>
      </c>
      <c r="G103" s="303" t="s">
        <v>2235</v>
      </c>
      <c r="H103" s="303" t="s">
        <v>2236</v>
      </c>
      <c r="I103" s="303" t="s">
        <v>2237</v>
      </c>
      <c r="J103" s="303" t="s">
        <v>2227</v>
      </c>
    </row>
    <row r="104" customFormat="false" ht="45" hidden="false" customHeight="true" outlineLevel="0" collapsed="false">
      <c r="B104" s="298" t="n">
        <v>101</v>
      </c>
      <c r="C104" s="312" t="n">
        <v>46297</v>
      </c>
      <c r="D104" s="298" t="s">
        <v>2221</v>
      </c>
      <c r="E104" s="298" t="s">
        <v>1620</v>
      </c>
      <c r="F104" s="298" t="s">
        <v>2238</v>
      </c>
      <c r="G104" s="303" t="s">
        <v>2239</v>
      </c>
      <c r="H104" s="303" t="s">
        <v>2240</v>
      </c>
      <c r="I104" s="303" t="s">
        <v>2241</v>
      </c>
      <c r="J104" s="303" t="s">
        <v>2227</v>
      </c>
    </row>
    <row r="105" customFormat="false" ht="45" hidden="false" customHeight="true" outlineLevel="0" collapsed="false">
      <c r="B105" s="298" t="n">
        <v>102</v>
      </c>
      <c r="C105" s="312" t="n">
        <v>46297</v>
      </c>
      <c r="D105" s="298" t="s">
        <v>2221</v>
      </c>
      <c r="E105" s="298" t="s">
        <v>1620</v>
      </c>
      <c r="F105" s="298" t="s">
        <v>2242</v>
      </c>
      <c r="G105" s="303" t="s">
        <v>2243</v>
      </c>
      <c r="H105" s="303" t="s">
        <v>2244</v>
      </c>
      <c r="I105" s="303" t="s">
        <v>2245</v>
      </c>
      <c r="J105" s="303" t="s">
        <v>2227</v>
      </c>
    </row>
    <row r="106" customFormat="false" ht="45" hidden="false" customHeight="true" outlineLevel="0" collapsed="false">
      <c r="B106" s="298" t="n">
        <v>103</v>
      </c>
      <c r="C106" s="312" t="n">
        <v>46297</v>
      </c>
      <c r="D106" s="298" t="s">
        <v>2221</v>
      </c>
      <c r="E106" s="298" t="s">
        <v>2022</v>
      </c>
      <c r="F106" s="298" t="s">
        <v>2246</v>
      </c>
      <c r="G106" s="303" t="s">
        <v>2247</v>
      </c>
      <c r="H106" s="303" t="s">
        <v>2248</v>
      </c>
      <c r="I106" s="303" t="s">
        <v>2249</v>
      </c>
      <c r="J106" s="303" t="s">
        <v>2227</v>
      </c>
    </row>
    <row r="107" customFormat="false" ht="45" hidden="false" customHeight="true" outlineLevel="0" collapsed="false">
      <c r="B107" s="298" t="n">
        <v>104</v>
      </c>
      <c r="C107" s="312" t="n">
        <v>46297</v>
      </c>
      <c r="D107" s="298" t="s">
        <v>2221</v>
      </c>
      <c r="E107" s="298" t="s">
        <v>2250</v>
      </c>
      <c r="F107" s="298" t="s">
        <v>2251</v>
      </c>
      <c r="G107" s="303" t="s">
        <v>2252</v>
      </c>
      <c r="H107" s="303" t="s">
        <v>2253</v>
      </c>
      <c r="I107" s="303" t="s">
        <v>2254</v>
      </c>
      <c r="J107" s="303" t="s">
        <v>2227</v>
      </c>
    </row>
    <row r="108" customFormat="false" ht="45" hidden="false" customHeight="true" outlineLevel="0" collapsed="false">
      <c r="B108" s="298" t="n">
        <v>105</v>
      </c>
      <c r="C108" s="312" t="n">
        <v>46297</v>
      </c>
      <c r="D108" s="298" t="s">
        <v>2221</v>
      </c>
      <c r="E108" s="298" t="s">
        <v>2203</v>
      </c>
      <c r="F108" s="298" t="s">
        <v>2255</v>
      </c>
      <c r="G108" s="303" t="s">
        <v>2256</v>
      </c>
      <c r="H108" s="303" t="s">
        <v>2257</v>
      </c>
      <c r="I108" s="303" t="s">
        <v>2258</v>
      </c>
      <c r="J108" s="303" t="s">
        <v>2259</v>
      </c>
    </row>
    <row r="109" customFormat="false" ht="45" hidden="false" customHeight="true" outlineLevel="0" collapsed="false">
      <c r="B109" s="298" t="n">
        <v>106</v>
      </c>
      <c r="C109" s="312" t="n">
        <v>46297</v>
      </c>
      <c r="D109" s="298" t="s">
        <v>2221</v>
      </c>
      <c r="E109" s="298" t="s">
        <v>2260</v>
      </c>
      <c r="F109" s="298" t="s">
        <v>2261</v>
      </c>
      <c r="G109" s="303" t="s">
        <v>2262</v>
      </c>
      <c r="H109" s="303" t="s">
        <v>2263</v>
      </c>
      <c r="I109" s="303" t="s">
        <v>2264</v>
      </c>
      <c r="J109" s="303" t="s">
        <v>2259</v>
      </c>
    </row>
    <row r="110" customFormat="false" ht="45" hidden="false" customHeight="true" outlineLevel="0" collapsed="false">
      <c r="B110" s="298" t="n">
        <v>107</v>
      </c>
      <c r="C110" s="312" t="n">
        <v>46297</v>
      </c>
      <c r="D110" s="298" t="s">
        <v>2221</v>
      </c>
      <c r="E110" s="298" t="s">
        <v>1748</v>
      </c>
      <c r="F110" s="298" t="s">
        <v>2265</v>
      </c>
      <c r="G110" s="303" t="s">
        <v>2266</v>
      </c>
      <c r="H110" s="303" t="s">
        <v>148</v>
      </c>
      <c r="I110" s="303" t="s">
        <v>2267</v>
      </c>
      <c r="J110" s="303" t="s">
        <v>2259</v>
      </c>
    </row>
    <row r="111" customFormat="false" ht="45" hidden="false" customHeight="true" outlineLevel="0" collapsed="false">
      <c r="B111" s="298" t="n">
        <v>108</v>
      </c>
      <c r="C111" s="312" t="n">
        <v>46297</v>
      </c>
      <c r="D111" s="298" t="s">
        <v>2221</v>
      </c>
      <c r="E111" s="298" t="s">
        <v>2268</v>
      </c>
      <c r="F111" s="298" t="s">
        <v>2269</v>
      </c>
      <c r="G111" s="303" t="s">
        <v>2270</v>
      </c>
      <c r="H111" s="303" t="s">
        <v>2271</v>
      </c>
      <c r="I111" s="303" t="s">
        <v>2272</v>
      </c>
      <c r="J111" s="303" t="s">
        <v>2273</v>
      </c>
    </row>
    <row r="112" customFormat="false" ht="60" hidden="false" customHeight="true" outlineLevel="0" collapsed="false">
      <c r="B112" s="298" t="n">
        <v>109</v>
      </c>
      <c r="C112" s="312" t="n">
        <v>46297</v>
      </c>
      <c r="D112" s="298" t="s">
        <v>1464</v>
      </c>
      <c r="E112" s="298" t="s">
        <v>1748</v>
      </c>
      <c r="F112" s="298" t="s">
        <v>2274</v>
      </c>
      <c r="G112" s="303" t="s">
        <v>2275</v>
      </c>
      <c r="H112" s="303" t="s">
        <v>2276</v>
      </c>
      <c r="I112" s="303" t="s">
        <v>1659</v>
      </c>
      <c r="J112" s="303" t="s">
        <v>2277</v>
      </c>
    </row>
    <row r="113" customFormat="false" ht="45" hidden="false" customHeight="true" outlineLevel="0" collapsed="false">
      <c r="B113" s="298" t="n">
        <v>110</v>
      </c>
      <c r="C113" s="312" t="n">
        <v>46297</v>
      </c>
      <c r="D113" s="298" t="s">
        <v>1464</v>
      </c>
      <c r="E113" s="298" t="s">
        <v>2203</v>
      </c>
      <c r="F113" s="298" t="s">
        <v>2278</v>
      </c>
      <c r="G113" s="303" t="s">
        <v>2279</v>
      </c>
      <c r="H113" s="303" t="n">
        <v>500</v>
      </c>
      <c r="I113" s="303" t="n">
        <v>950</v>
      </c>
      <c r="J113" s="303" t="s">
        <v>2280</v>
      </c>
    </row>
    <row r="114" customFormat="false" ht="30" hidden="false" customHeight="true" outlineLevel="0" collapsed="false">
      <c r="B114" s="298" t="n">
        <v>111</v>
      </c>
      <c r="C114" s="312" t="n">
        <v>46297</v>
      </c>
      <c r="D114" s="298" t="s">
        <v>1464</v>
      </c>
      <c r="E114" s="298" t="s">
        <v>2203</v>
      </c>
      <c r="F114" s="298" t="s">
        <v>2281</v>
      </c>
      <c r="G114" s="303" t="s">
        <v>2282</v>
      </c>
      <c r="H114" s="303" t="s">
        <v>2283</v>
      </c>
      <c r="I114" s="303" t="s">
        <v>2284</v>
      </c>
      <c r="J114" s="303" t="s">
        <v>2285</v>
      </c>
    </row>
    <row r="115" customFormat="false" ht="30" hidden="false" customHeight="true" outlineLevel="0" collapsed="false">
      <c r="B115" s="298" t="n">
        <v>112</v>
      </c>
      <c r="C115" s="312" t="n">
        <v>46297</v>
      </c>
      <c r="D115" s="298" t="s">
        <v>1464</v>
      </c>
      <c r="E115" s="298" t="s">
        <v>2286</v>
      </c>
      <c r="F115" s="298" t="s">
        <v>2287</v>
      </c>
      <c r="G115" s="303" t="s">
        <v>2288</v>
      </c>
      <c r="H115" s="303" t="s">
        <v>2276</v>
      </c>
      <c r="I115" s="303" t="s">
        <v>1659</v>
      </c>
      <c r="J115" s="303" t="s">
        <v>2289</v>
      </c>
    </row>
    <row r="116" customFormat="false" ht="60" hidden="false" customHeight="true" outlineLevel="0" collapsed="false">
      <c r="B116" s="298" t="n">
        <v>113</v>
      </c>
      <c r="C116" s="312" t="n">
        <v>46297</v>
      </c>
      <c r="D116" s="298" t="s">
        <v>2290</v>
      </c>
      <c r="E116" s="298" t="s">
        <v>2291</v>
      </c>
      <c r="F116" s="298" t="s">
        <v>2292</v>
      </c>
      <c r="G116" s="303" t="s">
        <v>2293</v>
      </c>
      <c r="H116" s="303" t="s">
        <v>2294</v>
      </c>
      <c r="I116" s="303" t="s">
        <v>2295</v>
      </c>
      <c r="J116" s="303" t="s">
        <v>2273</v>
      </c>
    </row>
    <row r="117" customFormat="false" ht="30" hidden="false" customHeight="true" outlineLevel="0" collapsed="false">
      <c r="B117" s="298" t="n">
        <v>114</v>
      </c>
      <c r="C117" s="312" t="n">
        <v>46297</v>
      </c>
      <c r="D117" s="298" t="s">
        <v>1464</v>
      </c>
      <c r="E117" s="298" t="s">
        <v>2296</v>
      </c>
      <c r="F117" s="298" t="s">
        <v>2297</v>
      </c>
      <c r="G117" s="303" t="s">
        <v>2298</v>
      </c>
      <c r="H117" s="303" t="s">
        <v>2299</v>
      </c>
      <c r="I117" s="303" t="s">
        <v>2300</v>
      </c>
      <c r="J117" s="303" t="s">
        <v>2301</v>
      </c>
    </row>
    <row r="118" customFormat="false" ht="30" hidden="false" customHeight="true" outlineLevel="0" collapsed="false">
      <c r="B118" s="298" t="n">
        <v>115</v>
      </c>
      <c r="C118" s="312" t="n">
        <v>46297</v>
      </c>
      <c r="D118" s="298" t="s">
        <v>1464</v>
      </c>
      <c r="E118" s="298" t="s">
        <v>2302</v>
      </c>
      <c r="F118" s="298" t="s">
        <v>2303</v>
      </c>
      <c r="G118" s="303" t="s">
        <v>2304</v>
      </c>
      <c r="H118" s="303" t="s">
        <v>2305</v>
      </c>
      <c r="I118" s="303" t="s">
        <v>2306</v>
      </c>
      <c r="J118" s="303" t="s">
        <v>2301</v>
      </c>
    </row>
    <row r="119" customFormat="false" ht="30" hidden="false" customHeight="true" outlineLevel="0" collapsed="false">
      <c r="B119" s="298" t="n">
        <v>116</v>
      </c>
      <c r="C119" s="312" t="n">
        <v>46297</v>
      </c>
      <c r="D119" s="298" t="s">
        <v>1464</v>
      </c>
      <c r="E119" s="298" t="s">
        <v>2307</v>
      </c>
      <c r="F119" s="298" t="s">
        <v>2308</v>
      </c>
      <c r="G119" s="303" t="s">
        <v>2309</v>
      </c>
      <c r="H119" s="303" t="s">
        <v>2310</v>
      </c>
      <c r="I119" s="303" t="s">
        <v>2311</v>
      </c>
      <c r="J119" s="303" t="s">
        <v>2301</v>
      </c>
    </row>
    <row r="120" customFormat="false" ht="45" hidden="false" customHeight="true" outlineLevel="0" collapsed="false">
      <c r="B120" s="298" t="n">
        <v>117</v>
      </c>
      <c r="C120" s="312" t="n">
        <v>46297</v>
      </c>
      <c r="D120" s="298" t="s">
        <v>1464</v>
      </c>
      <c r="E120" s="298" t="s">
        <v>2312</v>
      </c>
      <c r="F120" s="298" t="s">
        <v>2313</v>
      </c>
      <c r="G120" s="303" t="s">
        <v>2314</v>
      </c>
      <c r="H120" s="303" t="s">
        <v>2315</v>
      </c>
      <c r="I120" s="303" t="s">
        <v>2316</v>
      </c>
      <c r="J120" s="303" t="s">
        <v>2317</v>
      </c>
    </row>
    <row r="121" customFormat="false" ht="45" hidden="false" customHeight="true" outlineLevel="0" collapsed="false">
      <c r="B121" s="298" t="n">
        <v>118</v>
      </c>
      <c r="C121" s="312" t="n">
        <v>46297</v>
      </c>
      <c r="D121" s="298" t="s">
        <v>1464</v>
      </c>
      <c r="E121" s="298" t="s">
        <v>2318</v>
      </c>
      <c r="F121" s="298" t="s">
        <v>2319</v>
      </c>
      <c r="G121" s="303" t="s">
        <v>2320</v>
      </c>
      <c r="H121" s="303" t="s">
        <v>2321</v>
      </c>
      <c r="I121" s="303" t="s">
        <v>2322</v>
      </c>
      <c r="J121" s="303" t="s">
        <v>2317</v>
      </c>
    </row>
    <row r="122" customFormat="false" ht="15" hidden="false" customHeight="false" outlineLevel="0" collapsed="false">
      <c r="B122" s="298" t="n">
        <v>119</v>
      </c>
      <c r="C122" s="312" t="n">
        <v>46297</v>
      </c>
      <c r="D122" s="298" t="s">
        <v>1464</v>
      </c>
      <c r="E122" s="298" t="s">
        <v>2296</v>
      </c>
      <c r="F122" s="298" t="s">
        <v>2323</v>
      </c>
      <c r="G122" s="303" t="s">
        <v>2324</v>
      </c>
      <c r="H122" s="303" t="s">
        <v>2325</v>
      </c>
      <c r="I122" s="303" t="s">
        <v>2326</v>
      </c>
      <c r="J122" s="303" t="s">
        <v>2327</v>
      </c>
    </row>
    <row r="123" customFormat="false" ht="75" hidden="false" customHeight="true" outlineLevel="0" collapsed="false">
      <c r="B123" s="298" t="n">
        <v>120</v>
      </c>
      <c r="C123" s="312" t="n">
        <v>46297</v>
      </c>
      <c r="D123" s="298" t="s">
        <v>2290</v>
      </c>
      <c r="E123" s="298" t="s">
        <v>2328</v>
      </c>
      <c r="F123" s="298" t="s">
        <v>2329</v>
      </c>
      <c r="G123" s="303" t="s">
        <v>2330</v>
      </c>
      <c r="H123" s="303" t="s">
        <v>2331</v>
      </c>
      <c r="I123" s="303" t="s">
        <v>2332</v>
      </c>
      <c r="J123" s="303" t="s">
        <v>2333</v>
      </c>
    </row>
    <row r="124" customFormat="false" ht="45" hidden="false" customHeight="true" outlineLevel="0" collapsed="false">
      <c r="B124" s="298" t="n">
        <v>121</v>
      </c>
      <c r="C124" s="312" t="n">
        <v>46297</v>
      </c>
      <c r="D124" s="298" t="s">
        <v>2334</v>
      </c>
      <c r="E124" s="298" t="s">
        <v>2095</v>
      </c>
      <c r="F124" s="298" t="s">
        <v>2335</v>
      </c>
      <c r="G124" s="303" t="s">
        <v>2336</v>
      </c>
      <c r="H124" s="303" t="s">
        <v>2337</v>
      </c>
      <c r="I124" s="303" t="s">
        <v>2338</v>
      </c>
      <c r="J124" s="303" t="s">
        <v>2339</v>
      </c>
    </row>
    <row r="125" customFormat="false" ht="45" hidden="false" customHeight="true" outlineLevel="0" collapsed="false">
      <c r="B125" s="298" t="n">
        <v>122</v>
      </c>
      <c r="C125" s="312" t="n">
        <v>46297</v>
      </c>
      <c r="D125" s="298" t="s">
        <v>2290</v>
      </c>
      <c r="E125" s="298" t="s">
        <v>2340</v>
      </c>
      <c r="F125" s="298" t="s">
        <v>2341</v>
      </c>
      <c r="G125" s="303" t="s">
        <v>2342</v>
      </c>
      <c r="H125" s="303" t="s">
        <v>2343</v>
      </c>
      <c r="I125" s="303" t="s">
        <v>2344</v>
      </c>
      <c r="J125" s="303" t="s">
        <v>2273</v>
      </c>
    </row>
    <row r="126" customFormat="false" ht="30" hidden="false" customHeight="true" outlineLevel="0" collapsed="false">
      <c r="B126" s="298" t="n">
        <v>123</v>
      </c>
      <c r="C126" s="312" t="n">
        <v>46297</v>
      </c>
      <c r="D126" s="298" t="s">
        <v>2095</v>
      </c>
      <c r="E126" s="298" t="s">
        <v>2296</v>
      </c>
      <c r="F126" s="298" t="s">
        <v>2345</v>
      </c>
      <c r="G126" s="303" t="s">
        <v>2346</v>
      </c>
      <c r="H126" s="303" t="s">
        <v>2347</v>
      </c>
      <c r="I126" s="303" t="s">
        <v>2348</v>
      </c>
      <c r="J126" s="303" t="s">
        <v>2349</v>
      </c>
    </row>
    <row r="127" customFormat="false" ht="60" hidden="false" customHeight="true" outlineLevel="0" collapsed="false">
      <c r="B127" s="298" t="n">
        <v>124</v>
      </c>
      <c r="C127" s="312" t="n">
        <v>46300</v>
      </c>
      <c r="D127" s="298" t="s">
        <v>2290</v>
      </c>
      <c r="E127" s="298" t="s">
        <v>2350</v>
      </c>
      <c r="F127" s="298" t="s">
        <v>2351</v>
      </c>
      <c r="G127" s="303" t="s">
        <v>2352</v>
      </c>
      <c r="H127" s="303" t="s">
        <v>2353</v>
      </c>
      <c r="I127" s="303" t="s">
        <v>2354</v>
      </c>
      <c r="J127" s="303" t="s">
        <v>2355</v>
      </c>
    </row>
    <row r="128" customFormat="false" ht="60" hidden="false" customHeight="true" outlineLevel="0" collapsed="false">
      <c r="B128" s="298" t="n">
        <f aca="false">B127+1</f>
        <v>125</v>
      </c>
      <c r="C128" s="312" t="n">
        <v>46300</v>
      </c>
      <c r="D128" s="298" t="s">
        <v>2356</v>
      </c>
      <c r="E128" s="298" t="s">
        <v>2357</v>
      </c>
      <c r="F128" s="298" t="s">
        <v>2358</v>
      </c>
      <c r="G128" s="303" t="s">
        <v>2359</v>
      </c>
      <c r="H128" s="303" t="s">
        <v>2360</v>
      </c>
      <c r="I128" s="303" t="s">
        <v>2361</v>
      </c>
      <c r="J128" s="303" t="s">
        <v>2355</v>
      </c>
    </row>
    <row r="129" customFormat="false" ht="60" hidden="false" customHeight="true" outlineLevel="0" collapsed="false">
      <c r="B129" s="298" t="n">
        <f aca="false">B128+1</f>
        <v>126</v>
      </c>
      <c r="C129" s="312" t="n">
        <v>46300</v>
      </c>
      <c r="D129" s="298" t="s">
        <v>2362</v>
      </c>
      <c r="E129" s="298" t="s">
        <v>2163</v>
      </c>
      <c r="F129" s="298" t="s">
        <v>2363</v>
      </c>
      <c r="G129" s="303" t="s">
        <v>2364</v>
      </c>
      <c r="H129" s="303" t="s">
        <v>2365</v>
      </c>
      <c r="I129" s="303" t="s">
        <v>2366</v>
      </c>
      <c r="J129" s="303" t="s">
        <v>2355</v>
      </c>
    </row>
    <row r="130" customFormat="false" ht="45" hidden="false" customHeight="true" outlineLevel="0" collapsed="false">
      <c r="B130" s="298" t="n">
        <f aca="false">B129+1</f>
        <v>127</v>
      </c>
      <c r="C130" s="312" t="n">
        <v>46300</v>
      </c>
      <c r="D130" s="298" t="s">
        <v>2367</v>
      </c>
      <c r="E130" s="298" t="s">
        <v>2368</v>
      </c>
      <c r="F130" s="298" t="s">
        <v>2369</v>
      </c>
      <c r="G130" s="303" t="s">
        <v>2370</v>
      </c>
      <c r="H130" s="303" t="s">
        <v>2371</v>
      </c>
      <c r="I130" s="303" t="s">
        <v>2372</v>
      </c>
      <c r="J130" s="303" t="s">
        <v>2355</v>
      </c>
    </row>
    <row r="131" customFormat="false" ht="188.25" hidden="false" customHeight="true" outlineLevel="0" collapsed="false">
      <c r="B131" s="298" t="n">
        <f aca="false">B130+1</f>
        <v>128</v>
      </c>
      <c r="C131" s="312" t="n">
        <v>46317</v>
      </c>
      <c r="D131" s="298" t="s">
        <v>2373</v>
      </c>
      <c r="E131" s="298" t="s">
        <v>2374</v>
      </c>
      <c r="F131" s="298" t="s">
        <v>2375</v>
      </c>
      <c r="G131" s="303" t="s">
        <v>2376</v>
      </c>
      <c r="H131" s="303" t="s">
        <v>2377</v>
      </c>
      <c r="I131" s="303" t="s">
        <v>2378</v>
      </c>
      <c r="J131" s="303" t="s">
        <v>2379</v>
      </c>
    </row>
    <row r="132" customFormat="false" ht="45" hidden="false" customHeight="true" outlineLevel="0" collapsed="false">
      <c r="B132" s="298" t="n">
        <f aca="false">B131+1</f>
        <v>129</v>
      </c>
      <c r="C132" s="312" t="n">
        <v>46317</v>
      </c>
      <c r="D132" s="298" t="s">
        <v>2380</v>
      </c>
      <c r="E132" s="298" t="s">
        <v>2381</v>
      </c>
      <c r="F132" s="298" t="s">
        <v>2382</v>
      </c>
      <c r="G132" s="303" t="s">
        <v>2383</v>
      </c>
      <c r="H132" s="303" t="s">
        <v>2384</v>
      </c>
      <c r="I132" s="303" t="s">
        <v>2385</v>
      </c>
      <c r="J132" s="303" t="s">
        <v>2386</v>
      </c>
    </row>
    <row r="133" customFormat="false" ht="41.75" hidden="false" customHeight="false" outlineLevel="0" collapsed="false">
      <c r="B133" s="298" t="n">
        <f aca="false">B132+1</f>
        <v>130</v>
      </c>
      <c r="C133" s="312" t="n">
        <v>46321</v>
      </c>
      <c r="D133" s="298" t="s">
        <v>2387</v>
      </c>
      <c r="E133" s="298" t="s">
        <v>2388</v>
      </c>
      <c r="F133" s="298" t="s">
        <v>2389</v>
      </c>
      <c r="G133" s="303" t="s">
        <v>2390</v>
      </c>
      <c r="H133" s="303" t="s">
        <v>2391</v>
      </c>
      <c r="I133" s="303" t="s">
        <v>2392</v>
      </c>
      <c r="J133" s="303" t="s">
        <v>2393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41"/>
  <sheetViews>
    <sheetView showFormulas="false" showGridLines="true" showRowColHeaders="true" showZeros="true" rightToLeft="false" tabSelected="false" showOutlineSymbols="true" defaultGridColor="true" view="normal" topLeftCell="A8" colorId="64" zoomScale="100" zoomScaleNormal="100" zoomScalePageLayoutView="100" workbookViewId="0">
      <selection pane="topLeft" activeCell="A1" activeCellId="0" sqref="A1"/>
    </sheetView>
  </sheetViews>
  <sheetFormatPr defaultColWidth="8.5703125" defaultRowHeight="15" zeroHeight="false" outlineLevelRow="0" outlineLevelCol="0"/>
  <cols>
    <col collapsed="false" customWidth="true" hidden="false" outlineLevel="0" max="2" min="2" style="0" width="10.42"/>
    <col collapsed="false" customWidth="true" hidden="false" outlineLevel="0" max="3" min="3" style="0" width="31.42"/>
    <col collapsed="false" customWidth="true" hidden="false" outlineLevel="0" max="4" min="4" style="0" width="29.57"/>
    <col collapsed="false" customWidth="true" hidden="false" outlineLevel="0" max="9" min="5" style="0" width="14.57"/>
  </cols>
  <sheetData>
    <row r="2" customFormat="false" ht="15.75" hidden="false" customHeight="true" outlineLevel="0" collapsed="false">
      <c r="B2" s="314" t="s">
        <v>2394</v>
      </c>
    </row>
    <row r="4" customFormat="false" ht="30" hidden="false" customHeight="true" outlineLevel="0" collapsed="false">
      <c r="B4" s="232" t="s">
        <v>2395</v>
      </c>
      <c r="C4" s="232" t="s">
        <v>2396</v>
      </c>
      <c r="D4" s="232" t="s">
        <v>1468</v>
      </c>
      <c r="E4" s="232" t="s">
        <v>2397</v>
      </c>
      <c r="F4" s="232" t="s">
        <v>976</v>
      </c>
      <c r="G4" s="232" t="s">
        <v>2398</v>
      </c>
      <c r="H4" s="232" t="s">
        <v>2399</v>
      </c>
      <c r="I4" s="232" t="s">
        <v>977</v>
      </c>
      <c r="J4" s="232" t="s">
        <v>2400</v>
      </c>
      <c r="K4" s="232" t="s">
        <v>2401</v>
      </c>
      <c r="L4" s="232" t="s">
        <v>2402</v>
      </c>
    </row>
    <row r="5" customFormat="false" ht="15" hidden="false" customHeight="false" outlineLevel="0" collapsed="false">
      <c r="B5" s="134" t="n">
        <v>14</v>
      </c>
      <c r="C5" s="134" t="s">
        <v>2403</v>
      </c>
      <c r="D5" s="134" t="s">
        <v>2404</v>
      </c>
      <c r="E5" s="261" t="n">
        <f aca="false">L5*Inputs!$E$296</f>
        <v>27.825</v>
      </c>
      <c r="F5" s="315" t="n">
        <f aca="false">BORA_Devex!$E$14</f>
        <v>46431</v>
      </c>
      <c r="G5" s="316" t="n">
        <v>0</v>
      </c>
      <c r="H5" s="158" t="n">
        <f aca="false">E5*G5</f>
        <v>0</v>
      </c>
      <c r="I5" s="133" t="n">
        <f aca="false">IF(F5="","",(YEAR(F5)-YEAR(Inputs!$E$27))*12+MONTH(F5)-MONTH(Inputs!$E$27))</f>
        <v>7</v>
      </c>
      <c r="J5" s="316" t="n">
        <v>1</v>
      </c>
      <c r="K5" s="158" t="n">
        <f aca="false">E5*J5*(1-G5)</f>
        <v>27.825</v>
      </c>
      <c r="L5" s="261" t="n">
        <f aca="false">BORA_Devex!$J$14/1000</f>
        <v>55.65</v>
      </c>
    </row>
    <row r="6" customFormat="false" ht="15" hidden="false" customHeight="false" outlineLevel="0" collapsed="false">
      <c r="B6" s="134" t="n">
        <v>15</v>
      </c>
      <c r="C6" s="134"/>
      <c r="D6" s="134" t="s">
        <v>316</v>
      </c>
      <c r="E6" s="261" t="n">
        <f aca="false">L6*Inputs!$E$296</f>
        <v>61.6216216216216</v>
      </c>
      <c r="F6" s="315" t="n">
        <f aca="false">BORA_Devex!$E$15</f>
        <v>46431</v>
      </c>
      <c r="G6" s="316" t="n">
        <v>0</v>
      </c>
      <c r="H6" s="158" t="n">
        <f aca="false">E6*G6</f>
        <v>0</v>
      </c>
      <c r="I6" s="133" t="n">
        <f aca="false">IF(F6="","",(YEAR(F6)-YEAR(Inputs!$E$27))*12+MONTH(F6)-MONTH(Inputs!$E$27))</f>
        <v>7</v>
      </c>
      <c r="J6" s="316" t="n">
        <v>1</v>
      </c>
      <c r="K6" s="158" t="n">
        <f aca="false">E6*J6*(1-G6)</f>
        <v>61.6216216216216</v>
      </c>
      <c r="L6" s="261" t="n">
        <f aca="false">BORA_Devex!$J$15/1000</f>
        <v>123.243243243243</v>
      </c>
    </row>
    <row r="7" customFormat="false" ht="15" hidden="false" customHeight="false" outlineLevel="0" collapsed="false">
      <c r="B7" s="134" t="n">
        <v>16</v>
      </c>
      <c r="C7" s="134" t="s">
        <v>2405</v>
      </c>
      <c r="D7" s="134" t="s">
        <v>321</v>
      </c>
      <c r="E7" s="261" t="n">
        <f aca="false">L7*Inputs!$E$296</f>
        <v>79.9227799227799</v>
      </c>
      <c r="F7" s="315" t="n">
        <f aca="false">BORA_Devex!$E$16</f>
        <v>46976</v>
      </c>
      <c r="G7" s="316" t="n">
        <v>1</v>
      </c>
      <c r="H7" s="158" t="n">
        <f aca="false">E7*G7</f>
        <v>79.9227799227799</v>
      </c>
      <c r="I7" s="133" t="n">
        <f aca="false">IF(F7="","",(YEAR(F7)-YEAR(Inputs!$E$27))*12+MONTH(F7)-MONTH(Inputs!$E$27))</f>
        <v>25</v>
      </c>
      <c r="J7" s="316" t="n">
        <v>0</v>
      </c>
      <c r="K7" s="158" t="n">
        <f aca="false">E7*J7*(1-G7)</f>
        <v>0</v>
      </c>
      <c r="L7" s="261" t="n">
        <f aca="false">BORA_Devex!$J$16/1000</f>
        <v>159.84555984556</v>
      </c>
    </row>
    <row r="8" customFormat="false" ht="15" hidden="false" customHeight="false" outlineLevel="0" collapsed="false">
      <c r="B8" s="134" t="n">
        <v>17</v>
      </c>
      <c r="C8" s="134"/>
      <c r="D8" s="134" t="s">
        <v>318</v>
      </c>
      <c r="E8" s="261" t="n">
        <f aca="false">L8*Inputs!$E$296</f>
        <v>1.01424864864865</v>
      </c>
      <c r="F8" s="315" t="n">
        <f aca="false">BORA_Devex!$E$17</f>
        <v>46976</v>
      </c>
      <c r="G8" s="316" t="n">
        <v>1</v>
      </c>
      <c r="H8" s="158" t="n">
        <f aca="false">E8*G8</f>
        <v>1.01424864864865</v>
      </c>
      <c r="I8" s="133" t="n">
        <f aca="false">IF(F8="","",(YEAR(F8)-YEAR(Inputs!$E$27))*12+MONTH(F8)-MONTH(Inputs!$E$27))</f>
        <v>25</v>
      </c>
      <c r="J8" s="316" t="n">
        <v>0</v>
      </c>
      <c r="K8" s="158" t="n">
        <f aca="false">E8*J8*(1-G8)</f>
        <v>0</v>
      </c>
      <c r="L8" s="261" t="n">
        <f aca="false">BORA_Devex!$J$17/1000</f>
        <v>2.0284972972973</v>
      </c>
    </row>
    <row r="9" customFormat="false" ht="15" hidden="false" customHeight="false" outlineLevel="0" collapsed="false">
      <c r="B9" s="134" t="n">
        <v>20</v>
      </c>
      <c r="C9" s="134" t="s">
        <v>2406</v>
      </c>
      <c r="D9" s="134" t="s">
        <v>2407</v>
      </c>
      <c r="E9" s="261" t="n">
        <f aca="false">L9*Inputs!$E$296</f>
        <v>88.6216216216216</v>
      </c>
      <c r="F9" s="315" t="n">
        <f aca="false">BORA_Devex!$E$20</f>
        <v>46296</v>
      </c>
      <c r="G9" s="316" t="n">
        <v>1</v>
      </c>
      <c r="H9" s="158" t="n">
        <f aca="false">E9*G9</f>
        <v>88.6216216216216</v>
      </c>
      <c r="I9" s="133" t="n">
        <f aca="false">IF(F9="","",(YEAR(F9)-YEAR(Inputs!$E$27))*12+MONTH(F9)-MONTH(Inputs!$E$27))</f>
        <v>3</v>
      </c>
      <c r="J9" s="316" t="n">
        <v>0</v>
      </c>
      <c r="K9" s="158" t="n">
        <f aca="false">E9*J9*(1-G9)</f>
        <v>0</v>
      </c>
      <c r="L9" s="261" t="n">
        <f aca="false">BORA_Devex!$J$20/1000</f>
        <v>177.243243243243</v>
      </c>
    </row>
    <row r="10" customFormat="false" ht="15" hidden="false" customHeight="false" outlineLevel="0" collapsed="false">
      <c r="B10" s="134" t="n">
        <v>21</v>
      </c>
      <c r="C10" s="134" t="s">
        <v>2408</v>
      </c>
      <c r="D10" s="134" t="s">
        <v>2409</v>
      </c>
      <c r="E10" s="261" t="n">
        <f aca="false">L10*Inputs!$E$296</f>
        <v>199</v>
      </c>
      <c r="F10" s="315" t="n">
        <f aca="false">BORA_Devex!$E$21</f>
        <v>46447</v>
      </c>
      <c r="G10" s="316" t="n">
        <v>1</v>
      </c>
      <c r="H10" s="158" t="n">
        <f aca="false">E10*G10</f>
        <v>199</v>
      </c>
      <c r="I10" s="133" t="n">
        <f aca="false">IF(F10="","",(YEAR(F10)-YEAR(Inputs!$E$27))*12+MONTH(F10)-MONTH(Inputs!$E$27))</f>
        <v>8</v>
      </c>
      <c r="J10" s="316" t="n">
        <v>0</v>
      </c>
      <c r="K10" s="158" t="n">
        <f aca="false">E10*J10*(1-G10)</f>
        <v>0</v>
      </c>
      <c r="L10" s="261" t="n">
        <f aca="false">BORA_Devex!$J$21/1000</f>
        <v>398</v>
      </c>
    </row>
    <row r="11" customFormat="false" ht="15" hidden="false" customHeight="false" outlineLevel="0" collapsed="false">
      <c r="B11" s="134" t="n">
        <v>22</v>
      </c>
      <c r="C11" s="134"/>
      <c r="D11" s="134" t="s">
        <v>321</v>
      </c>
      <c r="E11" s="261" t="n">
        <f aca="false">L11*Inputs!$E$296</f>
        <v>4.86486486486487</v>
      </c>
      <c r="F11" s="315" t="n">
        <f aca="false">BORA_Devex!$E$22</f>
        <v>46388</v>
      </c>
      <c r="G11" s="316" t="n">
        <v>1</v>
      </c>
      <c r="H11" s="158" t="n">
        <f aca="false">E11*G11</f>
        <v>4.86486486486487</v>
      </c>
      <c r="I11" s="133" t="n">
        <f aca="false">IF(F11="","",(YEAR(F11)-YEAR(Inputs!$E$27))*12+MONTH(F11)-MONTH(Inputs!$E$27))</f>
        <v>6</v>
      </c>
      <c r="J11" s="316" t="n">
        <v>0</v>
      </c>
      <c r="K11" s="158" t="n">
        <f aca="false">E11*J11*(1-G11)</f>
        <v>0</v>
      </c>
      <c r="L11" s="261" t="n">
        <f aca="false">BORA_Devex!$J$22/1000</f>
        <v>9.72972972972973</v>
      </c>
    </row>
    <row r="12" customFormat="false" ht="15" hidden="false" customHeight="false" outlineLevel="0" collapsed="false">
      <c r="B12" s="134" t="n">
        <v>23</v>
      </c>
      <c r="C12" s="134"/>
      <c r="D12" s="134" t="s">
        <v>322</v>
      </c>
      <c r="E12" s="261" t="n">
        <f aca="false">L12*Inputs!$E$296</f>
        <v>2.25</v>
      </c>
      <c r="F12" s="315" t="n">
        <f aca="false">BORA_Devex!$E$23</f>
        <v>46932</v>
      </c>
      <c r="G12" s="316" t="n">
        <v>1</v>
      </c>
      <c r="H12" s="158" t="n">
        <f aca="false">E12*G12</f>
        <v>2.25</v>
      </c>
      <c r="I12" s="133" t="n">
        <f aca="false">IF(F12="","",(YEAR(F12)-YEAR(Inputs!$E$27))*12+MONTH(F12)-MONTH(Inputs!$E$27))</f>
        <v>23</v>
      </c>
      <c r="J12" s="316" t="n">
        <v>0</v>
      </c>
      <c r="K12" s="158" t="n">
        <f aca="false">E12*J12*(1-G12)</f>
        <v>0</v>
      </c>
      <c r="L12" s="261" t="n">
        <f aca="false">BORA_Devex!$J$23/1000</f>
        <v>4.5</v>
      </c>
    </row>
    <row r="13" customFormat="false" ht="15" hidden="false" customHeight="false" outlineLevel="0" collapsed="false">
      <c r="B13" s="134" t="n">
        <v>24</v>
      </c>
      <c r="C13" s="134" t="s">
        <v>2410</v>
      </c>
      <c r="D13" s="134" t="s">
        <v>318</v>
      </c>
      <c r="E13" s="261" t="n">
        <f aca="false">L13*Inputs!$E$296</f>
        <v>1.2972972972973</v>
      </c>
      <c r="F13" s="315" t="n">
        <f aca="false">BORA_Devex!$E$24</f>
        <v>46746</v>
      </c>
      <c r="G13" s="316" t="n">
        <v>1</v>
      </c>
      <c r="H13" s="158" t="n">
        <f aca="false">E13*G13</f>
        <v>1.2972972972973</v>
      </c>
      <c r="I13" s="133" t="n">
        <f aca="false">IF(F13="","",(YEAR(F13)-YEAR(Inputs!$E$27))*12+MONTH(F13)-MONTH(Inputs!$E$27))</f>
        <v>17</v>
      </c>
      <c r="J13" s="316" t="n">
        <v>0</v>
      </c>
      <c r="K13" s="158" t="n">
        <f aca="false">E13*J13*(1-G13)</f>
        <v>0</v>
      </c>
      <c r="L13" s="261" t="n">
        <f aca="false">BORA_Devex!$J$24/1000</f>
        <v>2.59459459459459</v>
      </c>
    </row>
    <row r="14" customFormat="false" ht="15" hidden="false" customHeight="false" outlineLevel="0" collapsed="false">
      <c r="B14" s="134" t="n">
        <v>25</v>
      </c>
      <c r="C14" s="134"/>
      <c r="D14" s="134" t="s">
        <v>324</v>
      </c>
      <c r="E14" s="261" t="n">
        <f aca="false">L14*Inputs!$E$296</f>
        <v>10.8108108108108</v>
      </c>
      <c r="F14" s="315" t="n">
        <f aca="false">BORA_Devex!$E$25</f>
        <v>46596</v>
      </c>
      <c r="G14" s="316" t="n">
        <v>1</v>
      </c>
      <c r="H14" s="158" t="n">
        <f aca="false">E14*G14</f>
        <v>10.8108108108108</v>
      </c>
      <c r="I14" s="133" t="n">
        <f aca="false">IF(F14="","",(YEAR(F14)-YEAR(Inputs!$E$27))*12+MONTH(F14)-MONTH(Inputs!$E$27))</f>
        <v>12</v>
      </c>
      <c r="J14" s="316" t="n">
        <v>0</v>
      </c>
      <c r="K14" s="158" t="n">
        <f aca="false">E14*J14*(1-G14)</f>
        <v>0</v>
      </c>
      <c r="L14" s="261" t="n">
        <f aca="false">BORA_Devex!$J$25/1000</f>
        <v>21.6216216216216</v>
      </c>
    </row>
    <row r="15" customFormat="false" ht="15" hidden="false" customHeight="false" outlineLevel="0" collapsed="false">
      <c r="B15" s="134" t="n">
        <v>26</v>
      </c>
      <c r="C15" s="134" t="s">
        <v>2411</v>
      </c>
      <c r="D15" s="134" t="s">
        <v>321</v>
      </c>
      <c r="E15" s="261" t="n">
        <f aca="false">L15*Inputs!$E$296</f>
        <v>67.5675675675676</v>
      </c>
      <c r="F15" s="315" t="n">
        <f aca="false">BORA_Devex!$E$26</f>
        <v>46806</v>
      </c>
      <c r="G15" s="316" t="n">
        <v>1</v>
      </c>
      <c r="H15" s="158" t="n">
        <f aca="false">E15*G15</f>
        <v>67.5675675675676</v>
      </c>
      <c r="I15" s="133" t="n">
        <f aca="false">IF(F15="","",(YEAR(F15)-YEAR(Inputs!$E$27))*12+MONTH(F15)-MONTH(Inputs!$E$27))</f>
        <v>19</v>
      </c>
      <c r="J15" s="316" t="n">
        <v>0</v>
      </c>
      <c r="K15" s="158" t="n">
        <f aca="false">E15*J15*(1-G15)</f>
        <v>0</v>
      </c>
      <c r="L15" s="261" t="n">
        <f aca="false">BORA_Devex!$J$26/1000</f>
        <v>135.135135135135</v>
      </c>
    </row>
    <row r="16" customFormat="false" ht="15" hidden="false" customHeight="false" outlineLevel="0" collapsed="false">
      <c r="B16" s="134" t="n">
        <v>27</v>
      </c>
      <c r="C16" s="134" t="s">
        <v>2412</v>
      </c>
      <c r="D16" s="134" t="s">
        <v>2413</v>
      </c>
      <c r="E16" s="261" t="n">
        <f aca="false">L16*Inputs!$E$296</f>
        <v>47.2972972972973</v>
      </c>
      <c r="F16" s="315" t="n">
        <f aca="false">BORA_Devex!$E$27</f>
        <v>46806</v>
      </c>
      <c r="G16" s="316" t="n">
        <v>1</v>
      </c>
      <c r="H16" s="158" t="n">
        <f aca="false">E16*G16</f>
        <v>47.2972972972973</v>
      </c>
      <c r="I16" s="133" t="n">
        <f aca="false">IF(F16="","",(YEAR(F16)-YEAR(Inputs!$E$27))*12+MONTH(F16)-MONTH(Inputs!$E$27))</f>
        <v>19</v>
      </c>
      <c r="J16" s="316" t="n">
        <v>0</v>
      </c>
      <c r="K16" s="158" t="n">
        <f aca="false">E16*J16*(1-G16)</f>
        <v>0</v>
      </c>
      <c r="L16" s="261" t="n">
        <f aca="false">BORA_Devex!$J$27/1000</f>
        <v>94.5945945945946</v>
      </c>
    </row>
    <row r="17" customFormat="false" ht="15" hidden="false" customHeight="false" outlineLevel="0" collapsed="false">
      <c r="B17" s="134" t="n">
        <v>28</v>
      </c>
      <c r="C17" s="134" t="s">
        <v>2414</v>
      </c>
      <c r="D17" s="134" t="s">
        <v>2415</v>
      </c>
      <c r="E17" s="261" t="n">
        <f aca="false">L17*Inputs!$E$296</f>
        <v>20.0432432432432</v>
      </c>
      <c r="F17" s="315" t="n">
        <f aca="false">BORA_Devex!$E$28</f>
        <v>46751</v>
      </c>
      <c r="G17" s="316" t="n">
        <v>1</v>
      </c>
      <c r="H17" s="158" t="n">
        <f aca="false">E17*G17</f>
        <v>20.0432432432432</v>
      </c>
      <c r="I17" s="133" t="n">
        <f aca="false">IF(F17="","",(YEAR(F17)-YEAR(Inputs!$E$27))*12+MONTH(F17)-MONTH(Inputs!$E$27))</f>
        <v>17</v>
      </c>
      <c r="J17" s="316" t="n">
        <v>0</v>
      </c>
      <c r="K17" s="158" t="n">
        <f aca="false">E17*J17*(1-G17)</f>
        <v>0</v>
      </c>
      <c r="L17" s="261" t="n">
        <f aca="false">BORA_Devex!$J$28/1000</f>
        <v>40.0864864864865</v>
      </c>
    </row>
    <row r="18" customFormat="false" ht="15" hidden="false" customHeight="false" outlineLevel="0" collapsed="false">
      <c r="B18" s="134" t="n">
        <v>29</v>
      </c>
      <c r="C18" s="134"/>
      <c r="D18" s="134" t="s">
        <v>318</v>
      </c>
      <c r="E18" s="261" t="n">
        <f aca="false">L18*Inputs!$E$296</f>
        <v>0.0540540540540541</v>
      </c>
      <c r="F18" s="315" t="n">
        <f aca="false">BORA_Devex!$E$29</f>
        <v>46871</v>
      </c>
      <c r="G18" s="316" t="n">
        <v>1</v>
      </c>
      <c r="H18" s="158" t="n">
        <f aca="false">E18*G18</f>
        <v>0.0540540540540541</v>
      </c>
      <c r="I18" s="133" t="n">
        <f aca="false">IF(F18="","",(YEAR(F18)-YEAR(Inputs!$E$27))*12+MONTH(F18)-MONTH(Inputs!$E$27))</f>
        <v>21</v>
      </c>
      <c r="J18" s="316" t="n">
        <v>0</v>
      </c>
      <c r="K18" s="158" t="n">
        <f aca="false">E18*J18*(1-G18)</f>
        <v>0</v>
      </c>
      <c r="L18" s="261" t="n">
        <f aca="false">BORA_Devex!$J$29/1000</f>
        <v>0.108108108108108</v>
      </c>
    </row>
    <row r="19" customFormat="false" ht="15" hidden="false" customHeight="false" outlineLevel="0" collapsed="false">
      <c r="B19" s="134" t="n">
        <v>30</v>
      </c>
      <c r="C19" s="134"/>
      <c r="D19" s="134" t="s">
        <v>328</v>
      </c>
      <c r="E19" s="261" t="n">
        <f aca="false">L19*Inputs!$E$296</f>
        <v>44.0675675675676</v>
      </c>
      <c r="F19" s="315" t="n">
        <f aca="false">BORA_Devex!$E$30</f>
        <v>46841</v>
      </c>
      <c r="G19" s="316" t="n">
        <v>1</v>
      </c>
      <c r="H19" s="158" t="n">
        <f aca="false">E19*G19</f>
        <v>44.0675675675676</v>
      </c>
      <c r="I19" s="133" t="n">
        <f aca="false">IF(F19="","",(YEAR(F19)-YEAR(Inputs!$E$27))*12+MONTH(F19)-MONTH(Inputs!$E$27))</f>
        <v>20</v>
      </c>
      <c r="J19" s="316" t="n">
        <v>0</v>
      </c>
      <c r="K19" s="158" t="n">
        <f aca="false">E19*J19*(1-G19)</f>
        <v>0</v>
      </c>
      <c r="L19" s="261" t="n">
        <f aca="false">BORA_Devex!$J$30/1000</f>
        <v>88.1351351351351</v>
      </c>
    </row>
    <row r="20" customFormat="false" ht="15" hidden="false" customHeight="false" outlineLevel="0" collapsed="false">
      <c r="B20" s="134" t="n">
        <v>31</v>
      </c>
      <c r="C20" s="134" t="s">
        <v>2416</v>
      </c>
      <c r="D20" s="134" t="s">
        <v>2417</v>
      </c>
      <c r="E20" s="261" t="n">
        <f aca="false">L20*Inputs!$E$296</f>
        <v>10.8108108108108</v>
      </c>
      <c r="F20" s="315" t="n">
        <f aca="false">BORA_Devex!$E$31</f>
        <v>46596</v>
      </c>
      <c r="G20" s="316" t="n">
        <v>1</v>
      </c>
      <c r="H20" s="158" t="n">
        <f aca="false">E20*G20</f>
        <v>10.8108108108108</v>
      </c>
      <c r="I20" s="133" t="n">
        <f aca="false">IF(F20="","",(YEAR(F20)-YEAR(Inputs!$E$27))*12+MONTH(F20)-MONTH(Inputs!$E$27))</f>
        <v>12</v>
      </c>
      <c r="J20" s="316" t="n">
        <v>0</v>
      </c>
      <c r="K20" s="158" t="n">
        <f aca="false">E20*J20*(1-G20)</f>
        <v>0</v>
      </c>
      <c r="L20" s="261" t="n">
        <f aca="false">BORA_Devex!$J$31/1000</f>
        <v>21.6216216216216</v>
      </c>
    </row>
    <row r="21" customFormat="false" ht="15" hidden="false" customHeight="false" outlineLevel="0" collapsed="false">
      <c r="B21" s="134" t="n">
        <v>32</v>
      </c>
      <c r="C21" s="134"/>
      <c r="D21" s="134" t="s">
        <v>330</v>
      </c>
      <c r="E21" s="261" t="n">
        <f aca="false">L21*Inputs!$E$296</f>
        <v>10.8108108108108</v>
      </c>
      <c r="F21" s="315" t="n">
        <f aca="false">BORA_Devex!$E$32</f>
        <v>46566</v>
      </c>
      <c r="G21" s="316" t="n">
        <v>1</v>
      </c>
      <c r="H21" s="158" t="n">
        <f aca="false">E21*G21</f>
        <v>10.8108108108108</v>
      </c>
      <c r="I21" s="133" t="n">
        <f aca="false">IF(F21="","",(YEAR(F21)-YEAR(Inputs!$E$27))*12+MONTH(F21)-MONTH(Inputs!$E$27))</f>
        <v>11</v>
      </c>
      <c r="J21" s="316" t="n">
        <v>0</v>
      </c>
      <c r="K21" s="158" t="n">
        <f aca="false">E21*J21*(1-G21)</f>
        <v>0</v>
      </c>
      <c r="L21" s="261" t="n">
        <f aca="false">BORA_Devex!$J$32/1000</f>
        <v>21.6216216216216</v>
      </c>
    </row>
    <row r="22" customFormat="false" ht="15" hidden="false" customHeight="false" outlineLevel="0" collapsed="false">
      <c r="B22" s="134" t="n">
        <v>33</v>
      </c>
      <c r="C22" s="134"/>
      <c r="D22" s="134" t="s">
        <v>331</v>
      </c>
      <c r="E22" s="261" t="n">
        <f aca="false">L22*Inputs!$E$296</f>
        <v>10.8108108108108</v>
      </c>
      <c r="F22" s="315" t="n">
        <f aca="false">BORA_Devex!$E$33</f>
        <v>46566</v>
      </c>
      <c r="G22" s="316" t="n">
        <v>1</v>
      </c>
      <c r="H22" s="158" t="n">
        <f aca="false">E22*G22</f>
        <v>10.8108108108108</v>
      </c>
      <c r="I22" s="133" t="n">
        <f aca="false">IF(F22="","",(YEAR(F22)-YEAR(Inputs!$E$27))*12+MONTH(F22)-MONTH(Inputs!$E$27))</f>
        <v>11</v>
      </c>
      <c r="J22" s="316" t="n">
        <v>0</v>
      </c>
      <c r="K22" s="158" t="n">
        <f aca="false">E22*J22*(1-G22)</f>
        <v>0</v>
      </c>
      <c r="L22" s="261" t="n">
        <f aca="false">BORA_Devex!$J$33/1000</f>
        <v>21.6216216216216</v>
      </c>
    </row>
    <row r="23" customFormat="false" ht="15" hidden="false" customHeight="false" outlineLevel="0" collapsed="false">
      <c r="B23" s="134" t="n">
        <v>34</v>
      </c>
      <c r="C23" s="134" t="s">
        <v>2418</v>
      </c>
      <c r="D23" s="134" t="s">
        <v>318</v>
      </c>
      <c r="E23" s="261" t="n">
        <f aca="false">L23*Inputs!$E$296</f>
        <v>6.2027027027027</v>
      </c>
      <c r="F23" s="315" t="n">
        <f aca="false">BORA_Devex!$E$34</f>
        <v>46780</v>
      </c>
      <c r="G23" s="316" t="n">
        <v>1</v>
      </c>
      <c r="H23" s="158" t="n">
        <f aca="false">E23*G23</f>
        <v>6.2027027027027</v>
      </c>
      <c r="I23" s="133" t="n">
        <f aca="false">IF(F23="","",(YEAR(F23)-YEAR(Inputs!$E$27))*12+MONTH(F23)-MONTH(Inputs!$E$27))</f>
        <v>18</v>
      </c>
      <c r="J23" s="316" t="n">
        <v>0</v>
      </c>
      <c r="K23" s="158" t="n">
        <f aca="false">E23*J23*(1-G23)</f>
        <v>0</v>
      </c>
      <c r="L23" s="261" t="n">
        <f aca="false">BORA_Devex!$J$34/1000</f>
        <v>12.4054054054054</v>
      </c>
    </row>
    <row r="24" customFormat="false" ht="15" hidden="false" customHeight="false" outlineLevel="0" collapsed="false">
      <c r="B24" s="134" t="n">
        <v>35</v>
      </c>
      <c r="C24" s="134"/>
      <c r="D24" s="134" t="s">
        <v>321</v>
      </c>
      <c r="E24" s="261" t="n">
        <f aca="false">L24*Inputs!$E$296</f>
        <v>186.486486486486</v>
      </c>
      <c r="F24" s="315" t="n">
        <f aca="false">BORA_Devex!$E$35</f>
        <v>46780</v>
      </c>
      <c r="G24" s="316" t="n">
        <v>1</v>
      </c>
      <c r="H24" s="158" t="n">
        <f aca="false">E24*G24</f>
        <v>186.486486486486</v>
      </c>
      <c r="I24" s="133" t="n">
        <f aca="false">IF(F24="","",(YEAR(F24)-YEAR(Inputs!$E$27))*12+MONTH(F24)-MONTH(Inputs!$E$27))</f>
        <v>18</v>
      </c>
      <c r="J24" s="316" t="n">
        <v>0</v>
      </c>
      <c r="K24" s="158" t="n">
        <f aca="false">E24*J24*(1-G24)</f>
        <v>0</v>
      </c>
      <c r="L24" s="261" t="n">
        <f aca="false">BORA_Devex!$J$35/1000</f>
        <v>372.972972972973</v>
      </c>
    </row>
    <row r="25" customFormat="false" ht="15" hidden="false" customHeight="false" outlineLevel="0" collapsed="false">
      <c r="B25" s="134" t="n">
        <v>36</v>
      </c>
      <c r="C25" s="134" t="s">
        <v>2419</v>
      </c>
      <c r="D25" s="134" t="s">
        <v>318</v>
      </c>
      <c r="E25" s="261" t="n">
        <f aca="false">L25*Inputs!$E$296</f>
        <v>60.8108108108108</v>
      </c>
      <c r="F25" s="315" t="n">
        <f aca="false">BORA_Devex!$E$36</f>
        <v>46780</v>
      </c>
      <c r="G25" s="316" t="n">
        <v>1</v>
      </c>
      <c r="H25" s="158" t="n">
        <f aca="false">E25*G25</f>
        <v>60.8108108108108</v>
      </c>
      <c r="I25" s="133" t="n">
        <f aca="false">IF(F25="","",(YEAR(F25)-YEAR(Inputs!$E$27))*12+MONTH(F25)-MONTH(Inputs!$E$27))</f>
        <v>18</v>
      </c>
      <c r="J25" s="316" t="n">
        <v>0</v>
      </c>
      <c r="K25" s="158" t="n">
        <f aca="false">E25*J25*(1-G25)</f>
        <v>0</v>
      </c>
      <c r="L25" s="261" t="n">
        <f aca="false">BORA_Devex!$J$36/1000</f>
        <v>121.621621621622</v>
      </c>
    </row>
    <row r="26" customFormat="false" ht="15" hidden="false" customHeight="false" outlineLevel="0" collapsed="false">
      <c r="B26" s="134" t="n">
        <v>37</v>
      </c>
      <c r="C26" s="134"/>
      <c r="D26" s="134" t="s">
        <v>321</v>
      </c>
      <c r="E26" s="261" t="n">
        <f aca="false">L26*Inputs!$E$296</f>
        <v>101.211734693878</v>
      </c>
      <c r="F26" s="315" t="n">
        <f aca="false">BORA_Devex!$E$37</f>
        <v>46780</v>
      </c>
      <c r="G26" s="316" t="n">
        <v>1</v>
      </c>
      <c r="H26" s="158" t="n">
        <f aca="false">E26*G26</f>
        <v>101.211734693878</v>
      </c>
      <c r="I26" s="133" t="n">
        <f aca="false">IF(F26="","",(YEAR(F26)-YEAR(Inputs!$E$27))*12+MONTH(F26)-MONTH(Inputs!$E$27))</f>
        <v>18</v>
      </c>
      <c r="J26" s="316" t="n">
        <v>0</v>
      </c>
      <c r="K26" s="158" t="n">
        <f aca="false">E26*J26*(1-G26)</f>
        <v>0</v>
      </c>
      <c r="L26" s="261" t="n">
        <f aca="false">BORA_Devex!$J$37/1000</f>
        <v>202.423469387755</v>
      </c>
    </row>
    <row r="27" customFormat="false" ht="15" hidden="false" customHeight="false" outlineLevel="0" collapsed="false">
      <c r="B27" s="134" t="n">
        <v>38</v>
      </c>
      <c r="C27" s="134"/>
      <c r="D27" s="134" t="s">
        <v>334</v>
      </c>
      <c r="E27" s="261" t="n">
        <f aca="false">L27*Inputs!$E$296</f>
        <v>20.2702702702703</v>
      </c>
      <c r="F27" s="315" t="n">
        <f aca="false">BORA_Devex!$E$38</f>
        <v>46720</v>
      </c>
      <c r="G27" s="316" t="n">
        <v>1</v>
      </c>
      <c r="H27" s="158" t="n">
        <f aca="false">E27*G27</f>
        <v>20.2702702702703</v>
      </c>
      <c r="I27" s="133" t="n">
        <f aca="false">IF(F27="","",(YEAR(F27)-YEAR(Inputs!$E$27))*12+MONTH(F27)-MONTH(Inputs!$E$27))</f>
        <v>16</v>
      </c>
      <c r="J27" s="316" t="n">
        <v>0</v>
      </c>
      <c r="K27" s="158" t="n">
        <f aca="false">E27*J27*(1-G27)</f>
        <v>0</v>
      </c>
      <c r="L27" s="261" t="n">
        <f aca="false">BORA_Devex!$J$38/1000</f>
        <v>40.5405405405405</v>
      </c>
    </row>
    <row r="28" customFormat="false" ht="15" hidden="false" customHeight="false" outlineLevel="0" collapsed="false">
      <c r="B28" s="134" t="n">
        <v>39</v>
      </c>
      <c r="C28" s="134" t="s">
        <v>2420</v>
      </c>
      <c r="D28" s="134" t="s">
        <v>318</v>
      </c>
      <c r="E28" s="261" t="n">
        <f aca="false">L28*Inputs!$E$296</f>
        <v>8.10810810810811</v>
      </c>
      <c r="F28" s="315" t="n">
        <f aca="false">BORA_Devex!$E$39</f>
        <v>46780</v>
      </c>
      <c r="G28" s="316" t="n">
        <v>1</v>
      </c>
      <c r="H28" s="158" t="n">
        <f aca="false">E28*G28</f>
        <v>8.10810810810811</v>
      </c>
      <c r="I28" s="133" t="n">
        <f aca="false">IF(F28="","",(YEAR(F28)-YEAR(Inputs!$E$27))*12+MONTH(F28)-MONTH(Inputs!$E$27))</f>
        <v>18</v>
      </c>
      <c r="J28" s="316" t="n">
        <v>0</v>
      </c>
      <c r="K28" s="158" t="n">
        <f aca="false">E28*J28*(1-G28)</f>
        <v>0</v>
      </c>
      <c r="L28" s="261" t="n">
        <f aca="false">BORA_Devex!$J$39/1000</f>
        <v>16.2162162162162</v>
      </c>
    </row>
    <row r="29" customFormat="false" ht="15" hidden="false" customHeight="false" outlineLevel="0" collapsed="false">
      <c r="B29" s="134" t="n">
        <v>40</v>
      </c>
      <c r="C29" s="134"/>
      <c r="D29" s="134" t="s">
        <v>321</v>
      </c>
      <c r="E29" s="261" t="n">
        <f aca="false">L29*Inputs!$E$296</f>
        <v>61.0521235521236</v>
      </c>
      <c r="F29" s="315" t="n">
        <f aca="false">BORA_Devex!$E$40</f>
        <v>46780</v>
      </c>
      <c r="G29" s="316" t="n">
        <v>1</v>
      </c>
      <c r="H29" s="158" t="n">
        <f aca="false">E29*G29</f>
        <v>61.0521235521236</v>
      </c>
      <c r="I29" s="133" t="n">
        <f aca="false">IF(F29="","",(YEAR(F29)-YEAR(Inputs!$E$27))*12+MONTH(F29)-MONTH(Inputs!$E$27))</f>
        <v>18</v>
      </c>
      <c r="J29" s="316" t="n">
        <v>0</v>
      </c>
      <c r="K29" s="158" t="n">
        <f aca="false">E29*J29*(1-G29)</f>
        <v>0</v>
      </c>
      <c r="L29" s="261" t="n">
        <f aca="false">BORA_Devex!$J$40/1000</f>
        <v>122.104247104247</v>
      </c>
    </row>
    <row r="30" customFormat="false" ht="15" hidden="false" customHeight="false" outlineLevel="0" collapsed="false">
      <c r="B30" s="134" t="n">
        <v>41</v>
      </c>
      <c r="C30" s="134" t="s">
        <v>2421</v>
      </c>
      <c r="D30" s="134" t="s">
        <v>318</v>
      </c>
      <c r="E30" s="261" t="n">
        <f aca="false">L30*Inputs!$E$296</f>
        <v>6.2027027027027</v>
      </c>
      <c r="F30" s="315" t="n">
        <f aca="false">BORA_Devex!$E$41</f>
        <v>46780</v>
      </c>
      <c r="G30" s="316" t="n">
        <v>1</v>
      </c>
      <c r="H30" s="158" t="n">
        <f aca="false">E30*G30</f>
        <v>6.2027027027027</v>
      </c>
      <c r="I30" s="133" t="n">
        <f aca="false">IF(F30="","",(YEAR(F30)-YEAR(Inputs!$E$27))*12+MONTH(F30)-MONTH(Inputs!$E$27))</f>
        <v>18</v>
      </c>
      <c r="J30" s="316" t="n">
        <v>0</v>
      </c>
      <c r="K30" s="158" t="n">
        <f aca="false">E30*J30*(1-G30)</f>
        <v>0</v>
      </c>
      <c r="L30" s="261" t="n">
        <f aca="false">BORA_Devex!$J$41/1000</f>
        <v>12.4054054054054</v>
      </c>
    </row>
    <row r="31" customFormat="false" ht="15" hidden="false" customHeight="false" outlineLevel="0" collapsed="false">
      <c r="B31" s="134" t="n">
        <v>42</v>
      </c>
      <c r="C31" s="134"/>
      <c r="D31" s="134" t="s">
        <v>321</v>
      </c>
      <c r="E31" s="261" t="n">
        <f aca="false">L31*Inputs!$E$296</f>
        <v>47.2972972972973</v>
      </c>
      <c r="F31" s="315" t="n">
        <f aca="false">BORA_Devex!$E$42</f>
        <v>46780</v>
      </c>
      <c r="G31" s="316" t="n">
        <v>1</v>
      </c>
      <c r="H31" s="158" t="n">
        <f aca="false">E31*G31</f>
        <v>47.2972972972973</v>
      </c>
      <c r="I31" s="133" t="n">
        <f aca="false">IF(F31="","",(YEAR(F31)-YEAR(Inputs!$E$27))*12+MONTH(F31)-MONTH(Inputs!$E$27))</f>
        <v>18</v>
      </c>
      <c r="J31" s="316" t="n">
        <v>0</v>
      </c>
      <c r="K31" s="158" t="n">
        <f aca="false">E31*J31*(1-G31)</f>
        <v>0</v>
      </c>
      <c r="L31" s="261" t="n">
        <f aca="false">BORA_Devex!$J$42/1000</f>
        <v>94.5945945945946</v>
      </c>
    </row>
    <row r="32" customFormat="false" ht="15" hidden="false" customHeight="false" outlineLevel="0" collapsed="false">
      <c r="B32" s="134" t="n">
        <v>43</v>
      </c>
      <c r="C32" s="134" t="s">
        <v>2422</v>
      </c>
      <c r="D32" s="134" t="s">
        <v>318</v>
      </c>
      <c r="E32" s="261" t="n">
        <f aca="false">L32*Inputs!$E$296</f>
        <v>27.027027027027</v>
      </c>
      <c r="F32" s="315" t="n">
        <f aca="false">BORA_Devex!$E$43</f>
        <v>47126</v>
      </c>
      <c r="G32" s="316" t="n">
        <v>1</v>
      </c>
      <c r="H32" s="158" t="n">
        <f aca="false">E32*G32</f>
        <v>27.027027027027</v>
      </c>
      <c r="I32" s="133" t="n">
        <f aca="false">IF(F32="","",(YEAR(F32)-YEAR(Inputs!$E$27))*12+MONTH(F32)-MONTH(Inputs!$E$27))</f>
        <v>30</v>
      </c>
      <c r="J32" s="316" t="n">
        <v>0</v>
      </c>
      <c r="K32" s="158" t="n">
        <f aca="false">E32*J32*(1-G32)</f>
        <v>0</v>
      </c>
      <c r="L32" s="261" t="n">
        <f aca="false">BORA_Devex!$J$43/1000</f>
        <v>54.0540540540541</v>
      </c>
    </row>
    <row r="33" customFormat="false" ht="15" hidden="false" customHeight="false" outlineLevel="0" collapsed="false">
      <c r="B33" s="134" t="n">
        <v>44</v>
      </c>
      <c r="C33" s="134"/>
      <c r="D33" s="134" t="s">
        <v>324</v>
      </c>
      <c r="E33" s="261" t="n">
        <f aca="false">L33*Inputs!$E$296</f>
        <v>16.2162162162162</v>
      </c>
      <c r="F33" s="315" t="n">
        <f aca="false">BORA_Devex!$E$44</f>
        <v>47066</v>
      </c>
      <c r="G33" s="316" t="n">
        <v>1</v>
      </c>
      <c r="H33" s="158" t="n">
        <f aca="false">E33*G33</f>
        <v>16.2162162162162</v>
      </c>
      <c r="I33" s="133" t="n">
        <f aca="false">IF(F33="","",(YEAR(F33)-YEAR(Inputs!$E$27))*12+MONTH(F33)-MONTH(Inputs!$E$27))</f>
        <v>28</v>
      </c>
      <c r="J33" s="316" t="n">
        <v>0</v>
      </c>
      <c r="K33" s="158" t="n">
        <f aca="false">E33*J33*(1-G33)</f>
        <v>0</v>
      </c>
      <c r="L33" s="261" t="n">
        <f aca="false">BORA_Devex!$J$44/1000</f>
        <v>32.4324324324324</v>
      </c>
    </row>
    <row r="34" customFormat="false" ht="15" hidden="false" customHeight="false" outlineLevel="0" collapsed="false">
      <c r="B34" s="134" t="n">
        <v>45</v>
      </c>
      <c r="C34" s="134" t="s">
        <v>338</v>
      </c>
      <c r="D34" s="134" t="s">
        <v>338</v>
      </c>
      <c r="E34" s="261" t="n">
        <f aca="false">L34*Inputs!$E$296</f>
        <v>10</v>
      </c>
      <c r="F34" s="315" t="n">
        <f aca="false">DATE(2027,12,31)</f>
        <v>46752</v>
      </c>
      <c r="G34" s="316" t="n">
        <v>1</v>
      </c>
      <c r="H34" s="158" t="n">
        <f aca="false">E34*G34</f>
        <v>10</v>
      </c>
      <c r="I34" s="133" t="n">
        <f aca="false">IF(F34="","",(YEAR(F34)-YEAR(Inputs!$E$27))*12+MONTH(F34)-MONTH(Inputs!$E$27))</f>
        <v>17</v>
      </c>
      <c r="J34" s="316" t="n">
        <v>0</v>
      </c>
      <c r="K34" s="158" t="n">
        <f aca="false">E34*J34*(1-G34)</f>
        <v>0</v>
      </c>
      <c r="L34" s="261" t="n">
        <f aca="false">BORA_Devex!$J$45/1000</f>
        <v>20</v>
      </c>
    </row>
    <row r="35" customFormat="false" ht="15" hidden="false" customHeight="false" outlineLevel="0" collapsed="false">
      <c r="B35" s="134" t="n">
        <v>46</v>
      </c>
      <c r="C35" s="134" t="s">
        <v>339</v>
      </c>
      <c r="D35" s="134" t="s">
        <v>339</v>
      </c>
      <c r="E35" s="261" t="n">
        <f aca="false">L35*Inputs!$E$296</f>
        <v>40</v>
      </c>
      <c r="F35" s="315" t="n">
        <f aca="false">DATE(2027,12,31)</f>
        <v>46752</v>
      </c>
      <c r="G35" s="316" t="n">
        <v>1</v>
      </c>
      <c r="H35" s="158" t="n">
        <f aca="false">E35*G35</f>
        <v>40</v>
      </c>
      <c r="I35" s="133" t="n">
        <f aca="false">IF(F35="","",(YEAR(F35)-YEAR(Inputs!$E$27))*12+MONTH(F35)-MONTH(Inputs!$E$27))</f>
        <v>17</v>
      </c>
      <c r="J35" s="316" t="n">
        <v>0</v>
      </c>
      <c r="K35" s="158" t="n">
        <f aca="false">E35*J35*(1-G35)</f>
        <v>0</v>
      </c>
      <c r="L35" s="261" t="n">
        <f aca="false">BORA_Devex!$J$46/1000</f>
        <v>80</v>
      </c>
    </row>
    <row r="36" customFormat="false" ht="15" hidden="false" customHeight="false" outlineLevel="0" collapsed="false">
      <c r="B36" s="134" t="n">
        <v>47</v>
      </c>
      <c r="C36" s="134" t="s">
        <v>2423</v>
      </c>
      <c r="D36" s="134" t="s">
        <v>340</v>
      </c>
      <c r="E36" s="261" t="n">
        <f aca="false">L36*Inputs!$E$296</f>
        <v>25</v>
      </c>
      <c r="F36" s="315" t="n">
        <f aca="false">DATE(2027,12,31)</f>
        <v>46752</v>
      </c>
      <c r="G36" s="316" t="n">
        <v>0</v>
      </c>
      <c r="H36" s="158" t="n">
        <f aca="false">E36*G36</f>
        <v>0</v>
      </c>
      <c r="I36" s="133" t="n">
        <f aca="false">IF(F36="","",(YEAR(F36)-YEAR(Inputs!$E$27))*12+MONTH(F36)-MONTH(Inputs!$E$27))</f>
        <v>17</v>
      </c>
      <c r="J36" s="316" t="n">
        <v>0</v>
      </c>
      <c r="K36" s="158" t="n">
        <f aca="false">E36*J36*(1-G36)</f>
        <v>0</v>
      </c>
      <c r="L36" s="261" t="n">
        <f aca="false">BORA_Devex!$J$47/1000</f>
        <v>50</v>
      </c>
    </row>
    <row r="37" customFormat="false" ht="15" hidden="false" customHeight="false" outlineLevel="0" collapsed="false">
      <c r="B37" s="134" t="n">
        <v>48</v>
      </c>
      <c r="C37" s="134" t="s">
        <v>2424</v>
      </c>
      <c r="D37" s="134" t="s">
        <v>316</v>
      </c>
      <c r="E37" s="261" t="n">
        <f aca="false">L37*Inputs!$E$296</f>
        <v>123.243243243243</v>
      </c>
      <c r="F37" s="315" t="n">
        <f aca="false">BORA_Devex!$E$48</f>
        <v>47201</v>
      </c>
      <c r="G37" s="316" t="n">
        <v>0</v>
      </c>
      <c r="H37" s="158" t="n">
        <f aca="false">E37*G37</f>
        <v>0</v>
      </c>
      <c r="I37" s="133" t="n">
        <f aca="false">IF(F37="","",(YEAR(F37)-YEAR(Inputs!$E$27))*12+MONTH(F37)-MONTH(Inputs!$E$27))</f>
        <v>32</v>
      </c>
      <c r="J37" s="316" t="n">
        <v>1</v>
      </c>
      <c r="K37" s="158" t="n">
        <f aca="false">E37*J37*(1-G37)</f>
        <v>123.243243243243</v>
      </c>
      <c r="L37" s="261" t="n">
        <f aca="false">BORA_Devex!$J$48/1000</f>
        <v>246.486486486486</v>
      </c>
    </row>
    <row r="38" customFormat="false" ht="15" hidden="false" customHeight="false" outlineLevel="0" collapsed="false">
      <c r="B38" s="0" t="n">
        <v>49</v>
      </c>
      <c r="C38" s="0" t="s">
        <v>101</v>
      </c>
      <c r="D38" s="0" t="s">
        <v>2425</v>
      </c>
      <c r="E38" s="237" t="n">
        <f aca="false">Inputs!$E$68*(SUM(H5:H37)+SUM(K5:K37)+Deposits!$O$7)</f>
        <v>141.103830814286</v>
      </c>
      <c r="F38" s="317" t="n">
        <f aca="false">DATE(2028,12,31)</f>
        <v>47118</v>
      </c>
      <c r="G38" s="316" t="n">
        <v>1</v>
      </c>
      <c r="H38" s="158" t="n">
        <f aca="false">E38*G38</f>
        <v>141.103830814286</v>
      </c>
      <c r="I38" s="133" t="n">
        <f aca="false">IF(F38="","",(YEAR(F38)-YEAR(Inputs!$E$27))*12+MONTH(F38)-MONTH(Inputs!$E$27))</f>
        <v>29</v>
      </c>
      <c r="J38" s="316" t="n">
        <v>0</v>
      </c>
      <c r="K38" s="158" t="n">
        <f aca="false">E38*J38*(1-G38)</f>
        <v>0</v>
      </c>
    </row>
    <row r="39" customFormat="false" ht="15" hidden="false" customHeight="false" outlineLevel="0" collapsed="false">
      <c r="B39" s="318"/>
      <c r="C39" s="318" t="s">
        <v>299</v>
      </c>
      <c r="D39" s="318"/>
      <c r="E39" s="247" t="n">
        <f aca="false">SUM(E5:E38)</f>
        <v>1568.92296087496</v>
      </c>
      <c r="F39" s="318"/>
      <c r="G39" s="318"/>
      <c r="H39" s="247" t="n">
        <f aca="false">SUM(H5:H38)</f>
        <v>1331.23309601009</v>
      </c>
      <c r="I39" s="318"/>
      <c r="K39" s="247" t="n">
        <f aca="false">SUM(K5:K38)</f>
        <v>212.689864864865</v>
      </c>
      <c r="L39" s="247" t="n">
        <f aca="false">SUM(L5:L37)</f>
        <v>2855.63826012135</v>
      </c>
    </row>
    <row r="40" customFormat="false" ht="15" hidden="false" customHeight="false" outlineLevel="0" collapsed="false">
      <c r="B40" s="0" t="s">
        <v>2426</v>
      </c>
      <c r="J40" s="0" t="s">
        <v>2427</v>
      </c>
    </row>
    <row r="41" customFormat="false" ht="15" hidden="false" customHeight="false" outlineLevel="0" collapsed="false">
      <c r="B41" s="233" t="s">
        <v>2428</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Y7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703125" defaultRowHeight="15" zeroHeight="false" outlineLevelRow="0" outlineLevelCol="0"/>
  <cols>
    <col collapsed="false" customWidth="true" hidden="false" outlineLevel="0" max="2" min="2" style="0" width="29.57"/>
    <col collapsed="false" customWidth="true" hidden="false" outlineLevel="0" max="7" min="3" style="0" width="13"/>
    <col collapsed="false" customWidth="true" hidden="false" outlineLevel="0" max="8" min="8" style="0" width="27.57"/>
    <col collapsed="false" customWidth="true" hidden="false" outlineLevel="0" max="51" min="9" style="0" width="14.57"/>
  </cols>
  <sheetData>
    <row r="1" customFormat="false" ht="15" hidden="false" customHeight="false" outlineLevel="0" collapsed="false">
      <c r="A1" s="319" t="s">
        <v>2429</v>
      </c>
    </row>
    <row r="2" customFormat="false" ht="15" hidden="false" customHeight="false" outlineLevel="0" collapsed="false">
      <c r="B2" s="0" t="s">
        <v>2430</v>
      </c>
      <c r="Q2" s="0" t="s">
        <v>2431</v>
      </c>
      <c r="T2" s="0" t="s">
        <v>2432</v>
      </c>
      <c r="V2" s="0" t="s">
        <v>2432</v>
      </c>
    </row>
    <row r="3" customFormat="false" ht="45" hidden="false" customHeight="true" outlineLevel="0" collapsed="false">
      <c r="B3" s="320" t="s">
        <v>2433</v>
      </c>
      <c r="C3" s="320" t="s">
        <v>2434</v>
      </c>
      <c r="D3" s="320" t="s">
        <v>2435</v>
      </c>
      <c r="E3" s="320" t="s">
        <v>2436</v>
      </c>
      <c r="F3" s="320" t="s">
        <v>5</v>
      </c>
      <c r="G3" s="321" t="s">
        <v>2437</v>
      </c>
      <c r="H3" s="320" t="s">
        <v>2438</v>
      </c>
      <c r="I3" s="320" t="s">
        <v>2439</v>
      </c>
      <c r="J3" s="320" t="s">
        <v>2440</v>
      </c>
      <c r="K3" s="320" t="s">
        <v>1081</v>
      </c>
      <c r="L3" s="320" t="s">
        <v>2441</v>
      </c>
      <c r="M3" s="320"/>
      <c r="N3" s="320" t="s">
        <v>2442</v>
      </c>
      <c r="O3" s="320"/>
      <c r="P3" s="320" t="s">
        <v>2443</v>
      </c>
      <c r="Q3" s="320"/>
      <c r="R3" s="320" t="s">
        <v>2444</v>
      </c>
      <c r="S3" s="320" t="s">
        <v>2445</v>
      </c>
      <c r="T3" s="320" t="s">
        <v>2444</v>
      </c>
      <c r="U3" s="320" t="s">
        <v>2445</v>
      </c>
      <c r="V3" s="320" t="s">
        <v>2444</v>
      </c>
      <c r="W3" s="320" t="s">
        <v>2445</v>
      </c>
      <c r="X3" s="320" t="s">
        <v>2446</v>
      </c>
      <c r="Y3" s="320" t="s">
        <v>2447</v>
      </c>
      <c r="Z3" s="320" t="s">
        <v>2448</v>
      </c>
      <c r="AA3" s="320"/>
      <c r="AB3" s="320"/>
      <c r="AC3" s="320"/>
      <c r="AD3" s="320"/>
      <c r="AE3" s="320"/>
      <c r="AF3" s="320"/>
      <c r="AG3" s="320"/>
      <c r="AH3" s="320"/>
      <c r="AI3" s="320"/>
      <c r="AJ3" s="320"/>
      <c r="AK3" s="320"/>
      <c r="AL3" s="320"/>
      <c r="AM3" s="320"/>
      <c r="AN3" s="320"/>
      <c r="AO3" s="320"/>
      <c r="AP3" s="320"/>
      <c r="AQ3" s="320"/>
      <c r="AR3" s="320"/>
      <c r="AS3" s="320"/>
      <c r="AT3" s="320"/>
      <c r="AU3" s="320"/>
      <c r="AV3" s="320"/>
      <c r="AW3" s="320"/>
      <c r="AX3" s="320"/>
      <c r="AY3" s="320"/>
    </row>
    <row r="4" customFormat="false" ht="45" hidden="false" customHeight="true" outlineLevel="0" collapsed="false">
      <c r="B4" s="320"/>
      <c r="C4" s="320"/>
      <c r="D4" s="320"/>
      <c r="E4" s="320"/>
      <c r="F4" s="320"/>
      <c r="G4" s="320"/>
      <c r="H4" s="320"/>
      <c r="I4" s="320"/>
      <c r="J4" s="320"/>
      <c r="K4" s="320"/>
      <c r="L4" s="320" t="s">
        <v>2444</v>
      </c>
      <c r="M4" s="320" t="s">
        <v>2445</v>
      </c>
      <c r="N4" s="320" t="s">
        <v>2444</v>
      </c>
      <c r="O4" s="320" t="s">
        <v>2445</v>
      </c>
      <c r="P4" s="320"/>
      <c r="Q4" s="320" t="s">
        <v>2449</v>
      </c>
      <c r="R4" s="320"/>
      <c r="S4" s="320"/>
      <c r="T4" s="320"/>
      <c r="U4" s="320"/>
      <c r="V4" s="320"/>
      <c r="W4" s="320"/>
      <c r="X4" s="320" t="s">
        <v>2450</v>
      </c>
      <c r="Y4" s="320" t="s">
        <v>2451</v>
      </c>
      <c r="Z4" s="320" t="s">
        <v>2452</v>
      </c>
      <c r="AA4" s="320"/>
      <c r="AB4" s="320"/>
      <c r="AC4" s="320"/>
      <c r="AD4" s="320"/>
      <c r="AE4" s="320"/>
      <c r="AF4" s="320"/>
      <c r="AG4" s="320"/>
      <c r="AH4" s="320"/>
      <c r="AI4" s="320"/>
      <c r="AJ4" s="320"/>
      <c r="AK4" s="320"/>
      <c r="AL4" s="320"/>
      <c r="AM4" s="320"/>
      <c r="AN4" s="320"/>
      <c r="AO4" s="320"/>
      <c r="AP4" s="320"/>
      <c r="AQ4" s="320"/>
      <c r="AR4" s="320"/>
      <c r="AS4" s="320"/>
      <c r="AT4" s="320"/>
      <c r="AU4" s="320"/>
      <c r="AV4" s="320"/>
      <c r="AW4" s="320"/>
      <c r="AX4" s="320"/>
      <c r="AY4" s="320"/>
    </row>
    <row r="5" customFormat="false" ht="15" hidden="false" customHeight="false" outlineLevel="0" collapsed="false">
      <c r="B5" s="0" t="s">
        <v>2453</v>
      </c>
      <c r="C5" s="322" t="n">
        <v>46266</v>
      </c>
      <c r="D5" s="322" t="n">
        <v>46325</v>
      </c>
      <c r="E5" s="322" t="n">
        <v>46325</v>
      </c>
      <c r="F5" s="153" t="n">
        <f aca="false">YEAR(E5)</f>
        <v>2026</v>
      </c>
      <c r="G5" s="153" t="n">
        <f aca="false">DATE(YEAR(E5),12,31)-E5+1</f>
        <v>63</v>
      </c>
      <c r="H5" s="133" t="s">
        <v>2454</v>
      </c>
      <c r="I5" s="323" t="n">
        <f aca="false">AF13*3000000</f>
        <v>6000000</v>
      </c>
      <c r="J5" s="323" t="n">
        <f aca="false">I5/$AF$6</f>
        <v>16216.2162162162</v>
      </c>
      <c r="K5" s="65" t="n">
        <v>0.12</v>
      </c>
      <c r="L5" s="323" t="n">
        <f aca="false">(J5+(J5*K5*(G5/365)))*(1+K5)^($AF$18-F5)</f>
        <v>23254.4972534617</v>
      </c>
      <c r="M5" s="323" t="n">
        <f aca="false">L5-J5</f>
        <v>7038.28103724547</v>
      </c>
      <c r="N5" s="323" t="n">
        <f aca="false">((J5+(J5*K5*(G5/365)))*(1+K5)^($AF$18-F5-1))*(1+K5*(180/365))</f>
        <v>21991.6551814782</v>
      </c>
      <c r="O5" s="323" t="n">
        <f aca="false">N5-J5</f>
        <v>5775.43896526198</v>
      </c>
      <c r="Q5" s="65" t="n">
        <v>0.12</v>
      </c>
      <c r="R5" s="323" t="n">
        <f aca="false">IF(Q5&lt;0.2,(J5+(J5*Q5*(G5/365)))*(1+Q5)^($AF$18-F5),J5*2)</f>
        <v>23254.4972534617</v>
      </c>
      <c r="S5" s="323" t="n">
        <f aca="false">R5-J5</f>
        <v>7038.28103724547</v>
      </c>
      <c r="T5" s="323" t="n">
        <f aca="false">IF(K5&lt;0.2,N5*IF(J5=0,0,Y5/J5),MAX(N5*IF(J5=0,0,Y5/J5),Y5*2))</f>
        <v>21991.6551814782</v>
      </c>
      <c r="U5" s="323" t="n">
        <f aca="false">T5-Y5</f>
        <v>5775.43896526198</v>
      </c>
      <c r="V5" s="323" t="n">
        <f aca="false">IF(K5&lt;0.2,L5*IF(J5=0,0,Y5/J5),MAX(L5*IF(J5=0,0,Y5/J5),Y5*2))</f>
        <v>23254.4972534617</v>
      </c>
      <c r="W5" s="323" t="n">
        <f aca="false">V5-Y5</f>
        <v>7038.28103724547</v>
      </c>
      <c r="X5" s="323" t="n">
        <v>1</v>
      </c>
      <c r="Y5" s="323" t="n">
        <f aca="false">J5*X5</f>
        <v>16216.2162162162</v>
      </c>
      <c r="Z5" s="323" t="n">
        <f aca="false">IF(K5=$AB$41,$AH$62*Y5*MAX(0,G5/365+YEAR($AB$44)-F5),Y5*((1+$AH$63*G5/365)*(1+$AH$63)^(YEAR($AB$44)-F5)-1))</f>
        <v>5048.22226970083</v>
      </c>
    </row>
    <row r="6" customFormat="false" ht="15" hidden="false" customHeight="false" outlineLevel="0" collapsed="false">
      <c r="C6" s="322" t="n">
        <v>46266</v>
      </c>
      <c r="D6" s="322" t="n">
        <v>46325</v>
      </c>
      <c r="E6" s="322" t="n">
        <v>46325</v>
      </c>
      <c r="F6" s="153" t="n">
        <f aca="false">YEAR(E6)</f>
        <v>2026</v>
      </c>
      <c r="G6" s="153" t="n">
        <f aca="false">DATE(YEAR(E6),12,31)-E6+1</f>
        <v>63</v>
      </c>
      <c r="H6" s="133" t="s">
        <v>2455</v>
      </c>
      <c r="I6" s="323" t="n">
        <f aca="false">AF11*AF7*0.005+AF12*AF10*0.005</f>
        <v>606000000</v>
      </c>
      <c r="J6" s="323" t="n">
        <f aca="false">I6/$AF$6</f>
        <v>1637837.83783784</v>
      </c>
      <c r="K6" s="65" t="n">
        <v>0.06</v>
      </c>
      <c r="L6" s="323" t="n">
        <f aca="false">(J6+(J6*K6*(G6/365)))*(1+K6)^($AF$18-F6)</f>
        <v>1970892.74765554</v>
      </c>
      <c r="M6" s="323" t="n">
        <f aca="false">L6-J6</f>
        <v>333054.909817697</v>
      </c>
      <c r="N6" s="323" t="n">
        <f aca="false">((J6+(J6*K6*(G6/365)))*(1+K6)^($AF$18-F6-1))*(1+K6*(180/365))</f>
        <v>1914348.65486935</v>
      </c>
      <c r="O6" s="323" t="n">
        <f aca="false">N6-J6</f>
        <v>276510.817031509</v>
      </c>
      <c r="P6" s="133" t="s">
        <v>2456</v>
      </c>
      <c r="Q6" s="65" t="n">
        <v>0.2</v>
      </c>
      <c r="R6" s="323" t="n">
        <f aca="false">IF(Q6&lt;0.2,(J6+(J6*Q6*(G6/365)))*(1+Q6)^($AF$18-F6),J6*2)</f>
        <v>3275675.67567568</v>
      </c>
      <c r="S6" s="323" t="n">
        <f aca="false">R6-J6</f>
        <v>1637837.83783784</v>
      </c>
      <c r="T6" s="323" t="n">
        <f aca="false">IF(K6&lt;0.2,N6*IF(J6=0,0,Y6/J6),MAX(N6*IF(J6=0,0,Y6/J6),Y6*2))</f>
        <v>1914348.65486935</v>
      </c>
      <c r="U6" s="323" t="n">
        <f aca="false">T6-Y6</f>
        <v>276510.817031509</v>
      </c>
      <c r="V6" s="323" t="n">
        <f aca="false">IF(K6&lt;0.2,L6*IF(J6=0,0,Y6/J6),MAX(L6*IF(J6=0,0,Y6/J6),Y6*2))</f>
        <v>1970892.74765554</v>
      </c>
      <c r="W6" s="323" t="n">
        <f aca="false">V6-Y6</f>
        <v>333054.909817697</v>
      </c>
      <c r="X6" s="323" t="n">
        <v>1</v>
      </c>
      <c r="Y6" s="323" t="n">
        <f aca="false">J6*X6</f>
        <v>1637837.83783784</v>
      </c>
      <c r="Z6" s="323" t="n">
        <f aca="false">IF(K6=$AB$41,$AH$62*Y6*MAX(0,G6/365+YEAR($AB$44)-F6),Y6*((1+$AH$63*G6/365)*(1+$AH$63)^(YEAR($AB$44)-F6)-1))</f>
        <v>311772.528693076</v>
      </c>
      <c r="AE6" s="133" t="s">
        <v>2457</v>
      </c>
      <c r="AF6" s="0" t="n">
        <v>370</v>
      </c>
    </row>
    <row r="7" customFormat="false" ht="15" hidden="false" customHeight="false" outlineLevel="0" collapsed="false">
      <c r="C7" s="322" t="n">
        <v>46371</v>
      </c>
      <c r="D7" s="322" t="n">
        <v>46386</v>
      </c>
      <c r="E7" s="322" t="n">
        <v>46386</v>
      </c>
      <c r="F7" s="153" t="n">
        <f aca="false">YEAR(E7)</f>
        <v>2026</v>
      </c>
      <c r="G7" s="153" t="n">
        <f aca="false">DATE(YEAR(E7),12,31)-E7+1</f>
        <v>2</v>
      </c>
      <c r="H7" s="133" t="s">
        <v>1000</v>
      </c>
      <c r="I7" s="323" t="n">
        <f aca="false">((AF11*AF7*0.025+AF12*AF10*0.025)*1.5)-I6</f>
        <v>3939000000</v>
      </c>
      <c r="J7" s="323" t="n">
        <f aca="false">I7/$AF$6</f>
        <v>10645945.9459459</v>
      </c>
      <c r="K7" s="65" t="n">
        <f aca="false">$AB$41</f>
        <v>0.06</v>
      </c>
      <c r="L7" s="323" t="n">
        <f aca="false">(J7+(J7*K7*(G7/365)))*(1+K7)^($AF$18-F7)</f>
        <v>12683660.5568521</v>
      </c>
      <c r="M7" s="323" t="n">
        <f aca="false">L7-J7</f>
        <v>2037714.61090618</v>
      </c>
      <c r="N7" s="323" t="n">
        <f aca="false">((J7+(J7*K7*(G7/365)))*(1+K7)^($AF$18-F7-1))*(1+K7*(180/365))</f>
        <v>12319771.6135049</v>
      </c>
      <c r="O7" s="323" t="n">
        <f aca="false">N7-J7</f>
        <v>1673825.66755891</v>
      </c>
      <c r="P7" s="133" t="s">
        <v>2458</v>
      </c>
      <c r="Q7" s="65" t="n">
        <v>0.2</v>
      </c>
      <c r="R7" s="323" t="n">
        <f aca="false">IF(Q7&lt;0.2,(J7+(J7*Q7*(G7/365)))*(1+Q7)^($AF$18-F7),J7*2)</f>
        <v>21291891.8918919</v>
      </c>
      <c r="S7" s="323" t="n">
        <f aca="false">R7-J7</f>
        <v>10645945.9459459</v>
      </c>
      <c r="T7" s="323" t="n">
        <f aca="false">IF(K7&lt;0.2,N7*IF(J7=0,0,Y7/J7),MAX(N7*IF(J7=0,0,Y7/J7),Y7*2))</f>
        <v>12319771.6135049</v>
      </c>
      <c r="U7" s="323" t="n">
        <f aca="false">T7-Y7</f>
        <v>1673825.66755891</v>
      </c>
      <c r="V7" s="323" t="n">
        <f aca="false">IF(K7&lt;0.2,L7*IF(J7=0,0,Y7/J7),MAX(L7*IF(J7=0,0,Y7/J7),Y7*2))</f>
        <v>12683660.5568521</v>
      </c>
      <c r="W7" s="323" t="n">
        <f aca="false">V7-Y7</f>
        <v>2037714.61090618</v>
      </c>
      <c r="X7" s="323" t="n">
        <v>1</v>
      </c>
      <c r="Y7" s="323" t="n">
        <f aca="false">J7*X7</f>
        <v>10645945.9459459</v>
      </c>
      <c r="Z7" s="323" t="n">
        <f aca="false">IF(K7=$AB$41,$AH$62*Y7*MAX(0,G7/365+YEAR($AB$44)-F7),Y7*((1+$AH$63*G7/365)*(1+$AH$63)^(YEAR($AB$44)-F7)-1))</f>
        <v>1919770.30729354</v>
      </c>
      <c r="AE7" s="133" t="s">
        <v>2459</v>
      </c>
      <c r="AF7" s="0" t="n">
        <v>200</v>
      </c>
    </row>
    <row r="8" customFormat="false" ht="15" hidden="false" customHeight="false" outlineLevel="0" collapsed="false">
      <c r="B8" s="0" t="s">
        <v>2460</v>
      </c>
      <c r="C8" s="322" t="n">
        <f aca="false">C7+15</f>
        <v>46386</v>
      </c>
      <c r="D8" s="322" t="n">
        <f aca="false">C8</f>
        <v>46386</v>
      </c>
      <c r="E8" s="322" t="n">
        <f aca="false">C8</f>
        <v>46386</v>
      </c>
      <c r="F8" s="153" t="n">
        <f aca="false">YEAR(E8)</f>
        <v>2026</v>
      </c>
      <c r="G8" s="153" t="n">
        <f aca="false">DATE(YEAR(E8),12,31)-E8+1</f>
        <v>2</v>
      </c>
      <c r="H8" s="133" t="s">
        <v>2461</v>
      </c>
      <c r="I8" s="323" t="n">
        <f aca="false">4500000*AF7</f>
        <v>900000000</v>
      </c>
      <c r="J8" s="324" t="n">
        <f aca="false">I8/$AF$6</f>
        <v>2432432.43243243</v>
      </c>
      <c r="K8" s="65" t="n">
        <v>0.12</v>
      </c>
      <c r="L8" s="323" t="n">
        <f aca="false">(J8+(J8*K8*(G8/365)))*(1+K8)^($AF$18-F8)</f>
        <v>3419639.48499075</v>
      </c>
      <c r="M8" s="323" t="n">
        <f aca="false">L8-J8</f>
        <v>987207.052558313</v>
      </c>
      <c r="N8" s="323" t="n">
        <f aca="false">((J8+(J8*K8*(G8/365)))*(1+K8)^($AF$18-F8-1))*(1+K8*(180/365))</f>
        <v>3233934.99241052</v>
      </c>
      <c r="O8" s="323" t="n">
        <f aca="false">N8-J8</f>
        <v>801502.559978091</v>
      </c>
      <c r="P8" s="133" t="s">
        <v>2462</v>
      </c>
      <c r="Q8" s="65" t="n">
        <v>0.2</v>
      </c>
      <c r="R8" s="323" t="n">
        <f aca="false">IF(Q8&lt;0.2,(J8+(J8*Q8*(G8/365)))*(1+Q8)^($AF$18-F8),J8*2)</f>
        <v>4864864.86486487</v>
      </c>
      <c r="S8" s="323" t="n">
        <f aca="false">R8-J8</f>
        <v>2432432.43243243</v>
      </c>
      <c r="T8" s="323" t="n">
        <f aca="false">IF(K8&lt;0.2,N8*IF(J8=0,0,Y8/J8),MAX(N8*IF(J8=0,0,Y8/J8),Y8*2))</f>
        <v>3233934.99241052</v>
      </c>
      <c r="U8" s="323" t="n">
        <f aca="false">T8-Y8</f>
        <v>801502.559978091</v>
      </c>
      <c r="V8" s="323" t="n">
        <f aca="false">IF(K8&lt;0.2,L8*IF(J8=0,0,Y8/J8),MAX(L8*IF(J8=0,0,Y8/J8),Y8*2))</f>
        <v>3419639.48499075</v>
      </c>
      <c r="W8" s="323" t="n">
        <f aca="false">V8-Y8</f>
        <v>987207.052558313</v>
      </c>
      <c r="X8" s="323" t="n">
        <v>1</v>
      </c>
      <c r="Y8" s="323" t="n">
        <f aca="false">J8*X8</f>
        <v>2432432.43243243</v>
      </c>
      <c r="Z8" s="323" t="n">
        <f aca="false">IF(K8=$AB$41,$AH$62*Y8*MAX(0,G8/365+YEAR($AB$44)-F8),Y8*((1+$AH$63*G8/365)*(1+$AH$63)^(YEAR($AB$44)-F8)-1))</f>
        <v>710508.115402694</v>
      </c>
      <c r="AE8" s="133" t="s">
        <v>2463</v>
      </c>
      <c r="AF8" s="65" t="n">
        <v>0.5</v>
      </c>
    </row>
    <row r="9" customFormat="false" ht="15" hidden="false" customHeight="false" outlineLevel="0" collapsed="false">
      <c r="B9" s="0" t="s">
        <v>2464</v>
      </c>
      <c r="C9" s="322" t="n">
        <v>46500</v>
      </c>
      <c r="D9" s="322" t="n">
        <f aca="false">C9</f>
        <v>46500</v>
      </c>
      <c r="E9" s="322" t="n">
        <f aca="false">C9</f>
        <v>46500</v>
      </c>
      <c r="F9" s="153" t="n">
        <f aca="false">YEAR(E9)</f>
        <v>2027</v>
      </c>
      <c r="G9" s="153" t="n">
        <f aca="false">DATE(YEAR(E9),12,31)-E9+1</f>
        <v>253</v>
      </c>
      <c r="H9" s="133" t="s">
        <v>2465</v>
      </c>
      <c r="I9" s="323" t="n">
        <f aca="false">AF11*AF7*0.02</f>
        <v>1624000000</v>
      </c>
      <c r="J9" s="324" t="n">
        <f aca="false">I9/$AF$6</f>
        <v>4389189.18918919</v>
      </c>
      <c r="K9" s="65" t="n">
        <f aca="false">$AB$41</f>
        <v>0.06</v>
      </c>
      <c r="L9" s="323" t="n">
        <f aca="false">(J9+(J9*K9*(G9/365)))*(1+K9)^($AF$18-F9)</f>
        <v>5136797.35469826</v>
      </c>
      <c r="M9" s="323" t="n">
        <f aca="false">L9-J9</f>
        <v>747608.165509071</v>
      </c>
      <c r="N9" s="323" t="n">
        <f aca="false">((J9+(J9*K9*(G9/365)))*(1+K9)^($AF$18-F9-1))*(1+K9*(180/365))</f>
        <v>4989424.7761582</v>
      </c>
      <c r="O9" s="323" t="n">
        <f aca="false">N9-J9</f>
        <v>600235.586969006</v>
      </c>
      <c r="P9" s="133" t="s">
        <v>2466</v>
      </c>
      <c r="Q9" s="65" t="n">
        <v>0.2</v>
      </c>
      <c r="R9" s="323" t="n">
        <f aca="false">IF(Q9&lt;0.2,(J9+(J9*Q9*(G9/365)))*(1+Q9)^($AF$18-F9),J9*2)</f>
        <v>8778378.37837838</v>
      </c>
      <c r="S9" s="323" t="n">
        <f aca="false">R9-J9</f>
        <v>4389189.18918919</v>
      </c>
      <c r="T9" s="323" t="n">
        <f aca="false">IF(K9&lt;0.2,N9*IF(J9=0,0,Y9/J9),MAX(N9*IF(J9=0,0,Y9/J9),Y9*2))</f>
        <v>4989424.7761582</v>
      </c>
      <c r="U9" s="323" t="n">
        <f aca="false">T9-Y9</f>
        <v>600235.586969006</v>
      </c>
      <c r="V9" s="323" t="n">
        <f aca="false">IF(K9&lt;0.2,L9*IF(J9=0,0,Y9/J9),MAX(L9*IF(J9=0,0,Y9/J9),Y9*2))</f>
        <v>5136797.35469826</v>
      </c>
      <c r="W9" s="323" t="n">
        <f aca="false">V9-Y9</f>
        <v>747608.165509071</v>
      </c>
      <c r="X9" s="323" t="n">
        <v>1</v>
      </c>
      <c r="Y9" s="323" t="n">
        <f aca="false">J9*X9</f>
        <v>4389189.18918919</v>
      </c>
      <c r="Z9" s="323" t="n">
        <f aca="false">IF(K9=$AB$41,$AH$62*Y9*MAX(0,G9/365+YEAR($AB$44)-F9),Y9*((1+$AH$63*G9/365)*(1+$AH$63)^(YEAR($AB$44)-F9)-1))</f>
        <v>709244.872269508</v>
      </c>
      <c r="AE9" s="133" t="s">
        <v>2467</v>
      </c>
      <c r="AF9" s="133" t="n">
        <f aca="false">AF7*AF8</f>
        <v>100</v>
      </c>
    </row>
    <row r="10" customFormat="false" ht="15" hidden="false" customHeight="false" outlineLevel="0" collapsed="false">
      <c r="B10" s="0" t="s">
        <v>2468</v>
      </c>
      <c r="C10" s="322" t="n">
        <v>46866</v>
      </c>
      <c r="D10" s="322" t="n">
        <f aca="false">C10</f>
        <v>46866</v>
      </c>
      <c r="E10" s="322" t="n">
        <f aca="false">C10</f>
        <v>46866</v>
      </c>
      <c r="F10" s="153" t="n">
        <f aca="false">YEAR(E10)</f>
        <v>2028</v>
      </c>
      <c r="G10" s="153" t="n">
        <f aca="false">DATE(YEAR(E10),12,31)-E10+1</f>
        <v>253</v>
      </c>
      <c r="H10" s="133" t="s">
        <v>2469</v>
      </c>
      <c r="I10" s="323" t="n">
        <f aca="false">AF11*AF7*0.01</f>
        <v>812000000</v>
      </c>
      <c r="J10" s="324" t="n">
        <f aca="false">I10/$AF$6</f>
        <v>2194594.59459459</v>
      </c>
      <c r="K10" s="65" t="n">
        <f aca="false">$AB$41</f>
        <v>0.06</v>
      </c>
      <c r="L10" s="323" t="n">
        <f aca="false">(J10+(J10*K10*(G10/365)))*(1+K10)^($AF$18-F10)</f>
        <v>2423017.62014069</v>
      </c>
      <c r="M10" s="323" t="n">
        <f aca="false">L10-J10</f>
        <v>228423.025546094</v>
      </c>
      <c r="N10" s="323" t="n">
        <f aca="false">((J10+(J10*K10*(G10/365)))*(1+K10)^($AF$18-F10-1))*(1+K10*(180/365))</f>
        <v>2353502.25290481</v>
      </c>
      <c r="O10" s="323" t="n">
        <f aca="false">N10-J10</f>
        <v>158907.658310215</v>
      </c>
      <c r="P10" s="133" t="s">
        <v>2470</v>
      </c>
      <c r="Q10" s="65" t="n">
        <v>0.2</v>
      </c>
      <c r="R10" s="323" t="n">
        <f aca="false">IF(Q10&lt;0.2,(J10+(J10*Q10*(G10/365)))*(1+Q10)^($AF$18-F10),J10*2)</f>
        <v>4389189.18918919</v>
      </c>
      <c r="S10" s="323" t="n">
        <f aca="false">R10-J10</f>
        <v>2194594.59459459</v>
      </c>
      <c r="T10" s="323" t="n">
        <f aca="false">IF(K10&lt;0.2,N10*IF(J10=0,0,Y10/J10),MAX(N10*IF(J10=0,0,Y10/J10),Y10*2))</f>
        <v>2353502.25290481</v>
      </c>
      <c r="U10" s="323" t="n">
        <f aca="false">T10-Y10</f>
        <v>158907.658310215</v>
      </c>
      <c r="V10" s="323" t="n">
        <f aca="false">IF(K10&lt;0.2,L10*IF(J10=0,0,Y10/J10),MAX(L10*IF(J10=0,0,Y10/J10),Y10*2))</f>
        <v>2423017.62014069</v>
      </c>
      <c r="W10" s="323" t="n">
        <f aca="false">V10-Y10</f>
        <v>228423.025546094</v>
      </c>
      <c r="X10" s="323" t="n">
        <v>1</v>
      </c>
      <c r="Y10" s="323" t="n">
        <f aca="false">J10*X10</f>
        <v>2194594.59459459</v>
      </c>
      <c r="Z10" s="323" t="n">
        <f aca="false">IF(K10=$AB$41,$AH$62*Y10*MAX(0,G10/365+YEAR($AB$44)-F10),Y10*((1+$AH$63*G10/365)*(1+$AH$63)^(YEAR($AB$44)-F10)-1))</f>
        <v>222946.760459078</v>
      </c>
      <c r="AE10" s="133" t="s">
        <v>2471</v>
      </c>
      <c r="AF10" s="133" t="n">
        <f aca="false">AF9*2</f>
        <v>200</v>
      </c>
    </row>
    <row r="11" customFormat="false" ht="15" hidden="false" customHeight="false" outlineLevel="0" collapsed="false">
      <c r="B11" s="0" t="s">
        <v>2472</v>
      </c>
      <c r="C11" s="322" t="n">
        <f aca="false">D35+45</f>
        <v>46825</v>
      </c>
      <c r="D11" s="322" t="n">
        <f aca="false">C11</f>
        <v>46825</v>
      </c>
      <c r="E11" s="322" t="n">
        <f aca="false">D11</f>
        <v>46825</v>
      </c>
      <c r="F11" s="153" t="n">
        <f aca="false">YEAR(E11)</f>
        <v>2028</v>
      </c>
      <c r="G11" s="153" t="n">
        <f aca="false">DATE(YEAR(E11),12,31)-E11+1</f>
        <v>294</v>
      </c>
      <c r="H11" s="133" t="s">
        <v>2473</v>
      </c>
      <c r="I11" s="323" t="n">
        <f aca="false">-(I9+I10)/2</f>
        <v>-1218000000</v>
      </c>
      <c r="J11" s="324" t="n">
        <f aca="false">I11/$AF$6</f>
        <v>-3291891.89189189</v>
      </c>
      <c r="K11" s="65" t="n">
        <f aca="false">$AB$41</f>
        <v>0.06</v>
      </c>
      <c r="L11" s="323" t="n">
        <f aca="false">(J11+(J11*K11*(G11/365)))*(1+K11)^($AF$18-F11)</f>
        <v>-3658044.06664199</v>
      </c>
      <c r="M11" s="323" t="n">
        <f aca="false">L11-J11</f>
        <v>-366152.174750093</v>
      </c>
      <c r="N11" s="323" t="n">
        <f aca="false">((J11+(J11*K11*(G11/365)))*(1+K11)^($AF$18-F11-1))*(1+K11*(180/365))</f>
        <v>-3553096.30458531</v>
      </c>
      <c r="O11" s="323" t="n">
        <f aca="false">N11-J11</f>
        <v>-261204.412693421</v>
      </c>
      <c r="P11" s="133" t="s">
        <v>2474</v>
      </c>
      <c r="Q11" s="65" t="n">
        <v>0.2</v>
      </c>
      <c r="R11" s="323" t="n">
        <f aca="false">IF(Q11&lt;0.2,(J11+(J11*Q11*(G11/365)))*(1+Q11)^($AF$18-F11),J11*2)</f>
        <v>-6583783.78378378</v>
      </c>
      <c r="S11" s="323" t="n">
        <f aca="false">R11-J11</f>
        <v>-3291891.89189189</v>
      </c>
      <c r="T11" s="323" t="n">
        <f aca="false">IF(K11&lt;0.2,N11*IF(J11=0,0,Y11/J11),MAX(N11*IF(J11=0,0,Y11/J11),Y11*2))</f>
        <v>-3553096.30458531</v>
      </c>
      <c r="U11" s="323" t="n">
        <f aca="false">T11-Y11</f>
        <v>-261204.412693421</v>
      </c>
      <c r="V11" s="323" t="n">
        <f aca="false">IF(K11&lt;0.2,L11*IF(J11=0,0,Y11/J11),MAX(L11*IF(J11=0,0,Y11/J11),Y11*2))</f>
        <v>-3658044.06664199</v>
      </c>
      <c r="W11" s="323" t="n">
        <f aca="false">V11-Y11</f>
        <v>-366152.174750093</v>
      </c>
      <c r="X11" s="323" t="n">
        <v>1</v>
      </c>
      <c r="Y11" s="323" t="n">
        <f aca="false">J11*X11</f>
        <v>-3291891.89189189</v>
      </c>
      <c r="Z11" s="323" t="n">
        <f aca="false">IF(K11=$AB$41,$AH$62*Y11*MAX(0,G11/365+YEAR($AB$44)-F11),Y11*((1+$AH$63*G11/365)*(1+$AH$63)^(YEAR($AB$44)-F11)-1))</f>
        <v>-356606.590151816</v>
      </c>
      <c r="AE11" s="133" t="s">
        <v>2475</v>
      </c>
      <c r="AF11" s="323" t="n">
        <v>406000000</v>
      </c>
    </row>
    <row r="12" customFormat="false" ht="15" hidden="false" customHeight="false" outlineLevel="0" collapsed="false">
      <c r="B12" s="0" t="s">
        <v>2476</v>
      </c>
      <c r="C12" s="322" t="n">
        <v>47231</v>
      </c>
      <c r="D12" s="322" t="n">
        <f aca="false">C12</f>
        <v>47231</v>
      </c>
      <c r="E12" s="322" t="n">
        <f aca="false">C12</f>
        <v>47231</v>
      </c>
      <c r="F12" s="153" t="n">
        <f aca="false">YEAR(E12)</f>
        <v>2029</v>
      </c>
      <c r="G12" s="153" t="n">
        <f aca="false">DATE(YEAR(E12),12,31)-E12+1</f>
        <v>253</v>
      </c>
      <c r="H12" s="133" t="s">
        <v>2477</v>
      </c>
      <c r="I12" s="323" t="n">
        <f aca="false">(AF11*AF7*0.01)/2</f>
        <v>406000000</v>
      </c>
      <c r="J12" s="324" t="n">
        <f aca="false">I12/$AF$6</f>
        <v>1097297.2972973</v>
      </c>
      <c r="K12" s="65" t="n">
        <f aca="false">$AB$41</f>
        <v>0.06</v>
      </c>
      <c r="L12" s="323" t="n">
        <f aca="false">(J12+(J12*K12*(G12/365)))*(1+K12)^($AF$18-F12)</f>
        <v>1142932.839689</v>
      </c>
      <c r="M12" s="323" t="n">
        <f aca="false">L12-J12</f>
        <v>45635.5423917067</v>
      </c>
      <c r="N12" s="323" t="n">
        <f aca="false">((J12+(J12*K12*(G12/365)))*(1+K12)^($AF$18-F12-1))*(1+K12*(180/365))</f>
        <v>1110142.57212491</v>
      </c>
      <c r="O12" s="323" t="n">
        <f aca="false">N12-J12</f>
        <v>12845.2748276126</v>
      </c>
      <c r="P12" s="133" t="s">
        <v>2478</v>
      </c>
      <c r="Q12" s="65" t="n">
        <v>0.2</v>
      </c>
      <c r="R12" s="323" t="n">
        <f aca="false">IF(Q12&lt;0.2,(J12+(J12*Q12*(G12/365)))*(1+Q12)^($AF$18-F12),J12*2)</f>
        <v>2194594.59459459</v>
      </c>
      <c r="S12" s="323" t="n">
        <f aca="false">R12-J12</f>
        <v>1097297.2972973</v>
      </c>
      <c r="T12" s="323" t="n">
        <f aca="false">IF(K12&lt;0.2,N12*IF(J12=0,0,Y12/J12),MAX(N12*IF(J12=0,0,Y12/J12),Y12*2))</f>
        <v>1110142.57212491</v>
      </c>
      <c r="U12" s="323" t="n">
        <f aca="false">T12-Y12</f>
        <v>12845.2748276126</v>
      </c>
      <c r="V12" s="323" t="n">
        <f aca="false">IF(K12&lt;0.2,L12*IF(J12=0,0,Y12/J12),MAX(L12*IF(J12=0,0,Y12/J12),Y12*2))</f>
        <v>1142932.839689</v>
      </c>
      <c r="W12" s="323" t="n">
        <f aca="false">V12-Y12</f>
        <v>45635.5423917067</v>
      </c>
      <c r="X12" s="323" t="n">
        <v>1</v>
      </c>
      <c r="Y12" s="323" t="n">
        <f aca="false">J12*X12</f>
        <v>1097297.2972973</v>
      </c>
      <c r="Z12" s="323" t="n">
        <f aca="false">IF(K12=$AB$41,$AH$62*Y12*MAX(0,G12/365+YEAR($AB$44)-F12),Y12*((1+$AH$63*G12/365)*(1+$AH$63)^(YEAR($AB$44)-F12)-1))</f>
        <v>45635.5423917014</v>
      </c>
      <c r="AE12" s="133" t="s">
        <v>2479</v>
      </c>
      <c r="AF12" s="323" t="n">
        <v>200000000</v>
      </c>
    </row>
    <row r="13" customFormat="false" ht="15" hidden="false" customHeight="false" outlineLevel="0" collapsed="false">
      <c r="B13" s="0" t="s">
        <v>2480</v>
      </c>
      <c r="C13" s="322" t="n">
        <v>47596</v>
      </c>
      <c r="D13" s="322" t="n">
        <f aca="false">C13</f>
        <v>47596</v>
      </c>
      <c r="E13" s="322" t="n">
        <f aca="false">C13</f>
        <v>47596</v>
      </c>
      <c r="F13" s="153" t="n">
        <f aca="false">YEAR(E13)</f>
        <v>2030</v>
      </c>
      <c r="G13" s="153" t="n">
        <f aca="false">DATE(YEAR(E13),12,31)-E13+1</f>
        <v>253</v>
      </c>
      <c r="H13" s="133" t="s">
        <v>2481</v>
      </c>
      <c r="I13" s="323" t="n">
        <v>0</v>
      </c>
      <c r="J13" s="324" t="n">
        <v>0</v>
      </c>
      <c r="K13" s="65" t="n">
        <f aca="false">$AB$41</f>
        <v>0.06</v>
      </c>
      <c r="L13" s="323" t="n">
        <f aca="false">(J13+(J13*K13*(G13/365)))*(1+K13)^($AF$18-F13)</f>
        <v>0</v>
      </c>
      <c r="M13" s="323" t="n">
        <f aca="false">L13-J13</f>
        <v>0</v>
      </c>
      <c r="N13" s="323" t="n">
        <f aca="false">((J13+(J13*K13*(G13/365)))*(1+K13)^($AF$18-F13-1))*(1+K13*(180/365))</f>
        <v>0</v>
      </c>
      <c r="O13" s="323" t="n">
        <f aca="false">N13-J13</f>
        <v>0</v>
      </c>
      <c r="P13" s="133" t="s">
        <v>2482</v>
      </c>
      <c r="Q13" s="65" t="n">
        <v>0.2</v>
      </c>
      <c r="R13" s="323" t="n">
        <f aca="false">IF(Q13&lt;0.2,(J13+(J13*Q13*(G13/365)))*(1+Q13)^($AF$18-F13),J13*2)</f>
        <v>0</v>
      </c>
      <c r="S13" s="323" t="n">
        <f aca="false">R13-J13</f>
        <v>0</v>
      </c>
      <c r="T13" s="323" t="n">
        <f aca="false">IF(K13&lt;0.2,N13*IF(J13=0,0,Y13/J13),MAX(N13*IF(J13=0,0,Y13/J13),Y13*2))</f>
        <v>0</v>
      </c>
      <c r="U13" s="323" t="n">
        <f aca="false">T13-Y13</f>
        <v>0</v>
      </c>
      <c r="V13" s="323" t="n">
        <f aca="false">IF(K13&lt;0.2,L13*IF(J13=0,0,Y13/J13),MAX(L13*IF(J13=0,0,Y13/J13),Y13*2))</f>
        <v>0</v>
      </c>
      <c r="W13" s="323" t="n">
        <f aca="false">V13-Y13</f>
        <v>0</v>
      </c>
      <c r="X13" s="323" t="n">
        <v>1</v>
      </c>
      <c r="Y13" s="323" t="n">
        <f aca="false">J13*X13</f>
        <v>0</v>
      </c>
      <c r="Z13" s="323" t="n">
        <f aca="false">IF(K13=$AB$41,$AH$62*Y13*MAX(0,G13/365+YEAR($AB$44)-F13),Y13*((1+$AH$63*G13/365)*(1+$AH$63)^(YEAR($AB$44)-F13)-1))</f>
        <v>0</v>
      </c>
      <c r="AE13" s="133" t="s">
        <v>2483</v>
      </c>
      <c r="AF13" s="0" t="n">
        <v>2</v>
      </c>
    </row>
    <row r="14" customFormat="false" ht="15" hidden="false" customHeight="false" outlineLevel="0" collapsed="false">
      <c r="B14" s="0" t="s">
        <v>2403</v>
      </c>
      <c r="C14" s="322" t="n">
        <f aca="false">E8+15</f>
        <v>46401</v>
      </c>
      <c r="D14" s="322" t="n">
        <f aca="false">C14+30</f>
        <v>46431</v>
      </c>
      <c r="E14" s="322" t="n">
        <f aca="false">D14</f>
        <v>46431</v>
      </c>
      <c r="F14" s="153" t="n">
        <f aca="false">YEAR(E14)</f>
        <v>2027</v>
      </c>
      <c r="G14" s="153" t="n">
        <f aca="false">DATE(YEAR(E14),12,31)-E14+1</f>
        <v>322</v>
      </c>
      <c r="H14" s="133" t="s">
        <v>2404</v>
      </c>
      <c r="I14" s="323" t="n">
        <f aca="false">J14*AF6</f>
        <v>20590500</v>
      </c>
      <c r="J14" s="324" t="n">
        <f aca="false">1325*AF15*1.5</f>
        <v>55650</v>
      </c>
      <c r="K14" s="65" t="n">
        <v>0.2</v>
      </c>
      <c r="L14" s="323" t="n">
        <f aca="false">(J14+(J14*K14*(G14/365)))*(1+K14)^($AF$18-F14)</f>
        <v>94275.0641095891</v>
      </c>
      <c r="M14" s="323" t="n">
        <f aca="false">L14-J14</f>
        <v>38625.064109589</v>
      </c>
      <c r="N14" s="323" t="n">
        <f aca="false">((J14+(J14*K14*(G14/365)))*(1+K14)^($AF$18-F14-1))*(1+K14*(180/365))</f>
        <v>86311.1888309251</v>
      </c>
      <c r="O14" s="323" t="n">
        <f aca="false">N14-J14</f>
        <v>30661.1888309251</v>
      </c>
      <c r="P14" s="133" t="s">
        <v>2484</v>
      </c>
      <c r="Q14" s="65" t="n">
        <v>0.2</v>
      </c>
      <c r="R14" s="323" t="n">
        <f aca="false">IF(Q14&lt;0.2,(J14+(J14*Q14*(G14/365)))*(1+Q14)^($AF$18-F14),J14*2)</f>
        <v>111300</v>
      </c>
      <c r="S14" s="323" t="n">
        <f aca="false">R14-J14</f>
        <v>55650</v>
      </c>
      <c r="T14" s="323" t="n">
        <f aca="false">Y14+MAX(N14,J14*2)-J14</f>
        <v>55650</v>
      </c>
      <c r="U14" s="323" t="n">
        <f aca="false">T14-Y14</f>
        <v>55650</v>
      </c>
      <c r="V14" s="323" t="n">
        <f aca="false">Y14+MAX(L14,J14*2)-J14</f>
        <v>55650</v>
      </c>
      <c r="W14" s="323" t="n">
        <f aca="false">V14-Y14</f>
        <v>55650</v>
      </c>
      <c r="X14" s="323" t="n">
        <v>0</v>
      </c>
      <c r="Y14" s="323" t="n">
        <f aca="false">J14*X14</f>
        <v>0</v>
      </c>
      <c r="Z14" s="323" t="n">
        <f aca="false">IF(K14=$AB$41,$AH$62*J14*MAX(0,G14/365+YEAR($AB$44)-F14),J14*((1+$AH$63*G14/365)*(1+$AH$63)^(YEAR($AB$44)-F14)-1))</f>
        <v>15528.2236543882</v>
      </c>
      <c r="AE14" s="133" t="s">
        <v>2485</v>
      </c>
      <c r="AF14" s="0" t="n">
        <v>28</v>
      </c>
    </row>
    <row r="15" customFormat="false" ht="15" hidden="false" customHeight="false" outlineLevel="0" collapsed="false">
      <c r="C15" s="322" t="n">
        <f aca="false">C14</f>
        <v>46401</v>
      </c>
      <c r="D15" s="322" t="n">
        <f aca="false">D14</f>
        <v>46431</v>
      </c>
      <c r="E15" s="322" t="n">
        <f aca="false">E14</f>
        <v>46431</v>
      </c>
      <c r="F15" s="153" t="n">
        <f aca="false">YEAR(E15)</f>
        <v>2027</v>
      </c>
      <c r="G15" s="153" t="n">
        <f aca="false">DATE(YEAR(E15),12,31)-E15+1</f>
        <v>322</v>
      </c>
      <c r="H15" s="133" t="s">
        <v>2486</v>
      </c>
      <c r="I15" s="323" t="n">
        <f aca="false">38000000*0.2*6</f>
        <v>45600000</v>
      </c>
      <c r="J15" s="324" t="n">
        <f aca="false">I15/$AF$6</f>
        <v>123243.243243243</v>
      </c>
      <c r="K15" s="65" t="n">
        <v>0.2</v>
      </c>
      <c r="L15" s="323" t="n">
        <f aca="false">(J15+(J15*K15*(G15/365)))*(1+K15)^($AF$18-F15)</f>
        <v>208782.833024806</v>
      </c>
      <c r="M15" s="323" t="n">
        <f aca="false">L15-J15</f>
        <v>85539.5897815624</v>
      </c>
      <c r="N15" s="323" t="n">
        <f aca="false">((J15+(J15*K15*(G15/365)))*(1+K15)^($AF$18-F15-1))*(1+K15*(180/365))</f>
        <v>191145.927038692</v>
      </c>
      <c r="O15" s="323" t="n">
        <f aca="false">N15-J15</f>
        <v>67902.6837954487</v>
      </c>
      <c r="Q15" s="65" t="n">
        <v>0.2</v>
      </c>
      <c r="R15" s="323" t="n">
        <f aca="false">IF(Q15&lt;0.2,(J15+(J15*Q15*(G15/365)))*(1+Q15)^($AF$18-F15),J15*2)</f>
        <v>246486.486486486</v>
      </c>
      <c r="S15" s="323" t="n">
        <f aca="false">R15-J15</f>
        <v>123243.243243243</v>
      </c>
      <c r="T15" s="323" t="n">
        <f aca="false">Y15+MAX(N15,J15*2)-J15</f>
        <v>123243.243243243</v>
      </c>
      <c r="U15" s="323" t="n">
        <f aca="false">T15-Y15</f>
        <v>123243.243243243</v>
      </c>
      <c r="V15" s="323" t="n">
        <f aca="false">Y15+MAX(L15,J15*2)-J15</f>
        <v>123243.243243243</v>
      </c>
      <c r="W15" s="323" t="n">
        <f aca="false">V15-Y15</f>
        <v>123243.243243243</v>
      </c>
      <c r="X15" s="323" t="n">
        <v>0</v>
      </c>
      <c r="Y15" s="323" t="n">
        <f aca="false">J15*X15</f>
        <v>0</v>
      </c>
      <c r="Z15" s="323" t="n">
        <f aca="false">IF(K15=$AB$41,$AH$62*J15*MAX(0,G15/365+YEAR($AB$44)-F15),J15*((1+$AH$63*G15/365)*(1+$AH$63)^(YEAR($AB$44)-F15)-1))</f>
        <v>34389.0142852336</v>
      </c>
      <c r="AE15" s="133" t="s">
        <v>2487</v>
      </c>
      <c r="AF15" s="0" t="n">
        <v>28</v>
      </c>
    </row>
    <row r="16" customFormat="false" ht="15" hidden="false" customHeight="false" outlineLevel="0" collapsed="false">
      <c r="B16" s="0" t="s">
        <v>2405</v>
      </c>
      <c r="C16" s="322" t="n">
        <f aca="false">D14</f>
        <v>46431</v>
      </c>
      <c r="D16" s="322" t="n">
        <f aca="false">C16+365+180</f>
        <v>46976</v>
      </c>
      <c r="E16" s="322" t="n">
        <f aca="false">D16</f>
        <v>46976</v>
      </c>
      <c r="F16" s="153" t="n">
        <f aca="false">YEAR(E16)</f>
        <v>2028</v>
      </c>
      <c r="G16" s="153" t="n">
        <f aca="false">DATE(YEAR(E16),12,31)-E16+1</f>
        <v>143</v>
      </c>
      <c r="H16" s="133" t="s">
        <v>2488</v>
      </c>
      <c r="I16" s="323" t="n">
        <f aca="false">72000000/280*AF7*1.15</f>
        <v>59142857.1428571</v>
      </c>
      <c r="J16" s="324" t="n">
        <f aca="false">I16/$AF$6</f>
        <v>159845.55984556</v>
      </c>
      <c r="K16" s="65" t="n">
        <v>0.2</v>
      </c>
      <c r="L16" s="323" t="n">
        <f aca="false">(J16+(J16*K16*(G16/365)))*(1+K16)^($AF$18-F16)</f>
        <v>206844.533770561</v>
      </c>
      <c r="M16" s="323" t="n">
        <f aca="false">L16-J16</f>
        <v>46998.9739250013</v>
      </c>
      <c r="N16" s="323" t="n">
        <f aca="false">((J16+(J16*K16*(G16/365)))*(1+K16)^($AF$18-F16-1))*(1+K16*(180/365))</f>
        <v>189371.365392683</v>
      </c>
      <c r="O16" s="323" t="n">
        <f aca="false">N16-J16</f>
        <v>29525.8055471228</v>
      </c>
      <c r="Q16" s="65" t="n">
        <v>0.2</v>
      </c>
      <c r="R16" s="323" t="n">
        <f aca="false">IF(Q16&lt;0.2,(J16+(J16*Q16*(G16/365)))*(1+Q16)^($AF$18-F16),J16*2)</f>
        <v>319691.11969112</v>
      </c>
      <c r="S16" s="323" t="n">
        <f aca="false">R16-J16</f>
        <v>159845.55984556</v>
      </c>
      <c r="T16" s="323" t="n">
        <f aca="false">IF(K16&lt;0.2,N16*IF(J16=0,0,Y16/J16),MAX(N16*IF(J16=0,0,Y16/J16),Y16*2))</f>
        <v>319691.11969112</v>
      </c>
      <c r="U16" s="323" t="n">
        <f aca="false">T16-Y16</f>
        <v>159845.55984556</v>
      </c>
      <c r="V16" s="323" t="n">
        <f aca="false">IF(K16&lt;0.2,L16*IF(J16=0,0,Y16/J16),MAX(L16*IF(J16=0,0,Y16/J16),Y16*2))</f>
        <v>319691.11969112</v>
      </c>
      <c r="W16" s="323" t="n">
        <f aca="false">V16-Y16</f>
        <v>159845.55984556</v>
      </c>
      <c r="X16" s="323" t="n">
        <v>1</v>
      </c>
      <c r="Y16" s="323" t="n">
        <f aca="false">J16*X16</f>
        <v>159845.55984556</v>
      </c>
      <c r="Z16" s="323" t="n">
        <f aca="false">IF(K16=$AB$41,$AH$62*Y16*MAX(0,G16/365+YEAR($AB$44)-F16),Y16*((1+$AH$63*G16/365)*(1+$AH$63)^(YEAR($AB$44)-F16)-1))</f>
        <v>20295.8767038663</v>
      </c>
      <c r="AE16" s="133" t="s">
        <v>2489</v>
      </c>
      <c r="AF16" s="0" t="n">
        <v>4</v>
      </c>
    </row>
    <row r="17" customFormat="false" ht="15" hidden="false" customHeight="false" outlineLevel="0" collapsed="false">
      <c r="C17" s="322" t="n">
        <f aca="false">D16</f>
        <v>46976</v>
      </c>
      <c r="D17" s="322" t="n">
        <f aca="false">C17</f>
        <v>46976</v>
      </c>
      <c r="E17" s="322" t="n">
        <f aca="false">C17</f>
        <v>46976</v>
      </c>
      <c r="F17" s="153" t="n">
        <f aca="false">YEAR(E17)</f>
        <v>2028</v>
      </c>
      <c r="G17" s="153" t="n">
        <f aca="false">DATE(YEAR(E17),12,31)-E17+1</f>
        <v>143</v>
      </c>
      <c r="H17" s="133" t="s">
        <v>318</v>
      </c>
      <c r="I17" s="323" t="n">
        <f aca="false">187636*AF16</f>
        <v>750544</v>
      </c>
      <c r="J17" s="324" t="n">
        <f aca="false">I17/$AF$6</f>
        <v>2028.4972972973</v>
      </c>
      <c r="K17" s="65" t="n">
        <v>0.2</v>
      </c>
      <c r="L17" s="323" t="n">
        <f aca="false">(J17+(J17*K17*(G17/365)))*(1+K17)^($AF$18-F17)</f>
        <v>2624.93107797112</v>
      </c>
      <c r="M17" s="323" t="n">
        <f aca="false">L17-J17</f>
        <v>596.433780673825</v>
      </c>
      <c r="N17" s="323" t="n">
        <f aca="false">((J17+(J17*K17*(G17/365)))*(1+K17)^($AF$18-F17-1))*(1+K17*(180/365))</f>
        <v>2403.19032480918</v>
      </c>
      <c r="O17" s="323" t="n">
        <f aca="false">N17-J17</f>
        <v>374.693027511881</v>
      </c>
      <c r="Q17" s="65" t="n">
        <v>0.2</v>
      </c>
      <c r="R17" s="323" t="n">
        <f aca="false">IF(Q17&lt;0.2,(J17+(J17*Q17*(G17/365)))*(1+Q17)^($AF$18-F17),J17*2)</f>
        <v>4056.99459459459</v>
      </c>
      <c r="S17" s="323" t="n">
        <f aca="false">R17-J17</f>
        <v>2028.4972972973</v>
      </c>
      <c r="T17" s="323" t="n">
        <f aca="false">IF(K17&lt;0.2,N17*IF(J17=0,0,Y17/J17),MAX(N17*IF(J17=0,0,Y17/J17),Y17*2))</f>
        <v>4056.99459459459</v>
      </c>
      <c r="U17" s="323" t="n">
        <f aca="false">T17-Y17</f>
        <v>2028.4972972973</v>
      </c>
      <c r="V17" s="323" t="n">
        <f aca="false">IF(K17&lt;0.2,L17*IF(J17=0,0,Y17/J17),MAX(L17*IF(J17=0,0,Y17/J17),Y17*2))</f>
        <v>4056.99459459459</v>
      </c>
      <c r="W17" s="323" t="n">
        <f aca="false">V17-Y17</f>
        <v>2028.4972972973</v>
      </c>
      <c r="X17" s="323" t="n">
        <v>1</v>
      </c>
      <c r="Y17" s="323" t="n">
        <f aca="false">J17*X17</f>
        <v>2028.4972972973</v>
      </c>
      <c r="Z17" s="323" t="n">
        <f aca="false">IF(K17=$AB$41,$AH$62*Y17*MAX(0,G17/365+YEAR($AB$44)-F17),Y17*((1+$AH$63*G17/365)*(1+$AH$63)^(YEAR($AB$44)-F17)-1))</f>
        <v>257.561930902865</v>
      </c>
      <c r="AE17" s="133" t="s">
        <v>2490</v>
      </c>
      <c r="AF17" s="0" t="n">
        <v>10</v>
      </c>
    </row>
    <row r="18" customFormat="false" ht="15" hidden="false" customHeight="false" outlineLevel="0" collapsed="false">
      <c r="B18" s="0" t="s">
        <v>2491</v>
      </c>
      <c r="C18" s="322" t="n">
        <f aca="false">E17+90+60</f>
        <v>47126</v>
      </c>
      <c r="D18" s="322" t="n">
        <f aca="false">C18</f>
        <v>47126</v>
      </c>
      <c r="E18" s="322" t="n">
        <f aca="false">C18</f>
        <v>47126</v>
      </c>
      <c r="F18" s="153" t="n">
        <f aca="false">YEAR(E18)</f>
        <v>2029</v>
      </c>
      <c r="G18" s="153" t="n">
        <f aca="false">DATE(YEAR(E18),12,31)-E18+1</f>
        <v>358</v>
      </c>
      <c r="H18" s="133" t="s">
        <v>2492</v>
      </c>
      <c r="I18" s="323" t="n">
        <f aca="false">(73071306*AF7)-I8</f>
        <v>13714261200</v>
      </c>
      <c r="J18" s="324" t="n">
        <f aca="false">I18/$AF$6</f>
        <v>37065570.8108108</v>
      </c>
      <c r="K18" s="65" t="n">
        <v>0.12</v>
      </c>
      <c r="L18" s="323" t="n">
        <f aca="false">(J18+(J18*K18*(G18/365)))*(1+K18)^($AF$18-F18)</f>
        <v>41428137.7204887</v>
      </c>
      <c r="M18" s="323" t="n">
        <f aca="false">L18-J18</f>
        <v>4362566.9096779</v>
      </c>
      <c r="N18" s="323" t="n">
        <f aca="false">((J18+(J18*K18*(G18/365)))*(1+K18)^($AF$18-F18-1))*(1+K18*(180/365))</f>
        <v>39178370.9460395</v>
      </c>
      <c r="O18" s="323" t="n">
        <f aca="false">N18-J18</f>
        <v>2112800.13522866</v>
      </c>
      <c r="P18" s="133" t="s">
        <v>2493</v>
      </c>
      <c r="Q18" s="65" t="n">
        <v>0.2</v>
      </c>
      <c r="R18" s="323" t="n">
        <f aca="false">IF(Q18&lt;0.2,(J18+(J18*Q18*(G18/365)))*(1+Q18)^($AF$18-F18),J18*2)</f>
        <v>74131141.6216216</v>
      </c>
      <c r="S18" s="323" t="n">
        <f aca="false">R18-J18</f>
        <v>37065570.8108108</v>
      </c>
      <c r="T18" s="323" t="n">
        <f aca="false">IF(K18&lt;0.2,N18*IF(J18=0,0,Y18/J18),MAX(N18*IF(J18=0,0,Y18/J18),Y18*2))</f>
        <v>39178370.9460395</v>
      </c>
      <c r="U18" s="323" t="n">
        <f aca="false">T18-Y18</f>
        <v>2112800.13522866</v>
      </c>
      <c r="V18" s="323" t="n">
        <f aca="false">IF(K18&lt;0.2,L18*IF(J18=0,0,Y18/J18),MAX(L18*IF(J18=0,0,Y18/J18),Y18*2))</f>
        <v>41428137.7204887</v>
      </c>
      <c r="W18" s="323" t="n">
        <f aca="false">V18-Y18</f>
        <v>4362566.9096779</v>
      </c>
      <c r="X18" s="323" t="n">
        <v>1</v>
      </c>
      <c r="Y18" s="323" t="n">
        <f aca="false">J18*X18</f>
        <v>37065570.8108108</v>
      </c>
      <c r="Z18" s="323" t="n">
        <f aca="false">IF(K18=$AB$41,$AH$62*Y18*MAX(0,G18/365+YEAR($AB$44)-F18),Y18*((1+$AH$63*G18/365)*(1+$AH$63)^(YEAR($AB$44)-F18)-1))</f>
        <v>3235570.45801111</v>
      </c>
      <c r="AE18" s="133" t="s">
        <v>2494</v>
      </c>
      <c r="AF18" s="0" t="n">
        <v>2029</v>
      </c>
    </row>
    <row r="19" customFormat="false" ht="15" hidden="false" customHeight="false" outlineLevel="0" collapsed="false">
      <c r="C19" s="322" t="n">
        <f aca="false">C18</f>
        <v>47126</v>
      </c>
      <c r="D19" s="322" t="n">
        <f aca="false">D18</f>
        <v>47126</v>
      </c>
      <c r="E19" s="322" t="n">
        <f aca="false">E18</f>
        <v>47126</v>
      </c>
      <c r="F19" s="153" t="n">
        <f aca="false">YEAR(E19)</f>
        <v>2029</v>
      </c>
      <c r="G19" s="153" t="n">
        <f aca="false">DATE(YEAR(E19),12,31)-E19+1</f>
        <v>358</v>
      </c>
      <c r="H19" s="133" t="s">
        <v>2495</v>
      </c>
      <c r="I19" s="323" t="n">
        <f aca="false">508345804</f>
        <v>508345804</v>
      </c>
      <c r="J19" s="324" t="n">
        <f aca="false">I19/$AF$6</f>
        <v>1373907.57837838</v>
      </c>
      <c r="K19" s="65" t="n">
        <v>0.12</v>
      </c>
      <c r="L19" s="323" t="n">
        <f aca="false">(J19+(J19*K19*(G19/365)))*(1+K19)^($AF$18-F19)</f>
        <v>1535614.61828834</v>
      </c>
      <c r="M19" s="323" t="n">
        <f aca="false">L19-J19</f>
        <v>161707.039909959</v>
      </c>
      <c r="N19" s="323" t="n">
        <f aca="false">((J19+(J19*K19*(G19/365)))*(1+K19)^($AF$18-F19-1))*(1+K19*(180/365))</f>
        <v>1452222.63070027</v>
      </c>
      <c r="O19" s="323" t="n">
        <f aca="false">N19-J19</f>
        <v>78315.0523218941</v>
      </c>
      <c r="P19" s="133" t="s">
        <v>2496</v>
      </c>
      <c r="Q19" s="65" t="n">
        <v>0.2</v>
      </c>
      <c r="R19" s="323" t="n">
        <f aca="false">IF(Q19&lt;0.2,(J19+(J19*Q19*(G19/365)))*(1+Q19)^($AF$18-F19),J19*2)</f>
        <v>2747815.15675676</v>
      </c>
      <c r="S19" s="323" t="n">
        <f aca="false">R19-J19</f>
        <v>1373907.57837838</v>
      </c>
      <c r="T19" s="323" t="n">
        <f aca="false">IF(K19&lt;0.2,N19*IF(J19=0,0,Y19/J19),MAX(N19*IF(J19=0,0,Y19/J19),Y19*2))</f>
        <v>1452222.63070027</v>
      </c>
      <c r="U19" s="323" t="n">
        <f aca="false">T19-Y19</f>
        <v>78315.0523218941</v>
      </c>
      <c r="V19" s="323" t="n">
        <f aca="false">IF(K19&lt;0.2,L19*IF(J19=0,0,Y19/J19),MAX(L19*IF(J19=0,0,Y19/J19),Y19*2))</f>
        <v>1535614.61828834</v>
      </c>
      <c r="W19" s="323" t="n">
        <f aca="false">V19-Y19</f>
        <v>161707.039909959</v>
      </c>
      <c r="X19" s="323" t="n">
        <v>1</v>
      </c>
      <c r="Y19" s="323" t="n">
        <f aca="false">J19*X19</f>
        <v>1373907.57837838</v>
      </c>
      <c r="Z19" s="323" t="n">
        <f aca="false">IF(K19=$AB$41,$AH$62*Y19*MAX(0,G19/365+YEAR($AB$44)-F19),Y19*((1+$AH$63*G19/365)*(1+$AH$63)^(YEAR($AB$44)-F19)-1))</f>
        <v>119932.721266553</v>
      </c>
    </row>
    <row r="20" customFormat="false" ht="15" hidden="false" customHeight="false" outlineLevel="0" collapsed="false">
      <c r="B20" s="0" t="s">
        <v>2406</v>
      </c>
      <c r="C20" s="322" t="n">
        <v>46235</v>
      </c>
      <c r="D20" s="322" t="n">
        <v>46539</v>
      </c>
      <c r="E20" s="322" t="n">
        <v>46296</v>
      </c>
      <c r="F20" s="153" t="n">
        <f aca="false">YEAR(E20)</f>
        <v>2026</v>
      </c>
      <c r="G20" s="153" t="n">
        <f aca="false">DATE(YEAR(E20),12,31)-E20+1</f>
        <v>92</v>
      </c>
      <c r="H20" s="133" t="s">
        <v>2497</v>
      </c>
      <c r="I20" s="323" t="n">
        <f aca="false">25*(1200000+180000)+3000*AF14*AF6</f>
        <v>65580000</v>
      </c>
      <c r="J20" s="324" t="n">
        <f aca="false">I20/AF6</f>
        <v>177243.243243243</v>
      </c>
      <c r="K20" s="65" t="n">
        <v>0.2</v>
      </c>
      <c r="L20" s="323" t="n">
        <f aca="false">(J20+(J20*K20*(G20/365)))*(1+K20)^($AF$18-F20)</f>
        <v>321716.00752314</v>
      </c>
      <c r="M20" s="323" t="n">
        <f aca="false">L20-J20</f>
        <v>144472.764279896</v>
      </c>
      <c r="N20" s="323" t="n">
        <f aca="false">((J20+(J20*K20*(G20/365)))*(1+K20)^($AF$18-F20-1))*(1+K20*(180/365))</f>
        <v>294539.084513194</v>
      </c>
      <c r="O20" s="323" t="n">
        <f aca="false">N20-J20</f>
        <v>117295.841269951</v>
      </c>
      <c r="P20" s="133" t="s">
        <v>2498</v>
      </c>
      <c r="Q20" s="65" t="n">
        <v>0.2</v>
      </c>
      <c r="R20" s="323" t="n">
        <f aca="false">IF(Q20&lt;0.2,(J20+(J20*Q20*(G20/365)))*(1+Q20)^($AF$18-F20),J20*2)</f>
        <v>354486.486486487</v>
      </c>
      <c r="S20" s="323" t="n">
        <f aca="false">R20-J20</f>
        <v>177243.243243243</v>
      </c>
      <c r="T20" s="323" t="n">
        <f aca="false">IF(K20&lt;0.2,N20*IF(J20=0,0,Y20/J20),MAX(N20*IF(J20=0,0,Y20/J20),Y20*2))</f>
        <v>354486.486486487</v>
      </c>
      <c r="U20" s="323" t="n">
        <f aca="false">T20-Y20</f>
        <v>177243.243243243</v>
      </c>
      <c r="V20" s="323" t="n">
        <f aca="false">IF(K20&lt;0.2,L20*IF(J20=0,0,Y20/J20),MAX(L20*IF(J20=0,0,Y20/J20),Y20*2))</f>
        <v>354486.486486487</v>
      </c>
      <c r="W20" s="323" t="n">
        <f aca="false">V20-Y20</f>
        <v>177243.243243243</v>
      </c>
      <c r="X20" s="323" t="n">
        <v>1</v>
      </c>
      <c r="Y20" s="323" t="n">
        <f aca="false">J20*X20</f>
        <v>177243.243243243</v>
      </c>
      <c r="Z20" s="323" t="n">
        <f aca="false">IF(K20=$AB$41,$AH$62*Y20*MAX(0,G20/365+YEAR($AB$44)-F20),Y20*((1+$AH$63*G20/365)*(1+$AH$63)^(YEAR($AB$44)-F20)-1))</f>
        <v>56795.702695794</v>
      </c>
    </row>
    <row r="21" customFormat="false" ht="15" hidden="false" customHeight="false" outlineLevel="0" collapsed="false">
      <c r="B21" s="0" t="s">
        <v>2408</v>
      </c>
      <c r="C21" s="322" t="n">
        <v>46447</v>
      </c>
      <c r="D21" s="322" t="n">
        <f aca="false">C21+365</f>
        <v>46812</v>
      </c>
      <c r="E21" s="322" t="n">
        <f aca="false">C21</f>
        <v>46447</v>
      </c>
      <c r="F21" s="153" t="n">
        <f aca="false">YEAR(E21)</f>
        <v>2027</v>
      </c>
      <c r="G21" s="153" t="n">
        <f aca="false">DATE(YEAR(E21),12,31)-E21+1</f>
        <v>306</v>
      </c>
      <c r="H21" s="133" t="s">
        <v>2499</v>
      </c>
      <c r="I21" s="323" t="n">
        <f aca="false">J21*AF6</f>
        <v>147260000</v>
      </c>
      <c r="J21" s="324" t="n">
        <f aca="false">199000*2</f>
        <v>398000</v>
      </c>
      <c r="K21" s="65" t="n">
        <v>0.2</v>
      </c>
      <c r="L21" s="323" t="n">
        <f aca="false">(J21+(J21*K21*(G21/365)))*(1+K21)^($AF$18-F21)</f>
        <v>669215.736986301</v>
      </c>
      <c r="M21" s="323" t="n">
        <f aca="false">L21-J21</f>
        <v>271215.736986301</v>
      </c>
      <c r="N21" s="323" t="n">
        <f aca="false">((J21+(J21*K21*(G21/365)))*(1+K21)^($AF$18-F21-1))*(1+K21*(180/365))</f>
        <v>612683.813998874</v>
      </c>
      <c r="O21" s="323" t="n">
        <f aca="false">N21-J21</f>
        <v>214683.813998874</v>
      </c>
      <c r="P21" s="133" t="s">
        <v>2500</v>
      </c>
      <c r="Q21" s="65" t="n">
        <v>0.2</v>
      </c>
      <c r="R21" s="323" t="n">
        <f aca="false">IF(Q21&lt;0.2,(J21+(J21*Q21*(G21/365)))*(1+Q21)^($AF$18-F21),J21*2)</f>
        <v>796000</v>
      </c>
      <c r="S21" s="323" t="n">
        <f aca="false">R21-J21</f>
        <v>398000</v>
      </c>
      <c r="T21" s="323" t="n">
        <f aca="false">IF(K21&lt;0.2,N21*IF(J21=0,0,Y21/J21),MAX(N21*IF(J21=0,0,Y21/J21),Y21*2))</f>
        <v>796000</v>
      </c>
      <c r="U21" s="323" t="n">
        <f aca="false">T21-Y21</f>
        <v>398000</v>
      </c>
      <c r="V21" s="323" t="n">
        <f aca="false">IF(K21&lt;0.2,L21*IF(J21=0,0,Y21/J21),MAX(L21*IF(J21=0,0,Y21/J21),Y21*2))</f>
        <v>796000</v>
      </c>
      <c r="W21" s="323" t="n">
        <f aca="false">V21-Y21</f>
        <v>398000</v>
      </c>
      <c r="X21" s="323" t="n">
        <v>1</v>
      </c>
      <c r="Y21" s="323" t="n">
        <f aca="false">J21*X21</f>
        <v>398000</v>
      </c>
      <c r="Z21" s="323" t="n">
        <f aca="false">IF(K21=$AB$41,$AH$62*Y21*MAX(0,G21/365+YEAR($AB$44)-F21),Y21*((1+$AH$63*G21/365)*(1+$AH$63)^(YEAR($AB$44)-F21)-1))</f>
        <v>109213.966933074</v>
      </c>
    </row>
    <row r="22" customFormat="false" ht="15" hidden="false" customHeight="false" outlineLevel="0" collapsed="false">
      <c r="C22" s="322" t="n">
        <v>46388</v>
      </c>
      <c r="D22" s="322" t="n">
        <f aca="false">C22+90</f>
        <v>46478</v>
      </c>
      <c r="E22" s="322" t="n">
        <f aca="false">C22</f>
        <v>46388</v>
      </c>
      <c r="F22" s="153" t="n">
        <f aca="false">YEAR(E22)</f>
        <v>2027</v>
      </c>
      <c r="G22" s="153" t="n">
        <f aca="false">DATE(YEAR(E22),12,31)-E22+1</f>
        <v>365</v>
      </c>
      <c r="H22" s="133" t="s">
        <v>2488</v>
      </c>
      <c r="I22" s="323" t="n">
        <f aca="false">1500000*2*1.2</f>
        <v>3600000</v>
      </c>
      <c r="J22" s="324" t="n">
        <f aca="false">I22/AF6</f>
        <v>9729.72972972973</v>
      </c>
      <c r="K22" s="65" t="n">
        <v>0.2</v>
      </c>
      <c r="L22" s="323" t="n">
        <f aca="false">(J22+(J22*K22*(G22/365)))*(1+K22)^($AF$18-F22)</f>
        <v>16812.972972973</v>
      </c>
      <c r="M22" s="323" t="n">
        <f aca="false">L22-J22</f>
        <v>7083.24324324324</v>
      </c>
      <c r="N22" s="323" t="n">
        <f aca="false">((J22+(J22*K22*(G22/365)))*(1+K22)^($AF$18-F22-1))*(1+K22*(180/365))</f>
        <v>15392.6990003702</v>
      </c>
      <c r="O22" s="323" t="n">
        <f aca="false">N22-J22</f>
        <v>5662.9692706405</v>
      </c>
      <c r="P22" s="133" t="s">
        <v>2500</v>
      </c>
      <c r="Q22" s="65" t="n">
        <v>0.2</v>
      </c>
      <c r="R22" s="323" t="n">
        <f aca="false">IF(Q22&lt;0.2,(J22+(J22*Q22*(G22/365)))*(1+Q22)^($AF$18-F22),J22*2)</f>
        <v>19459.4594594595</v>
      </c>
      <c r="S22" s="323" t="n">
        <f aca="false">R22-J22</f>
        <v>9729.72972972973</v>
      </c>
      <c r="T22" s="323" t="n">
        <f aca="false">IF(K22&lt;0.2,N22*IF(J22=0,0,Y22/J22),MAX(N22*IF(J22=0,0,Y22/J22),Y22*2))</f>
        <v>19459.4594594595</v>
      </c>
      <c r="U22" s="323" t="n">
        <f aca="false">T22-Y22</f>
        <v>9729.72972972973</v>
      </c>
      <c r="V22" s="323" t="n">
        <f aca="false">IF(K22&lt;0.2,L22*IF(J22=0,0,Y22/J22),MAX(L22*IF(J22=0,0,Y22/J22),Y22*2))</f>
        <v>19459.4594594595</v>
      </c>
      <c r="W22" s="323" t="n">
        <f aca="false">V22-Y22</f>
        <v>9729.72972972973</v>
      </c>
      <c r="X22" s="323" t="n">
        <v>1</v>
      </c>
      <c r="Y22" s="323" t="n">
        <f aca="false">J22*X22</f>
        <v>9729.72972972973</v>
      </c>
      <c r="Z22" s="323" t="n">
        <f aca="false">IF(K22=$AB$41,$AH$62*Y22*MAX(0,G22/365+YEAR($AB$44)-F22),Y22*((1+$AH$63*G22/365)*(1+$AH$63)^(YEAR($AB$44)-F22)-1))</f>
        <v>2835.90456324324</v>
      </c>
    </row>
    <row r="23" customFormat="false" ht="15" hidden="false" customHeight="false" outlineLevel="0" collapsed="false">
      <c r="C23" s="322" t="n">
        <f aca="false">D21</f>
        <v>46812</v>
      </c>
      <c r="D23" s="322" t="n">
        <f aca="false">C23+120</f>
        <v>46932</v>
      </c>
      <c r="E23" s="322" t="n">
        <f aca="false">D23</f>
        <v>46932</v>
      </c>
      <c r="F23" s="153" t="n">
        <f aca="false">YEAR(E23)</f>
        <v>2028</v>
      </c>
      <c r="G23" s="153" t="n">
        <f aca="false">DATE(YEAR(E23),12,31)-E23+1</f>
        <v>187</v>
      </c>
      <c r="H23" s="133" t="s">
        <v>2501</v>
      </c>
      <c r="I23" s="323" t="n">
        <f aca="false">J23*AF6</f>
        <v>1665000</v>
      </c>
      <c r="J23" s="324" t="n">
        <v>4500</v>
      </c>
      <c r="K23" s="65" t="n">
        <v>0.2</v>
      </c>
      <c r="L23" s="323" t="n">
        <f aca="false">(J23+(J23*K23*(G23/365)))*(1+K23)^($AF$18-F23)</f>
        <v>5953.31506849315</v>
      </c>
      <c r="M23" s="323" t="n">
        <f aca="false">L23-J23</f>
        <v>1453.31506849315</v>
      </c>
      <c r="N23" s="323" t="n">
        <f aca="false">((J23+(J23*K23*(G23/365)))*(1+K23)^($AF$18-F23-1))*(1+K23*(180/365))</f>
        <v>5450.40945768437</v>
      </c>
      <c r="O23" s="323" t="n">
        <f aca="false">N23-J23</f>
        <v>950.409457684369</v>
      </c>
      <c r="Q23" s="65" t="n">
        <v>0.2</v>
      </c>
      <c r="R23" s="323" t="n">
        <f aca="false">IF(Q23&lt;0.2,(J23+(J23*Q23*(G23/365)))*(1+Q23)^($AF$18-F23),J23*2)</f>
        <v>9000</v>
      </c>
      <c r="S23" s="323" t="n">
        <f aca="false">R23-J23</f>
        <v>4500</v>
      </c>
      <c r="T23" s="323" t="n">
        <f aca="false">IF(K23&lt;0.2,N23*IF(J23=0,0,Y23/J23),MAX(N23*IF(J23=0,0,Y23/J23),Y23*2))</f>
        <v>9000</v>
      </c>
      <c r="U23" s="323" t="n">
        <f aca="false">T23-Y23</f>
        <v>4500</v>
      </c>
      <c r="V23" s="323" t="n">
        <f aca="false">IF(K23&lt;0.2,L23*IF(J23=0,0,Y23/J23),MAX(L23*IF(J23=0,0,Y23/J23),Y23*2))</f>
        <v>9000</v>
      </c>
      <c r="W23" s="323" t="n">
        <f aca="false">V23-Y23</f>
        <v>4500</v>
      </c>
      <c r="X23" s="323" t="n">
        <v>1</v>
      </c>
      <c r="Y23" s="323" t="n">
        <f aca="false">J23*X23</f>
        <v>4500</v>
      </c>
      <c r="Z23" s="323" t="n">
        <f aca="false">IF(K23=$AB$41,$AH$62*Y23*MAX(0,G23/365+YEAR($AB$44)-F23),Y23*((1+$AH$63*G23/365)*(1+$AH$63)^(YEAR($AB$44)-F23)-1))</f>
        <v>623.949373972603</v>
      </c>
    </row>
    <row r="24" customFormat="false" ht="15" hidden="false" customHeight="false" outlineLevel="0" collapsed="false">
      <c r="B24" s="0" t="s">
        <v>2410</v>
      </c>
      <c r="C24" s="322" t="n">
        <f aca="false">E7+180</f>
        <v>46566</v>
      </c>
      <c r="D24" s="322" t="n">
        <f aca="false">C24+180</f>
        <v>46746</v>
      </c>
      <c r="E24" s="322" t="n">
        <f aca="false">D24</f>
        <v>46746</v>
      </c>
      <c r="F24" s="153" t="n">
        <f aca="false">YEAR(E24)</f>
        <v>2027</v>
      </c>
      <c r="G24" s="153" t="n">
        <f aca="false">DATE(YEAR(E24),12,31)-E24+1</f>
        <v>7</v>
      </c>
      <c r="H24" s="133" t="s">
        <v>318</v>
      </c>
      <c r="I24" s="323" t="n">
        <f aca="false">30000*(AF15+AF16)</f>
        <v>960000</v>
      </c>
      <c r="J24" s="324" t="n">
        <f aca="false">I24/$AF$6</f>
        <v>2594.59459459459</v>
      </c>
      <c r="K24" s="65" t="n">
        <v>0.2</v>
      </c>
      <c r="L24" s="323" t="n">
        <f aca="false">(J24+(J24*K24*(G24/365)))*(1+K24)^($AF$18-F24)</f>
        <v>3750.54690855239</v>
      </c>
      <c r="M24" s="323" t="n">
        <f aca="false">L24-J24</f>
        <v>1155.95231395779</v>
      </c>
      <c r="N24" s="323" t="n">
        <f aca="false">((J24+(J24*K24*(G24/365)))*(1+K24)^($AF$18-F24-1))*(1+K24*(180/365))</f>
        <v>3433.71988659705</v>
      </c>
      <c r="O24" s="323" t="n">
        <f aca="false">N24-J24</f>
        <v>839.125292002454</v>
      </c>
      <c r="Q24" s="65" t="n">
        <v>0.2</v>
      </c>
      <c r="R24" s="323" t="n">
        <f aca="false">IF(Q24&lt;0.2,(J24+(J24*Q24*(G24/365)))*(1+Q24)^($AF$18-F24),J24*2)</f>
        <v>5189.18918918919</v>
      </c>
      <c r="S24" s="323" t="n">
        <f aca="false">R24-J24</f>
        <v>2594.59459459459</v>
      </c>
      <c r="T24" s="323" t="n">
        <f aca="false">IF(K24&lt;0.2,N24*IF(J24=0,0,Y24/J24),MAX(N24*IF(J24=0,0,Y24/J24),Y24*2))</f>
        <v>5189.18918918919</v>
      </c>
      <c r="U24" s="323" t="n">
        <f aca="false">T24-Y24</f>
        <v>2594.59459459459</v>
      </c>
      <c r="V24" s="323" t="n">
        <f aca="false">IF(K24&lt;0.2,L24*IF(J24=0,0,Y24/J24),MAX(L24*IF(J24=0,0,Y24/J24),Y24*2))</f>
        <v>5189.18918918919</v>
      </c>
      <c r="W24" s="323" t="n">
        <f aca="false">V24-Y24</f>
        <v>2594.59459459459</v>
      </c>
      <c r="X24" s="323" t="n">
        <v>1</v>
      </c>
      <c r="Y24" s="323" t="n">
        <f aca="false">J24*X24</f>
        <v>2594.59459459459</v>
      </c>
      <c r="Z24" s="323" t="n">
        <f aca="false">IF(K24=$AB$41,$AH$62*Y24*MAX(0,G24/365+YEAR($AB$44)-F24),Y24*((1+$AH$63*G24/365)*(1+$AH$63)^(YEAR($AB$44)-F24)-1))</f>
        <v>487.641570023547</v>
      </c>
    </row>
    <row r="25" customFormat="false" ht="15" hidden="false" customHeight="false" outlineLevel="0" collapsed="false">
      <c r="C25" s="322" t="n">
        <f aca="false">C24</f>
        <v>46566</v>
      </c>
      <c r="D25" s="322" t="n">
        <f aca="false">D24</f>
        <v>46746</v>
      </c>
      <c r="E25" s="322" t="n">
        <f aca="false">C25+30</f>
        <v>46596</v>
      </c>
      <c r="F25" s="153" t="n">
        <f aca="false">YEAR(E25)</f>
        <v>2027</v>
      </c>
      <c r="G25" s="153" t="n">
        <f aca="false">DATE(YEAR(E25),12,31)-E25+1</f>
        <v>157</v>
      </c>
      <c r="H25" s="133" t="s">
        <v>324</v>
      </c>
      <c r="I25" s="323" t="n">
        <f aca="false">250000*(AF15+AF16)</f>
        <v>8000000</v>
      </c>
      <c r="J25" s="324" t="n">
        <f aca="false">I25/$AF$6</f>
        <v>21621.6216216216</v>
      </c>
      <c r="K25" s="65" t="n">
        <v>0.2</v>
      </c>
      <c r="L25" s="323" t="n">
        <f aca="false">(J25+(J25*K25*(G25/365)))*(1+K25)^($AF$18-F25)</f>
        <v>33813.6097741577</v>
      </c>
      <c r="M25" s="323" t="n">
        <f aca="false">L25-J25</f>
        <v>12191.9881525361</v>
      </c>
      <c r="N25" s="323" t="n">
        <f aca="false">((J25+(J25*K25*(G25/365)))*(1+K25)^($AF$18-F25-1))*(1+K25*(180/365))</f>
        <v>30957.2089484869</v>
      </c>
      <c r="O25" s="323" t="n">
        <f aca="false">N25-J25</f>
        <v>9335.58732686524</v>
      </c>
      <c r="Q25" s="65" t="n">
        <v>0.2</v>
      </c>
      <c r="R25" s="323" t="n">
        <f aca="false">IF(Q25&lt;0.2,(J25+(J25*Q25*(G25/365)))*(1+Q25)^($AF$18-F25),J25*2)</f>
        <v>43243.2432432432</v>
      </c>
      <c r="S25" s="323" t="n">
        <f aca="false">R25-J25</f>
        <v>21621.6216216216</v>
      </c>
      <c r="T25" s="323" t="n">
        <f aca="false">IF(K25&lt;0.2,N25*IF(J25=0,0,Y25/J25),MAX(N25*IF(J25=0,0,Y25/J25),Y25*2))</f>
        <v>43243.2432432432</v>
      </c>
      <c r="U25" s="323" t="n">
        <f aca="false">T25-Y25</f>
        <v>21621.6216216216</v>
      </c>
      <c r="V25" s="323" t="n">
        <f aca="false">IF(K25&lt;0.2,L25*IF(J25=0,0,Y25/J25),MAX(L25*IF(J25=0,0,Y25/J25),Y25*2))</f>
        <v>43243.2432432432</v>
      </c>
      <c r="W25" s="323" t="n">
        <f aca="false">V25-Y25</f>
        <v>21621.6216216216</v>
      </c>
      <c r="X25" s="323" t="n">
        <v>1</v>
      </c>
      <c r="Y25" s="323" t="n">
        <f aca="false">J25*X25</f>
        <v>21621.6216216216</v>
      </c>
      <c r="Z25" s="323" t="n">
        <f aca="false">IF(K25=$AB$41,$AH$62*Y25*MAX(0,G25/365+YEAR($AB$44)-F25),Y25*((1+$AH$63*G25/365)*(1+$AH$63)^(YEAR($AB$44)-F25)-1))</f>
        <v>5001.52767911144</v>
      </c>
    </row>
    <row r="26" customFormat="false" ht="15" hidden="false" customHeight="false" outlineLevel="0" collapsed="false">
      <c r="B26" s="0" t="s">
        <v>2411</v>
      </c>
      <c r="C26" s="322" t="n">
        <f aca="false">E24</f>
        <v>46746</v>
      </c>
      <c r="D26" s="322" t="n">
        <f aca="false">C26+180</f>
        <v>46926</v>
      </c>
      <c r="E26" s="322" t="n">
        <f aca="false">C26+60</f>
        <v>46806</v>
      </c>
      <c r="F26" s="153" t="n">
        <f aca="false">YEAR(E26)</f>
        <v>2028</v>
      </c>
      <c r="G26" s="153" t="n">
        <f aca="false">DATE(YEAR(E26),12,31)-E26+1</f>
        <v>313</v>
      </c>
      <c r="H26" s="133" t="s">
        <v>2488</v>
      </c>
      <c r="I26" s="323" t="n">
        <f aca="false">5000000*AF17</f>
        <v>50000000</v>
      </c>
      <c r="J26" s="324" t="n">
        <f aca="false">I26/$AF$6</f>
        <v>135135.135135135</v>
      </c>
      <c r="K26" s="65" t="n">
        <v>0.2</v>
      </c>
      <c r="L26" s="323" t="n">
        <f aca="false">(J26+(J26*K26*(G26/365)))*(1+K26)^($AF$18-F26)</f>
        <v>189974.083672714</v>
      </c>
      <c r="M26" s="323" t="n">
        <f aca="false">L26-J26</f>
        <v>54838.9485375787</v>
      </c>
      <c r="N26" s="323" t="n">
        <f aca="false">((J26+(J26*K26*(G26/365)))*(1+K26)^($AF$18-F26-1))*(1+K26*(180/365))</f>
        <v>173926.044641001</v>
      </c>
      <c r="O26" s="323" t="n">
        <f aca="false">N26-J26</f>
        <v>38790.9095058654</v>
      </c>
      <c r="Q26" s="65" t="n">
        <v>0.2</v>
      </c>
      <c r="R26" s="323" t="n">
        <f aca="false">IF(Q26&lt;0.2,(J26+(J26*Q26*(G26/365)))*(1+Q26)^($AF$18-F26),J26*2)</f>
        <v>270270.27027027</v>
      </c>
      <c r="S26" s="323" t="n">
        <f aca="false">R26-J26</f>
        <v>135135.135135135</v>
      </c>
      <c r="T26" s="323" t="n">
        <f aca="false">IF(K26&lt;0.2,N26*IF(J26=0,0,Y26/J26),MAX(N26*IF(J26=0,0,Y26/J26),Y26*2))</f>
        <v>270270.27027027</v>
      </c>
      <c r="U26" s="323" t="n">
        <f aca="false">T26-Y26</f>
        <v>135135.135135135</v>
      </c>
      <c r="V26" s="323" t="n">
        <f aca="false">IF(K26&lt;0.2,L26*IF(J26=0,0,Y26/J26),MAX(L26*IF(J26=0,0,Y26/J26),Y26*2))</f>
        <v>270270.27027027</v>
      </c>
      <c r="W26" s="323" t="n">
        <f aca="false">V26-Y26</f>
        <v>135135.135135135</v>
      </c>
      <c r="X26" s="323" t="n">
        <v>1</v>
      </c>
      <c r="Y26" s="323" t="n">
        <f aca="false">J26*X26</f>
        <v>135135.135135135</v>
      </c>
      <c r="Z26" s="323" t="n">
        <f aca="false">IF(K26=$AB$41,$AH$62*Y26*MAX(0,G26/365+YEAR($AB$44)-F26),Y26*((1+$AH$63*G26/365)*(1+$AH$63)^(YEAR($AB$44)-F26)-1))</f>
        <v>23258.5238800444</v>
      </c>
    </row>
    <row r="27" customFormat="false" ht="15" hidden="false" customHeight="false" outlineLevel="0" collapsed="false">
      <c r="B27" s="0" t="s">
        <v>2412</v>
      </c>
      <c r="C27" s="322" t="n">
        <f aca="false">C26</f>
        <v>46746</v>
      </c>
      <c r="D27" s="322" t="n">
        <f aca="false">D26</f>
        <v>46926</v>
      </c>
      <c r="E27" s="322" t="n">
        <f aca="false">E26</f>
        <v>46806</v>
      </c>
      <c r="F27" s="153" t="n">
        <f aca="false">YEAR(E27)</f>
        <v>2028</v>
      </c>
      <c r="G27" s="153" t="n">
        <f aca="false">DATE(YEAR(E27),12,31)-E27+1</f>
        <v>313</v>
      </c>
      <c r="H27" s="133" t="s">
        <v>2502</v>
      </c>
      <c r="I27" s="323" t="n">
        <f aca="false">3500000*AF17</f>
        <v>35000000</v>
      </c>
      <c r="J27" s="324" t="n">
        <f aca="false">I27/$AF$6</f>
        <v>94594.5945945946</v>
      </c>
      <c r="K27" s="65" t="n">
        <v>0.2</v>
      </c>
      <c r="L27" s="323" t="n">
        <f aca="false">(J27+(J27*K27*(G27/365)))*(1+K27)^($AF$18-F27)</f>
        <v>132981.8585709</v>
      </c>
      <c r="M27" s="323" t="n">
        <f aca="false">L27-J27</f>
        <v>38387.2639763051</v>
      </c>
      <c r="N27" s="323" t="n">
        <f aca="false">((J27+(J27*K27*(G27/365)))*(1+K27)^($AF$18-F27-1))*(1+K27*(180/365))</f>
        <v>121748.2312487</v>
      </c>
      <c r="O27" s="323" t="n">
        <f aca="false">N27-J27</f>
        <v>27153.6366541058</v>
      </c>
      <c r="Q27" s="65" t="n">
        <v>0.2</v>
      </c>
      <c r="R27" s="323" t="n">
        <f aca="false">IF(Q27&lt;0.2,(J27+(J27*Q27*(G27/365)))*(1+Q27)^($AF$18-F27),J27*2)</f>
        <v>189189.189189189</v>
      </c>
      <c r="S27" s="323" t="n">
        <f aca="false">R27-J27</f>
        <v>94594.5945945946</v>
      </c>
      <c r="T27" s="323" t="n">
        <f aca="false">IF(K27&lt;0.2,N27*IF(J27=0,0,Y27/J27),MAX(N27*IF(J27=0,0,Y27/J27),Y27*2))</f>
        <v>189189.189189189</v>
      </c>
      <c r="U27" s="323" t="n">
        <f aca="false">T27-Y27</f>
        <v>94594.5945945946</v>
      </c>
      <c r="V27" s="323" t="n">
        <f aca="false">IF(K27&lt;0.2,L27*IF(J27=0,0,Y27/J27),MAX(L27*IF(J27=0,0,Y27/J27),Y27*2))</f>
        <v>189189.189189189</v>
      </c>
      <c r="W27" s="323" t="n">
        <f aca="false">V27-Y27</f>
        <v>94594.5945945946</v>
      </c>
      <c r="X27" s="323" t="n">
        <v>1</v>
      </c>
      <c r="Y27" s="323" t="n">
        <f aca="false">J27*X27</f>
        <v>94594.5945945946</v>
      </c>
      <c r="Z27" s="323" t="n">
        <f aca="false">IF(K27=$AB$41,$AH$62*Y27*MAX(0,G27/365+YEAR($AB$44)-F27),Y27*((1+$AH$63*G27/365)*(1+$AH$63)^(YEAR($AB$44)-F27)-1))</f>
        <v>16280.9667160311</v>
      </c>
    </row>
    <row r="28" customFormat="false" ht="15" hidden="false" customHeight="false" outlineLevel="0" collapsed="false">
      <c r="B28" s="0" t="s">
        <v>2414</v>
      </c>
      <c r="C28" s="322" t="n">
        <f aca="false">E8</f>
        <v>46386</v>
      </c>
      <c r="D28" s="322" t="n">
        <f aca="false">C28+365</f>
        <v>46751</v>
      </c>
      <c r="E28" s="322" t="n">
        <f aca="false">D28</f>
        <v>46751</v>
      </c>
      <c r="F28" s="153" t="n">
        <f aca="false">YEAR(E28)</f>
        <v>2027</v>
      </c>
      <c r="G28" s="153" t="n">
        <f aca="false">DATE(YEAR(E28),12,31)-E28+1</f>
        <v>2</v>
      </c>
      <c r="H28" s="133" t="s">
        <v>2415</v>
      </c>
      <c r="I28" s="323" t="n">
        <f aca="false">12360000*1.2</f>
        <v>14832000</v>
      </c>
      <c r="J28" s="324" t="n">
        <f aca="false">I28/$AF$6</f>
        <v>40086.4864864865</v>
      </c>
      <c r="K28" s="65" t="n">
        <v>0.2</v>
      </c>
      <c r="L28" s="323" t="n">
        <f aca="false">(J28+(J28*K28*(G28/365)))*(1+K28)^($AF$18-F28)</f>
        <v>57787.8003109959</v>
      </c>
      <c r="M28" s="323" t="n">
        <f aca="false">L28-J28</f>
        <v>17701.3138245094</v>
      </c>
      <c r="N28" s="323" t="n">
        <f aca="false">((J28+(J28*K28*(G28/365)))*(1+K28)^($AF$18-F28-1))*(1+K28*(180/365))</f>
        <v>52906.1824765054</v>
      </c>
      <c r="O28" s="323" t="n">
        <f aca="false">N28-J28</f>
        <v>12819.6959900189</v>
      </c>
      <c r="P28" s="133" t="s">
        <v>2498</v>
      </c>
      <c r="Q28" s="65" t="n">
        <v>0.2</v>
      </c>
      <c r="R28" s="323" t="n">
        <f aca="false">IF(Q28&lt;0.2,(J28+(J28*Q28*(G28/365)))*(1+Q28)^($AF$18-F28),J28*2)</f>
        <v>80172.972972973</v>
      </c>
      <c r="S28" s="323" t="n">
        <f aca="false">R28-J28</f>
        <v>40086.4864864865</v>
      </c>
      <c r="T28" s="323" t="n">
        <f aca="false">IF(K28&lt;0.2,N28*IF(J28=0,0,Y28/J28),MAX(N28*IF(J28=0,0,Y28/J28),Y28*2))</f>
        <v>80172.972972973</v>
      </c>
      <c r="U28" s="323" t="n">
        <f aca="false">T28-Y28</f>
        <v>40086.4864864865</v>
      </c>
      <c r="V28" s="323" t="n">
        <f aca="false">IF(K28&lt;0.2,L28*IF(J28=0,0,Y28/J28),MAX(L28*IF(J28=0,0,Y28/J28),Y28*2))</f>
        <v>80172.972972973</v>
      </c>
      <c r="W28" s="323" t="n">
        <f aca="false">V28-Y28</f>
        <v>40086.4864864865</v>
      </c>
      <c r="X28" s="323" t="n">
        <v>1</v>
      </c>
      <c r="Y28" s="323" t="n">
        <f aca="false">J28*X28</f>
        <v>40086.4864864865</v>
      </c>
      <c r="Z28" s="323" t="n">
        <f aca="false">IF(K28=$AB$41,$AH$62*Y28*MAX(0,G28/365+YEAR($AB$44)-F28),Y28*((1+$AH$63*G28/365)*(1+$AH$63)^(YEAR($AB$44)-F28)-1))</f>
        <v>7476.10325485684</v>
      </c>
    </row>
    <row r="29" customFormat="false" ht="15" hidden="false" customHeight="false" outlineLevel="0" collapsed="false">
      <c r="C29" s="322" t="n">
        <f aca="false">E28</f>
        <v>46751</v>
      </c>
      <c r="D29" s="322" t="n">
        <f aca="false">C29+120</f>
        <v>46871</v>
      </c>
      <c r="E29" s="322" t="n">
        <f aca="false">D29</f>
        <v>46871</v>
      </c>
      <c r="F29" s="153" t="n">
        <f aca="false">YEAR(E29)</f>
        <v>2028</v>
      </c>
      <c r="G29" s="153" t="n">
        <f aca="false">DATE(YEAR(E29),12,31)-E29+1</f>
        <v>248</v>
      </c>
      <c r="H29" s="133" t="s">
        <v>2503</v>
      </c>
      <c r="I29" s="323" t="n">
        <f aca="false">10000*AF16</f>
        <v>40000</v>
      </c>
      <c r="J29" s="324" t="n">
        <f aca="false">I29/$AF$6</f>
        <v>108.108108108108</v>
      </c>
      <c r="K29" s="65" t="n">
        <v>0.2</v>
      </c>
      <c r="L29" s="323" t="n">
        <f aca="false">(J29+(J29*K29*(G29/365)))*(1+K29)^($AF$18-F29)</f>
        <v>147.35875601629</v>
      </c>
      <c r="M29" s="323" t="n">
        <f aca="false">L29-J29</f>
        <v>39.2506479081821</v>
      </c>
      <c r="N29" s="323" t="n">
        <f aca="false">((J29+(J29*K29*(G29/365)))*(1+K29)^($AF$18-F29-1))*(1+K29*(180/365))</f>
        <v>134.91064192359</v>
      </c>
      <c r="O29" s="323" t="n">
        <f aca="false">N29-J29</f>
        <v>26.8025338154818</v>
      </c>
      <c r="Q29" s="65" t="n">
        <v>0.2</v>
      </c>
      <c r="R29" s="323" t="n">
        <f aca="false">IF(Q29&lt;0.2,(J29+(J29*Q29*(G29/365)))*(1+Q29)^($AF$18-F29),J29*2)</f>
        <v>216.216216216216</v>
      </c>
      <c r="S29" s="323" t="n">
        <f aca="false">R29-J29</f>
        <v>108.108108108108</v>
      </c>
      <c r="T29" s="323" t="n">
        <f aca="false">IF(K29&lt;0.2,N29*IF(J29=0,0,Y29/J29),MAX(N29*IF(J29=0,0,Y29/J29),Y29*2))</f>
        <v>216.216216216216</v>
      </c>
      <c r="U29" s="323" t="n">
        <f aca="false">T29-Y29</f>
        <v>108.108108108108</v>
      </c>
      <c r="V29" s="323" t="n">
        <f aca="false">IF(K29&lt;0.2,L29*IF(J29=0,0,Y29/J29),MAX(L29*IF(J29=0,0,Y29/J29),Y29*2))</f>
        <v>216.216216216216</v>
      </c>
      <c r="W29" s="323" t="n">
        <f aca="false">V29-Y29</f>
        <v>108.108108108108</v>
      </c>
      <c r="X29" s="323" t="n">
        <v>1</v>
      </c>
      <c r="Y29" s="323" t="n">
        <f aca="false">J29*X29</f>
        <v>108.108108108108</v>
      </c>
      <c r="Z29" s="323" t="n">
        <f aca="false">IF(K29=$AB$41,$AH$62*Y29*MAX(0,G29/365+YEAR($AB$44)-F29),Y29*((1+$AH$63*G29/365)*(1+$AH$63)^(YEAR($AB$44)-F29)-1))</f>
        <v>16.7408835246205</v>
      </c>
    </row>
    <row r="30" customFormat="false" ht="15" hidden="false" customHeight="false" outlineLevel="0" collapsed="false">
      <c r="C30" s="322" t="n">
        <f aca="false">E28</f>
        <v>46751</v>
      </c>
      <c r="D30" s="322" t="n">
        <f aca="false">C30+90</f>
        <v>46841</v>
      </c>
      <c r="E30" s="322" t="n">
        <f aca="false">D30</f>
        <v>46841</v>
      </c>
      <c r="F30" s="153" t="n">
        <f aca="false">YEAR(E30)</f>
        <v>2028</v>
      </c>
      <c r="G30" s="153" t="n">
        <f aca="false">DATE(YEAR(E30),12,31)-E30+1</f>
        <v>278</v>
      </c>
      <c r="H30" s="133" t="s">
        <v>328</v>
      </c>
      <c r="I30" s="323" t="n">
        <f aca="false">(7200000+10180000+4360000)*1.5</f>
        <v>32610000</v>
      </c>
      <c r="J30" s="324" t="n">
        <f aca="false">I30/$AF$6</f>
        <v>88135.1351351351</v>
      </c>
      <c r="K30" s="65" t="n">
        <v>0.2</v>
      </c>
      <c r="L30" s="323" t="n">
        <f aca="false">(J30+(J30*K30*(G30/365)))*(1+K30)^($AF$18-F30)</f>
        <v>121872.781932618</v>
      </c>
      <c r="M30" s="323" t="n">
        <f aca="false">L30-J30</f>
        <v>33737.6467974824</v>
      </c>
      <c r="N30" s="323" t="n">
        <f aca="false">((J30+(J30*K30*(G30/365)))*(1+K30)^($AF$18-F30-1))*(1+K30*(180/365))</f>
        <v>111577.592591278</v>
      </c>
      <c r="O30" s="323" t="n">
        <f aca="false">N30-J30</f>
        <v>23442.4574561426</v>
      </c>
      <c r="Q30" s="65" t="n">
        <v>0.2</v>
      </c>
      <c r="R30" s="323" t="n">
        <f aca="false">IF(Q30&lt;0.2,(J30+(J30*Q30*(G30/365)))*(1+Q30)^($AF$18-F30),J30*2)</f>
        <v>176270.27027027</v>
      </c>
      <c r="S30" s="323" t="n">
        <f aca="false">R30-J30</f>
        <v>88135.1351351351</v>
      </c>
      <c r="T30" s="323" t="n">
        <f aca="false">IF(K30&lt;0.2,N30*IF(J30=0,0,Y30/J30),MAX(N30*IF(J30=0,0,Y30/J30),Y30*2))</f>
        <v>176270.27027027</v>
      </c>
      <c r="U30" s="323" t="n">
        <f aca="false">T30-Y30</f>
        <v>88135.1351351351</v>
      </c>
      <c r="V30" s="323" t="n">
        <f aca="false">IF(K30&lt;0.2,L30*IF(J30=0,0,Y30/J30),MAX(L30*IF(J30=0,0,Y30/J30),Y30*2))</f>
        <v>176270.27027027</v>
      </c>
      <c r="W30" s="323" t="n">
        <f aca="false">V30-Y30</f>
        <v>88135.1351351351</v>
      </c>
      <c r="X30" s="323" t="n">
        <v>1</v>
      </c>
      <c r="Y30" s="323" t="n">
        <f aca="false">J30*X30</f>
        <v>88135.1351351351</v>
      </c>
      <c r="Z30" s="323" t="n">
        <f aca="false">IF(K30=$AB$41,$AH$62*Y30*MAX(0,G30/365+YEAR($AB$44)-F30),Y30*((1+$AH$63*G30/365)*(1+$AH$63)^(YEAR($AB$44)-F30)-1))</f>
        <v>14350.0994385783</v>
      </c>
    </row>
    <row r="31" customFormat="false" ht="15" hidden="false" customHeight="false" outlineLevel="0" collapsed="false">
      <c r="B31" s="0" t="s">
        <v>2416</v>
      </c>
      <c r="C31" s="322" t="n">
        <f aca="false">E8</f>
        <v>46386</v>
      </c>
      <c r="D31" s="322" t="n">
        <f aca="false">C31+210</f>
        <v>46596</v>
      </c>
      <c r="E31" s="322" t="n">
        <f aca="false">D31</f>
        <v>46596</v>
      </c>
      <c r="F31" s="153" t="n">
        <f aca="false">YEAR(E31)</f>
        <v>2027</v>
      </c>
      <c r="G31" s="153" t="n">
        <f aca="false">DATE(YEAR(E31),12,31)-E31+1</f>
        <v>157</v>
      </c>
      <c r="H31" s="133" t="s">
        <v>2417</v>
      </c>
      <c r="I31" s="323" t="n">
        <f aca="false">250000*(AF15+AF16)</f>
        <v>8000000</v>
      </c>
      <c r="J31" s="324" t="n">
        <f aca="false">I31/$AF$6</f>
        <v>21621.6216216216</v>
      </c>
      <c r="K31" s="65" t="n">
        <v>0.2</v>
      </c>
      <c r="L31" s="323" t="n">
        <f aca="false">(J31+(J31*K31*(G31/365)))*(1+K31)^($AF$18-F31)</f>
        <v>33813.6097741577</v>
      </c>
      <c r="M31" s="323" t="n">
        <f aca="false">L31-J31</f>
        <v>12191.9881525361</v>
      </c>
      <c r="N31" s="323" t="n">
        <f aca="false">((J31+(J31*K31*(G31/365)))*(1+K31)^($AF$18-F31-1))*(1+K31*(180/365))</f>
        <v>30957.2089484869</v>
      </c>
      <c r="O31" s="323" t="n">
        <f aca="false">N31-J31</f>
        <v>9335.58732686524</v>
      </c>
      <c r="Q31" s="65" t="n">
        <v>0.2</v>
      </c>
      <c r="R31" s="323" t="n">
        <f aca="false">IF(Q31&lt;0.2,(J31+(J31*Q31*(G31/365)))*(1+Q31)^($AF$18-F31),J31*2)</f>
        <v>43243.2432432432</v>
      </c>
      <c r="S31" s="323" t="n">
        <f aca="false">R31-J31</f>
        <v>21621.6216216216</v>
      </c>
      <c r="T31" s="323" t="n">
        <f aca="false">IF(K31&lt;0.2,N31*IF(J31=0,0,Y31/J31),MAX(N31*IF(J31=0,0,Y31/J31),Y31*2))</f>
        <v>43243.2432432432</v>
      </c>
      <c r="U31" s="323" t="n">
        <f aca="false">T31-Y31</f>
        <v>21621.6216216216</v>
      </c>
      <c r="V31" s="323" t="n">
        <f aca="false">IF(K31&lt;0.2,L31*IF(J31=0,0,Y31/J31),MAX(L31*IF(J31=0,0,Y31/J31),Y31*2))</f>
        <v>43243.2432432432</v>
      </c>
      <c r="W31" s="323" t="n">
        <f aca="false">V31-Y31</f>
        <v>21621.6216216216</v>
      </c>
      <c r="X31" s="323" t="n">
        <v>1</v>
      </c>
      <c r="Y31" s="323" t="n">
        <f aca="false">J31*X31</f>
        <v>21621.6216216216</v>
      </c>
      <c r="Z31" s="323" t="n">
        <f aca="false">IF(K31=$AB$41,$AH$62*Y31*MAX(0,G31/365+YEAR($AB$44)-F31),Y31*((1+$AH$63*G31/365)*(1+$AH$63)^(YEAR($AB$44)-F31)-1))</f>
        <v>5001.52767911144</v>
      </c>
    </row>
    <row r="32" customFormat="false" ht="15" hidden="false" customHeight="false" outlineLevel="0" collapsed="false">
      <c r="C32" s="322" t="n">
        <f aca="false">C31</f>
        <v>46386</v>
      </c>
      <c r="D32" s="322" t="n">
        <f aca="false">C32+210</f>
        <v>46596</v>
      </c>
      <c r="E32" s="322" t="n">
        <f aca="false">C32+180</f>
        <v>46566</v>
      </c>
      <c r="F32" s="153" t="n">
        <f aca="false">YEAR(E32)</f>
        <v>2027</v>
      </c>
      <c r="G32" s="153" t="n">
        <f aca="false">DATE(YEAR(E32),12,31)-E32+1</f>
        <v>187</v>
      </c>
      <c r="H32" s="133" t="s">
        <v>330</v>
      </c>
      <c r="I32" s="323" t="n">
        <f aca="false">250000*(AF15+AF16)</f>
        <v>8000000</v>
      </c>
      <c r="J32" s="324" t="n">
        <f aca="false">I32/$AF$6</f>
        <v>21621.6216216216</v>
      </c>
      <c r="K32" s="65" t="n">
        <v>0.2</v>
      </c>
      <c r="L32" s="323" t="n">
        <f aca="false">(J32+(J32*K32*(G32/365)))*(1+K32)^($AF$18-F32)</f>
        <v>34325.4202147353</v>
      </c>
      <c r="M32" s="323" t="n">
        <f aca="false">L32-J32</f>
        <v>12703.7985931137</v>
      </c>
      <c r="N32" s="323" t="n">
        <f aca="false">((J32+(J32*K32*(G32/365)))*(1+K32)^($AF$18-F32-1))*(1+K32*(180/365))</f>
        <v>31425.7842605225</v>
      </c>
      <c r="O32" s="323" t="n">
        <f aca="false">N32-J32</f>
        <v>9804.16263890086</v>
      </c>
      <c r="Q32" s="65" t="n">
        <v>0.2</v>
      </c>
      <c r="R32" s="323" t="n">
        <f aca="false">IF(Q32&lt;0.2,(J32+(J32*Q32*(G32/365)))*(1+Q32)^($AF$18-F32),J32*2)</f>
        <v>43243.2432432432</v>
      </c>
      <c r="S32" s="323" t="n">
        <f aca="false">R32-J32</f>
        <v>21621.6216216216</v>
      </c>
      <c r="T32" s="323" t="n">
        <f aca="false">IF(K32&lt;0.2,N32*IF(J32=0,0,Y32/J32),MAX(N32*IF(J32=0,0,Y32/J32),Y32*2))</f>
        <v>43243.2432432432</v>
      </c>
      <c r="U32" s="323" t="n">
        <f aca="false">T32-Y32</f>
        <v>21621.6216216216</v>
      </c>
      <c r="V32" s="323" t="n">
        <f aca="false">IF(K32&lt;0.2,L32*IF(J32=0,0,Y32/J32),MAX(L32*IF(J32=0,0,Y32/J32),Y32*2))</f>
        <v>43243.2432432432</v>
      </c>
      <c r="W32" s="323" t="n">
        <f aca="false">V32-Y32</f>
        <v>21621.6216216216</v>
      </c>
      <c r="X32" s="323" t="n">
        <v>1</v>
      </c>
      <c r="Y32" s="323" t="n">
        <f aca="false">J32*X32</f>
        <v>21621.6216216216</v>
      </c>
      <c r="Z32" s="323" t="n">
        <f aca="false">IF(K32=$AB$41,$AH$62*Y32*MAX(0,G32/365+YEAR($AB$44)-F32),Y32*((1+$AH$63*G32/365)*(1+$AH$63)^(YEAR($AB$44)-F32)-1))</f>
        <v>5189.09726489449</v>
      </c>
    </row>
    <row r="33" customFormat="false" ht="15" hidden="false" customHeight="false" outlineLevel="0" collapsed="false">
      <c r="C33" s="322" t="n">
        <f aca="false">C32</f>
        <v>46386</v>
      </c>
      <c r="D33" s="322" t="n">
        <f aca="false">C33+210</f>
        <v>46596</v>
      </c>
      <c r="E33" s="322" t="n">
        <f aca="false">C33+180</f>
        <v>46566</v>
      </c>
      <c r="F33" s="153" t="n">
        <f aca="false">YEAR(E33)</f>
        <v>2027</v>
      </c>
      <c r="G33" s="153" t="n">
        <f aca="false">DATE(YEAR(E33),12,31)-E33+1</f>
        <v>187</v>
      </c>
      <c r="H33" s="133" t="s">
        <v>2504</v>
      </c>
      <c r="I33" s="133" t="n">
        <f aca="false">250000*(AF15+AF16)</f>
        <v>8000000</v>
      </c>
      <c r="J33" s="324" t="n">
        <f aca="false">I33/$AF$6</f>
        <v>21621.6216216216</v>
      </c>
      <c r="K33" s="65" t="n">
        <v>0.2</v>
      </c>
      <c r="L33" s="323" t="n">
        <f aca="false">(J33+(J33*K33*(G33/365)))*(1+K33)^($AF$18-F33)</f>
        <v>34325.4202147353</v>
      </c>
      <c r="M33" s="323" t="n">
        <f aca="false">L33-J33</f>
        <v>12703.7985931137</v>
      </c>
      <c r="N33" s="323" t="n">
        <f aca="false">((J33+(J33*K33*(G33/365)))*(1+K33)^($AF$18-F33-1))*(1+K33*(180/365))</f>
        <v>31425.7842605225</v>
      </c>
      <c r="O33" s="323" t="n">
        <f aca="false">N33-J33</f>
        <v>9804.16263890086</v>
      </c>
      <c r="Q33" s="65" t="n">
        <v>0.2</v>
      </c>
      <c r="R33" s="323" t="n">
        <f aca="false">IF(Q33&lt;0.2,(J33+(J33*Q33*(G33/365)))*(1+Q33)^($AF$18-F33),J33*2)</f>
        <v>43243.2432432432</v>
      </c>
      <c r="S33" s="323" t="n">
        <f aca="false">R33-J33</f>
        <v>21621.6216216216</v>
      </c>
      <c r="T33" s="323" t="n">
        <f aca="false">IF(K33&lt;0.2,N33*IF(J33=0,0,Y33/J33),MAX(N33*IF(J33=0,0,Y33/J33),Y33*2))</f>
        <v>43243.2432432432</v>
      </c>
      <c r="U33" s="323" t="n">
        <f aca="false">T33-Y33</f>
        <v>21621.6216216216</v>
      </c>
      <c r="V33" s="323" t="n">
        <f aca="false">IF(K33&lt;0.2,L33*IF(J33=0,0,Y33/J33),MAX(L33*IF(J33=0,0,Y33/J33),Y33*2))</f>
        <v>43243.2432432432</v>
      </c>
      <c r="W33" s="323" t="n">
        <f aca="false">V33-Y33</f>
        <v>21621.6216216216</v>
      </c>
      <c r="X33" s="323" t="n">
        <v>1</v>
      </c>
      <c r="Y33" s="323" t="n">
        <f aca="false">J33*X33</f>
        <v>21621.6216216216</v>
      </c>
      <c r="Z33" s="323" t="n">
        <f aca="false">IF(K33=$AB$41,$AH$62*Y33*MAX(0,G33/365+YEAR($AB$44)-F33),Y33*((1+$AH$63*G33/365)*(1+$AH$63)^(YEAR($AB$44)-F33)-1))</f>
        <v>5189.09726489449</v>
      </c>
    </row>
    <row r="34" customFormat="false" ht="15" hidden="false" customHeight="false" outlineLevel="0" collapsed="false">
      <c r="B34" s="0" t="s">
        <v>2418</v>
      </c>
      <c r="C34" s="322" t="n">
        <f aca="false">D35</f>
        <v>46780</v>
      </c>
      <c r="D34" s="322" t="n">
        <f aca="false">C34</f>
        <v>46780</v>
      </c>
      <c r="E34" s="322" t="n">
        <f aca="false">C34</f>
        <v>46780</v>
      </c>
      <c r="F34" s="153" t="n">
        <f aca="false">YEAR(E34)</f>
        <v>2028</v>
      </c>
      <c r="G34" s="153" t="n">
        <f aca="false">DATE(YEAR(E34),12,31)-E34+1</f>
        <v>339</v>
      </c>
      <c r="H34" s="133" t="s">
        <v>318</v>
      </c>
      <c r="I34" s="323" t="n">
        <f aca="false">1147500*AF16</f>
        <v>4590000</v>
      </c>
      <c r="J34" s="324" t="n">
        <f aca="false">I34/$AF$6</f>
        <v>12405.4054054054</v>
      </c>
      <c r="K34" s="65" t="n">
        <v>0.2</v>
      </c>
      <c r="L34" s="323" t="n">
        <f aca="false">(J34+(J34*K34*(G34/365)))*(1+K34)^($AF$18-F34)</f>
        <v>17651.7023324695</v>
      </c>
      <c r="M34" s="323" t="n">
        <f aca="false">L34-J34</f>
        <v>5246.29692706405</v>
      </c>
      <c r="N34" s="323" t="n">
        <f aca="false">((J34+(J34*K34*(G34/365)))*(1+K34)^($AF$18-F34-1))*(1+K34*(180/365))</f>
        <v>16160.5767929686</v>
      </c>
      <c r="O34" s="323" t="n">
        <f aca="false">N34-J34</f>
        <v>3755.17138756321</v>
      </c>
      <c r="Q34" s="65" t="n">
        <v>0.2</v>
      </c>
      <c r="R34" s="323" t="n">
        <f aca="false">IF(Q34&lt;0.2,(J34+(J34*Q34*(G34/365)))*(1+Q34)^($AF$18-F34),J34*2)</f>
        <v>24810.8108108108</v>
      </c>
      <c r="S34" s="323" t="n">
        <f aca="false">R34-J34</f>
        <v>12405.4054054054</v>
      </c>
      <c r="T34" s="323" t="n">
        <f aca="false">IF(K34&lt;0.2,N34*IF(J34=0,0,Y34/J34),MAX(N34*IF(J34=0,0,Y34/J34),Y34*2))</f>
        <v>24810.8108108108</v>
      </c>
      <c r="U34" s="323" t="n">
        <f aca="false">T34-Y34</f>
        <v>12405.4054054054</v>
      </c>
      <c r="V34" s="323" t="n">
        <f aca="false">IF(K34&lt;0.2,L34*IF(J34=0,0,Y34/J34),MAX(L34*IF(J34=0,0,Y34/J34),Y34*2))</f>
        <v>24810.8108108108</v>
      </c>
      <c r="W34" s="323" t="n">
        <f aca="false">V34-Y34</f>
        <v>12405.4054054054</v>
      </c>
      <c r="X34" s="323" t="n">
        <v>1</v>
      </c>
      <c r="Y34" s="323" t="n">
        <f aca="false">J34*X34</f>
        <v>12405.4054054054</v>
      </c>
      <c r="Z34" s="323" t="n">
        <f aca="false">IF(K34=$AB$41,$AH$62*Y34*MAX(0,G34/365+YEAR($AB$44)-F34),Y34*((1+$AH$63*G34/365)*(1+$AH$63)^(YEAR($AB$44)-F34)-1))</f>
        <v>2220.77893528323</v>
      </c>
    </row>
    <row r="35" customFormat="false" ht="15" hidden="false" customHeight="false" outlineLevel="0" collapsed="false">
      <c r="C35" s="322" t="n">
        <v>46600</v>
      </c>
      <c r="D35" s="322" t="n">
        <f aca="false">C35+180</f>
        <v>46780</v>
      </c>
      <c r="E35" s="322" t="n">
        <f aca="false">C34</f>
        <v>46780</v>
      </c>
      <c r="F35" s="153" t="n">
        <f aca="false">YEAR(E35)</f>
        <v>2028</v>
      </c>
      <c r="G35" s="153" t="n">
        <f aca="false">DATE(YEAR(E35),12,31)-E35+1</f>
        <v>339</v>
      </c>
      <c r="H35" s="133" t="s">
        <v>321</v>
      </c>
      <c r="I35" s="323" t="n">
        <f aca="false">30000000*AF16*1.15</f>
        <v>138000000</v>
      </c>
      <c r="J35" s="324" t="n">
        <f aca="false">I35/$AF$6</f>
        <v>372972.972972973</v>
      </c>
      <c r="K35" s="65" t="n">
        <v>0.2</v>
      </c>
      <c r="L35" s="323" t="n">
        <f aca="false">(J35+(J35*K35*(G35/365)))*(1+K35)^($AF$18-F35)</f>
        <v>530704.776008886</v>
      </c>
      <c r="M35" s="323" t="n">
        <f aca="false">L35-J35</f>
        <v>157731.803035913</v>
      </c>
      <c r="N35" s="323" t="n">
        <f aca="false">((J35+(J35*K35*(G35/365)))*(1+K35)^($AF$18-F35-1))*(1+K35*(180/365))</f>
        <v>485873.550638272</v>
      </c>
      <c r="O35" s="323" t="n">
        <f aca="false">N35-J35</f>
        <v>112900.577665299</v>
      </c>
      <c r="Q35" s="65" t="n">
        <v>0.2</v>
      </c>
      <c r="R35" s="323" t="n">
        <f aca="false">IF(Q35&lt;0.2,(J35+(J35*Q35*(G35/365)))*(1+Q35)^($AF$18-F35),J35*2)</f>
        <v>745945.945945946</v>
      </c>
      <c r="S35" s="323" t="n">
        <f aca="false">R35-J35</f>
        <v>372972.972972973</v>
      </c>
      <c r="T35" s="323" t="n">
        <f aca="false">IF(K35&lt;0.2,N35*IF(J35=0,0,Y35/J35),MAX(N35*IF(J35=0,0,Y35/J35),Y35*2))</f>
        <v>745945.945945946</v>
      </c>
      <c r="U35" s="323" t="n">
        <f aca="false">T35-Y35</f>
        <v>372972.972972973</v>
      </c>
      <c r="V35" s="323" t="n">
        <f aca="false">IF(K35&lt;0.2,L35*IF(J35=0,0,Y35/J35),MAX(L35*IF(J35=0,0,Y35/J35),Y35*2))</f>
        <v>745945.945945946</v>
      </c>
      <c r="W35" s="323" t="n">
        <f aca="false">V35-Y35</f>
        <v>372972.972972973</v>
      </c>
      <c r="X35" s="323" t="n">
        <v>1</v>
      </c>
      <c r="Y35" s="323" t="n">
        <f aca="false">J35*X35</f>
        <v>372972.972972973</v>
      </c>
      <c r="Z35" s="323" t="n">
        <f aca="false">IF(K35=$AB$41,$AH$62*Y35*MAX(0,G35/365+YEAR($AB$44)-F35),Y35*((1+$AH$63*G35/365)*(1+$AH$63)^(YEAR($AB$44)-F35)-1))</f>
        <v>66768.5170085154</v>
      </c>
    </row>
    <row r="36" customFormat="false" ht="15" hidden="false" customHeight="false" outlineLevel="0" collapsed="false">
      <c r="B36" s="0" t="s">
        <v>2419</v>
      </c>
      <c r="C36" s="322" t="n">
        <f aca="false">E37</f>
        <v>46780</v>
      </c>
      <c r="D36" s="322" t="n">
        <f aca="false">C36</f>
        <v>46780</v>
      </c>
      <c r="E36" s="322" t="n">
        <f aca="false">C36</f>
        <v>46780</v>
      </c>
      <c r="F36" s="153" t="n">
        <f aca="false">YEAR(E36)</f>
        <v>2028</v>
      </c>
      <c r="G36" s="153" t="n">
        <f aca="false">DATE(YEAR(E36),12,31)-E36+1</f>
        <v>339</v>
      </c>
      <c r="H36" s="133" t="s">
        <v>318</v>
      </c>
      <c r="I36" s="323" t="n">
        <f aca="false">150000*300</f>
        <v>45000000</v>
      </c>
      <c r="J36" s="324" t="n">
        <f aca="false">I36/$AF$6</f>
        <v>121621.621621622</v>
      </c>
      <c r="K36" s="65" t="n">
        <v>0.2</v>
      </c>
      <c r="L36" s="323" t="n">
        <f aca="false">(J36+(J36*K36*(G36/365)))*(1+K36)^($AF$18-F36)</f>
        <v>173055.905220289</v>
      </c>
      <c r="M36" s="323" t="n">
        <f aca="false">L36-J36</f>
        <v>51434.2835986672</v>
      </c>
      <c r="N36" s="323" t="n">
        <f aca="false">((J36+(J36*K36*(G36/365)))*(1+K36)^($AF$18-F36-1))*(1+K36*(180/365))</f>
        <v>158437.027382045</v>
      </c>
      <c r="O36" s="323" t="n">
        <f aca="false">N36-J36</f>
        <v>36815.4057604236</v>
      </c>
      <c r="Q36" s="65" t="n">
        <v>0.2</v>
      </c>
      <c r="R36" s="323" t="n">
        <f aca="false">IF(Q36&lt;0.2,(J36+(J36*Q36*(G36/365)))*(1+Q36)^($AF$18-F36),J36*2)</f>
        <v>243243.243243243</v>
      </c>
      <c r="S36" s="323" t="n">
        <f aca="false">R36-J36</f>
        <v>121621.621621622</v>
      </c>
      <c r="T36" s="323" t="n">
        <f aca="false">IF(K36&lt;0.2,N36*IF(J36=0,0,Y36/J36),MAX(N36*IF(J36=0,0,Y36/J36),Y36*2))</f>
        <v>243243.243243243</v>
      </c>
      <c r="U36" s="323" t="n">
        <f aca="false">T36-Y36</f>
        <v>121621.621621622</v>
      </c>
      <c r="V36" s="323" t="n">
        <f aca="false">IF(K36&lt;0.2,L36*IF(J36=0,0,Y36/J36),MAX(L36*IF(J36=0,0,Y36/J36),Y36*2))</f>
        <v>243243.243243243</v>
      </c>
      <c r="W36" s="323" t="n">
        <f aca="false">V36-Y36</f>
        <v>121621.621621622</v>
      </c>
      <c r="X36" s="323" t="n">
        <v>1</v>
      </c>
      <c r="Y36" s="323" t="n">
        <f aca="false">J36*X36</f>
        <v>121621.621621622</v>
      </c>
      <c r="Z36" s="323" t="n">
        <f aca="false">IF(K36=$AB$41,$AH$62*Y36*MAX(0,G36/365+YEAR($AB$44)-F36),Y36*((1+$AH$63*G36/365)*(1+$AH$63)^(YEAR($AB$44)-F36)-1))</f>
        <v>21772.3425027768</v>
      </c>
    </row>
    <row r="37" customFormat="false" ht="15" hidden="false" customHeight="false" outlineLevel="0" collapsed="false">
      <c r="C37" s="322" t="n">
        <v>46600</v>
      </c>
      <c r="D37" s="322" t="n">
        <f aca="false">C37+180</f>
        <v>46780</v>
      </c>
      <c r="E37" s="322" t="n">
        <f aca="false">D37</f>
        <v>46780</v>
      </c>
      <c r="F37" s="153" t="n">
        <f aca="false">YEAR(E37)</f>
        <v>2028</v>
      </c>
      <c r="G37" s="153" t="n">
        <f aca="false">DATE(YEAR(E37),12,31)-E37+1</f>
        <v>339</v>
      </c>
      <c r="H37" s="133" t="s">
        <v>321</v>
      </c>
      <c r="I37" s="323" t="n">
        <f aca="false">(I40+I33+38000000)/280*AF7*1.15</f>
        <v>74896683.6734694</v>
      </c>
      <c r="J37" s="324" t="n">
        <f aca="false">I37/$AF$6</f>
        <v>202423.469387755</v>
      </c>
      <c r="K37" s="65" t="n">
        <v>0.2</v>
      </c>
      <c r="L37" s="323" t="n">
        <f aca="false">(J37+(J37*K37*(G37/365)))*(1+K37)^($AF$18-F37)</f>
        <v>288029.186469108</v>
      </c>
      <c r="M37" s="323" t="n">
        <f aca="false">L37-J37</f>
        <v>85605.7170813531</v>
      </c>
      <c r="N37" s="323" t="n">
        <f aca="false">((J37+(J37*K37*(G37/365)))*(1+K37)^($AF$18-F37-1))*(1+K37*(180/365))</f>
        <v>263697.953822174</v>
      </c>
      <c r="O37" s="323" t="n">
        <f aca="false">N37-J37</f>
        <v>61274.4844344193</v>
      </c>
      <c r="Q37" s="65" t="n">
        <v>0.2</v>
      </c>
      <c r="R37" s="323" t="n">
        <f aca="false">IF(Q37&lt;0.2,(J37+(J37*Q37*(G37/365)))*(1+Q37)^($AF$18-F37),J37*2)</f>
        <v>404846.93877551</v>
      </c>
      <c r="S37" s="323" t="n">
        <f aca="false">R37-J37</f>
        <v>202423.469387755</v>
      </c>
      <c r="T37" s="323" t="n">
        <f aca="false">IF(K37&lt;0.2,N37*IF(J37=0,0,Y37/J37),MAX(N37*IF(J37=0,0,Y37/J37),Y37*2))</f>
        <v>404846.93877551</v>
      </c>
      <c r="U37" s="323" t="n">
        <f aca="false">T37-Y37</f>
        <v>202423.469387755</v>
      </c>
      <c r="V37" s="323" t="n">
        <f aca="false">IF(K37&lt;0.2,L37*IF(J37=0,0,Y37/J37),MAX(L37*IF(J37=0,0,Y37/J37),Y37*2))</f>
        <v>404846.93877551</v>
      </c>
      <c r="W37" s="323" t="n">
        <f aca="false">V37-Y37</f>
        <v>202423.469387755</v>
      </c>
      <c r="X37" s="323" t="n">
        <v>1</v>
      </c>
      <c r="Y37" s="323" t="n">
        <f aca="false">J37*X37</f>
        <v>202423.469387755</v>
      </c>
      <c r="Z37" s="323" t="n">
        <f aca="false">IF(K37=$AB$41,$AH$62*Y37*MAX(0,G37/365+YEAR($AB$44)-F37),Y37*((1+$AH$63*G37/365)*(1+$AH$63)^(YEAR($AB$44)-F37)-1))</f>
        <v>36237.2499835756</v>
      </c>
    </row>
    <row r="38" customFormat="false" ht="15" hidden="false" customHeight="false" outlineLevel="0" collapsed="false">
      <c r="C38" s="322" t="n">
        <f aca="false">C37</f>
        <v>46600</v>
      </c>
      <c r="D38" s="322" t="n">
        <f aca="false">C38+180</f>
        <v>46780</v>
      </c>
      <c r="E38" s="322" t="n">
        <f aca="false">C38+120</f>
        <v>46720</v>
      </c>
      <c r="F38" s="153" t="n">
        <f aca="false">YEAR(E38)</f>
        <v>2027</v>
      </c>
      <c r="G38" s="153" t="n">
        <f aca="false">DATE(YEAR(E38),12,31)-E38+1</f>
        <v>33</v>
      </c>
      <c r="H38" s="133" t="s">
        <v>334</v>
      </c>
      <c r="I38" s="323" t="n">
        <f aca="false">50000*300</f>
        <v>15000000</v>
      </c>
      <c r="J38" s="324" t="n">
        <f aca="false">I38/$AF$6</f>
        <v>40540.5405405405</v>
      </c>
      <c r="K38" s="65" t="n">
        <v>0.2</v>
      </c>
      <c r="L38" s="323" t="n">
        <f aca="false">(J38+(J38*K38*(G38/365)))*(1+K38)^($AF$18-F38)</f>
        <v>59433.9874120696</v>
      </c>
      <c r="M38" s="323" t="n">
        <f aca="false">L38-J38</f>
        <v>18893.4468715291</v>
      </c>
      <c r="N38" s="323" t="n">
        <f aca="false">((J38+(J38*K38*(G38/365)))*(1+K38)^($AF$18-F38-1))*(1+K38*(180/365))</f>
        <v>54413.3081101368</v>
      </c>
      <c r="O38" s="323" t="n">
        <f aca="false">N38-J38</f>
        <v>13872.7675695962</v>
      </c>
      <c r="Q38" s="65" t="n">
        <v>0.2</v>
      </c>
      <c r="R38" s="323" t="n">
        <f aca="false">IF(Q38&lt;0.2,(J38+(J38*Q38*(G38/365)))*(1+Q38)^($AF$18-F38),J38*2)</f>
        <v>81081.0810810811</v>
      </c>
      <c r="S38" s="323" t="n">
        <f aca="false">R38-J38</f>
        <v>40540.5405405405</v>
      </c>
      <c r="T38" s="323" t="n">
        <f aca="false">IF(K38&lt;0.2,N38*IF(J38=0,0,Y38/J38),MAX(N38*IF(J38=0,0,Y38/J38),Y38*2))</f>
        <v>81081.0810810811</v>
      </c>
      <c r="U38" s="323" t="n">
        <f aca="false">T38-Y38</f>
        <v>40540.5405405405</v>
      </c>
      <c r="V38" s="323" t="n">
        <f aca="false">IF(K38&lt;0.2,L38*IF(J38=0,0,Y38/J38),MAX(L38*IF(J38=0,0,Y38/J38),Y38*2))</f>
        <v>81081.0810810811</v>
      </c>
      <c r="W38" s="323" t="n">
        <f aca="false">V38-Y38</f>
        <v>40540.5405405405</v>
      </c>
      <c r="X38" s="323" t="n">
        <v>1</v>
      </c>
      <c r="Y38" s="323" t="n">
        <f aca="false">J38*X38</f>
        <v>40540.5405405405</v>
      </c>
      <c r="Z38" s="323" t="n">
        <f aca="false">IF(K38=$AB$41,$AH$62*Y38*MAX(0,G38/365+YEAR($AB$44)-F38),Y38*((1+$AH$63*G38/365)*(1+$AH$63)^(YEAR($AB$44)-F38)-1))</f>
        <v>7924.20010851536</v>
      </c>
    </row>
    <row r="39" customFormat="false" ht="15" hidden="false" customHeight="false" outlineLevel="0" collapsed="false">
      <c r="B39" s="0" t="s">
        <v>2420</v>
      </c>
      <c r="C39" s="322" t="n">
        <f aca="false">D40</f>
        <v>46780</v>
      </c>
      <c r="D39" s="322" t="n">
        <f aca="false">C39</f>
        <v>46780</v>
      </c>
      <c r="E39" s="322" t="n">
        <f aca="false">C39</f>
        <v>46780</v>
      </c>
      <c r="F39" s="153" t="n">
        <f aca="false">YEAR(E39)</f>
        <v>2028</v>
      </c>
      <c r="G39" s="153" t="n">
        <f aca="false">DATE(YEAR(E39),12,31)-E39+1</f>
        <v>339</v>
      </c>
      <c r="H39" s="133" t="s">
        <v>318</v>
      </c>
      <c r="I39" s="323" t="n">
        <f aca="false">1500000*AF16</f>
        <v>6000000</v>
      </c>
      <c r="J39" s="324" t="n">
        <f aca="false">I39/$AF$6</f>
        <v>16216.2162162162</v>
      </c>
      <c r="K39" s="65" t="n">
        <v>0.2</v>
      </c>
      <c r="L39" s="323" t="n">
        <f aca="false">(J39+(J39*K39*(G39/365)))*(1+K39)^($AF$18-F39)</f>
        <v>23074.1206960385</v>
      </c>
      <c r="M39" s="323" t="n">
        <f aca="false">L39-J39</f>
        <v>6857.90447982229</v>
      </c>
      <c r="N39" s="323" t="n">
        <f aca="false">((J39+(J39*K39*(G39/365)))*(1+K39)^($AF$18-F39-1))*(1+K39*(180/365))</f>
        <v>21124.9369842727</v>
      </c>
      <c r="O39" s="323" t="n">
        <f aca="false">N39-J39</f>
        <v>4908.72076805648</v>
      </c>
      <c r="Q39" s="65" t="n">
        <v>0.2</v>
      </c>
      <c r="R39" s="323" t="n">
        <f aca="false">IF(Q39&lt;0.2,(J39+(J39*Q39*(G39/365)))*(1+Q39)^($AF$18-F39),J39*2)</f>
        <v>32432.4324324324</v>
      </c>
      <c r="S39" s="323" t="n">
        <f aca="false">R39-J39</f>
        <v>16216.2162162162</v>
      </c>
      <c r="T39" s="323" t="n">
        <f aca="false">IF(K39&lt;0.2,N39*IF(J39=0,0,Y39/J39),MAX(N39*IF(J39=0,0,Y39/J39),Y39*2))</f>
        <v>32432.4324324324</v>
      </c>
      <c r="U39" s="323" t="n">
        <f aca="false">T39-Y39</f>
        <v>16216.2162162162</v>
      </c>
      <c r="V39" s="323" t="n">
        <f aca="false">IF(K39&lt;0.2,L39*IF(J39=0,0,Y39/J39),MAX(L39*IF(J39=0,0,Y39/J39),Y39*2))</f>
        <v>32432.4324324324</v>
      </c>
      <c r="W39" s="323" t="n">
        <f aca="false">V39-Y39</f>
        <v>16216.2162162162</v>
      </c>
      <c r="X39" s="323" t="n">
        <v>1</v>
      </c>
      <c r="Y39" s="323" t="n">
        <f aca="false">J39*X39</f>
        <v>16216.2162162162</v>
      </c>
      <c r="Z39" s="323" t="n">
        <f aca="false">IF(K39=$AB$41,$AH$62*Y39*MAX(0,G39/365+YEAR($AB$44)-F39),Y39*((1+$AH$63*G39/365)*(1+$AH$63)^(YEAR($AB$44)-F39)-1))</f>
        <v>2902.97900037023</v>
      </c>
    </row>
    <row r="40" customFormat="false" ht="15" hidden="false" customHeight="false" outlineLevel="0" collapsed="false">
      <c r="C40" s="322" t="n">
        <v>46600</v>
      </c>
      <c r="D40" s="322" t="n">
        <f aca="false">C40+180</f>
        <v>46780</v>
      </c>
      <c r="E40" s="322" t="n">
        <f aca="false">D40</f>
        <v>46780</v>
      </c>
      <c r="F40" s="153" t="n">
        <f aca="false">YEAR(E40)</f>
        <v>2028</v>
      </c>
      <c r="G40" s="153" t="n">
        <f aca="false">DATE(YEAR(E40),12,31)-E40+1</f>
        <v>339</v>
      </c>
      <c r="H40" s="133" t="s">
        <v>321</v>
      </c>
      <c r="I40" s="323" t="n">
        <f aca="false">55000000/280*AF7*1.15</f>
        <v>45178571.4285714</v>
      </c>
      <c r="J40" s="324" t="n">
        <f aca="false">I40/$AF$6</f>
        <v>122104.247104247</v>
      </c>
      <c r="K40" s="65" t="n">
        <v>0.2</v>
      </c>
      <c r="L40" s="323" t="n">
        <f aca="false">(J40+(J40*K40*(G40/365)))*(1+K40)^($AF$18-F40)</f>
        <v>173742.635002909</v>
      </c>
      <c r="M40" s="323" t="n">
        <f aca="false">L40-J40</f>
        <v>51638.3878986619</v>
      </c>
      <c r="N40" s="323" t="n">
        <f aca="false">((J40+(J40*K40*(G40/365)))*(1+K40)^($AF$18-F40-1))*(1+K40*(180/365))</f>
        <v>159065.745744672</v>
      </c>
      <c r="O40" s="323" t="n">
        <f aca="false">N40-J40</f>
        <v>36961.4986404253</v>
      </c>
      <c r="Q40" s="65" t="n">
        <v>0.2</v>
      </c>
      <c r="R40" s="323" t="n">
        <f aca="false">IF(Q40&lt;0.2,(J40+(J40*Q40*(G40/365)))*(1+Q40)^($AF$18-F40),J40*2)</f>
        <v>244208.494208494</v>
      </c>
      <c r="S40" s="323" t="n">
        <f aca="false">R40-J40</f>
        <v>122104.247104247</v>
      </c>
      <c r="T40" s="323" t="n">
        <f aca="false">IF(K40&lt;0.2,N40*IF(J40=0,0,Y40/J40),MAX(N40*IF(J40=0,0,Y40/J40),Y40*2))</f>
        <v>244208.494208494</v>
      </c>
      <c r="U40" s="323" t="n">
        <f aca="false">T40-Y40</f>
        <v>122104.247104247</v>
      </c>
      <c r="V40" s="323" t="n">
        <f aca="false">IF(K40&lt;0.2,L40*IF(J40=0,0,Y40/J40),MAX(L40*IF(J40=0,0,Y40/J40),Y40*2))</f>
        <v>244208.494208494</v>
      </c>
      <c r="W40" s="323" t="n">
        <f aca="false">V40-Y40</f>
        <v>122104.247104247</v>
      </c>
      <c r="X40" s="323" t="n">
        <v>1</v>
      </c>
      <c r="Y40" s="323" t="n">
        <f aca="false">J40*X40</f>
        <v>122104.247104247</v>
      </c>
      <c r="Z40" s="323" t="n">
        <f aca="false">IF(K40=$AB$41,$AH$62*Y40*MAX(0,G40/365+YEAR($AB$44)-F40),Y40*((1+$AH$63*G40/365)*(1+$AH$63)^(YEAR($AB$44)-F40)-1))</f>
        <v>21858.7406873116</v>
      </c>
      <c r="AA40" s="133" t="s">
        <v>2505</v>
      </c>
      <c r="AB40" s="65" t="n">
        <v>0.7</v>
      </c>
    </row>
    <row r="41" customFormat="false" ht="15" hidden="false" customHeight="false" outlineLevel="0" collapsed="false">
      <c r="B41" s="0" t="s">
        <v>2421</v>
      </c>
      <c r="C41" s="322" t="n">
        <f aca="false">E42</f>
        <v>46780</v>
      </c>
      <c r="D41" s="322" t="n">
        <f aca="false">C41</f>
        <v>46780</v>
      </c>
      <c r="E41" s="322" t="n">
        <f aca="false">C41</f>
        <v>46780</v>
      </c>
      <c r="F41" s="153" t="n">
        <f aca="false">YEAR(E41)</f>
        <v>2028</v>
      </c>
      <c r="G41" s="153" t="n">
        <f aca="false">DATE(YEAR(E41),12,31)-E41+1</f>
        <v>339</v>
      </c>
      <c r="H41" s="133" t="s">
        <v>318</v>
      </c>
      <c r="I41" s="323" t="n">
        <f aca="false">1147500*AF16</f>
        <v>4590000</v>
      </c>
      <c r="J41" s="324" t="n">
        <f aca="false">I41/$AF$6</f>
        <v>12405.4054054054</v>
      </c>
      <c r="K41" s="65" t="n">
        <v>0.2</v>
      </c>
      <c r="L41" s="323" t="n">
        <f aca="false">(J41+(J41*K41*(G41/365)))*(1+K41)^($AF$18-F41)</f>
        <v>17651.7023324695</v>
      </c>
      <c r="M41" s="323" t="n">
        <f aca="false">L41-J41</f>
        <v>5246.29692706405</v>
      </c>
      <c r="N41" s="323" t="n">
        <f aca="false">((J41+(J41*K41*(G41/365)))*(1+K41)^($AF$18-F41-1))*(1+K41*(180/365))</f>
        <v>16160.5767929686</v>
      </c>
      <c r="O41" s="323" t="n">
        <f aca="false">N41-J41</f>
        <v>3755.17138756321</v>
      </c>
      <c r="Q41" s="65" t="n">
        <v>0.2</v>
      </c>
      <c r="R41" s="323" t="n">
        <f aca="false">IF(Q41&lt;0.2,(J41+(J41*Q41*(G41/365)))*(1+Q41)^($AF$18-F41),J41*2)</f>
        <v>24810.8108108108</v>
      </c>
      <c r="S41" s="323" t="n">
        <f aca="false">R41-J41</f>
        <v>12405.4054054054</v>
      </c>
      <c r="T41" s="323" t="n">
        <f aca="false">IF(K41&lt;0.2,N41*IF(J41=0,0,Y41/J41),MAX(N41*IF(J41=0,0,Y41/J41),Y41*2))</f>
        <v>24810.8108108108</v>
      </c>
      <c r="U41" s="323" t="n">
        <f aca="false">T41-Y41</f>
        <v>12405.4054054054</v>
      </c>
      <c r="V41" s="323" t="n">
        <f aca="false">IF(K41&lt;0.2,L41*IF(J41=0,0,Y41/J41),MAX(L41*IF(J41=0,0,Y41/J41),Y41*2))</f>
        <v>24810.8108108108</v>
      </c>
      <c r="W41" s="323" t="n">
        <f aca="false">V41-Y41</f>
        <v>12405.4054054054</v>
      </c>
      <c r="X41" s="323" t="n">
        <v>1</v>
      </c>
      <c r="Y41" s="323" t="n">
        <f aca="false">J41*X41</f>
        <v>12405.4054054054</v>
      </c>
      <c r="Z41" s="323" t="n">
        <f aca="false">IF(K41=$AB$41,$AH$62*Y41*MAX(0,G41/365+YEAR($AB$44)-F41),Y41*((1+$AH$63*G41/365)*(1+$AH$63)^(YEAR($AB$44)-F41)-1))</f>
        <v>2220.77893528323</v>
      </c>
      <c r="AA41" s="133" t="s">
        <v>2506</v>
      </c>
      <c r="AB41" s="65" t="n">
        <v>0.06</v>
      </c>
    </row>
    <row r="42" customFormat="false" ht="15" hidden="false" customHeight="false" outlineLevel="0" collapsed="false">
      <c r="C42" s="322" t="n">
        <v>46600</v>
      </c>
      <c r="D42" s="322" t="n">
        <f aca="false">C42+180</f>
        <v>46780</v>
      </c>
      <c r="E42" s="322" t="n">
        <f aca="false">D42</f>
        <v>46780</v>
      </c>
      <c r="F42" s="153" t="n">
        <f aca="false">YEAR(E42)</f>
        <v>2028</v>
      </c>
      <c r="G42" s="153" t="n">
        <f aca="false">DATE(YEAR(E42),12,31)-E42+1</f>
        <v>339</v>
      </c>
      <c r="H42" s="133" t="s">
        <v>321</v>
      </c>
      <c r="I42" s="323" t="n">
        <f aca="false">7000000/40*AF10</f>
        <v>35000000</v>
      </c>
      <c r="J42" s="324" t="n">
        <f aca="false">I42/$AF$6</f>
        <v>94594.5945945946</v>
      </c>
      <c r="K42" s="65" t="n">
        <v>0.2</v>
      </c>
      <c r="L42" s="323" t="n">
        <f aca="false">(J42+(J42*K42*(G42/365)))*(1+K42)^($AF$18-F42)</f>
        <v>134599.037393558</v>
      </c>
      <c r="M42" s="323" t="n">
        <f aca="false">L42-J42</f>
        <v>40004.4427989633</v>
      </c>
      <c r="N42" s="323" t="n">
        <f aca="false">((J42+(J42*K42*(G42/365)))*(1+K42)^($AF$18-F42-1))*(1+K42*(180/365))</f>
        <v>123228.799074924</v>
      </c>
      <c r="O42" s="323" t="n">
        <f aca="false">N42-J42</f>
        <v>28634.2044803295</v>
      </c>
      <c r="Q42" s="65" t="n">
        <v>0.2</v>
      </c>
      <c r="R42" s="323" t="n">
        <f aca="false">IF(Q42&lt;0.2,(J42+(J42*Q42*(G42/365)))*(1+Q42)^($AF$18-F42),J42*2)</f>
        <v>189189.189189189</v>
      </c>
      <c r="S42" s="323" t="n">
        <f aca="false">R42-J42</f>
        <v>94594.5945945946</v>
      </c>
      <c r="T42" s="323" t="n">
        <f aca="false">IF(K42&lt;0.2,N42*IF(J42=0,0,Y42/J42),MAX(N42*IF(J42=0,0,Y42/J42),Y42*2))</f>
        <v>189189.189189189</v>
      </c>
      <c r="U42" s="323" t="n">
        <f aca="false">T42-Y42</f>
        <v>94594.5945945946</v>
      </c>
      <c r="V42" s="323" t="n">
        <f aca="false">IF(K42&lt;0.2,L42*IF(J42=0,0,Y42/J42),MAX(L42*IF(J42=0,0,Y42/J42),Y42*2))</f>
        <v>189189.189189189</v>
      </c>
      <c r="W42" s="323" t="n">
        <f aca="false">V42-Y42</f>
        <v>94594.5945945946</v>
      </c>
      <c r="X42" s="323" t="n">
        <v>1</v>
      </c>
      <c r="Y42" s="323" t="n">
        <f aca="false">J42*X42</f>
        <v>94594.5945945946</v>
      </c>
      <c r="Z42" s="323" t="n">
        <f aca="false">IF(K42=$AB$41,$AH$62*Y42*MAX(0,G42/365+YEAR($AB$44)-F42),Y42*((1+$AH$63*G42/365)*(1+$AH$63)^(YEAR($AB$44)-F42)-1))</f>
        <v>16934.0441688264</v>
      </c>
      <c r="AA42" s="133" t="s">
        <v>2507</v>
      </c>
      <c r="AB42" s="138" t="n">
        <v>2500</v>
      </c>
    </row>
    <row r="43" customFormat="false" ht="15" hidden="false" customHeight="false" outlineLevel="0" collapsed="false">
      <c r="B43" s="0" t="s">
        <v>2422</v>
      </c>
      <c r="C43" s="322" t="n">
        <f aca="false">D19</f>
        <v>47126</v>
      </c>
      <c r="D43" s="322" t="n">
        <f aca="false">C43+75</f>
        <v>47201</v>
      </c>
      <c r="E43" s="322" t="n">
        <f aca="false">C43</f>
        <v>47126</v>
      </c>
      <c r="F43" s="153" t="n">
        <f aca="false">YEAR(E43)</f>
        <v>2029</v>
      </c>
      <c r="G43" s="153" t="n">
        <f aca="false">DATE(YEAR(E43),12,31)-E43+1</f>
        <v>358</v>
      </c>
      <c r="H43" s="133" t="s">
        <v>318</v>
      </c>
      <c r="I43" s="323" t="n">
        <f aca="false">2500000*AF16*2</f>
        <v>20000000</v>
      </c>
      <c r="J43" s="324" t="n">
        <f aca="false">I43/$AF$6</f>
        <v>54054.0540540541</v>
      </c>
      <c r="K43" s="65" t="n">
        <v>0.2</v>
      </c>
      <c r="L43" s="323" t="n">
        <f aca="false">(J43+(J43*K43*(G43/365)))*(1+K43)^($AF$18-F43)</f>
        <v>64657.5342465753</v>
      </c>
      <c r="M43" s="323" t="n">
        <f aca="false">L43-J43</f>
        <v>10603.4801925213</v>
      </c>
      <c r="N43" s="323" t="n">
        <f aca="false">((J43+(J43*K43*(G43/365)))*(1+K43)^($AF$18-F43-1))*(1+K43*(180/365))</f>
        <v>59195.596422093</v>
      </c>
      <c r="O43" s="323" t="n">
        <f aca="false">N43-J43</f>
        <v>5141.5423680389</v>
      </c>
      <c r="P43" s="133" t="s">
        <v>2508</v>
      </c>
      <c r="Q43" s="65" t="n">
        <v>0.2</v>
      </c>
      <c r="R43" s="323" t="n">
        <f aca="false">IF(Q43&lt;0.2,(J43+(J43*Q43*(G43/365)))*(1+Q43)^($AF$18-F43),J43*2)</f>
        <v>108108.108108108</v>
      </c>
      <c r="S43" s="323" t="n">
        <f aca="false">R43-J43</f>
        <v>54054.0540540541</v>
      </c>
      <c r="T43" s="323" t="n">
        <f aca="false">IF(K43&lt;0.2,N43*IF(J43=0,0,Y43/J43),MAX(N43*IF(J43=0,0,Y43/J43),Y43*2))</f>
        <v>108108.108108108</v>
      </c>
      <c r="U43" s="323" t="n">
        <f aca="false">T43-Y43</f>
        <v>54054.0540540541</v>
      </c>
      <c r="V43" s="323" t="n">
        <f aca="false">IF(K43&lt;0.2,L43*IF(J43=0,0,Y43/J43),MAX(L43*IF(J43=0,0,Y43/J43),Y43*2))</f>
        <v>108108.108108108</v>
      </c>
      <c r="W43" s="323" t="n">
        <f aca="false">V43-Y43</f>
        <v>54054.0540540541</v>
      </c>
      <c r="X43" s="323" t="n">
        <v>1</v>
      </c>
      <c r="Y43" s="323" t="n">
        <f aca="false">J43*X43</f>
        <v>54054.0540540541</v>
      </c>
      <c r="Z43" s="323" t="n">
        <f aca="false">IF(K43=$AB$41,$AH$62*Y43*MAX(0,G43/365+YEAR($AB$44)-F43),Y43*((1+$AH$63*G43/365)*(1+$AH$63)^(YEAR($AB$44)-F43)-1))</f>
        <v>4718.54868567197</v>
      </c>
      <c r="AA43" s="133" t="s">
        <v>2509</v>
      </c>
      <c r="AB43" s="325" t="n">
        <f aca="false">DATE(2026,10,26)</f>
        <v>46321</v>
      </c>
    </row>
    <row r="44" customFormat="false" ht="15" hidden="false" customHeight="false" outlineLevel="0" collapsed="false">
      <c r="C44" s="322" t="n">
        <f aca="false">C43-60</f>
        <v>47066</v>
      </c>
      <c r="D44" s="322" t="n">
        <f aca="false">C44</f>
        <v>47066</v>
      </c>
      <c r="E44" s="322" t="n">
        <f aca="false">C44</f>
        <v>47066</v>
      </c>
      <c r="F44" s="153" t="n">
        <f aca="false">YEAR(E44)</f>
        <v>2028</v>
      </c>
      <c r="G44" s="153" t="n">
        <f aca="false">DATE(YEAR(E44),12,31)-E44+1</f>
        <v>53</v>
      </c>
      <c r="H44" s="133" t="s">
        <v>324</v>
      </c>
      <c r="I44" s="323" t="n">
        <f aca="false">1500000*AF16*2</f>
        <v>12000000</v>
      </c>
      <c r="J44" s="324" t="n">
        <f aca="false">I44/$AF$6</f>
        <v>32432.4324324324</v>
      </c>
      <c r="K44" s="65" t="n">
        <v>0.2</v>
      </c>
      <c r="L44" s="323" t="n">
        <f aca="false">(J44+(J44*K44*(G44/365)))*(1+K44)^($AF$18-F44)</f>
        <v>40049.1669751944</v>
      </c>
      <c r="M44" s="323" t="n">
        <f aca="false">L44-J44</f>
        <v>7616.73454276194</v>
      </c>
      <c r="N44" s="323" t="n">
        <f aca="false">((J44+(J44*K44*(G44/365)))*(1+K44)^($AF$18-F44-1))*(1+K44*(180/365))</f>
        <v>36666.0181667875</v>
      </c>
      <c r="O44" s="323" t="n">
        <f aca="false">N44-J44</f>
        <v>4233.58573435511</v>
      </c>
      <c r="P44" s="133" t="s">
        <v>2508</v>
      </c>
      <c r="Q44" s="65" t="n">
        <v>0.2</v>
      </c>
      <c r="R44" s="323" t="n">
        <f aca="false">IF(Q44&lt;0.2,(J44+(J44*Q44*(G44/365)))*(1+Q44)^($AF$18-F44),J44*2)</f>
        <v>64864.8648648649</v>
      </c>
      <c r="S44" s="323" t="n">
        <f aca="false">R44-J44</f>
        <v>32432.4324324324</v>
      </c>
      <c r="T44" s="323" t="n">
        <f aca="false">IF(K44&lt;0.2,N44*IF(J44=0,0,Y44/J44),MAX(N44*IF(J44=0,0,Y44/J44),Y44*2))</f>
        <v>64864.8648648649</v>
      </c>
      <c r="U44" s="323" t="n">
        <f aca="false">T44-Y44</f>
        <v>32432.4324324324</v>
      </c>
      <c r="V44" s="323" t="n">
        <f aca="false">IF(K44&lt;0.2,L44*IF(J44=0,0,Y44/J44),MAX(L44*IF(J44=0,0,Y44/J44),Y44*2))</f>
        <v>64864.8648648649</v>
      </c>
      <c r="W44" s="323" t="n">
        <f aca="false">V44-Y44</f>
        <v>32432.4324324324</v>
      </c>
      <c r="X44" s="323" t="n">
        <v>1</v>
      </c>
      <c r="Y44" s="323" t="n">
        <f aca="false">J44*X44</f>
        <v>32432.4324324324</v>
      </c>
      <c r="Z44" s="323" t="n">
        <f aca="false">IF(K44=$AB$41,$AH$62*Y44*MAX(0,G44/365+YEAR($AB$44)-F44),Y44*((1+$AH$63*G44/365)*(1+$AH$63)^(YEAR($AB$44)-F44)-1))</f>
        <v>3342.92303591262</v>
      </c>
      <c r="AA44" s="133" t="s">
        <v>2510</v>
      </c>
      <c r="AB44" s="325" t="n">
        <f aca="false">DATE(2029,12,31)</f>
        <v>47483</v>
      </c>
    </row>
    <row r="45" customFormat="false" ht="15" hidden="false" customHeight="false" outlineLevel="0" collapsed="false">
      <c r="B45" s="0" t="s">
        <v>338</v>
      </c>
      <c r="C45" s="322" t="s">
        <v>2511</v>
      </c>
      <c r="D45" s="322" t="s">
        <v>2511</v>
      </c>
      <c r="E45" s="322" t="s">
        <v>2511</v>
      </c>
      <c r="F45" s="153" t="n">
        <v>2027</v>
      </c>
      <c r="G45" s="153" t="n">
        <v>0</v>
      </c>
      <c r="H45" s="133" t="s">
        <v>338</v>
      </c>
      <c r="I45" s="323" t="n">
        <f aca="false">J45*$AF$6</f>
        <v>7400000</v>
      </c>
      <c r="J45" s="324" t="n">
        <v>20000</v>
      </c>
      <c r="K45" s="65" t="n">
        <v>0.2</v>
      </c>
      <c r="L45" s="323" t="n">
        <f aca="false">(J45+(J45*K45*(G45/365)))*(1+K45)^($AF$18-F45)</f>
        <v>28800</v>
      </c>
      <c r="M45" s="323" t="n">
        <f aca="false">L45-J45</f>
        <v>8800</v>
      </c>
      <c r="N45" s="323" t="n">
        <f aca="false">((J45+(J45*K45*(G45/365)))*(1+K45)^($AF$18-F45-1))*(1+K45*(180/365))</f>
        <v>26367.1232876712</v>
      </c>
      <c r="O45" s="323" t="n">
        <f aca="false">N45-J45</f>
        <v>6367.12328767124</v>
      </c>
      <c r="Q45" s="65" t="n">
        <v>0.2</v>
      </c>
      <c r="R45" s="323" t="n">
        <f aca="false">IF(Q45&lt;0.2,(J45+(J45*Q45*(G45/365)))*(1+Q45)^($AF$18-F45),J45*2)</f>
        <v>40000</v>
      </c>
      <c r="S45" s="323" t="n">
        <f aca="false">R45-J45</f>
        <v>20000</v>
      </c>
      <c r="T45" s="323" t="n">
        <f aca="false">IF(K45&lt;0.2,N45*IF(J45=0,0,Y45/J45),MAX(N45*IF(J45=0,0,Y45/J45),Y45*2))</f>
        <v>40000</v>
      </c>
      <c r="U45" s="323" t="n">
        <f aca="false">T45-Y45</f>
        <v>20000</v>
      </c>
      <c r="V45" s="323" t="n">
        <f aca="false">IF(K45&lt;0.2,L45*IF(J45=0,0,Y45/J45),MAX(L45*IF(J45=0,0,Y45/J45),Y45*2))</f>
        <v>40000</v>
      </c>
      <c r="W45" s="323" t="n">
        <f aca="false">V45-Y45</f>
        <v>20000</v>
      </c>
      <c r="X45" s="323" t="n">
        <v>1</v>
      </c>
      <c r="Y45" s="323" t="n">
        <f aca="false">J45*X45</f>
        <v>20000</v>
      </c>
      <c r="Z45" s="323" t="n">
        <f aca="false">IF(K45=$AB$41,$AH$62*Y45*MAX(0,G45/365+YEAR($AB$44)-F45),Y45*((1+$AH$63*G45/365)*(1+$AH$63)^(YEAR($AB$44)-F45)-1))</f>
        <v>3718.42</v>
      </c>
      <c r="AB45" s="133" t="s">
        <v>2442</v>
      </c>
      <c r="AD45" s="133" t="s">
        <v>2512</v>
      </c>
      <c r="AG45" s="133" t="s">
        <v>2513</v>
      </c>
      <c r="AL45" s="133" t="s">
        <v>2514</v>
      </c>
      <c r="AV45" s="133" t="s">
        <v>2515</v>
      </c>
    </row>
    <row r="46" customFormat="false" ht="15" hidden="false" customHeight="false" outlineLevel="0" collapsed="false">
      <c r="B46" s="0" t="s">
        <v>339</v>
      </c>
      <c r="C46" s="322" t="s">
        <v>2511</v>
      </c>
      <c r="D46" s="322" t="s">
        <v>2511</v>
      </c>
      <c r="E46" s="322" t="s">
        <v>2511</v>
      </c>
      <c r="F46" s="153" t="n">
        <v>2027</v>
      </c>
      <c r="G46" s="153" t="n">
        <v>0</v>
      </c>
      <c r="H46" s="133" t="s">
        <v>339</v>
      </c>
      <c r="I46" s="323" t="n">
        <f aca="false">J46*$AF$6</f>
        <v>29600000</v>
      </c>
      <c r="J46" s="324" t="n">
        <v>80000</v>
      </c>
      <c r="K46" s="65" t="n">
        <v>0.2</v>
      </c>
      <c r="L46" s="323" t="n">
        <f aca="false">(J46+(J46*K46*(G46/365)))*(1+K46)^($AF$18-F46)</f>
        <v>115200</v>
      </c>
      <c r="M46" s="323" t="n">
        <f aca="false">L46-J46</f>
        <v>35200</v>
      </c>
      <c r="N46" s="323" t="n">
        <f aca="false">((J46+(J46*K46*(G46/365)))*(1+K46)^($AF$18-F46-1))*(1+K46*(180/365))</f>
        <v>105468.493150685</v>
      </c>
      <c r="O46" s="323" t="n">
        <f aca="false">N46-J46</f>
        <v>25468.4931506849</v>
      </c>
      <c r="Q46" s="65" t="n">
        <v>0.2</v>
      </c>
      <c r="R46" s="323" t="n">
        <f aca="false">IF(Q46&lt;0.2,(J46+(J46*Q46*(G46/365)))*(1+Q46)^($AF$18-F46),J46*2)</f>
        <v>160000</v>
      </c>
      <c r="S46" s="323" t="n">
        <f aca="false">R46-J46</f>
        <v>80000</v>
      </c>
      <c r="T46" s="323" t="n">
        <f aca="false">IF(K46&lt;0.2,N46*IF(J46=0,0,Y46/J46),MAX(N46*IF(J46=0,0,Y46/J46),Y46*2))</f>
        <v>0</v>
      </c>
      <c r="U46" s="323" t="n">
        <f aca="false">T46-Y46</f>
        <v>0</v>
      </c>
      <c r="V46" s="323" t="n">
        <f aca="false">IF(K46&lt;0.2,L46*IF(J46=0,0,Y46/J46),MAX(L46*IF(J46=0,0,Y46/J46),Y46*2))</f>
        <v>0</v>
      </c>
      <c r="W46" s="323" t="n">
        <f aca="false">V46-Y46</f>
        <v>0</v>
      </c>
      <c r="X46" s="323" t="n">
        <v>0</v>
      </c>
      <c r="Y46" s="323" t="n">
        <f aca="false">J46*X46</f>
        <v>0</v>
      </c>
      <c r="Z46" s="323" t="n">
        <f aca="false">IF(K46=$AB$41,$AH$62*Y46*MAX(0,G46/365+YEAR($AB$44)-F46),Y46*((1+$AH$63*G46/365)*(1+$AH$63)^(YEAR($AB$44)-F46)-1))</f>
        <v>0</v>
      </c>
      <c r="AB46" s="323" t="s">
        <v>2516</v>
      </c>
      <c r="AC46" s="323" t="s">
        <v>2517</v>
      </c>
      <c r="AD46" s="323" t="s">
        <v>2516</v>
      </c>
      <c r="AE46" s="323" t="s">
        <v>2517</v>
      </c>
      <c r="AH46" s="323" t="s">
        <v>2516</v>
      </c>
      <c r="AI46" s="323" t="s">
        <v>2517</v>
      </c>
      <c r="AM46" s="323" t="s">
        <v>2516</v>
      </c>
      <c r="AN46" s="323" t="s">
        <v>2517</v>
      </c>
      <c r="AW46" s="323" t="s">
        <v>2516</v>
      </c>
      <c r="AX46" s="323" t="s">
        <v>2517</v>
      </c>
    </row>
    <row r="47" customFormat="false" ht="15" hidden="false" customHeight="false" outlineLevel="0" collapsed="false">
      <c r="B47" s="0" t="s">
        <v>2423</v>
      </c>
      <c r="C47" s="322" t="s">
        <v>2511</v>
      </c>
      <c r="D47" s="322" t="s">
        <v>2511</v>
      </c>
      <c r="E47" s="322" t="s">
        <v>2511</v>
      </c>
      <c r="F47" s="153" t="n">
        <v>2027</v>
      </c>
      <c r="G47" s="153" t="n">
        <v>0</v>
      </c>
      <c r="H47" s="133" t="s">
        <v>2423</v>
      </c>
      <c r="I47" s="323" t="n">
        <f aca="false">J47*$AF$6</f>
        <v>18500000</v>
      </c>
      <c r="J47" s="324" t="n">
        <v>50000</v>
      </c>
      <c r="K47" s="65" t="n">
        <v>0.2</v>
      </c>
      <c r="L47" s="323" t="n">
        <f aca="false">(J47+(J47*K47*(G47/365)))*(1+K47)^($AF$18-F47)</f>
        <v>72000</v>
      </c>
      <c r="M47" s="323" t="n">
        <f aca="false">L47-J47</f>
        <v>22000</v>
      </c>
      <c r="N47" s="323" t="n">
        <f aca="false">((J47+(J47*K47*(G47/365)))*(1+K47)^($AF$18-F47-1))*(1+K47*(180/365))</f>
        <v>65917.8082191781</v>
      </c>
      <c r="O47" s="323" t="n">
        <f aca="false">N47-J47</f>
        <v>15917.8082191781</v>
      </c>
      <c r="Q47" s="65" t="n">
        <v>0.2</v>
      </c>
      <c r="R47" s="323" t="n">
        <f aca="false">IF(Q47&lt;0.2,(J47+(J47*Q47*(G47/365)))*(1+Q47)^($AF$18-F47),J47*2)</f>
        <v>100000</v>
      </c>
      <c r="S47" s="323" t="n">
        <f aca="false">R47-J47</f>
        <v>50000</v>
      </c>
      <c r="T47" s="323" t="n">
        <f aca="false">IF(K47&lt;0.2,N47*IF(J47=0,0,Y47/J47),MAX(N47*IF(J47=0,0,Y47/J47),Y47*2))</f>
        <v>0</v>
      </c>
      <c r="U47" s="323" t="n">
        <f aca="false">T47-Y47</f>
        <v>0</v>
      </c>
      <c r="V47" s="323" t="n">
        <f aca="false">IF(K47&lt;0.2,L47*IF(J47=0,0,Y47/J47),MAX(L47*IF(J47=0,0,Y47/J47),Y47*2))</f>
        <v>0</v>
      </c>
      <c r="W47" s="323" t="n">
        <f aca="false">V47-Y47</f>
        <v>0</v>
      </c>
      <c r="X47" s="323" t="n">
        <v>0</v>
      </c>
      <c r="Y47" s="323" t="n">
        <f aca="false">J47*X47</f>
        <v>0</v>
      </c>
      <c r="Z47" s="323" t="n">
        <f aca="false">IF(K47=$AB$41,$AH$62*Y47*MAX(0,G47/365+YEAR($AB$44)-F47),Y47*((1+$AH$63*G47/365)*(1+$AH$63)^(YEAR($AB$44)-F47)-1))</f>
        <v>0</v>
      </c>
      <c r="AA47" s="133" t="s">
        <v>2518</v>
      </c>
      <c r="AB47" s="323" t="n">
        <v>30000000</v>
      </c>
      <c r="AC47" s="323" t="n">
        <v>150000</v>
      </c>
      <c r="AD47" s="323" t="n">
        <f aca="false">150000*200</f>
        <v>30000000</v>
      </c>
      <c r="AE47" s="323" t="n">
        <f aca="false">AD47/200</f>
        <v>150000</v>
      </c>
      <c r="AG47" s="133" t="s">
        <v>2518</v>
      </c>
      <c r="AH47" s="323" t="n">
        <f aca="false">150000*200</f>
        <v>30000000</v>
      </c>
      <c r="AI47" s="323" t="n">
        <f aca="false">AH47/200</f>
        <v>150000</v>
      </c>
      <c r="AL47" s="133" t="s">
        <v>2518</v>
      </c>
      <c r="AM47" s="323" t="n">
        <f aca="false">150000*200</f>
        <v>30000000</v>
      </c>
      <c r="AN47" s="323" t="n">
        <f aca="false">AM47/200</f>
        <v>150000</v>
      </c>
      <c r="AV47" s="133" t="s">
        <v>2518</v>
      </c>
      <c r="AW47" s="323" t="n">
        <f aca="false">150000*200</f>
        <v>30000000</v>
      </c>
      <c r="AX47" s="323" t="n">
        <f aca="false">AW47/200</f>
        <v>150000</v>
      </c>
    </row>
    <row r="48" customFormat="false" ht="15" hidden="false" customHeight="false" outlineLevel="0" collapsed="false">
      <c r="B48" s="0" t="s">
        <v>2424</v>
      </c>
      <c r="C48" s="322" t="n">
        <f aca="false">D43</f>
        <v>47201</v>
      </c>
      <c r="D48" s="322" t="n">
        <f aca="false">C48</f>
        <v>47201</v>
      </c>
      <c r="E48" s="322" t="n">
        <f aca="false">C48</f>
        <v>47201</v>
      </c>
      <c r="F48" s="153" t="n">
        <f aca="false">YEAR(E48)</f>
        <v>2029</v>
      </c>
      <c r="G48" s="153" t="n">
        <f aca="false">DATE(YEAR(E48),12,31)-E48+1</f>
        <v>283</v>
      </c>
      <c r="H48" s="133" t="s">
        <v>2486</v>
      </c>
      <c r="I48" s="323" t="n">
        <f aca="false">38000000*0.4*6</f>
        <v>91200000</v>
      </c>
      <c r="J48" s="324" t="n">
        <f aca="false">I48/$AF$6</f>
        <v>246486.486486486</v>
      </c>
      <c r="K48" s="65" t="n">
        <v>0.2</v>
      </c>
      <c r="L48" s="323" t="n">
        <f aca="false">(J48+(J48*K48*(G48/365)))*(1+K48)^($AF$18-F48)</f>
        <v>284708.774527953</v>
      </c>
      <c r="M48" s="323" t="n">
        <f aca="false">L48-J48</f>
        <v>38222.2880414661</v>
      </c>
      <c r="N48" s="323" t="n">
        <f aca="false">((J48+(J48*K48*(G48/365)))*(1+K48)^($AF$18-F48-1))*(1+K48*(180/365))</f>
        <v>260658.033300706</v>
      </c>
      <c r="O48" s="323" t="n">
        <f aca="false">N48-J48</f>
        <v>14171.546814219</v>
      </c>
      <c r="Q48" s="65" t="n">
        <v>0.2</v>
      </c>
      <c r="R48" s="323" t="n">
        <f aca="false">IF(Q48&lt;0.2,(J48+(J48*Q48*(G48/365)))*(1+Q48)^($AF$18-F48),J48*2)</f>
        <v>492972.972972973</v>
      </c>
      <c r="S48" s="323" t="n">
        <f aca="false">R48-J48</f>
        <v>246486.486486486</v>
      </c>
      <c r="T48" s="323" t="n">
        <f aca="false">IF(K48&lt;0.2,N48*IF(J48=0,0,Y48/J48),MAX(N48*IF(J48=0,0,Y48/J48),Y48*2))</f>
        <v>0</v>
      </c>
      <c r="U48" s="323" t="n">
        <f aca="false">T48-Y48</f>
        <v>0</v>
      </c>
      <c r="V48" s="323" t="n">
        <f aca="false">IF(K48&lt;0.2,L48*IF(J48=0,0,Y48/J48),MAX(L48*IF(J48=0,0,Y48/J48),Y48*2))</f>
        <v>0</v>
      </c>
      <c r="W48" s="323" t="n">
        <f aca="false">V48-Y48</f>
        <v>0</v>
      </c>
      <c r="X48" s="323" t="n">
        <v>0</v>
      </c>
      <c r="Y48" s="323" t="n">
        <f aca="false">J48*X48</f>
        <v>0</v>
      </c>
      <c r="Z48" s="323" t="n">
        <f aca="false">IF(K48=$AB$41,$AH$62*Y48*MAX(0,G48/365+YEAR($AB$44)-F48),Y48*((1+$AH$63*G48/365)*(1+$AH$63)^(YEAR($AB$44)-F48)-1))</f>
        <v>0</v>
      </c>
      <c r="AA48" s="133" t="s">
        <v>2519</v>
      </c>
      <c r="AB48" s="323" t="n">
        <v>7143669.15248601</v>
      </c>
      <c r="AC48" s="323" t="n">
        <v>35718.34576243</v>
      </c>
      <c r="AD48" s="323" t="n">
        <f aca="false">S50</f>
        <v>60694745.7833869</v>
      </c>
      <c r="AE48" s="323" t="n">
        <f aca="false">AD48/200</f>
        <v>303473.728916935</v>
      </c>
      <c r="AG48" s="133" t="s">
        <v>2520</v>
      </c>
      <c r="AH48" s="323" t="n">
        <v>500000</v>
      </c>
      <c r="AI48" s="323" t="n">
        <f aca="false">AH48/200</f>
        <v>2500</v>
      </c>
      <c r="AL48" s="133" t="s">
        <v>2520</v>
      </c>
      <c r="AM48" s="323" t="n">
        <v>150000</v>
      </c>
      <c r="AN48" s="323" t="n">
        <f aca="false">AM48/200</f>
        <v>750</v>
      </c>
      <c r="AV48" s="133" t="s">
        <v>2520</v>
      </c>
      <c r="AW48" s="323" t="n">
        <f aca="false">AH48</f>
        <v>500000</v>
      </c>
      <c r="AX48" s="323" t="n">
        <f aca="false">AW48/200</f>
        <v>2500</v>
      </c>
    </row>
    <row r="49" customFormat="false" ht="15" hidden="false" customHeight="false" outlineLevel="0" collapsed="false">
      <c r="B49" s="0" t="s">
        <v>101</v>
      </c>
      <c r="C49" s="322" t="s">
        <v>2511</v>
      </c>
      <c r="D49" s="322" t="s">
        <v>2511</v>
      </c>
      <c r="E49" s="322" t="s">
        <v>2511</v>
      </c>
      <c r="F49" s="153" t="n">
        <v>2028</v>
      </c>
      <c r="G49" s="153" t="n">
        <v>0</v>
      </c>
      <c r="H49" s="133" t="s">
        <v>101</v>
      </c>
      <c r="I49" s="323" t="n">
        <f aca="false">0.1*(SUM(I5:I48)-I6-I7-I8-I18-I19-I9-I10-I11-I12-I13)</f>
        <v>106258615.62449</v>
      </c>
      <c r="J49" s="323" t="n">
        <f aca="false">0.1*(SUM(J5:J48)-J6-J7-J8-J18-J19-J9-J10-J11-J12-J13)</f>
        <v>287185.447633756</v>
      </c>
      <c r="K49" s="65" t="n">
        <v>0.2</v>
      </c>
      <c r="L49" s="323" t="n">
        <f aca="false">(J49+(J49*K49*(G49/365)))*(1+K49)^($AF$18-F49)</f>
        <v>344622.537160507</v>
      </c>
      <c r="M49" s="323" t="n">
        <f aca="false">L49-J49</f>
        <v>57437.0895267512</v>
      </c>
      <c r="N49" s="323" t="n">
        <f aca="false">((J49+(J49*K49*(G49/365)))*(1+K49)^($AF$18-F49-1))*(1+K49*(180/365))</f>
        <v>315510.587674346</v>
      </c>
      <c r="O49" s="323" t="n">
        <f aca="false">N49-J49</f>
        <v>28325.1400405896</v>
      </c>
      <c r="Q49" s="65" t="n">
        <v>0.2</v>
      </c>
      <c r="R49" s="323" t="n">
        <f aca="false">IF(Q49&lt;0.2,(J49+(J49*Q49*(G49/365)))*(1+Q49)^($AF$18-F49),J49*2)</f>
        <v>574370.895267512</v>
      </c>
      <c r="S49" s="323" t="n">
        <f aca="false">R49-J49</f>
        <v>287185.447633756</v>
      </c>
      <c r="T49" s="323" t="n">
        <f aca="false">IF(K49&lt;0.2,N49*IF(J49=0,0,Y49/J49),MAX(N49*IF(J49=0,0,Y49/J49),Y49*2))</f>
        <v>463294.949321564</v>
      </c>
      <c r="U49" s="323" t="n">
        <f aca="false">T49-Y49</f>
        <v>231647.474660782</v>
      </c>
      <c r="V49" s="323" t="n">
        <f aca="false">IF(K49&lt;0.2,L49*IF(J49=0,0,Y49/J49),MAX(L49*IF(J49=0,0,Y49/J49),Y49*2))</f>
        <v>463294.949321564</v>
      </c>
      <c r="W49" s="323" t="n">
        <f aca="false">V49-Y49</f>
        <v>231647.474660782</v>
      </c>
      <c r="Y49" s="323" t="n">
        <f aca="false">0.1*(SUM(Y5:Y48)-Y6-Y7-Y8-Y9-Y10-Y11-Y12-Y13-Y18-Y19)</f>
        <v>231647.474660782</v>
      </c>
      <c r="Z49" s="323" t="n">
        <f aca="false">IF(K49=$AB$41,$AH$62*Y49*MAX(0,G49/365+YEAR($AB$44)-F49),Y49*((1+$AH$63*G49/365)*(1+$AH$63)^(YEAR($AB$44)-F49)-1))</f>
        <v>20616.6252448096</v>
      </c>
      <c r="AA49" s="133" t="s">
        <v>2521</v>
      </c>
      <c r="AB49" s="323" t="n">
        <v>1500000</v>
      </c>
      <c r="AC49" s="323" t="n">
        <v>7500</v>
      </c>
      <c r="AD49" s="323" t="n">
        <f aca="false">2500*3*200</f>
        <v>1500000</v>
      </c>
      <c r="AE49" s="323" t="n">
        <f aca="false">AD49/200</f>
        <v>7500</v>
      </c>
      <c r="AG49" s="133" t="s">
        <v>2519</v>
      </c>
      <c r="AH49" s="323" t="n">
        <f aca="false">U50</f>
        <v>8170313.02679338</v>
      </c>
      <c r="AI49" s="323" t="n">
        <f aca="false">AH49/200</f>
        <v>40851.5651339669</v>
      </c>
      <c r="AL49" s="133" t="s">
        <v>2519</v>
      </c>
      <c r="AM49" s="323" t="n">
        <f aca="false">W50</f>
        <v>11255602.6108997</v>
      </c>
      <c r="AN49" s="323" t="n">
        <f aca="false">AM49/200</f>
        <v>56278.0130544986</v>
      </c>
      <c r="AV49" s="133" t="s">
        <v>2519</v>
      </c>
      <c r="AW49" s="323" t="n">
        <f aca="false">AH49</f>
        <v>8170313.02679338</v>
      </c>
      <c r="AX49" s="323" t="n">
        <f aca="false">AW49/200</f>
        <v>40851.5651339669</v>
      </c>
    </row>
    <row r="50" customFormat="false" ht="15" hidden="false" customHeight="false" outlineLevel="0" collapsed="false">
      <c r="B50" s="0" t="s">
        <v>2522</v>
      </c>
      <c r="I50" s="323" t="n">
        <f aca="false">SUM(I5:I49)</f>
        <v>22460451775.8694</v>
      </c>
      <c r="J50" s="323" t="n">
        <f aca="false">SUM(J5:J49)</f>
        <v>60703923.7185659</v>
      </c>
      <c r="L50" s="323" t="n">
        <f aca="false">SUM(L5:L49)</f>
        <v>70642902.3238563</v>
      </c>
      <c r="M50" s="323" t="n">
        <f aca="false">SUM(M5:M49)</f>
        <v>9938978.60529042</v>
      </c>
      <c r="N50" s="323" t="n">
        <f aca="false">SUM(N5:N49)</f>
        <v>67174350.2713337</v>
      </c>
      <c r="O50" s="323" t="n">
        <f aca="false">SUM(O5:O49)</f>
        <v>6470426.55276779</v>
      </c>
      <c r="R50" s="323" t="n">
        <f aca="false">SUM(R5:R49)</f>
        <v>121398669.501953</v>
      </c>
      <c r="S50" s="323" t="n">
        <f aca="false">SUM(S5:S49)</f>
        <v>60694745.7833869</v>
      </c>
      <c r="T50" s="323" t="n">
        <f aca="false">SUM(T5:T49)</f>
        <v>68263319.0426566</v>
      </c>
      <c r="U50" s="323" t="n">
        <f aca="false">SUM(U5:U49)</f>
        <v>8170313.02679338</v>
      </c>
      <c r="V50" s="323" t="n">
        <f aca="false">SUM(V5:V49)</f>
        <v>71348608.6267629</v>
      </c>
      <c r="W50" s="323" t="n">
        <f aca="false">SUM(W5:W49)</f>
        <v>11255602.6108997</v>
      </c>
      <c r="Y50" s="323" t="n">
        <f aca="false">SUM(Y5:Y49)</f>
        <v>60093006.0158632</v>
      </c>
      <c r="Z50" s="323" t="n">
        <f aca="false">SUM(Z5:Z49)</f>
        <v>7457250.61197354</v>
      </c>
      <c r="AA50" s="133" t="s">
        <v>2523</v>
      </c>
      <c r="AB50" s="323" t="n">
        <v>21356330.847514</v>
      </c>
      <c r="AC50" s="323" t="n">
        <v>106781.65423757</v>
      </c>
      <c r="AD50" s="323" t="n">
        <f aca="false">IF(AD47-AD48-AD49&lt;0,0,AD47-AD48-AD49)</f>
        <v>0</v>
      </c>
      <c r="AE50" s="323" t="n">
        <f aca="false">AD50/200</f>
        <v>0</v>
      </c>
      <c r="AG50" s="133" t="s">
        <v>2521</v>
      </c>
      <c r="AH50" s="323" t="n">
        <f aca="false">$AB$42*$AF$7*YEARFRAC($AB$43,$AB$44)</f>
        <v>1590277.77777778</v>
      </c>
      <c r="AI50" s="323" t="n">
        <f aca="false">AH50/200</f>
        <v>7951.38888888889</v>
      </c>
      <c r="AL50" s="133" t="s">
        <v>2521</v>
      </c>
      <c r="AM50" s="323" t="n">
        <f aca="false">2500*3*200</f>
        <v>1500000</v>
      </c>
      <c r="AN50" s="323" t="n">
        <f aca="false">AM50/200</f>
        <v>7500</v>
      </c>
      <c r="AV50" s="133" t="s">
        <v>2521</v>
      </c>
      <c r="AW50" s="323" t="n">
        <f aca="false">AH50</f>
        <v>1590277.77777778</v>
      </c>
      <c r="AX50" s="323" t="n">
        <f aca="false">AW50/200</f>
        <v>7951.38888888889</v>
      </c>
    </row>
    <row r="51" customFormat="false" ht="15" hidden="false" customHeight="false" outlineLevel="0" collapsed="false">
      <c r="B51" s="0" t="s">
        <v>2524</v>
      </c>
      <c r="I51" s="323" t="n">
        <f aca="false">I50/$AF$7</f>
        <v>112302258.879347</v>
      </c>
      <c r="J51" s="323" t="n">
        <f aca="false">J50/$AF$7</f>
        <v>303519.61859283</v>
      </c>
      <c r="L51" s="323" t="n">
        <f aca="false">L50/$AF$7</f>
        <v>353214.511619282</v>
      </c>
      <c r="M51" s="323" t="n">
        <f aca="false">M50/$AF$7</f>
        <v>49694.8930264521</v>
      </c>
      <c r="N51" s="323" t="n">
        <f aca="false">N50/$AF$7</f>
        <v>335871.751356669</v>
      </c>
      <c r="O51" s="323" t="n">
        <f aca="false">O50/$AF$7</f>
        <v>32352.132763839</v>
      </c>
      <c r="R51" s="323" t="n">
        <f aca="false">R50/$AF$7</f>
        <v>606993.347509764</v>
      </c>
      <c r="S51" s="323" t="n">
        <f aca="false">S50/$AF$7</f>
        <v>303473.728916935</v>
      </c>
      <c r="T51" s="323" t="n">
        <f aca="false">T50/$AF$7</f>
        <v>341316.595213283</v>
      </c>
      <c r="U51" s="323" t="n">
        <f aca="false">U50/$AF$7</f>
        <v>40851.5651339669</v>
      </c>
      <c r="V51" s="323" t="n">
        <f aca="false">V50/$AF$7</f>
        <v>356743.043133815</v>
      </c>
      <c r="W51" s="323" t="n">
        <f aca="false">W50/$AF$7</f>
        <v>56278.0130544986</v>
      </c>
      <c r="AA51" s="133" t="s">
        <v>2525</v>
      </c>
      <c r="AB51" s="323" t="n">
        <v>14949431.5932598</v>
      </c>
      <c r="AC51" s="323" t="n">
        <v>74747.157966299</v>
      </c>
      <c r="AD51" s="323" t="n">
        <f aca="false">AD50*0.7</f>
        <v>0</v>
      </c>
      <c r="AE51" s="323" t="n">
        <f aca="false">AD51/200</f>
        <v>0</v>
      </c>
      <c r="AG51" s="133" t="s">
        <v>1102</v>
      </c>
      <c r="AH51" s="323" t="n">
        <f aca="false">AH47-AH49-AH50-AH48</f>
        <v>19739409.1954288</v>
      </c>
      <c r="AI51" s="323" t="n">
        <f aca="false">AH51/200</f>
        <v>98697.0459771442</v>
      </c>
      <c r="AL51" s="133" t="s">
        <v>1102</v>
      </c>
      <c r="AM51" s="323" t="n">
        <f aca="false">AM47-AM49-AM50-AM48</f>
        <v>17094397.3891003</v>
      </c>
      <c r="AN51" s="323" t="n">
        <f aca="false">AM51/200</f>
        <v>85471.9869455014</v>
      </c>
      <c r="AV51" s="133" t="s">
        <v>1102</v>
      </c>
      <c r="AW51" s="323" t="n">
        <f aca="false">AW47-AW49-AW50-AW48</f>
        <v>19739409.1954288</v>
      </c>
      <c r="AX51" s="323" t="n">
        <f aca="false">AW51/200</f>
        <v>98697.0459771442</v>
      </c>
    </row>
    <row r="52" customFormat="false" ht="15" hidden="false" customHeight="false" outlineLevel="0" collapsed="false">
      <c r="B52" s="0" t="s">
        <v>2526</v>
      </c>
      <c r="I52" s="323" t="n">
        <f aca="false">I50-I6-I7-I8-I18-I19-I9-I10-I11-I12-I13</f>
        <v>1168844771.86939</v>
      </c>
      <c r="J52" s="323" t="n">
        <f aca="false">J50-J54-J14-J15</f>
        <v>2980146.68072807</v>
      </c>
      <c r="L52" s="323" t="n">
        <f aca="false">L50-L54</f>
        <v>4560253.4476949</v>
      </c>
      <c r="M52" s="326" t="n">
        <f aca="false">M50-M54</f>
        <v>1401213.52372359</v>
      </c>
      <c r="N52" s="323" t="n">
        <f aca="false">N50-N54</f>
        <v>4175728.13720663</v>
      </c>
      <c r="O52" s="323" t="n">
        <f aca="false">O50-O54</f>
        <v>1016688.21323532</v>
      </c>
      <c r="R52" s="323" t="n">
        <f aca="false">R50-R54</f>
        <v>6308901.91276366</v>
      </c>
      <c r="S52" s="323" t="n">
        <f aca="false">S50-S54</f>
        <v>3149861.98879235</v>
      </c>
      <c r="T52" s="323" t="n">
        <f aca="false">T50-T54</f>
        <v>5264696.90852952</v>
      </c>
      <c r="U52" s="323" t="n">
        <f aca="false">U50-U54</f>
        <v>2716574.6872609</v>
      </c>
      <c r="V52" s="323" t="n">
        <f aca="false">V50-V54</f>
        <v>5265959.7506015</v>
      </c>
      <c r="W52" s="323" t="n">
        <f aca="false">W50-W54</f>
        <v>2717837.52933289</v>
      </c>
      <c r="Y52" s="323" t="n">
        <f aca="false">Y50-Y54</f>
        <v>2548122.22126861</v>
      </c>
      <c r="AA52" s="133" t="s">
        <v>2527</v>
      </c>
      <c r="AB52" s="323" t="n">
        <v>22093100.7457458</v>
      </c>
      <c r="AC52" s="323" t="n">
        <v>110465.503728729</v>
      </c>
      <c r="AD52" s="323" t="n">
        <f aca="false">MIN(AD48+AD51,AD47)</f>
        <v>30000000</v>
      </c>
      <c r="AE52" s="323" t="n">
        <f aca="false">AD52/200</f>
        <v>150000</v>
      </c>
    </row>
    <row r="53" customFormat="false" ht="15" hidden="false" customHeight="false" outlineLevel="0" collapsed="false">
      <c r="B53" s="0" t="s">
        <v>2528</v>
      </c>
      <c r="I53" s="323" t="n">
        <f aca="false">I52/$AF$7</f>
        <v>5844223.85934694</v>
      </c>
      <c r="J53" s="323" t="n">
        <f aca="false">J52/$AF$7</f>
        <v>14900.7334036404</v>
      </c>
      <c r="L53" s="323" t="n">
        <f aca="false">L52/$AF$7</f>
        <v>22801.2672384745</v>
      </c>
      <c r="M53" s="323" t="n">
        <f aca="false">M52/$AF$7</f>
        <v>7006.06761861794</v>
      </c>
      <c r="N53" s="323" t="n">
        <f aca="false">N52/$AF$7</f>
        <v>20878.6406860331</v>
      </c>
      <c r="O53" s="323" t="n">
        <f aca="false">O52/$AF$7</f>
        <v>5083.44106617658</v>
      </c>
      <c r="R53" s="323" t="n">
        <f aca="false">R52/$AF$7</f>
        <v>31544.5095638183</v>
      </c>
      <c r="S53" s="323" t="n">
        <f aca="false">S52/$AF$7</f>
        <v>15749.3099439617</v>
      </c>
      <c r="T53" s="323" t="n">
        <f aca="false">T52/$AF$7</f>
        <v>26323.4845426476</v>
      </c>
      <c r="U53" s="323" t="n">
        <f aca="false">U52/$AF$7</f>
        <v>13582.8734363045</v>
      </c>
      <c r="V53" s="323" t="n">
        <f aca="false">V52/$AF$7</f>
        <v>26329.7987530075</v>
      </c>
      <c r="W53" s="323" t="n">
        <f aca="false">W52/$AF$7</f>
        <v>13589.1876466644</v>
      </c>
      <c r="AA53" s="133" t="s">
        <v>2529</v>
      </c>
      <c r="AB53" s="323" t="n">
        <v>6406899.2542542</v>
      </c>
      <c r="AC53" s="323" t="n">
        <v>32034.496271271</v>
      </c>
      <c r="AD53" s="323" t="n">
        <f aca="false">AD50*0.3</f>
        <v>0</v>
      </c>
      <c r="AE53" s="323" t="n">
        <f aca="false">AD53/200</f>
        <v>0</v>
      </c>
      <c r="AG53" s="133" t="s">
        <v>1573</v>
      </c>
      <c r="AH53" s="323" t="n">
        <f aca="false">Y52</f>
        <v>2548122.22126861</v>
      </c>
      <c r="AI53" s="323" t="n">
        <f aca="false">AH53/200</f>
        <v>12740.611106343</v>
      </c>
      <c r="AL53" s="133" t="s">
        <v>1573</v>
      </c>
      <c r="AM53" s="323" t="n">
        <f aca="false">J52</f>
        <v>2980146.68072807</v>
      </c>
      <c r="AN53" s="323" t="n">
        <f aca="false">AM53/200</f>
        <v>14900.7334036404</v>
      </c>
      <c r="AV53" s="133" t="s">
        <v>1573</v>
      </c>
      <c r="AW53" s="323" t="n">
        <f aca="false">AH53</f>
        <v>2548122.22126861</v>
      </c>
      <c r="AX53" s="323" t="n">
        <f aca="false">AW53/200</f>
        <v>12740.611106343</v>
      </c>
    </row>
    <row r="54" customFormat="false" ht="15" hidden="false" customHeight="false" outlineLevel="0" collapsed="false">
      <c r="B54" s="0" t="s">
        <v>2530</v>
      </c>
      <c r="I54" s="323" t="n">
        <f aca="false">I6+I7+I8+I18+I19+I9+I10+I11+I12+I13</f>
        <v>21291607004</v>
      </c>
      <c r="J54" s="323" t="n">
        <f aca="false">J6+J7+J8+J18+J19+J9+J10+J11+J12+J13</f>
        <v>57544883.7945946</v>
      </c>
      <c r="L54" s="323" t="n">
        <f aca="false">L6+L7+L8+L18+L19+L9+L10+L11+L12+L13</f>
        <v>66082648.8761614</v>
      </c>
      <c r="M54" s="323" t="n">
        <f aca="false">M6+M7+M8+M18+M19+M9+M10+M11+M12+M13</f>
        <v>8537765.08156683</v>
      </c>
      <c r="N54" s="323" t="n">
        <f aca="false">N6+N7+N8+N18+N19+N9+N10+N11+N12+N13</f>
        <v>62998622.1341271</v>
      </c>
      <c r="O54" s="323" t="n">
        <f aca="false">O6+O7+O8+O18+O19+O9+O10+O11+O12+O13</f>
        <v>5453738.33953248</v>
      </c>
      <c r="R54" s="323" t="n">
        <f aca="false">R6+R7+R8+R18+R19+R9+R10+R11+R12+R13</f>
        <v>115089767.589189</v>
      </c>
      <c r="S54" s="323" t="n">
        <f aca="false">S6+S7+S8+S18+S19+S9+S10+S11+S12+S13</f>
        <v>57544883.7945946</v>
      </c>
      <c r="T54" s="323" t="n">
        <f aca="false">T6+T7+T8+T18+T19+T9+T10+T11+T12+T13</f>
        <v>62998622.1341271</v>
      </c>
      <c r="U54" s="323" t="n">
        <f aca="false">U6+U7+U8+U18+U19+U9+U10+U11+U12+U13</f>
        <v>5453738.33953248</v>
      </c>
      <c r="V54" s="323" t="n">
        <f aca="false">V6+V7+V8+V18+V19+V9+V10+V11+V12+V13</f>
        <v>66082648.8761614</v>
      </c>
      <c r="W54" s="323" t="n">
        <f aca="false">W6+W7+W8+W18+W19+W9+W10+W11+W12+W13</f>
        <v>8537765.08156683</v>
      </c>
      <c r="Y54" s="323" t="n">
        <f aca="false">Y6+Y7+Y8+Y18+Y19+Y9+Y10+Y11+Y12+Y13</f>
        <v>57544883.7945946</v>
      </c>
      <c r="AA54" s="133" t="s">
        <v>2531</v>
      </c>
      <c r="AB54" s="323" t="n">
        <v>7906899.2542542</v>
      </c>
      <c r="AC54" s="323" t="n">
        <v>39534.496271271</v>
      </c>
      <c r="AD54" s="323" t="n">
        <f aca="false">AD53+AD49</f>
        <v>1500000</v>
      </c>
      <c r="AE54" s="323" t="n">
        <f aca="false">AD54/200</f>
        <v>7500</v>
      </c>
      <c r="AQ54" s="133" t="s">
        <v>2532</v>
      </c>
    </row>
    <row r="55" customFormat="false" ht="15" hidden="false" customHeight="false" outlineLevel="0" collapsed="false">
      <c r="AG55" s="0" t="s">
        <v>2525</v>
      </c>
      <c r="AH55" s="323" t="n">
        <f aca="false">AH51*$AB$40</f>
        <v>13817586.4368002</v>
      </c>
      <c r="AI55" s="323" t="n">
        <f aca="false">AH55/200</f>
        <v>69087.932184001</v>
      </c>
      <c r="AJ55" s="65" t="n">
        <f aca="false">AH55/(AH55+AH57)</f>
        <v>0.7</v>
      </c>
      <c r="AL55" s="133" t="s">
        <v>2525</v>
      </c>
      <c r="AM55" s="323" t="n">
        <f aca="false">AM51*$AB$40</f>
        <v>11966078.1723702</v>
      </c>
      <c r="AN55" s="323" t="n">
        <f aca="false">AM55/200</f>
        <v>59830.390861851</v>
      </c>
      <c r="AO55" s="65" t="n">
        <f aca="false">AM55/(AM55+AM57)</f>
        <v>0.7</v>
      </c>
      <c r="AQ55" s="133" t="s">
        <v>2525</v>
      </c>
      <c r="AR55" s="323" t="n">
        <f aca="false">AH55-AM55</f>
        <v>1851508.26442999</v>
      </c>
      <c r="AS55" s="323" t="n">
        <f aca="false">AR55/200</f>
        <v>9257.54132214997</v>
      </c>
      <c r="AV55" s="133" t="s">
        <v>2525</v>
      </c>
      <c r="AW55" s="323" t="n">
        <f aca="false">AW51*$AB$40</f>
        <v>13817586.4368002</v>
      </c>
      <c r="AX55" s="323" t="n">
        <f aca="false">AW55/200</f>
        <v>69087.932184001</v>
      </c>
      <c r="AY55" s="65" t="n">
        <f aca="false">AW55/(AW55+AW57)</f>
        <v>0.7</v>
      </c>
    </row>
    <row r="56" customFormat="false" ht="15" hidden="false" customHeight="false" outlineLevel="0" collapsed="false">
      <c r="AG56" s="0" t="s">
        <v>2533</v>
      </c>
      <c r="AH56" s="323" t="n">
        <f aca="false">AH49+AH55-AH53</f>
        <v>19439777.242325</v>
      </c>
      <c r="AI56" s="323" t="n">
        <f aca="false">AH56/200</f>
        <v>97198.8862116248</v>
      </c>
      <c r="AJ56" s="141" t="n">
        <f aca="false">+AH56/AH47</f>
        <v>0.647992574744166</v>
      </c>
      <c r="AL56" s="133" t="s">
        <v>2533</v>
      </c>
      <c r="AM56" s="323" t="n">
        <f aca="false">AM49+AM55-AM53</f>
        <v>20241534.1025418</v>
      </c>
      <c r="AN56" s="323" t="n">
        <f aca="false">AM56/200</f>
        <v>101207.670512709</v>
      </c>
      <c r="AO56" s="141" t="n">
        <f aca="false">+AM56/AM47</f>
        <v>0.674717803418061</v>
      </c>
      <c r="AQ56" s="133" t="s">
        <v>2533</v>
      </c>
      <c r="AR56" s="323" t="n">
        <f aca="false">AH56-AM56</f>
        <v>-801756.860216878</v>
      </c>
      <c r="AS56" s="323" t="n">
        <f aca="false">AR56/200</f>
        <v>-4008.78430108439</v>
      </c>
      <c r="AV56" s="133" t="s">
        <v>2533</v>
      </c>
      <c r="AW56" s="323" t="n">
        <f aca="false">AW49+AW55-AW53</f>
        <v>19439777.242325</v>
      </c>
      <c r="AX56" s="323" t="n">
        <f aca="false">AW56/200</f>
        <v>97198.8862116248</v>
      </c>
      <c r="AY56" s="141" t="n">
        <f aca="false">+AW56/AW47</f>
        <v>0.647992574744166</v>
      </c>
    </row>
    <row r="57" customFormat="false" ht="15" hidden="false" customHeight="false" outlineLevel="0" collapsed="false">
      <c r="AG57" s="0" t="s">
        <v>2529</v>
      </c>
      <c r="AH57" s="323" t="n">
        <f aca="false">AH51*(1-AB40)</f>
        <v>5921822.75862865</v>
      </c>
      <c r="AI57" s="323" t="n">
        <f aca="false">AH57/200</f>
        <v>29609.1137931433</v>
      </c>
      <c r="AJ57" s="65" t="n">
        <f aca="false">AH57/(AH55+AH57)</f>
        <v>0.3</v>
      </c>
      <c r="AL57" s="133" t="s">
        <v>2529</v>
      </c>
      <c r="AM57" s="323" t="n">
        <f aca="false">AM51*(1-AB40)</f>
        <v>5128319.21673009</v>
      </c>
      <c r="AN57" s="323" t="n">
        <f aca="false">AM57/200</f>
        <v>25641.5960836504</v>
      </c>
      <c r="AO57" s="65" t="n">
        <f aca="false">AM57/(AM55+AM57)</f>
        <v>0.3</v>
      </c>
      <c r="AQ57" s="133" t="s">
        <v>2529</v>
      </c>
      <c r="AR57" s="323" t="n">
        <f aca="false">AH57-AM57</f>
        <v>793503.541898568</v>
      </c>
      <c r="AS57" s="323" t="n">
        <f aca="false">AR57/200</f>
        <v>3967.51770949284</v>
      </c>
      <c r="AV57" s="133" t="s">
        <v>2529</v>
      </c>
      <c r="AW57" s="323" t="n">
        <f aca="false">AW51*(1-AB40)</f>
        <v>5921822.75862865</v>
      </c>
      <c r="AX57" s="323" t="n">
        <f aca="false">AW57/200</f>
        <v>29609.1137931433</v>
      </c>
      <c r="AY57" s="65" t="n">
        <f aca="false">AW57/(AW55+AW57)</f>
        <v>0.3</v>
      </c>
    </row>
    <row r="58" customFormat="false" ht="15" hidden="false" customHeight="false" outlineLevel="0" collapsed="false">
      <c r="AG58" s="0" t="s">
        <v>2531</v>
      </c>
      <c r="AH58" s="323" t="n">
        <f aca="false">AH57+AH50</f>
        <v>7512100.53640643</v>
      </c>
      <c r="AI58" s="323" t="n">
        <f aca="false">AH58/200</f>
        <v>37560.5026820322</v>
      </c>
      <c r="AJ58" s="65" t="n">
        <f aca="false">+AH58/AH47</f>
        <v>0.250403351213548</v>
      </c>
      <c r="AL58" s="133" t="s">
        <v>2531</v>
      </c>
      <c r="AM58" s="323" t="n">
        <f aca="false">AM57+AM50</f>
        <v>6628319.21673009</v>
      </c>
      <c r="AN58" s="323" t="n">
        <f aca="false">AM58/200</f>
        <v>33141.5960836504</v>
      </c>
      <c r="AO58" s="65" t="n">
        <f aca="false">+AM58/AM47</f>
        <v>0.220943973891003</v>
      </c>
      <c r="AQ58" s="133" t="s">
        <v>2531</v>
      </c>
      <c r="AR58" s="323" t="n">
        <f aca="false">AH58-AM58</f>
        <v>883781.319676346</v>
      </c>
      <c r="AS58" s="323" t="n">
        <f aca="false">AR58/200</f>
        <v>4418.90659838173</v>
      </c>
      <c r="AV58" s="133" t="s">
        <v>2531</v>
      </c>
      <c r="AW58" s="323" t="n">
        <f aca="false">AW57+AW50</f>
        <v>7512100.53640643</v>
      </c>
      <c r="AX58" s="323" t="n">
        <f aca="false">AW58/200</f>
        <v>37560.5026820322</v>
      </c>
      <c r="AY58" s="65" t="n">
        <f aca="false">+AW58/AW47</f>
        <v>0.250403351213548</v>
      </c>
    </row>
    <row r="59" customFormat="false" ht="409.5" hidden="false" customHeight="true" outlineLevel="0" collapsed="false">
      <c r="B59" s="327" t="s">
        <v>2534</v>
      </c>
    </row>
    <row r="60" customFormat="false" ht="15" hidden="false" customHeight="false" outlineLevel="0" collapsed="false">
      <c r="AG60" s="0" t="s">
        <v>2535</v>
      </c>
      <c r="AH60" s="0" t="s">
        <v>2516</v>
      </c>
      <c r="AI60" s="0" t="s">
        <v>2517</v>
      </c>
      <c r="AJ60" s="0" t="s">
        <v>2536</v>
      </c>
    </row>
    <row r="61" customFormat="false" ht="15" hidden="false" customHeight="false" outlineLevel="0" collapsed="false">
      <c r="AG61" s="0" t="s">
        <v>2095</v>
      </c>
    </row>
    <row r="62" customFormat="false" ht="15" hidden="false" customHeight="false" outlineLevel="0" collapsed="false">
      <c r="AG62" s="0" t="s">
        <v>2537</v>
      </c>
      <c r="AH62" s="141" t="n">
        <v>0.06</v>
      </c>
    </row>
    <row r="63" customFormat="false" ht="15" hidden="false" customHeight="false" outlineLevel="0" collapsed="false">
      <c r="AG63" s="0" t="s">
        <v>2538</v>
      </c>
      <c r="AH63" s="141" t="n">
        <v>0.089</v>
      </c>
    </row>
    <row r="64" customFormat="false" ht="15" hidden="false" customHeight="false" outlineLevel="0" collapsed="false">
      <c r="AG64" s="0" t="s">
        <v>1107</v>
      </c>
      <c r="AH64" s="323" t="n">
        <v>250000</v>
      </c>
    </row>
    <row r="65" customFormat="false" ht="15" hidden="false" customHeight="false" outlineLevel="0" collapsed="false">
      <c r="AG65" s="0" t="s">
        <v>2539</v>
      </c>
      <c r="AH65" s="323" t="n">
        <v>150000</v>
      </c>
    </row>
    <row r="67" customFormat="false" ht="15" hidden="false" customHeight="false" outlineLevel="0" collapsed="false">
      <c r="AG67" s="0" t="s">
        <v>2540</v>
      </c>
      <c r="AH67" s="323" t="n">
        <f aca="false">AH56</f>
        <v>19439777.242325</v>
      </c>
      <c r="AI67" s="323" t="n">
        <f aca="false">AH67/$AF$7</f>
        <v>97198.8862116248</v>
      </c>
      <c r="AJ67" s="0" t="str">
        <f aca="false">FIXED(AH67/1000,0)&amp;" / "&amp;FIXED(AH67*$AF$6/1000000,0)</f>
        <v>19,440 / 7,193</v>
      </c>
    </row>
    <row r="68" customFormat="false" ht="15" hidden="false" customHeight="false" outlineLevel="0" collapsed="false">
      <c r="AG68" s="0" t="s">
        <v>2541</v>
      </c>
      <c r="AH68" s="323" t="n">
        <f aca="false">-AH64</f>
        <v>-250000</v>
      </c>
      <c r="AI68" s="323" t="n">
        <f aca="false">AH68/$AF$7</f>
        <v>-1250</v>
      </c>
    </row>
    <row r="69" customFormat="false" ht="15" hidden="false" customHeight="false" outlineLevel="0" collapsed="false">
      <c r="AG69" s="0" t="s">
        <v>2542</v>
      </c>
      <c r="AH69" s="323" t="n">
        <f aca="false">-AH65</f>
        <v>-150000</v>
      </c>
      <c r="AI69" s="323" t="n">
        <f aca="false">AH69/$AF$7</f>
        <v>-750</v>
      </c>
    </row>
    <row r="70" customFormat="false" ht="15" hidden="false" customHeight="false" outlineLevel="0" collapsed="false">
      <c r="AG70" s="0" t="s">
        <v>2543</v>
      </c>
      <c r="AH70" s="323" t="n">
        <f aca="false">-SUMIF(K5:K49,$AB$41,Z5:Z49)</f>
        <v>-2852763.42095509</v>
      </c>
      <c r="AI70" s="323" t="n">
        <f aca="false">AH70/$AF$7</f>
        <v>-14263.8171047755</v>
      </c>
    </row>
    <row r="71" customFormat="false" ht="15" hidden="false" customHeight="false" outlineLevel="0" collapsed="false">
      <c r="AG71" s="0" t="s">
        <v>2544</v>
      </c>
      <c r="AH71" s="323" t="n">
        <f aca="false">-(Z50-SUMIF(K5:K49,$AB$41,Z5:Z49))</f>
        <v>-4604487.19101845</v>
      </c>
      <c r="AI71" s="323" t="n">
        <f aca="false">AH71/$AF$7</f>
        <v>-23022.4359550923</v>
      </c>
    </row>
    <row r="72" customFormat="false" ht="15" hidden="false" customHeight="false" outlineLevel="0" collapsed="false">
      <c r="AG72" s="0" t="s">
        <v>2545</v>
      </c>
      <c r="AH72" s="323" t="n">
        <f aca="false">SUM(AH67:AH71)</f>
        <v>11582526.6303514</v>
      </c>
      <c r="AI72" s="323" t="n">
        <f aca="false">AH72/$AF$7</f>
        <v>57912.6331517571</v>
      </c>
      <c r="AJ72" s="0" t="str">
        <f aca="false">FIXED(AH72/1000,0)&amp;" / "&amp;FIXED(AH72*$AF$6/1000000,0)</f>
        <v>11,583 / 4,286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2022-10-27T10:52:51Z</dcterms:created>
  <dc:creator>Alex Gibbs</dc:creator>
  <dc:description/>
  <dc:language>en-US</dc:language>
  <cp:lastModifiedBy/>
  <dcterms:modified xsi:type="dcterms:W3CDTF">2026-10-26T10:32:34Z</dcterms:modified>
  <cp:revision>3</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