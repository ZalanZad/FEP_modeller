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d_Cash" sheetId="1" state="visible" r:id="rId1"/>
  </sheets>
  <definedNames>
    <definedName name="Osz1_LB">Bid_Cash!$N$3:$V$3</definedName>
    <definedName name="Osz1_Incl">Bid_Cash!$N$4:$V$4</definedName>
    <definedName name="Osz1_Pts">Bid_Cash!$N$5:$W$5</definedName>
    <definedName name="Osz2_LB">Bid_Cash!$N$6:$X$6</definedName>
    <definedName name="Osz2_Incl">Bid_Cash!$N$7:$X$7</definedName>
    <definedName name="Osz2_Pts">Bid_Cash!$N$8:$Y$8</definedName>
    <definedName name="Osz3_LB">Bid_Cash!$N$9:$W$9</definedName>
    <definedName name="Osz3_Incl">Bid_Cash!$N$10:$W$10</definedName>
    <definedName name="Osz3_Pts">Bid_Cash!$N$11:$X$11</definedName>
    <definedName name="Osz6_LB">Bid_Cash!$N$12:$W$12</definedName>
    <definedName name="Osz6_Incl">Bid_Cash!$N$13:$W$13</definedName>
    <definedName name="Osz6_Pts">Bid_Cash!$N$14:$X$14</definedName>
    <definedName name="Osz1_W">Bid_Cash!$N$15</definedName>
    <definedName name="Osz2_W">Bid_Cash!$N$16</definedName>
    <definedName name="Osz3_W">Bid_Cash!$N$17</definedName>
    <definedName name="Osz4_W">Bid_Cash!$N$18</definedName>
    <definedName name="Osz5_W">Bid_Cash!$N$19</definedName>
    <definedName name="Osz6_W">Bid_Cash!$N$20</definedName>
    <definedName name="Osz7_W">Bid_Cash!$N$21</definedName>
    <definedName name="Osz8_W">Bid_Cash!$N$22</definedName>
    <definedName name="Osz9_W">Bid_Cash!$N$23</definedName>
    <definedName name="Osz5_Pts">Bid_Cash!$N$24</definedName>
    <definedName name="Osz7_Pts">Bid_Cash!$N$25</definedName>
    <definedName name="Osz8_Pts">Bid_Cash!$N$26</definedName>
    <definedName name="Osz9a_Pts">Bid_Cash!$N$27</definedName>
    <definedName name="Osz9b_Pts">Bid_Cash!$N$28</definedName>
    <definedName name="Thousand">Bid_Cash!$N$29</definedName>
    <definedName name="Days_In_Year">Bid_Cash!$N$30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–&quot;"/>
    <numFmt numFmtId="165" formatCode="0.0%;(0.0%);&quot;–&quot;"/>
    <numFmt numFmtId="166" formatCode="0.00&quot;x&quot;"/>
    <numFmt numFmtId="167" formatCode="#,##0.0;(#,##0.0);&quot;–&quot;"/>
    <numFmt numFmtId="168" formatCode="dd-mmm-yy"/>
  </numFmts>
  <fonts count="9">
    <font>
      <name val="Calibri"/>
      <family val="2"/>
      <color theme="1"/>
      <sz val="11"/>
      <scheme val="minor"/>
    </font>
    <font>
      <name val="Aptos Narrow"/>
      <b val="1"/>
      <color rgb="000000FF"/>
      <sz val="10"/>
    </font>
    <font>
      <name val="Aptos Narrow"/>
      <b val="1"/>
      <color rgb="000000FF"/>
      <sz val="14"/>
    </font>
    <font>
      <name val="Aptos Narrow"/>
      <color rgb="00000000"/>
      <sz val="10"/>
    </font>
    <font>
      <name val="Aptos Narrow"/>
      <b val="1"/>
      <color rgb="00FFFFFF"/>
      <sz val="10"/>
    </font>
    <font>
      <name val="Aptos Narrow"/>
      <i val="1"/>
      <color rgb="00808080"/>
      <sz val="10"/>
    </font>
    <font>
      <name val="Aptos Narrow"/>
      <color rgb="000000FF"/>
      <sz val="10"/>
    </font>
    <font>
      <name val="Aptos Narrow"/>
      <color rgb="007030A0"/>
      <sz val="10"/>
    </font>
    <font>
      <name val="Aptos Narrow"/>
      <b val="1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00563C"/>
      </patternFill>
    </fill>
    <fill>
      <patternFill patternType="solid">
        <fgColor rgb="00EDEDED"/>
      </patternFill>
    </fill>
    <fill>
      <patternFill patternType="solid">
        <fgColor rgb="00FFFF00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top style="thin">
        <color rgb="00000000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2" borderId="1" pivotButton="0" quotePrefix="0" xfId="0"/>
    <xf numFmtId="0" fontId="3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right"/>
    </xf>
    <xf numFmtId="0" fontId="5" fillId="0" borderId="0" pivotButton="0" quotePrefix="0" xfId="0"/>
    <xf numFmtId="164" fontId="6" fillId="2" borderId="1" pivotButton="0" quotePrefix="0" xfId="0"/>
    <xf numFmtId="164" fontId="6" fillId="2" borderId="0" pivotButton="0" quotePrefix="0" xfId="0"/>
    <xf numFmtId="165" fontId="6" fillId="2" borderId="1" pivotButton="0" quotePrefix="0" xfId="0"/>
    <xf numFmtId="165" fontId="6" fillId="2" borderId="0" pivotButton="0" quotePrefix="0" xfId="0"/>
    <xf numFmtId="166" fontId="6" fillId="2" borderId="1" pivotButton="0" quotePrefix="0" xfId="0"/>
    <xf numFmtId="166" fontId="6" fillId="2" borderId="0" pivotButton="0" quotePrefix="0" xfId="0"/>
    <xf numFmtId="167" fontId="7" fillId="4" borderId="1" pivotButton="0" quotePrefix="0" xfId="0"/>
    <xf numFmtId="0" fontId="8" fillId="0" borderId="0" pivotButton="0" quotePrefix="0" xfId="0"/>
    <xf numFmtId="4" fontId="8" fillId="0" borderId="0" pivotButton="0" quotePrefix="0" xfId="0"/>
    <xf numFmtId="168" fontId="6" fillId="2" borderId="1" pivotButton="0" quotePrefix="0" xfId="0"/>
    <xf numFmtId="164" fontId="6" fillId="0" borderId="0" pivotButton="0" quotePrefix="0" xfId="0"/>
    <xf numFmtId="165" fontId="6" fillId="0" borderId="0" pivotButton="0" quotePrefix="0" xfId="0"/>
    <xf numFmtId="164" fontId="3" fillId="0" borderId="0" pivotButton="0" quotePrefix="0" xfId="0"/>
    <xf numFmtId="0" fontId="3" fillId="5" borderId="0" pivotButton="0" quotePrefix="0" xfId="0"/>
    <xf numFmtId="0" fontId="5" fillId="5" borderId="0" pivotButton="0" quotePrefix="0" xfId="0"/>
    <xf numFmtId="164" fontId="3" fillId="5" borderId="0" pivotButton="0" quotePrefix="0" xfId="0"/>
    <xf numFmtId="0" fontId="3" fillId="6" borderId="0" pivotButton="0" quotePrefix="0" xfId="0"/>
    <xf numFmtId="0" fontId="5" fillId="6" borderId="0" pivotButton="0" quotePrefix="0" xfId="0"/>
    <xf numFmtId="164" fontId="3" fillId="6" borderId="0" pivotButton="0" quotePrefix="0" xfId="0"/>
    <xf numFmtId="164" fontId="8" fillId="0" borderId="2" pivotButton="0" quotePrefix="0" xfId="0"/>
    <xf numFmtId="164" fontId="8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Y8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2" customWidth="1" min="3" max="3"/>
    <col width="9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  <col width="2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</cols>
  <sheetData>
    <row r="1">
      <c r="C1" s="1" t="inlineStr">
        <is>
          <t>Bora, Iváncsa, Dunaújváros</t>
        </is>
      </c>
    </row>
    <row r="2">
      <c r="C2" s="2">
        <f>"Bid strategy – "&amp;TEXT(E6,"0 %")&amp;" overbuild (Bora)"</f>
        <v/>
      </c>
      <c r="M2" t="inlineStr">
        <is>
          <t>Band tables (model Inputs block U) and constants</t>
        </is>
      </c>
    </row>
    <row r="3">
      <c r="M3" t="inlineStr">
        <is>
          <t>Osz1_LB</t>
        </is>
      </c>
      <c r="N3" t="n">
        <v>10</v>
      </c>
      <c r="O3" t="n">
        <v>15</v>
      </c>
      <c r="P3" t="n">
        <v>20</v>
      </c>
      <c r="Q3" t="n">
        <v>25</v>
      </c>
      <c r="R3" t="n">
        <v>30</v>
      </c>
      <c r="S3" t="n">
        <v>35</v>
      </c>
      <c r="T3" t="n">
        <v>40</v>
      </c>
      <c r="U3" t="n">
        <v>45</v>
      </c>
      <c r="V3" t="n">
        <v>50</v>
      </c>
    </row>
    <row r="4">
      <c r="B4" s="3" t="n"/>
      <c r="C4" s="3" t="inlineStr">
        <is>
          <t>The bid: commitments and points</t>
        </is>
      </c>
      <c r="D4" s="3" t="n"/>
      <c r="E4" s="4" t="inlineStr">
        <is>
          <t>BORA 1</t>
        </is>
      </c>
      <c r="F4" s="4" t="inlineStr">
        <is>
          <t>BORA 2</t>
        </is>
      </c>
      <c r="G4" s="4" t="n"/>
      <c r="H4" s="4" t="inlineStr">
        <is>
          <t>Iváncsa</t>
        </is>
      </c>
      <c r="I4" s="4" t="inlineStr">
        <is>
          <t>Dunaújváros</t>
        </is>
      </c>
      <c r="J4" s="4" t="n"/>
      <c r="M4" t="inlineStr">
        <is>
          <t>Osz1_Incl</t>
        </is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</v>
      </c>
    </row>
    <row r="5">
      <c r="C5" s="2" t="inlineStr">
        <is>
          <t>Net connection capacity</t>
        </is>
      </c>
      <c r="D5" s="5" t="inlineStr">
        <is>
          <t>MVA</t>
        </is>
      </c>
      <c r="E5" s="6" t="n">
        <v>100</v>
      </c>
      <c r="F5" s="6" t="n">
        <v>100</v>
      </c>
      <c r="G5" s="7" t="n"/>
      <c r="H5" s="6" t="n">
        <v>50</v>
      </c>
      <c r="I5" s="6" t="n">
        <v>50</v>
      </c>
      <c r="M5" t="inlineStr">
        <is>
          <t>Osz1_Pts</t>
        </is>
      </c>
      <c r="N5" t="n">
        <v>0</v>
      </c>
      <c r="O5" t="n">
        <v>10</v>
      </c>
      <c r="P5" t="n">
        <v>20</v>
      </c>
      <c r="Q5" t="n">
        <v>30</v>
      </c>
      <c r="R5" t="n">
        <v>40</v>
      </c>
      <c r="S5" t="n">
        <v>55</v>
      </c>
      <c r="T5" t="n">
        <v>70</v>
      </c>
      <c r="U5" t="n">
        <v>80</v>
      </c>
      <c r="V5" t="n">
        <v>90</v>
      </c>
      <c r="W5" t="n">
        <v>100</v>
      </c>
    </row>
    <row r="6">
      <c r="C6" s="2" t="inlineStr">
        <is>
          <t>Overbuild (ÖSZ-3)</t>
        </is>
      </c>
      <c r="D6" s="5" t="inlineStr">
        <is>
          <t>%</t>
        </is>
      </c>
      <c r="E6" s="8" t="n">
        <v>0.51</v>
      </c>
      <c r="F6" s="8" t="n">
        <v>0.51</v>
      </c>
      <c r="G6" s="9" t="n"/>
      <c r="H6" s="8" t="n">
        <v>0.4</v>
      </c>
      <c r="I6" s="8" t="n">
        <v>0.4</v>
      </c>
      <c r="M6" t="inlineStr">
        <is>
          <t>Osz2_LB</t>
        </is>
      </c>
      <c r="N6" t="n">
        <v>2</v>
      </c>
      <c r="O6" t="n">
        <v>2.1</v>
      </c>
      <c r="P6" t="n">
        <v>2.2</v>
      </c>
      <c r="Q6" t="n">
        <v>2.3</v>
      </c>
      <c r="R6" t="n">
        <v>2.4</v>
      </c>
      <c r="S6" t="n">
        <v>2.5</v>
      </c>
      <c r="T6" t="n">
        <v>2.6</v>
      </c>
      <c r="U6" t="n">
        <v>2.7</v>
      </c>
      <c r="V6" t="n">
        <v>2.8</v>
      </c>
      <c r="W6" t="n">
        <v>2.9</v>
      </c>
      <c r="X6" t="n">
        <v>3</v>
      </c>
    </row>
    <row r="7">
      <c r="C7" s="2" t="inlineStr">
        <is>
          <t>BESS power, share of MVA (ÖSZ-4)</t>
        </is>
      </c>
      <c r="D7" s="5" t="inlineStr">
        <is>
          <t>%</t>
        </is>
      </c>
      <c r="E7" s="8" t="n">
        <v>0.3</v>
      </c>
      <c r="F7" s="8" t="n">
        <v>0.3</v>
      </c>
      <c r="G7" s="9" t="n"/>
      <c r="H7" s="8" t="n">
        <v>0.41</v>
      </c>
      <c r="I7" s="8" t="n">
        <v>0.41</v>
      </c>
      <c r="M7" t="inlineStr">
        <is>
          <t>Osz2_Incl</t>
        </is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1</v>
      </c>
    </row>
    <row r="8">
      <c r="C8" s="2" t="inlineStr">
        <is>
          <t>BESS duration</t>
        </is>
      </c>
      <c r="D8" s="5" t="inlineStr">
        <is>
          <t>h</t>
        </is>
      </c>
      <c r="E8" s="6" t="n">
        <v>4</v>
      </c>
      <c r="F8" s="6" t="n">
        <v>4</v>
      </c>
      <c r="G8" s="7" t="n"/>
      <c r="H8" s="6" t="n">
        <v>4</v>
      </c>
      <c r="I8" s="6" t="n">
        <v>4</v>
      </c>
      <c r="M8" t="inlineStr">
        <is>
          <t>Osz2_Pts</t>
        </is>
      </c>
      <c r="N8" t="n">
        <v>0</v>
      </c>
      <c r="O8" t="n">
        <v>5</v>
      </c>
      <c r="P8" t="n">
        <v>10</v>
      </c>
      <c r="Q8" t="n">
        <v>20</v>
      </c>
      <c r="R8" t="n">
        <v>30</v>
      </c>
      <c r="S8" t="n">
        <v>40</v>
      </c>
      <c r="T8" t="n">
        <v>50</v>
      </c>
      <c r="U8" t="n">
        <v>60</v>
      </c>
      <c r="V8" t="n">
        <v>70</v>
      </c>
      <c r="W8" t="n">
        <v>80</v>
      </c>
      <c r="X8" t="n">
        <v>90</v>
      </c>
      <c r="Y8" t="n">
        <v>100</v>
      </c>
    </row>
    <row r="9">
      <c r="C9" s="2" t="inlineStr">
        <is>
          <t>Municipal one-off (ÖSZ-1)</t>
        </is>
      </c>
      <c r="D9" s="5" t="inlineStr">
        <is>
          <t>EUR k/MW</t>
        </is>
      </c>
      <c r="E9" s="6" t="n">
        <v>50</v>
      </c>
      <c r="F9" s="6" t="n">
        <v>50</v>
      </c>
      <c r="G9" s="7" t="n"/>
      <c r="H9" s="6" t="n">
        <v>50</v>
      </c>
      <c r="I9" s="6" t="n">
        <v>50</v>
      </c>
      <c r="M9" t="inlineStr">
        <is>
          <t>Osz3_LB</t>
        </is>
      </c>
      <c r="N9" t="n">
        <v>0.02</v>
      </c>
      <c r="O9" t="n">
        <v>0.05</v>
      </c>
      <c r="P9" t="n">
        <v>0.1</v>
      </c>
      <c r="Q9" t="n">
        <v>0.15</v>
      </c>
      <c r="R9" t="n">
        <v>0.2</v>
      </c>
      <c r="S9" t="n">
        <v>0.25</v>
      </c>
      <c r="T9" t="n">
        <v>0.3</v>
      </c>
      <c r="U9" t="n">
        <v>0.35</v>
      </c>
      <c r="V9" t="n">
        <v>0.4</v>
      </c>
      <c r="W9" t="n">
        <v>0.5</v>
      </c>
    </row>
    <row r="10">
      <c r="C10" s="2" t="inlineStr">
        <is>
          <t>Community contribution (ÖSZ-2)</t>
        </is>
      </c>
      <c r="D10" s="5" t="inlineStr">
        <is>
          <t>EUR/MWh</t>
        </is>
      </c>
      <c r="E10" s="6" t="n">
        <v>3</v>
      </c>
      <c r="F10" s="6" t="n">
        <v>3</v>
      </c>
      <c r="G10" s="7" t="n"/>
      <c r="H10" s="6" t="n">
        <v>3</v>
      </c>
      <c r="I10" s="6" t="n">
        <v>3</v>
      </c>
      <c r="M10" t="inlineStr">
        <is>
          <t>Osz3_Incl</t>
        </is>
      </c>
      <c r="N10" t="n">
        <v>0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0</v>
      </c>
    </row>
    <row r="11">
      <c r="C11" s="2" t="inlineStr">
        <is>
          <t>Partial award accepted (ÖSZ-5)</t>
        </is>
      </c>
      <c r="D11" s="5" t="inlineStr">
        <is>
          <t>flag</t>
        </is>
      </c>
      <c r="E11" s="6" t="n">
        <v>1</v>
      </c>
      <c r="F11" s="6" t="n">
        <v>1</v>
      </c>
      <c r="G11" s="7" t="n"/>
      <c r="H11" s="6" t="n">
        <v>0</v>
      </c>
      <c r="I11" s="6" t="n">
        <v>0</v>
      </c>
      <c r="M11" t="inlineStr">
        <is>
          <t>Osz3_Pts</t>
        </is>
      </c>
      <c r="N11" t="n">
        <v>0</v>
      </c>
      <c r="O11" t="n">
        <v>10</v>
      </c>
      <c r="P11" t="n">
        <v>20</v>
      </c>
      <c r="Q11" t="n">
        <v>30</v>
      </c>
      <c r="R11" t="n">
        <v>40</v>
      </c>
      <c r="S11" t="n">
        <v>50</v>
      </c>
      <c r="T11" t="n">
        <v>60</v>
      </c>
      <c r="U11" t="n">
        <v>70</v>
      </c>
      <c r="V11" t="n">
        <v>80</v>
      </c>
      <c r="W11" t="n">
        <v>90</v>
      </c>
      <c r="X11" t="n">
        <v>100</v>
      </c>
    </row>
    <row r="12">
      <c r="C12" s="2" t="inlineStr">
        <is>
          <t>Performance security multiple (ÖSZ-6)</t>
        </is>
      </c>
      <c r="D12" s="5" t="inlineStr">
        <is>
          <t>x</t>
        </is>
      </c>
      <c r="E12" s="10" t="n">
        <v>1</v>
      </c>
      <c r="F12" s="10" t="n">
        <v>1</v>
      </c>
      <c r="G12" s="11" t="n"/>
      <c r="H12" s="10" t="n">
        <v>1</v>
      </c>
      <c r="I12" s="10" t="n">
        <v>1</v>
      </c>
      <c r="M12" t="inlineStr">
        <is>
          <t>Osz6_LB</t>
        </is>
      </c>
      <c r="N12" t="n">
        <v>1</v>
      </c>
      <c r="O12" t="n">
        <v>1.2</v>
      </c>
      <c r="P12" t="n">
        <v>1.3</v>
      </c>
      <c r="Q12" t="n">
        <v>1.4</v>
      </c>
      <c r="R12" t="n">
        <v>1.5</v>
      </c>
      <c r="S12" t="n">
        <v>1.6</v>
      </c>
      <c r="T12" t="n">
        <v>1.7</v>
      </c>
      <c r="U12" t="n">
        <v>1.8</v>
      </c>
      <c r="V12" t="n">
        <v>1.9</v>
      </c>
      <c r="W12" t="n">
        <v>2</v>
      </c>
    </row>
    <row r="13">
      <c r="C13" s="2" t="inlineStr">
        <is>
          <t>Brownfield site (ÖSZ-7)</t>
        </is>
      </c>
      <c r="D13" s="5" t="inlineStr">
        <is>
          <t>flag</t>
        </is>
      </c>
      <c r="E13" s="6" t="n">
        <v>0</v>
      </c>
      <c r="F13" s="6" t="n">
        <v>0</v>
      </c>
      <c r="G13" s="7" t="n"/>
      <c r="H13" s="6" t="n">
        <v>0</v>
      </c>
      <c r="I13" s="6" t="n">
        <v>0</v>
      </c>
      <c r="M13" t="inlineStr">
        <is>
          <t>Osz6_Incl</t>
        </is>
      </c>
      <c r="N13" t="n">
        <v>0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C14" s="2" t="inlineStr">
        <is>
          <t>Shared connection (ÖSZ-8)</t>
        </is>
      </c>
      <c r="D14" s="5" t="inlineStr">
        <is>
          <t>flag</t>
        </is>
      </c>
      <c r="E14" s="6" t="n">
        <v>1</v>
      </c>
      <c r="F14" s="6" t="n">
        <v>1</v>
      </c>
      <c r="G14" s="7" t="n"/>
      <c r="H14" s="6" t="n">
        <v>0</v>
      </c>
      <c r="I14" s="6" t="n">
        <v>0</v>
      </c>
      <c r="M14" t="inlineStr">
        <is>
          <t>Osz6_Pts</t>
        </is>
      </c>
      <c r="N14" t="n">
        <v>0</v>
      </c>
      <c r="O14" t="n">
        <v>10</v>
      </c>
      <c r="P14" t="n">
        <v>20</v>
      </c>
      <c r="Q14" t="n">
        <v>30</v>
      </c>
      <c r="R14" t="n">
        <v>40</v>
      </c>
      <c r="S14" t="n">
        <v>50</v>
      </c>
      <c r="T14" t="n">
        <v>60</v>
      </c>
      <c r="U14" t="n">
        <v>70</v>
      </c>
      <c r="V14" t="n">
        <v>80</v>
      </c>
      <c r="W14" t="n">
        <v>90</v>
      </c>
      <c r="X14" t="n">
        <v>100</v>
      </c>
    </row>
    <row r="15">
      <c r="C15" s="2" t="inlineStr">
        <is>
          <t>EU turbines ≥ 80 % (ÖSZ-9)</t>
        </is>
      </c>
      <c r="D15" s="5" t="inlineStr">
        <is>
          <t>flag</t>
        </is>
      </c>
      <c r="E15" s="6" t="n">
        <v>1</v>
      </c>
      <c r="F15" s="6" t="n">
        <v>1</v>
      </c>
      <c r="G15" s="7" t="n"/>
      <c r="H15" s="6" t="n">
        <v>1</v>
      </c>
      <c r="I15" s="6" t="n">
        <v>1</v>
      </c>
      <c r="M15" t="inlineStr">
        <is>
          <t>Osz1_W</t>
        </is>
      </c>
      <c r="N15" t="n">
        <v>0.2</v>
      </c>
    </row>
    <row r="16">
      <c r="C16" s="2" t="inlineStr">
        <is>
          <t>EU transformers ≥ 80 % (ÖSZ-9)</t>
        </is>
      </c>
      <c r="D16" s="5" t="inlineStr">
        <is>
          <t>flag</t>
        </is>
      </c>
      <c r="E16" s="6" t="n">
        <v>1</v>
      </c>
      <c r="F16" s="6" t="n">
        <v>1</v>
      </c>
      <c r="G16" s="7" t="n"/>
      <c r="H16" s="6" t="n">
        <v>0</v>
      </c>
      <c r="I16" s="6" t="n">
        <v>0</v>
      </c>
      <c r="M16" t="inlineStr">
        <is>
          <t>Osz2_W</t>
        </is>
      </c>
      <c r="N16" t="n">
        <v>0.15</v>
      </c>
    </row>
    <row r="17">
      <c r="C17" s="2" t="inlineStr">
        <is>
          <t>Wind committed</t>
        </is>
      </c>
      <c r="D17" s="5" t="inlineStr">
        <is>
          <t>MW</t>
        </is>
      </c>
      <c r="E17" s="12">
        <f>E5*(1+E6)</f>
        <v/>
      </c>
      <c r="F17" s="12">
        <f>F5*(1+F6)</f>
        <v/>
      </c>
      <c r="H17" s="12">
        <f>H5*(1+H6)</f>
        <v/>
      </c>
      <c r="I17" s="12">
        <f>I5*(1+I6)</f>
        <v/>
      </c>
      <c r="M17" t="inlineStr">
        <is>
          <t>Osz3_W</t>
        </is>
      </c>
      <c r="N17" t="n">
        <v>0.1</v>
      </c>
    </row>
    <row r="18">
      <c r="C18" s="2" t="inlineStr">
        <is>
          <t>BESS power</t>
        </is>
      </c>
      <c r="D18" s="5" t="inlineStr">
        <is>
          <t>MW</t>
        </is>
      </c>
      <c r="E18" s="12">
        <f>E5*E7</f>
        <v/>
      </c>
      <c r="F18" s="12">
        <f>F5*F7</f>
        <v/>
      </c>
      <c r="H18" s="12">
        <f>H5*H7</f>
        <v/>
      </c>
      <c r="I18" s="12">
        <f>I5*I7</f>
        <v/>
      </c>
      <c r="M18" t="inlineStr">
        <is>
          <t>Osz4_W</t>
        </is>
      </c>
      <c r="N18" t="n">
        <v>0.15</v>
      </c>
    </row>
    <row r="19">
      <c r="C19" s="2" t="inlineStr">
        <is>
          <t>BESS energy</t>
        </is>
      </c>
      <c r="D19" s="5" t="inlineStr">
        <is>
          <t>MWh</t>
        </is>
      </c>
      <c r="E19" s="12">
        <f>E18*E8</f>
        <v/>
      </c>
      <c r="F19" s="12">
        <f>F18*F8</f>
        <v/>
      </c>
      <c r="H19" s="12">
        <f>H18*H8</f>
        <v/>
      </c>
      <c r="I19" s="12">
        <f>I18*I8</f>
        <v/>
      </c>
      <c r="M19" t="inlineStr">
        <is>
          <t>Osz5_W</t>
        </is>
      </c>
      <c r="N19" t="n">
        <v>0.05</v>
      </c>
    </row>
    <row r="20">
      <c r="M20" t="inlineStr">
        <is>
          <t>Osz6_W</t>
        </is>
      </c>
      <c r="N20" t="n">
        <v>0.05</v>
      </c>
    </row>
    <row r="21">
      <c r="C21" s="2" t="inlineStr">
        <is>
          <t>Points – municipal one-off</t>
        </is>
      </c>
      <c r="D21" s="5" t="inlineStr">
        <is>
          <t>points</t>
        </is>
      </c>
      <c r="E21" s="12">
        <f>INDEX(Osz1_Pts,1+SUMPRODUCT((Osz1_LB&lt;E9)+(Osz1_LB=E9)*Osz1_Incl))*Osz1_W</f>
        <v/>
      </c>
      <c r="F21" s="12">
        <f>INDEX(Osz1_Pts,1+SUMPRODUCT((Osz1_LB&lt;F9)+(Osz1_LB=F9)*Osz1_Incl))*Osz1_W</f>
        <v/>
      </c>
      <c r="H21" s="12">
        <f>INDEX(Osz1_Pts,1+SUMPRODUCT((Osz1_LB&lt;H9)+(Osz1_LB=H9)*Osz1_Incl))*Osz1_W</f>
        <v/>
      </c>
      <c r="I21" s="12">
        <f>INDEX(Osz1_Pts,1+SUMPRODUCT((Osz1_LB&lt;I9)+(Osz1_LB=I9)*Osz1_Incl))*Osz1_W</f>
        <v/>
      </c>
      <c r="M21" t="inlineStr">
        <is>
          <t>Osz7_W</t>
        </is>
      </c>
      <c r="N21" t="n">
        <v>0.1</v>
      </c>
    </row>
    <row r="22">
      <c r="C22" s="2" t="inlineStr">
        <is>
          <t>Points – community contribution</t>
        </is>
      </c>
      <c r="D22" s="5" t="inlineStr">
        <is>
          <t>points</t>
        </is>
      </c>
      <c r="E22" s="12">
        <f>INDEX(Osz2_Pts,1+SUMPRODUCT((Osz2_LB&lt;E10)+(Osz2_LB=E10)*Osz2_Incl))*Osz2_W</f>
        <v/>
      </c>
      <c r="F22" s="12">
        <f>INDEX(Osz2_Pts,1+SUMPRODUCT((Osz2_LB&lt;F10)+(Osz2_LB=F10)*Osz2_Incl))*Osz2_W</f>
        <v/>
      </c>
      <c r="H22" s="12">
        <f>INDEX(Osz2_Pts,1+SUMPRODUCT((Osz2_LB&lt;H10)+(Osz2_LB=H10)*Osz2_Incl))*Osz2_W</f>
        <v/>
      </c>
      <c r="I22" s="12">
        <f>INDEX(Osz2_Pts,1+SUMPRODUCT((Osz2_LB&lt;I10)+(Osz2_LB=I10)*Osz2_Incl))*Osz2_W</f>
        <v/>
      </c>
      <c r="M22" t="inlineStr">
        <is>
          <t>Osz8_W</t>
        </is>
      </c>
      <c r="N22" t="n">
        <v>0.05</v>
      </c>
    </row>
    <row r="23">
      <c r="C23" s="2" t="inlineStr">
        <is>
          <t>Points – overbuild</t>
        </is>
      </c>
      <c r="D23" s="5" t="inlineStr">
        <is>
          <t>points</t>
        </is>
      </c>
      <c r="E23" s="12">
        <f>INDEX(Osz3_Pts,1+SUMPRODUCT((Osz3_LB&lt;E6)+(Osz3_LB=E6)*Osz3_Incl))*Osz3_W</f>
        <v/>
      </c>
      <c r="F23" s="12">
        <f>INDEX(Osz3_Pts,1+SUMPRODUCT((Osz3_LB&lt;F6)+(Osz3_LB=F6)*Osz3_Incl))*Osz3_W</f>
        <v/>
      </c>
      <c r="H23" s="12">
        <f>INDEX(Osz3_Pts,1+SUMPRODUCT((Osz3_LB&lt;H6)+(Osz3_LB=H6)*Osz3_Incl))*Osz3_W</f>
        <v/>
      </c>
      <c r="I23" s="12">
        <f>INDEX(Osz3_Pts,1+SUMPRODUCT((Osz3_LB&lt;I6)+(Osz3_LB=I6)*Osz3_Incl))*Osz3_W</f>
        <v/>
      </c>
      <c r="M23" t="inlineStr">
        <is>
          <t>Osz9_W</t>
        </is>
      </c>
      <c r="N23" t="n">
        <v>0.15</v>
      </c>
    </row>
    <row r="24">
      <c r="C24" s="2" t="inlineStr">
        <is>
          <t>Points – BESS</t>
        </is>
      </c>
      <c r="D24" s="5" t="inlineStr">
        <is>
          <t>points</t>
        </is>
      </c>
      <c r="E24" s="12">
        <f>INDEX(Osz3_Pts,1+SUMPRODUCT((Osz3_LB&lt;E7)+(Osz3_LB=E7)*Osz3_Incl))*Osz4_W</f>
        <v/>
      </c>
      <c r="F24" s="12">
        <f>INDEX(Osz3_Pts,1+SUMPRODUCT((Osz3_LB&lt;F7)+(Osz3_LB=F7)*Osz3_Incl))*Osz4_W</f>
        <v/>
      </c>
      <c r="H24" s="12">
        <f>INDEX(Osz3_Pts,1+SUMPRODUCT((Osz3_LB&lt;H7)+(Osz3_LB=H7)*Osz3_Incl))*Osz4_W</f>
        <v/>
      </c>
      <c r="I24" s="12">
        <f>INDEX(Osz3_Pts,1+SUMPRODUCT((Osz3_LB&lt;I7)+(Osz3_LB=I7)*Osz3_Incl))*Osz4_W</f>
        <v/>
      </c>
      <c r="M24" t="inlineStr">
        <is>
          <t>Osz5_Pts</t>
        </is>
      </c>
      <c r="N24" t="n">
        <v>100</v>
      </c>
    </row>
    <row r="25">
      <c r="C25" s="2" t="inlineStr">
        <is>
          <t>Points – partial award</t>
        </is>
      </c>
      <c r="D25" s="5" t="inlineStr">
        <is>
          <t>points</t>
        </is>
      </c>
      <c r="E25" s="12">
        <f>E11*Osz5_Pts*Osz5_W</f>
        <v/>
      </c>
      <c r="F25" s="12">
        <f>F11*Osz5_Pts*Osz5_W</f>
        <v/>
      </c>
      <c r="H25" s="12">
        <f>H11*Osz5_Pts*Osz5_W</f>
        <v/>
      </c>
      <c r="I25" s="12">
        <f>I11*Osz5_Pts*Osz5_W</f>
        <v/>
      </c>
      <c r="M25" t="inlineStr">
        <is>
          <t>Osz7_Pts</t>
        </is>
      </c>
      <c r="N25" t="n">
        <v>100</v>
      </c>
    </row>
    <row r="26">
      <c r="C26" s="2" t="inlineStr">
        <is>
          <t>Points – performance security</t>
        </is>
      </c>
      <c r="D26" s="5" t="inlineStr">
        <is>
          <t>points</t>
        </is>
      </c>
      <c r="E26" s="12">
        <f>INDEX(Osz6_Pts,1+SUMPRODUCT((Osz6_LB&lt;E12)+(Osz6_LB=E12)*Osz6_Incl))*Osz6_W</f>
        <v/>
      </c>
      <c r="F26" s="12">
        <f>INDEX(Osz6_Pts,1+SUMPRODUCT((Osz6_LB&lt;F12)+(Osz6_LB=F12)*Osz6_Incl))*Osz6_W</f>
        <v/>
      </c>
      <c r="H26" s="12">
        <f>INDEX(Osz6_Pts,1+SUMPRODUCT((Osz6_LB&lt;H12)+(Osz6_LB=H12)*Osz6_Incl))*Osz6_W</f>
        <v/>
      </c>
      <c r="I26" s="12">
        <f>INDEX(Osz6_Pts,1+SUMPRODUCT((Osz6_LB&lt;I12)+(Osz6_LB=I12)*Osz6_Incl))*Osz6_W</f>
        <v/>
      </c>
      <c r="M26" t="inlineStr">
        <is>
          <t>Osz8_Pts</t>
        </is>
      </c>
      <c r="N26" t="n">
        <v>100</v>
      </c>
    </row>
    <row r="27">
      <c r="C27" s="2" t="inlineStr">
        <is>
          <t>Points – brownfield</t>
        </is>
      </c>
      <c r="D27" s="5" t="inlineStr">
        <is>
          <t>points</t>
        </is>
      </c>
      <c r="E27" s="12">
        <f>E13*Osz7_Pts*Osz7_W</f>
        <v/>
      </c>
      <c r="F27" s="12">
        <f>F13*Osz7_Pts*Osz7_W</f>
        <v/>
      </c>
      <c r="H27" s="12">
        <f>H13*Osz7_Pts*Osz7_W</f>
        <v/>
      </c>
      <c r="I27" s="12">
        <f>I13*Osz7_Pts*Osz7_W</f>
        <v/>
      </c>
      <c r="M27" t="inlineStr">
        <is>
          <t>Osz9a_Pts</t>
        </is>
      </c>
      <c r="N27" t="n">
        <v>80</v>
      </c>
    </row>
    <row r="28">
      <c r="C28" s="2" t="inlineStr">
        <is>
          <t>Points – shared connection</t>
        </is>
      </c>
      <c r="D28" s="5" t="inlineStr">
        <is>
          <t>points</t>
        </is>
      </c>
      <c r="E28" s="12">
        <f>E14*Osz8_Pts*Osz8_W</f>
        <v/>
      </c>
      <c r="F28" s="12">
        <f>F14*Osz8_Pts*Osz8_W</f>
        <v/>
      </c>
      <c r="H28" s="12">
        <f>H14*Osz8_Pts*Osz8_W</f>
        <v/>
      </c>
      <c r="I28" s="12">
        <f>I14*Osz8_Pts*Osz8_W</f>
        <v/>
      </c>
      <c r="M28" t="inlineStr">
        <is>
          <t>Osz9b_Pts</t>
        </is>
      </c>
      <c r="N28" t="n">
        <v>20</v>
      </c>
    </row>
    <row r="29">
      <c r="C29" s="2" t="inlineStr">
        <is>
          <t>Points – EU turbines</t>
        </is>
      </c>
      <c r="D29" s="5" t="inlineStr">
        <is>
          <t>points</t>
        </is>
      </c>
      <c r="E29" s="12">
        <f>E15*Osz9a_Pts*Osz9_W</f>
        <v/>
      </c>
      <c r="F29" s="12">
        <f>F15*Osz9a_Pts*Osz9_W</f>
        <v/>
      </c>
      <c r="H29" s="12">
        <f>H15*Osz9a_Pts*Osz9_W</f>
        <v/>
      </c>
      <c r="I29" s="12">
        <f>I15*Osz9a_Pts*Osz9_W</f>
        <v/>
      </c>
      <c r="M29" t="inlineStr">
        <is>
          <t>Thousand</t>
        </is>
      </c>
      <c r="N29" t="n">
        <v>1000</v>
      </c>
    </row>
    <row r="30">
      <c r="C30" s="2" t="inlineStr">
        <is>
          <t>Points – EU transformers</t>
        </is>
      </c>
      <c r="D30" s="5" t="inlineStr">
        <is>
          <t>points</t>
        </is>
      </c>
      <c r="E30" s="12">
        <f>E16*Osz9b_Pts*Osz9_W</f>
        <v/>
      </c>
      <c r="F30" s="12">
        <f>F16*Osz9b_Pts*Osz9_W</f>
        <v/>
      </c>
      <c r="H30" s="12">
        <f>H16*Osz9b_Pts*Osz9_W</f>
        <v/>
      </c>
      <c r="I30" s="12">
        <f>I16*Osz9b_Pts*Osz9_W</f>
        <v/>
      </c>
      <c r="M30" t="inlineStr">
        <is>
          <t>Days_In_Year</t>
        </is>
      </c>
      <c r="N30" t="n">
        <v>365</v>
      </c>
    </row>
    <row r="31">
      <c r="C31" s="13" t="inlineStr">
        <is>
          <t>Points total, live case</t>
        </is>
      </c>
      <c r="D31" s="5" t="inlineStr">
        <is>
          <t>points</t>
        </is>
      </c>
      <c r="E31" s="14">
        <f>SUM(E21:E30)</f>
        <v/>
      </c>
      <c r="F31" s="14">
        <f>SUM(F21:F30)</f>
        <v/>
      </c>
      <c r="H31" s="14">
        <f>SUM(H21:H30)</f>
        <v/>
      </c>
      <c r="I31" s="14">
        <f>SUM(I21:I30)</f>
        <v/>
      </c>
    </row>
    <row r="33">
      <c r="B33" s="3" t="n"/>
      <c r="C33" s="3" t="inlineStr">
        <is>
          <t>Key dates</t>
        </is>
      </c>
      <c r="D33" s="3" t="n"/>
      <c r="E33" s="4" t="inlineStr">
        <is>
          <t>Date</t>
        </is>
      </c>
      <c r="F33" s="4" t="n"/>
      <c r="G33" s="4" t="n"/>
      <c r="H33" s="4" t="n"/>
      <c r="I33" s="4" t="n"/>
      <c r="J33" s="4" t="n"/>
    </row>
    <row r="34">
      <c r="C34" s="2" t="inlineStr">
        <is>
          <t>Signing fee and DD paid</t>
        </is>
      </c>
      <c r="D34" s="5" t="inlineStr">
        <is>
          <t>date</t>
        </is>
      </c>
      <c r="E34" s="15" t="n">
        <v>46234</v>
      </c>
    </row>
    <row r="35">
      <c r="C35" s="2" t="inlineStr">
        <is>
          <t>Bid submission: fee paid, bid security posted</t>
        </is>
      </c>
      <c r="D35" s="5" t="inlineStr">
        <is>
          <t>date</t>
        </is>
      </c>
      <c r="E35" s="15" t="n">
        <v>46325</v>
      </c>
    </row>
    <row r="36">
      <c r="C36" s="2" t="inlineStr">
        <is>
          <t>Performance security posted (bid security released)</t>
        </is>
      </c>
      <c r="D36" s="5" t="inlineStr">
        <is>
          <t>date</t>
        </is>
      </c>
      <c r="E36" s="15" t="n">
        <v>46386</v>
      </c>
    </row>
    <row r="37">
      <c r="C37" s="2" t="inlineStr">
        <is>
          <t>TSO security paid</t>
        </is>
      </c>
      <c r="D37" s="5" t="inlineStr">
        <is>
          <t>date</t>
        </is>
      </c>
      <c r="E37" s="15" t="n">
        <v>46386</v>
      </c>
    </row>
    <row r="38">
      <c r="C38" s="2" t="inlineStr">
        <is>
          <t>Devex contingency paid</t>
        </is>
      </c>
      <c r="D38" s="5" t="inlineStr">
        <is>
          <t>date</t>
        </is>
      </c>
      <c r="E38" s="15" t="n">
        <v>47118</v>
      </c>
    </row>
    <row r="39">
      <c r="C39" s="2" t="inlineStr">
        <is>
          <t>Connection agreement (HCSSZ): fees paid</t>
        </is>
      </c>
      <c r="D39" s="5" t="inlineStr">
        <is>
          <t>date</t>
        </is>
      </c>
      <c r="E39" s="15" t="n">
        <v>47027</v>
      </c>
    </row>
    <row r="40">
      <c r="C40" s="2" t="inlineStr">
        <is>
          <t>Notice to proceed</t>
        </is>
      </c>
      <c r="D40" s="5" t="inlineStr">
        <is>
          <t>date</t>
        </is>
      </c>
      <c r="E40" s="15" t="n">
        <v>47299</v>
      </c>
    </row>
    <row r="41">
      <c r="C41" s="2" t="inlineStr">
        <is>
          <t>COD</t>
        </is>
      </c>
      <c r="D41" s="5" t="inlineStr">
        <is>
          <t>date</t>
        </is>
      </c>
      <c r="E41" s="15" t="n">
        <v>48029</v>
      </c>
    </row>
    <row r="42">
      <c r="C42" s="2" t="inlineStr">
        <is>
          <t>Performance security released</t>
        </is>
      </c>
      <c r="D42" s="5" t="inlineStr">
        <is>
          <t>date</t>
        </is>
      </c>
      <c r="E42" s="15" t="n">
        <v>48669</v>
      </c>
      <c r="F42" s="5" t="inlineStr">
        <is>
          <t>model has no PB release date; Kiírás XII.13, estimate</t>
        </is>
      </c>
    </row>
    <row r="44">
      <c r="B44" s="3" t="n"/>
      <c r="C44" s="3" t="inlineStr">
        <is>
          <t>Rates and fees</t>
        </is>
      </c>
      <c r="D44" s="3" t="n"/>
      <c r="E44" s="4" t="inlineStr">
        <is>
          <t>BORA 1</t>
        </is>
      </c>
      <c r="F44" s="4" t="inlineStr">
        <is>
          <t>BORA 2</t>
        </is>
      </c>
      <c r="G44" s="4" t="n"/>
      <c r="H44" s="4" t="inlineStr">
        <is>
          <t>Iváncsa</t>
        </is>
      </c>
      <c r="I44" s="4" t="inlineStr">
        <is>
          <t>Dunaújváros</t>
        </is>
      </c>
      <c r="J44" s="4" t="n"/>
    </row>
    <row r="45">
      <c r="C45" s="2" t="inlineStr">
        <is>
          <t>FX rate</t>
        </is>
      </c>
      <c r="D45" s="5" t="inlineStr">
        <is>
          <t>HUF/EUR</t>
        </is>
      </c>
      <c r="E45" s="6" t="n">
        <v>365</v>
      </c>
      <c r="F45" s="6" t="n">
        <v>365</v>
      </c>
      <c r="G45" s="7" t="n"/>
      <c r="H45" s="6" t="n">
        <v>365</v>
      </c>
      <c r="I45" s="6" t="n">
        <v>365</v>
      </c>
    </row>
    <row r="46">
      <c r="C46" s="2" t="inlineStr">
        <is>
          <t>Security base: benchmark investment, wind</t>
        </is>
      </c>
      <c r="D46" s="5" t="inlineStr">
        <is>
          <t>HUF/MW</t>
        </is>
      </c>
      <c r="E46" s="6" t="n">
        <v>406000000</v>
      </c>
      <c r="F46" s="6" t="n">
        <v>406000000</v>
      </c>
      <c r="G46" s="7" t="n"/>
      <c r="H46" s="6" t="n">
        <v>406000000</v>
      </c>
      <c r="I46" s="6" t="n">
        <v>406000000</v>
      </c>
    </row>
    <row r="47">
      <c r="C47" s="2" t="inlineStr">
        <is>
          <t>Security base: benchmark investment, BESS</t>
        </is>
      </c>
      <c r="D47" s="5" t="inlineStr">
        <is>
          <t>HUF/MWh</t>
        </is>
      </c>
      <c r="E47" s="6" t="n">
        <v>200000000</v>
      </c>
      <c r="F47" s="6" t="n">
        <v>200000000</v>
      </c>
      <c r="G47" s="7" t="n"/>
      <c r="H47" s="6" t="n">
        <v>200000000</v>
      </c>
      <c r="I47" s="6" t="n">
        <v>200000000</v>
      </c>
    </row>
    <row r="48">
      <c r="C48" s="2" t="inlineStr">
        <is>
          <t>Participation fee per bid</t>
        </is>
      </c>
      <c r="D48" s="5" t="inlineStr">
        <is>
          <t>HUF</t>
        </is>
      </c>
      <c r="E48" s="6" t="n">
        <v>3000000</v>
      </c>
      <c r="F48" s="6" t="n">
        <v>3000000</v>
      </c>
      <c r="G48" s="7" t="n"/>
      <c r="H48" s="6" t="n">
        <v>3000000</v>
      </c>
      <c r="I48" s="6" t="n">
        <v>3000000</v>
      </c>
    </row>
    <row r="49">
      <c r="C49" s="2" t="inlineStr">
        <is>
          <t>Bid security, share of base</t>
        </is>
      </c>
      <c r="D49" s="5" t="inlineStr">
        <is>
          <t>%</t>
        </is>
      </c>
      <c r="E49" s="8" t="n">
        <v>0.005</v>
      </c>
      <c r="F49" s="8" t="n">
        <v>0.005</v>
      </c>
      <c r="G49" s="9" t="n"/>
      <c r="H49" s="8" t="n">
        <v>0.005</v>
      </c>
      <c r="I49" s="8" t="n">
        <v>0.005</v>
      </c>
    </row>
    <row r="50">
      <c r="C50" s="2" t="inlineStr">
        <is>
          <t>Performance security, minimum share of base</t>
        </is>
      </c>
      <c r="D50" s="5" t="inlineStr">
        <is>
          <t>%</t>
        </is>
      </c>
      <c r="E50" s="8" t="n">
        <v>0.025</v>
      </c>
      <c r="F50" s="8" t="n">
        <v>0.025</v>
      </c>
      <c r="G50" s="9" t="n"/>
      <c r="H50" s="8" t="n">
        <v>0.025</v>
      </c>
      <c r="I50" s="8" t="n">
        <v>0.025</v>
      </c>
    </row>
    <row r="51">
      <c r="C51" s="2" t="inlineStr">
        <is>
          <t>TSO security</t>
        </is>
      </c>
      <c r="D51" s="5" t="inlineStr">
        <is>
          <t>HUF/MVA</t>
        </is>
      </c>
      <c r="E51" s="6" t="n">
        <v>4500000</v>
      </c>
      <c r="F51" s="6" t="n">
        <v>4500000</v>
      </c>
      <c r="G51" s="7" t="n"/>
      <c r="H51" s="6" t="n">
        <v>4500000</v>
      </c>
      <c r="I51" s="6" t="n">
        <v>4500000</v>
      </c>
    </row>
    <row r="52">
      <c r="C52" s="2" t="inlineStr">
        <is>
          <t>Indirect connection fee (közvetett)</t>
        </is>
      </c>
      <c r="D52" s="5" t="inlineStr">
        <is>
          <t>HUF/MVA</t>
        </is>
      </c>
      <c r="E52" s="6" t="n">
        <v>73071306</v>
      </c>
      <c r="F52" s="6" t="n">
        <v>73071306</v>
      </c>
      <c r="G52" s="7" t="n"/>
      <c r="H52" s="6" t="n">
        <v>19826680</v>
      </c>
      <c r="I52" s="6" t="n">
        <v>19826680</v>
      </c>
    </row>
    <row r="53">
      <c r="C53" s="2" t="inlineStr">
        <is>
          <t>Direct connection fee per bid (model: per MVA of the shared point)</t>
        </is>
      </c>
      <c r="D53" s="5" t="inlineStr">
        <is>
          <t>HUF</t>
        </is>
      </c>
      <c r="E53" s="6" t="n">
        <v>254172902</v>
      </c>
      <c r="F53" s="6" t="n">
        <v>254172902</v>
      </c>
      <c r="G53" s="7" t="n"/>
      <c r="H53" s="6" t="n">
        <v>460000000</v>
      </c>
      <c r="I53" s="6" t="n">
        <v>460000000</v>
      </c>
    </row>
    <row r="54">
      <c r="C54" s="2" t="inlineStr">
        <is>
          <t>Bank guarantee fee</t>
        </is>
      </c>
      <c r="D54" s="5" t="inlineStr">
        <is>
          <t>%</t>
        </is>
      </c>
      <c r="E54" s="8" t="n">
        <v>0.06</v>
      </c>
      <c r="F54" s="8" t="n">
        <v>0.06</v>
      </c>
      <c r="G54" s="9" t="n"/>
      <c r="H54" s="8" t="n">
        <v>0.06</v>
      </c>
      <c r="I54" s="8" t="n">
        <v>0.06</v>
      </c>
    </row>
    <row r="55">
      <c r="C55" s="2" t="inlineStr">
        <is>
          <t>Signing fee and DD</t>
        </is>
      </c>
      <c r="D55" s="5" t="inlineStr">
        <is>
          <t>EUR k</t>
        </is>
      </c>
      <c r="E55" s="6" t="n">
        <v>200</v>
      </c>
      <c r="F55" s="6" t="n">
        <v>200</v>
      </c>
      <c r="G55" s="7" t="n"/>
      <c r="H55" s="6" t="n">
        <v>150</v>
      </c>
      <c r="I55" s="6" t="n">
        <v>150</v>
      </c>
    </row>
    <row r="56">
      <c r="C56" s="2" t="inlineStr">
        <is>
          <t>Devex incl. contingency</t>
        </is>
      </c>
      <c r="D56" s="5" t="inlineStr">
        <is>
          <t>EUR k</t>
        </is>
      </c>
      <c r="E56" s="16" t="n"/>
      <c r="F56" s="16" t="n"/>
      <c r="G56" s="7" t="n"/>
      <c r="H56" s="6" t="n">
        <v>1000</v>
      </c>
      <c r="I56" s="6" t="n">
        <v>1000</v>
      </c>
    </row>
    <row r="57">
      <c r="C57" s="2" t="inlineStr">
        <is>
          <t>Devex contingency</t>
        </is>
      </c>
      <c r="D57" s="5" t="inlineStr">
        <is>
          <t>%</t>
        </is>
      </c>
      <c r="E57" s="8" t="n">
        <v>0.1</v>
      </c>
      <c r="F57" s="8" t="n">
        <v>0.1</v>
      </c>
      <c r="G57" s="9" t="n"/>
      <c r="H57" s="17" t="n"/>
      <c r="I57" s="17" t="n"/>
    </row>
    <row r="59">
      <c r="B59" s="3" t="n"/>
      <c r="C59" s="3" t="inlineStr">
        <is>
          <t>Guarantees, securities and connection fees (HUF)</t>
        </is>
      </c>
      <c r="D59" s="3" t="n"/>
      <c r="E59" s="4" t="inlineStr">
        <is>
          <t>BORA 1</t>
        </is>
      </c>
      <c r="F59" s="4" t="inlineStr">
        <is>
          <t>BORA 2</t>
        </is>
      </c>
      <c r="G59" s="4" t="inlineStr">
        <is>
          <t>BORA</t>
        </is>
      </c>
      <c r="H59" s="4" t="inlineStr">
        <is>
          <t>Iváncsa</t>
        </is>
      </c>
      <c r="I59" s="4" t="inlineStr">
        <is>
          <t>Dunaújváros</t>
        </is>
      </c>
      <c r="J59" s="4" t="inlineStr">
        <is>
          <t>Total</t>
        </is>
      </c>
    </row>
    <row r="60">
      <c r="C60" s="2" t="inlineStr">
        <is>
          <t>Participation fee</t>
        </is>
      </c>
      <c r="D60" s="5" t="inlineStr">
        <is>
          <t>HUF</t>
        </is>
      </c>
      <c r="E60" s="18">
        <f>E$48</f>
        <v/>
      </c>
      <c r="F60" s="18">
        <f>F$48</f>
        <v/>
      </c>
      <c r="G60" s="18">
        <f>E60+F60</f>
        <v/>
      </c>
      <c r="H60" s="18">
        <f>H$48</f>
        <v/>
      </c>
      <c r="I60" s="18">
        <f>I$48</f>
        <v/>
      </c>
      <c r="J60" s="18">
        <f>E60+F60+H60+I60</f>
        <v/>
      </c>
    </row>
    <row r="61">
      <c r="C61" s="19" t="inlineStr">
        <is>
          <t>Bid security (guarantee)</t>
        </is>
      </c>
      <c r="D61" s="20" t="inlineStr">
        <is>
          <t>HUF</t>
        </is>
      </c>
      <c r="E61" s="21">
        <f>E$49*(E$17*E$46+E$19*E$47)</f>
        <v/>
      </c>
      <c r="F61" s="21">
        <f>F$49*(F$17*F$46+F$19*F$47)</f>
        <v/>
      </c>
      <c r="G61" s="21">
        <f>E61+F61</f>
        <v/>
      </c>
      <c r="H61" s="21">
        <f>H$49*(H$17*H$46+H$19*H$47)</f>
        <v/>
      </c>
      <c r="I61" s="21">
        <f>I$49*(I$17*I$46+I$19*I$47)</f>
        <v/>
      </c>
      <c r="J61" s="21">
        <f>E61+F61+H61+I61</f>
        <v/>
      </c>
    </row>
    <row r="62">
      <c r="C62" s="22" t="inlineStr">
        <is>
          <t>Performance security (guarantee)</t>
        </is>
      </c>
      <c r="D62" s="23" t="inlineStr">
        <is>
          <t>HUF</t>
        </is>
      </c>
      <c r="E62" s="24">
        <f>E$50*E$12*(E$17*E$46+E$19*E$47)</f>
        <v/>
      </c>
      <c r="F62" s="24">
        <f>F$50*F$12*(F$17*F$46+F$19*F$47)</f>
        <v/>
      </c>
      <c r="G62" s="24">
        <f>E62+F62</f>
        <v/>
      </c>
      <c r="H62" s="24">
        <f>H$50*H$12*(H$17*H$46+H$19*H$47)</f>
        <v/>
      </c>
      <c r="I62" s="24">
        <f>I$50*I$12*(I$17*I$46+I$19*I$47)</f>
        <v/>
      </c>
      <c r="J62" s="24">
        <f>E62+F62+H62+I62</f>
        <v/>
      </c>
    </row>
    <row r="63">
      <c r="C63" s="2" t="inlineStr">
        <is>
          <t>TSO connection-request security (cash)</t>
        </is>
      </c>
      <c r="D63" s="5" t="inlineStr">
        <is>
          <t>HUF</t>
        </is>
      </c>
      <c r="E63" s="18">
        <f>E$51*E$5</f>
        <v/>
      </c>
      <c r="F63" s="18">
        <f>F$51*F$5</f>
        <v/>
      </c>
      <c r="G63" s="18">
        <f>E63+F63</f>
        <v/>
      </c>
      <c r="H63" s="18">
        <f>H$51*H$5</f>
        <v/>
      </c>
      <c r="I63" s="18">
        <f>I$51*I$5</f>
        <v/>
      </c>
      <c r="J63" s="18">
        <f>E63+F63+H63+I63</f>
        <v/>
      </c>
    </row>
    <row r="64">
      <c r="C64" s="2" t="inlineStr">
        <is>
          <t>Direct connection fee</t>
        </is>
      </c>
      <c r="D64" s="5" t="inlineStr">
        <is>
          <t>HUF</t>
        </is>
      </c>
      <c r="E64" s="18">
        <f>E$53</f>
        <v/>
      </c>
      <c r="F64" s="18">
        <f>F$53</f>
        <v/>
      </c>
      <c r="G64" s="18">
        <f>E64+F64</f>
        <v/>
      </c>
      <c r="H64" s="18">
        <f>H$53</f>
        <v/>
      </c>
      <c r="I64" s="18">
        <f>I$53</f>
        <v/>
      </c>
      <c r="J64" s="18">
        <f>E64+F64+H64+I64</f>
        <v/>
      </c>
    </row>
    <row r="65">
      <c r="C65" s="2" t="inlineStr">
        <is>
          <t>Indirect connection fee, gross</t>
        </is>
      </c>
      <c r="D65" s="5" t="inlineStr">
        <is>
          <t>HUF</t>
        </is>
      </c>
      <c r="E65" s="18">
        <f>E$52*E$5</f>
        <v/>
      </c>
      <c r="F65" s="18">
        <f>F$52*F$5</f>
        <v/>
      </c>
      <c r="G65" s="18">
        <f>E65+F65</f>
        <v/>
      </c>
      <c r="H65" s="18">
        <f>H$52*H$5</f>
        <v/>
      </c>
      <c r="I65" s="18">
        <f>I$52*I$5</f>
        <v/>
      </c>
      <c r="J65" s="18">
        <f>E65+F65+H65+I65</f>
        <v/>
      </c>
    </row>
    <row r="66">
      <c r="C66" s="2" t="inlineStr">
        <is>
          <t>Less TSO security credited</t>
        </is>
      </c>
      <c r="D66" s="5" t="inlineStr">
        <is>
          <t>HUF</t>
        </is>
      </c>
      <c r="E66" s="18">
        <f>-E63</f>
        <v/>
      </c>
      <c r="F66" s="18">
        <f>-F63</f>
        <v/>
      </c>
      <c r="G66" s="18">
        <f>E66+F66</f>
        <v/>
      </c>
      <c r="H66" s="18">
        <f>-H63</f>
        <v/>
      </c>
      <c r="I66" s="18">
        <f>-I63</f>
        <v/>
      </c>
      <c r="J66" s="18">
        <f>E66+F66+H66+I66</f>
        <v/>
      </c>
    </row>
    <row r="67">
      <c r="C67" s="2" t="inlineStr">
        <is>
          <t>Indirect connection fee, payable</t>
        </is>
      </c>
      <c r="D67" s="5" t="inlineStr">
        <is>
          <t>HUF</t>
        </is>
      </c>
      <c r="E67" s="18">
        <f>E65+E66</f>
        <v/>
      </c>
      <c r="F67" s="18">
        <f>F65+F66</f>
        <v/>
      </c>
      <c r="G67" s="18">
        <f>E67+F67</f>
        <v/>
      </c>
      <c r="H67" s="18">
        <f>H65+H66</f>
        <v/>
      </c>
      <c r="I67" s="18">
        <f>I65+I66</f>
        <v/>
      </c>
      <c r="J67" s="18">
        <f>E67+F67+H67+I67</f>
        <v/>
      </c>
    </row>
    <row r="68">
      <c r="C68" s="13" t="inlineStr">
        <is>
          <t>Peak guarantee (performance security)</t>
        </is>
      </c>
      <c r="D68" s="5" t="inlineStr">
        <is>
          <t>HUF</t>
        </is>
      </c>
      <c r="E68" s="25">
        <f>MAX(E61,E62)</f>
        <v/>
      </c>
      <c r="F68" s="25">
        <f>MAX(F61,F62)</f>
        <v/>
      </c>
      <c r="G68" s="25">
        <f>E68+F68</f>
        <v/>
      </c>
      <c r="H68" s="25">
        <f>MAX(H61,H62)</f>
        <v/>
      </c>
      <c r="I68" s="25">
        <f>MAX(I61,I62)</f>
        <v/>
      </c>
      <c r="J68" s="25">
        <f>E68+F68+H68+I68</f>
        <v/>
      </c>
    </row>
    <row r="69">
      <c r="C69" s="13" t="inlineStr">
        <is>
          <t>Cash: fee, TSO security, connection fees</t>
        </is>
      </c>
      <c r="D69" s="5" t="inlineStr">
        <is>
          <t>HUF</t>
        </is>
      </c>
      <c r="E69" s="26">
        <f>E60+E63+E64+E67</f>
        <v/>
      </c>
      <c r="F69" s="26">
        <f>F60+F63+F64+F67</f>
        <v/>
      </c>
      <c r="G69" s="26">
        <f>E69+F69</f>
        <v/>
      </c>
      <c r="H69" s="26">
        <f>H60+H63+H64+H67</f>
        <v/>
      </c>
      <c r="I69" s="26">
        <f>I60+I63+I64+I67</f>
        <v/>
      </c>
      <c r="J69" s="26">
        <f>E69+F69+H69+I69</f>
        <v/>
      </c>
    </row>
    <row r="71">
      <c r="B71" s="3" t="n"/>
      <c r="C71" s="3" t="inlineStr">
        <is>
          <t>Deposits and fees to RTB (EUR k)</t>
        </is>
      </c>
      <c r="D71" s="3" t="n"/>
      <c r="E71" s="4" t="inlineStr">
        <is>
          <t>BORA 1</t>
        </is>
      </c>
      <c r="F71" s="4" t="inlineStr">
        <is>
          <t>BORA 2</t>
        </is>
      </c>
      <c r="G71" s="4" t="n"/>
      <c r="H71" s="4" t="inlineStr">
        <is>
          <t>Iváncsa</t>
        </is>
      </c>
      <c r="I71" s="4" t="inlineStr">
        <is>
          <t>Dunaújváros</t>
        </is>
      </c>
      <c r="J71" s="4" t="inlineStr">
        <is>
          <t>Total</t>
        </is>
      </c>
    </row>
    <row r="72">
      <c r="C72" s="2" t="inlineStr">
        <is>
          <t>Signing fee and DD</t>
        </is>
      </c>
      <c r="D72" s="5" t="inlineStr">
        <is>
          <t>EUR k</t>
        </is>
      </c>
      <c r="E72" s="18">
        <f>E$55</f>
        <v/>
      </c>
      <c r="F72" s="18">
        <f>F$55</f>
        <v/>
      </c>
      <c r="H72" s="18">
        <f>H$55</f>
        <v/>
      </c>
      <c r="I72" s="18">
        <f>I$55</f>
        <v/>
      </c>
      <c r="J72" s="18">
        <f>E72+F72+H72+I72</f>
        <v/>
      </c>
    </row>
    <row r="73">
      <c r="C73" s="2" t="inlineStr">
        <is>
          <t>Participation fee</t>
        </is>
      </c>
      <c r="D73" s="5" t="inlineStr">
        <is>
          <t>EUR k</t>
        </is>
      </c>
      <c r="E73" s="27">
        <f>E60/E$45/Thousand</f>
        <v/>
      </c>
      <c r="F73" s="27">
        <f>F60/F$45/Thousand</f>
        <v/>
      </c>
      <c r="H73" s="27">
        <f>H60/H$45/Thousand</f>
        <v/>
      </c>
      <c r="I73" s="27">
        <f>I60/I$45/Thousand</f>
        <v/>
      </c>
      <c r="J73" s="27">
        <f>E73+F73+H73+I73</f>
        <v/>
      </c>
    </row>
    <row r="74">
      <c r="C74" s="2" t="inlineStr">
        <is>
          <t>Bid security (guarantee)</t>
        </is>
      </c>
      <c r="D74" s="5" t="inlineStr">
        <is>
          <t>EUR k</t>
        </is>
      </c>
      <c r="E74" s="18">
        <f>E61/E$45/Thousand</f>
        <v/>
      </c>
      <c r="F74" s="18">
        <f>F61/F$45/Thousand</f>
        <v/>
      </c>
      <c r="H74" s="18">
        <f>H61/H$45/Thousand</f>
        <v/>
      </c>
      <c r="I74" s="18">
        <f>I61/I$45/Thousand</f>
        <v/>
      </c>
      <c r="J74" s="18">
        <f>E74+F74+H74+I74</f>
        <v/>
      </c>
    </row>
    <row r="75">
      <c r="C75" s="2" t="inlineStr">
        <is>
          <t>Performance security (guarantee)</t>
        </is>
      </c>
      <c r="D75" s="5" t="inlineStr">
        <is>
          <t>EUR k</t>
        </is>
      </c>
      <c r="E75" s="18">
        <f>E62/E$45/Thousand</f>
        <v/>
      </c>
      <c r="F75" s="18">
        <f>F62/F$45/Thousand</f>
        <v/>
      </c>
      <c r="H75" s="18">
        <f>H62/H$45/Thousand</f>
        <v/>
      </c>
      <c r="I75" s="18">
        <f>I62/I$45/Thousand</f>
        <v/>
      </c>
      <c r="J75" s="18">
        <f>E75+F75+H75+I75</f>
        <v/>
      </c>
    </row>
    <row r="76">
      <c r="C76" s="2" t="inlineStr">
        <is>
          <t>TSO connection-request security</t>
        </is>
      </c>
      <c r="D76" s="5" t="inlineStr">
        <is>
          <t>EUR k</t>
        </is>
      </c>
      <c r="E76" s="18">
        <f>E63/E$45/Thousand</f>
        <v/>
      </c>
      <c r="F76" s="18">
        <f>F63/F$45/Thousand</f>
        <v/>
      </c>
      <c r="H76" s="18">
        <f>H63/H$45/Thousand</f>
        <v/>
      </c>
      <c r="I76" s="18">
        <f>I63/I$45/Thousand</f>
        <v/>
      </c>
      <c r="J76" s="18">
        <f>E76+F76+H76+I76</f>
        <v/>
      </c>
    </row>
    <row r="77">
      <c r="C77" s="2" t="inlineStr">
        <is>
          <t>Direct connection fee</t>
        </is>
      </c>
      <c r="D77" s="5" t="inlineStr">
        <is>
          <t>EUR k</t>
        </is>
      </c>
      <c r="E77" s="18">
        <f>E64/E$45/Thousand</f>
        <v/>
      </c>
      <c r="F77" s="18">
        <f>F64/F$45/Thousand</f>
        <v/>
      </c>
      <c r="H77" s="18">
        <f>H64/H$45/Thousand</f>
        <v/>
      </c>
      <c r="I77" s="18">
        <f>I64/I$45/Thousand</f>
        <v/>
      </c>
      <c r="J77" s="18">
        <f>E77+F77+H77+I77</f>
        <v/>
      </c>
    </row>
    <row r="78">
      <c r="C78" s="2" t="inlineStr">
        <is>
          <t>Indirect connection fee, net of TSO security</t>
        </is>
      </c>
      <c r="D78" s="5" t="inlineStr">
        <is>
          <t>EUR k</t>
        </is>
      </c>
      <c r="E78" s="18">
        <f>E67/E$45/Thousand</f>
        <v/>
      </c>
      <c r="F78" s="18">
        <f>F67/F$45/Thousand</f>
        <v/>
      </c>
      <c r="H78" s="18">
        <f>H67/H$45/Thousand</f>
        <v/>
      </c>
      <c r="I78" s="18">
        <f>I67/I$45/Thousand</f>
        <v/>
      </c>
      <c r="J78" s="18">
        <f>E78+F78+H78+I78</f>
        <v/>
      </c>
    </row>
    <row r="79">
      <c r="C79" s="2" t="inlineStr">
        <is>
          <t>Guarantee fees to COD (6 % p.a., bid security to PB posting, PB to COD)</t>
        </is>
      </c>
      <c r="D79" s="5" t="inlineStr">
        <is>
          <t>EUR k</t>
        </is>
      </c>
      <c r="E79" s="18">
        <f>E$54*(($E$36-$E$35)*E74+MAX(0,MIN($E$41,$E$42)-$E$36+1)*E75)/Days_In_Year</f>
        <v/>
      </c>
      <c r="F79" s="18">
        <f>F$54*(($E$36-$E$35)*F74+MAX(0,MIN($E$41,$E$42)-$E$36+1)*F75)/Days_In_Year</f>
        <v/>
      </c>
      <c r="H79" s="18">
        <f>H$54*(($E$36-$E$35)*H74+MAX(0,MIN($E$41,$E$42)-$E$36+1)*H75)/Days_In_Year</f>
        <v/>
      </c>
      <c r="I79" s="18">
        <f>I$54*(($E$36-$E$35)*I74+MAX(0,MIN($E$41,$E$42)-$E$36+1)*I75)/Days_In_Year</f>
        <v/>
      </c>
      <c r="J79" s="18">
        <f>E79+F79+H79+I79</f>
        <v/>
      </c>
    </row>
    <row r="80">
      <c r="C80" s="13" t="inlineStr">
        <is>
          <t>Deposits and fees (PB incl. the credited bid security)</t>
        </is>
      </c>
      <c r="D80" s="5" t="inlineStr">
        <is>
          <t>EUR k</t>
        </is>
      </c>
      <c r="E80" s="25">
        <f>E73+E75+E76+E77+E78+E79</f>
        <v/>
      </c>
      <c r="F80" s="25">
        <f>F73+F75+F76+F77+F78+F79</f>
        <v/>
      </c>
      <c r="H80" s="25">
        <f>H73+H75+H76+H77+H78+H79</f>
        <v/>
      </c>
      <c r="I80" s="25">
        <f>I73+I75+I76+I77+I78+I79</f>
        <v/>
      </c>
      <c r="J80" s="25">
        <f>E80+F80+H80+I80</f>
        <v/>
      </c>
    </row>
    <row r="81">
      <c r="C81" s="13" t="inlineStr">
        <is>
          <t>Total</t>
        </is>
      </c>
      <c r="D81" s="5" t="inlineStr">
        <is>
          <t>EUR k</t>
        </is>
      </c>
      <c r="E81" s="26">
        <f>E80+E72</f>
        <v/>
      </c>
      <c r="F81" s="26">
        <f>F80+F72</f>
        <v/>
      </c>
      <c r="H81" s="26">
        <f>H80+H72</f>
        <v/>
      </c>
      <c r="I81" s="26">
        <f>I80+I72</f>
        <v/>
      </c>
      <c r="J81" s="26">
        <f>E81+F81+H81+I81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2026-10-27T11:33:44Z</dcterms:created>
  <dcterms:modified xmlns:dcterms="http://purl.org/dc/terms/" xmlns:xsi="http://www.w3.org/2001/XMLSchema-instance" xsi:type="dcterms:W3CDTF">2026-10-27T11:33:44Z</dcterms:modified>
</cp:coreProperties>
</file>