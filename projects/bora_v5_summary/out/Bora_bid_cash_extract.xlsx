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C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;(0.0%);&quot;–&quot;"/>
    <numFmt numFmtId="165" formatCode="0.00&quot;x&quot;"/>
    <numFmt numFmtId="166" formatCode="0.0%"/>
    <numFmt numFmtId="167" formatCode="dd-mmm-yy"/>
    <numFmt numFmtId="168" formatCode="#,##0.0"/>
    <numFmt numFmtId="169" formatCode="#,##0.0;(#,##0.0);&quot;–&quot;"/>
    <numFmt numFmtId="170" formatCode="0.000"/>
  </numFmts>
  <fonts count="11">
    <font>
      <name val="Aptos Narrow"/>
      <color rgb="00000000"/>
      <sz val="10"/>
    </font>
    <font>
      <name val="Aptos Narrow"/>
      <color rgb="000000FF"/>
      <sz val="10"/>
    </font>
    <font>
      <name val="Aptos Narrow"/>
      <color rgb="0000B050"/>
      <sz val="10"/>
    </font>
    <font>
      <name val="Aptos Narrow"/>
      <color rgb="00000000"/>
      <sz val="10"/>
    </font>
    <font>
      <name val="Aptos Narrow"/>
      <color rgb="007030A0"/>
      <sz val="10"/>
    </font>
    <font>
      <name val="Aptos Narrow"/>
      <b val="1"/>
      <color rgb="00FFFFFF"/>
      <sz val="10"/>
    </font>
    <font>
      <name val="Aptos Narrow"/>
      <b val="1"/>
      <color rgb="003C3C3B"/>
      <sz val="10"/>
    </font>
    <font>
      <name val="Aptos Narrow"/>
      <b val="1"/>
      <color rgb="00000000"/>
      <sz val="10"/>
    </font>
    <font>
      <name val="Aptos Narrow"/>
      <i val="1"/>
      <color rgb="00808080"/>
      <sz val="10"/>
    </font>
    <font>
      <name val="Aptos Narrow"/>
      <b val="1"/>
      <color rgb="00FFFFFF"/>
      <sz val="12"/>
    </font>
    <font>
      <name val="Aptos Narrow"/>
      <b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00563C"/>
      </patternFill>
    </fill>
    <fill>
      <patternFill patternType="solid">
        <fgColor rgb="00E6F4E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top style="thin">
        <color rgb="00000000"/>
      </top>
    </border>
    <border>
      <bottom style="medium">
        <color rgb="003C3C3B"/>
      </bottom>
    </border>
  </borders>
  <cellStyleXfs count="14">
    <xf numFmtId="0" fontId="3" fillId="0" borderId="0"/>
    <xf numFmtId="0" fontId="1" fillId="2" borderId="1" applyAlignment="1">
      <alignment horizontal="right"/>
    </xf>
    <xf numFmtId="0" fontId="2" fillId="0" borderId="2" applyAlignment="1">
      <alignment horizontal="right"/>
    </xf>
    <xf numFmtId="0" fontId="3" fillId="0" borderId="2" applyAlignment="1">
      <alignment horizontal="right"/>
    </xf>
    <xf numFmtId="0" fontId="4" fillId="3" borderId="1" applyAlignment="1">
      <alignment horizontal="right"/>
    </xf>
    <xf numFmtId="0" fontId="3" fillId="4" borderId="2" applyAlignment="1">
      <alignment horizontal="right"/>
    </xf>
    <xf numFmtId="0" fontId="5" fillId="5" borderId="2"/>
    <xf numFmtId="0" fontId="6" fillId="6" borderId="2"/>
    <xf numFmtId="0" fontId="7" fillId="0" borderId="3" applyAlignment="1">
      <alignment horizontal="right"/>
    </xf>
    <xf numFmtId="0" fontId="8" fillId="0" borderId="2"/>
    <xf numFmtId="0" fontId="3" fillId="0" borderId="2"/>
    <xf numFmtId="0" fontId="9" fillId="5" borderId="2"/>
    <xf numFmtId="0" fontId="6" fillId="0" borderId="4" applyAlignment="1">
      <alignment horizontal="right"/>
    </xf>
    <xf numFmtId="0" fontId="10" fillId="0" borderId="2"/>
  </cellStyleXfs>
  <cellXfs count="21">
    <xf numFmtId="0" fontId="0" fillId="0" borderId="0" pivotButton="0" quotePrefix="0" xfId="0"/>
    <xf numFmtId="0" fontId="9" fillId="5" borderId="2" pivotButton="0" quotePrefix="0" xfId="11"/>
    <xf numFmtId="0" fontId="5" fillId="5" borderId="2" pivotButton="0" quotePrefix="0" xfId="6"/>
    <xf numFmtId="0" fontId="3" fillId="0" borderId="2" pivotButton="0" quotePrefix="0" xfId="10"/>
    <xf numFmtId="0" fontId="8" fillId="0" borderId="2" pivotButton="0" quotePrefix="0" xfId="9"/>
    <xf numFmtId="3" fontId="1" fillId="2" borderId="1" applyAlignment="1" pivotButton="0" quotePrefix="0" xfId="1">
      <alignment horizontal="right"/>
    </xf>
    <xf numFmtId="1" fontId="1" fillId="2" borderId="1" applyAlignment="1" pivotButton="0" quotePrefix="0" xfId="1">
      <alignment horizontal="right"/>
    </xf>
    <xf numFmtId="164" fontId="1" fillId="2" borderId="1" applyAlignment="1" pivotButton="0" quotePrefix="0" xfId="1">
      <alignment horizontal="right"/>
    </xf>
    <xf numFmtId="165" fontId="1" fillId="2" borderId="1" applyAlignment="1" pivotButton="0" quotePrefix="0" xfId="1">
      <alignment horizontal="right"/>
    </xf>
    <xf numFmtId="166" fontId="1" fillId="2" borderId="1" applyAlignment="1" pivotButton="0" quotePrefix="0" xfId="1">
      <alignment horizontal="right"/>
    </xf>
    <xf numFmtId="0" fontId="1" fillId="2" borderId="1" applyAlignment="1" pivotButton="0" quotePrefix="0" xfId="1">
      <alignment horizontal="right"/>
    </xf>
    <xf numFmtId="167" fontId="1" fillId="2" borderId="1" applyAlignment="1" pivotButton="0" quotePrefix="0" xfId="1">
      <alignment horizontal="right"/>
    </xf>
    <xf numFmtId="167" fontId="3" fillId="0" borderId="2" applyAlignment="1" pivotButton="0" quotePrefix="0" xfId="3">
      <alignment horizontal="right"/>
    </xf>
    <xf numFmtId="168" fontId="3" fillId="0" borderId="2" applyAlignment="1" pivotButton="0" quotePrefix="0" xfId="3">
      <alignment horizontal="right"/>
    </xf>
    <xf numFmtId="169" fontId="3" fillId="0" borderId="2" applyAlignment="1" pivotButton="0" quotePrefix="0" xfId="3">
      <alignment horizontal="right"/>
    </xf>
    <xf numFmtId="170" fontId="3" fillId="0" borderId="2" applyAlignment="1" pivotButton="0" quotePrefix="0" xfId="3">
      <alignment horizontal="right"/>
    </xf>
    <xf numFmtId="0" fontId="7" fillId="0" borderId="3" applyAlignment="1" pivotButton="0" quotePrefix="0" xfId="8">
      <alignment horizontal="right"/>
    </xf>
    <xf numFmtId="169" fontId="7" fillId="0" borderId="3" applyAlignment="1" pivotButton="0" quotePrefix="0" xfId="8">
      <alignment horizontal="right"/>
    </xf>
    <xf numFmtId="169" fontId="1" fillId="2" borderId="1" applyAlignment="1" pivotButton="0" quotePrefix="0" xfId="1">
      <alignment horizontal="right"/>
    </xf>
    <xf numFmtId="1" fontId="3" fillId="0" borderId="2" applyAlignment="1" pivotButton="0" quotePrefix="0" xfId="3">
      <alignment horizontal="right"/>
    </xf>
    <xf numFmtId="0" fontId="3" fillId="0" borderId="2" applyAlignment="1" pivotButton="0" quotePrefix="0" xfId="3">
      <alignment horizontal="right"/>
    </xf>
  </cellXfs>
  <cellStyles count="14">
    <cellStyle name="Normal" xfId="0" builtinId="0" hidden="0"/>
    <cellStyle name="fep_input" xfId="1" hidden="0"/>
    <cellStyle name="fep_link" xfId="2" hidden="0"/>
    <cellStyle name="fep_calc" xfId="3" hidden="0"/>
    <cellStyle name="fep_macro" xfId="4" hidden="0"/>
    <cellStyle name="fep_seed" xfId="5" hidden="0"/>
    <cellStyle name="fep_section" xfId="6" hidden="0"/>
    <cellStyle name="fep_subheader" xfId="7" hidden="0"/>
    <cellStyle name="fep_total" xfId="8" hidden="0"/>
    <cellStyle name="fep_unit" xfId="9" hidden="0"/>
    <cellStyle name="fep_label" xfId="10" hidden="0"/>
    <cellStyle name="fep_banner" xfId="11" hidden="0"/>
    <cellStyle name="fep_header" xfId="12" hidden="0"/>
    <cellStyle name="fep_end" xfId="1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11" customWidth="1" min="3" max="3"/>
    <col width="13" customWidth="1" min="4" max="4"/>
    <col width="13" customWidth="1" min="5" max="5"/>
    <col width="46" customWidth="1" min="6" max="6"/>
    <col width="13" customWidth="1" min="7" max="7"/>
  </cols>
  <sheetData>
    <row r="1">
      <c r="B1" s="1" t="inlineStr">
        <is>
          <t>Bora bid – cash to RtB (EUR k; bid security and performance security as cash deposits)</t>
        </is>
      </c>
      <c r="C1" s="1" t="n"/>
      <c r="D1" s="1" t="n"/>
      <c r="E1" s="1" t="n"/>
      <c r="F1" s="1" t="n"/>
      <c r="G1" s="1" t="n"/>
    </row>
    <row r="3">
      <c r="A3" s="2" t="n"/>
      <c r="B3" s="2" t="inlineStr">
        <is>
          <t>1. Inputs: current Bora bid and tender values (model 27-Oct-2026)</t>
        </is>
      </c>
      <c r="C3" s="2" t="inlineStr">
        <is>
          <t>Unit</t>
        </is>
      </c>
      <c r="D3" s="2" t="inlineStr">
        <is>
          <t>Value</t>
        </is>
      </c>
      <c r="E3" s="2" t="n"/>
      <c r="F3" s="2" t="inlineStr">
        <is>
          <t>Source</t>
        </is>
      </c>
      <c r="G3" s="2" t="n"/>
    </row>
    <row r="4">
      <c r="B4" s="3" t="inlineStr">
        <is>
          <t>Connection capacity per bid</t>
        </is>
      </c>
      <c r="C4" s="4" t="inlineStr">
        <is>
          <t>MVA</t>
        </is>
      </c>
      <c r="D4" s="5" t="n">
        <v>100</v>
      </c>
      <c r="F4" s="4" t="inlineStr">
        <is>
          <t>Dashboard E20 ÷ Inputs E82</t>
        </is>
      </c>
    </row>
    <row r="5">
      <c r="B5" s="3" t="inlineStr">
        <is>
          <t>Number of bids</t>
        </is>
      </c>
      <c r="C5" s="4" t="inlineStr">
        <is>
          <t>#</t>
        </is>
      </c>
      <c r="D5" s="6" t="n">
        <v>2</v>
      </c>
      <c r="F5" s="4" t="inlineStr">
        <is>
          <t>Bid_Points: BORA 1 and BORA 2</t>
        </is>
      </c>
    </row>
    <row r="6">
      <c r="B6" s="3" t="inlineStr">
        <is>
          <t>Overbuild (ÖSZ-3)</t>
        </is>
      </c>
      <c r="C6" s="4" t="inlineStr">
        <is>
          <t>%</t>
        </is>
      </c>
      <c r="D6" s="7" t="n">
        <v>0.51</v>
      </c>
      <c r="F6" s="4" t="inlineStr">
        <is>
          <t>Dashboard E22</t>
        </is>
      </c>
    </row>
    <row r="7">
      <c r="B7" s="3" t="inlineStr">
        <is>
          <t>BESS power, share of MVA (ÖSZ-4)</t>
        </is>
      </c>
      <c r="C7" s="4" t="inlineStr">
        <is>
          <t>%</t>
        </is>
      </c>
      <c r="D7" s="7" t="n">
        <v>0.3</v>
      </c>
      <c r="F7" s="4" t="inlineStr">
        <is>
          <t>Dashboard E23</t>
        </is>
      </c>
    </row>
    <row r="8">
      <c r="B8" s="3" t="inlineStr">
        <is>
          <t>BESS duration</t>
        </is>
      </c>
      <c r="C8" s="4" t="inlineStr">
        <is>
          <t>h</t>
        </is>
      </c>
      <c r="D8" s="6" t="n">
        <v>4</v>
      </c>
      <c r="F8" s="4" t="inlineStr">
        <is>
          <t>Inputs E21</t>
        </is>
      </c>
    </row>
    <row r="9">
      <c r="B9" s="3" t="inlineStr">
        <is>
          <t>Performance security multiple (ÖSZ-6)</t>
        </is>
      </c>
      <c r="C9" s="4" t="inlineStr">
        <is>
          <t>x</t>
        </is>
      </c>
      <c r="D9" s="8" t="n">
        <v>1</v>
      </c>
      <c r="F9" s="4" t="inlineStr">
        <is>
          <t>Dashboard E27</t>
        </is>
      </c>
    </row>
    <row r="10">
      <c r="B10" s="3" t="inlineStr">
        <is>
          <t>FX rate</t>
        </is>
      </c>
      <c r="C10" s="4" t="inlineStr">
        <is>
          <t>HUF/EUR</t>
        </is>
      </c>
      <c r="D10" s="5" t="n">
        <v>365</v>
      </c>
      <c r="F10" s="4" t="inlineStr">
        <is>
          <t>Inputs E11</t>
        </is>
      </c>
    </row>
    <row r="11">
      <c r="B11" s="3" t="inlineStr">
        <is>
          <t>Security base: benchmark investment, wind</t>
        </is>
      </c>
      <c r="C11" s="4" t="inlineStr">
        <is>
          <t>HUF/MW</t>
        </is>
      </c>
      <c r="D11" s="5" t="n">
        <v>406000000</v>
      </c>
      <c r="F11" s="4" t="inlineStr">
        <is>
          <t>Inputs E75</t>
        </is>
      </c>
    </row>
    <row r="12">
      <c r="B12" s="3" t="inlineStr">
        <is>
          <t>Security base: benchmark investment, BESS</t>
        </is>
      </c>
      <c r="C12" s="4" t="inlineStr">
        <is>
          <t>HUF/MWh</t>
        </is>
      </c>
      <c r="D12" s="5" t="n">
        <v>200000000</v>
      </c>
      <c r="F12" s="4" t="inlineStr">
        <is>
          <t>Inputs E89</t>
        </is>
      </c>
    </row>
    <row r="13">
      <c r="B13" s="3" t="inlineStr">
        <is>
          <t>Bid security, share of the base</t>
        </is>
      </c>
      <c r="C13" s="4" t="inlineStr">
        <is>
          <t>%</t>
        </is>
      </c>
      <c r="D13" s="9" t="n">
        <v>0.005</v>
      </c>
      <c r="F13" s="4" t="inlineStr">
        <is>
          <t>Inputs E76</t>
        </is>
      </c>
    </row>
    <row r="14">
      <c r="B14" s="3" t="inlineStr">
        <is>
          <t>Performance security, share of the base</t>
        </is>
      </c>
      <c r="C14" s="4" t="inlineStr">
        <is>
          <t>%</t>
        </is>
      </c>
      <c r="D14" s="9" t="n">
        <v>0.025</v>
      </c>
      <c r="F14" s="4" t="inlineStr">
        <is>
          <t>Inputs E77</t>
        </is>
      </c>
    </row>
    <row r="15">
      <c r="B15" s="3" t="inlineStr">
        <is>
          <t>Participation fee per bid</t>
        </is>
      </c>
      <c r="C15" s="4" t="inlineStr">
        <is>
          <t>HUF</t>
        </is>
      </c>
      <c r="D15" s="5" t="n">
        <v>3000000</v>
      </c>
      <c r="F15" s="4" t="inlineStr">
        <is>
          <t>Inputs E81</t>
        </is>
      </c>
    </row>
    <row r="16">
      <c r="B16" s="3" t="inlineStr">
        <is>
          <t>TSO connection-request security</t>
        </is>
      </c>
      <c r="C16" s="4" t="inlineStr">
        <is>
          <t>HUF/MVA</t>
        </is>
      </c>
      <c r="D16" s="5" t="n">
        <v>4500000</v>
      </c>
      <c r="F16" s="4" t="inlineStr">
        <is>
          <t>Inputs E83</t>
        </is>
      </c>
    </row>
    <row r="17">
      <c r="B17" s="3" t="inlineStr">
        <is>
          <t>Indirect connection fee</t>
        </is>
      </c>
      <c r="C17" s="4" t="inlineStr">
        <is>
          <t>HUF/MVA</t>
        </is>
      </c>
      <c r="D17" s="5" t="n">
        <v>73071306</v>
      </c>
      <c r="F17" s="4" t="inlineStr">
        <is>
          <t>Inputs E297</t>
        </is>
      </c>
    </row>
    <row r="18">
      <c r="B18" s="3" t="inlineStr">
        <is>
          <t>Direct connection fee per connection point</t>
        </is>
      </c>
      <c r="C18" s="4" t="inlineStr">
        <is>
          <t>HUF</t>
        </is>
      </c>
      <c r="D18" s="5" t="n">
        <v>508345804</v>
      </c>
      <c r="F18" s="4" t="inlineStr">
        <is>
          <t>Inputs E298</t>
        </is>
      </c>
    </row>
    <row r="19">
      <c r="B19" s="3" t="inlineStr">
        <is>
          <t>Bids sharing the connection point</t>
        </is>
      </c>
      <c r="C19" s="4" t="inlineStr">
        <is>
          <t>#</t>
        </is>
      </c>
      <c r="D19" s="6" t="n">
        <v>2</v>
      </c>
      <c r="F19" s="4" t="inlineStr">
        <is>
          <t>ÖSZ-8 shared connection</t>
        </is>
      </c>
    </row>
    <row r="20">
      <c r="B20" s="3" t="inlineStr">
        <is>
          <t>Devex contingency (on devex excl. other costs + fee)</t>
        </is>
      </c>
      <c r="C20" s="4" t="inlineStr">
        <is>
          <t>%</t>
        </is>
      </c>
      <c r="D20" s="7" t="n">
        <v>0.1</v>
      </c>
      <c r="F20" s="4" t="inlineStr">
        <is>
          <t>Inputs E68</t>
        </is>
      </c>
    </row>
    <row r="21">
      <c r="B21" s="3" t="inlineStr">
        <is>
          <t>Devex file basis (BORA_Devex, 200 MVA project)</t>
        </is>
      </c>
      <c r="C21" s="4" t="inlineStr">
        <is>
          <t>MVA</t>
        </is>
      </c>
      <c r="D21" s="5" t="n">
        <v>200</v>
      </c>
      <c r="F21" s="4" t="inlineStr">
        <is>
          <t>Inputs E312</t>
        </is>
      </c>
    </row>
    <row r="22">
      <c r="B22" s="3" t="inlineStr">
        <is>
          <t>Performance security due after award</t>
        </is>
      </c>
      <c r="C22" s="4" t="inlineStr">
        <is>
          <t>days</t>
        </is>
      </c>
      <c r="D22" s="6" t="n">
        <v>17</v>
      </c>
      <c r="F22" s="4" t="inlineStr">
        <is>
          <t>Inputs E102</t>
        </is>
      </c>
    </row>
    <row r="23">
      <c r="B23" s="3" t="inlineStr">
        <is>
          <t>Thousand (HUF → k€ conversion)</t>
        </is>
      </c>
      <c r="C23" s="4" t="inlineStr">
        <is>
          <t>#</t>
        </is>
      </c>
      <c r="D23" s="5" t="n">
        <v>1000</v>
      </c>
      <c r="F23" s="4" t="inlineStr">
        <is>
          <t>Unit conversion</t>
        </is>
      </c>
    </row>
    <row r="24">
      <c r="B24" s="3" t="inlineStr">
        <is>
          <t>Check tolerance</t>
        </is>
      </c>
      <c r="C24" s="4" t="inlineStr">
        <is>
          <t>k€</t>
        </is>
      </c>
      <c r="D24" s="10" t="n">
        <v>1e-06</v>
      </c>
      <c r="F24" s="4" t="inlineStr">
        <is>
          <t>House standard</t>
        </is>
      </c>
    </row>
    <row r="25">
      <c r="B25" s="3" t="inlineStr">
        <is>
          <t>Signing</t>
        </is>
      </c>
      <c r="C25" s="4" t="inlineStr">
        <is>
          <t>date</t>
        </is>
      </c>
      <c r="D25" s="11" t="n">
        <v>46234</v>
      </c>
      <c r="F25" s="4" t="inlineStr">
        <is>
          <t>Inputs E27</t>
        </is>
      </c>
    </row>
    <row r="26">
      <c r="B26" s="3" t="inlineStr">
        <is>
          <t>Bid submission</t>
        </is>
      </c>
      <c r="C26" s="4" t="inlineStr">
        <is>
          <t>date</t>
        </is>
      </c>
      <c r="D26" s="11" t="n">
        <v>46325</v>
      </c>
      <c r="F26" s="4" t="inlineStr">
        <is>
          <t>Inputs E95</t>
        </is>
      </c>
    </row>
    <row r="27">
      <c r="B27" s="3" t="inlineStr">
        <is>
          <t>Award</t>
        </is>
      </c>
      <c r="C27" s="4" t="inlineStr">
        <is>
          <t>date</t>
        </is>
      </c>
      <c r="D27" s="11" t="n">
        <v>46369</v>
      </c>
      <c r="F27" s="4" t="inlineStr">
        <is>
          <t>Inputs E96</t>
        </is>
      </c>
    </row>
    <row r="28">
      <c r="B28" s="3" t="inlineStr">
        <is>
          <t>Connection request (TSO security)</t>
        </is>
      </c>
      <c r="C28" s="4" t="inlineStr">
        <is>
          <t>date</t>
        </is>
      </c>
      <c r="D28" s="11" t="n">
        <v>46386</v>
      </c>
      <c r="F28" s="4" t="inlineStr">
        <is>
          <t>Inputs E97</t>
        </is>
      </c>
    </row>
    <row r="29">
      <c r="B29" s="3" t="inlineStr">
        <is>
          <t>Connection agreement (HCSSZ): connection fees</t>
        </is>
      </c>
      <c r="C29" s="4" t="inlineStr">
        <is>
          <t>date</t>
        </is>
      </c>
      <c r="D29" s="11" t="n">
        <v>47027</v>
      </c>
      <c r="F29" s="4" t="inlineStr">
        <is>
          <t>Inputs E99</t>
        </is>
      </c>
    </row>
    <row r="30">
      <c r="B30" s="3" t="inlineStr">
        <is>
          <t>RtB</t>
        </is>
      </c>
      <c r="C30" s="4" t="inlineStr">
        <is>
          <t>date</t>
        </is>
      </c>
      <c r="D30" s="11" t="n">
        <v>47208</v>
      </c>
      <c r="F30" s="4" t="inlineStr">
        <is>
          <t>Inputs E56</t>
        </is>
      </c>
    </row>
    <row r="32">
      <c r="A32" s="2" t="n"/>
      <c r="B32" s="2" t="inlineStr">
        <is>
          <t>Derived (formulas)</t>
        </is>
      </c>
      <c r="C32" s="2" t="n"/>
      <c r="D32" s="2" t="n"/>
      <c r="E32" s="2" t="n"/>
      <c r="F32" s="2" t="n"/>
      <c r="G32" s="2" t="n"/>
    </row>
    <row r="33">
      <c r="B33" s="3" t="inlineStr">
        <is>
          <t>Performance security posted (award + days)</t>
        </is>
      </c>
      <c r="C33" s="4" t="inlineStr">
        <is>
          <t>date</t>
        </is>
      </c>
      <c r="D33" s="12">
        <f>$D$27+$D$22</f>
        <v/>
      </c>
    </row>
    <row r="34">
      <c r="B34" s="3" t="inlineStr">
        <is>
          <t>Wind committed per bid</t>
        </is>
      </c>
      <c r="C34" s="4" t="inlineStr">
        <is>
          <t>MW</t>
        </is>
      </c>
      <c r="D34" s="13">
        <f>$D$4*(1+$D$6)</f>
        <v/>
      </c>
    </row>
    <row r="35">
      <c r="B35" s="3" t="inlineStr">
        <is>
          <t>BESS energy per bid</t>
        </is>
      </c>
      <c r="C35" s="4" t="inlineStr">
        <is>
          <t>MWh</t>
        </is>
      </c>
      <c r="D35" s="13">
        <f>$D$4*$D$7*$D$8</f>
        <v/>
      </c>
    </row>
    <row r="36">
      <c r="B36" s="3" t="inlineStr">
        <is>
          <t>Security base per bid (wind MW × benchmark + MWh × benchmark)</t>
        </is>
      </c>
      <c r="C36" s="4" t="inlineStr">
        <is>
          <t>k€</t>
        </is>
      </c>
      <c r="D36" s="14">
        <f>($D$34*$D$11+$D$35*$D$12)/$D$10/$D$23</f>
        <v/>
      </c>
    </row>
    <row r="37">
      <c r="B37" s="3" t="inlineStr">
        <is>
          <t>Performance security per bid, gross</t>
        </is>
      </c>
      <c r="C37" s="4" t="inlineStr">
        <is>
          <t>k€</t>
        </is>
      </c>
      <c r="D37" s="14">
        <f>$D$14*$D$9*$D$36</f>
        <v/>
      </c>
    </row>
    <row r="38">
      <c r="B38" s="3" t="inlineStr">
        <is>
          <t>Devex scale (MVA × bids ÷ devex file basis)</t>
        </is>
      </c>
      <c r="C38" s="4" t="inlineStr">
        <is>
          <t>x</t>
        </is>
      </c>
      <c r="D38" s="15">
        <f>$D$4*$D$5/$D$21</f>
        <v/>
      </c>
    </row>
    <row r="40">
      <c r="A40" s="2" t="n"/>
      <c r="B40" s="2" t="inlineStr">
        <is>
          <t>2. Securities and fees payable, cash</t>
        </is>
      </c>
      <c r="C40" s="2" t="inlineStr">
        <is>
          <t>Date</t>
        </is>
      </c>
      <c r="D40" s="2" t="inlineStr">
        <is>
          <t>Per bid k€</t>
        </is>
      </c>
      <c r="E40" s="2" t="inlineStr">
        <is>
          <t>All bids k€</t>
        </is>
      </c>
      <c r="F40" s="2" t="inlineStr">
        <is>
          <t>Deduction</t>
        </is>
      </c>
      <c r="G40" s="2" t="n"/>
    </row>
    <row r="41">
      <c r="B41" s="3" t="inlineStr">
        <is>
          <t>Participation fee</t>
        </is>
      </c>
      <c r="C41" s="12">
        <f>$D$26</f>
        <v/>
      </c>
      <c r="D41" s="14">
        <f>$D$15/$D$10/$D$23</f>
        <v/>
      </c>
      <c r="E41" s="14">
        <f>D41*$D$5</f>
        <v/>
      </c>
      <c r="F41" s="4" t="inlineStr">
        <is>
          <t>sunk</t>
        </is>
      </c>
    </row>
    <row r="42">
      <c r="B42" s="3" t="inlineStr">
        <is>
          <t>Bid security paid at submission</t>
        </is>
      </c>
      <c r="C42" s="12">
        <f>$D$26</f>
        <v/>
      </c>
      <c r="D42" s="14">
        <f>$D$13*$D$36</f>
        <v/>
      </c>
      <c r="E42" s="14">
        <f>D42*$D$5</f>
        <v/>
      </c>
      <c r="F42" s="4" t="n"/>
    </row>
    <row r="43">
      <c r="B43" s="3" t="inlineStr">
        <is>
          <t>Bid security credited into the performance security</t>
        </is>
      </c>
      <c r="C43" s="12">
        <f>$D$33</f>
        <v/>
      </c>
      <c r="D43" s="14">
        <f>-D42</f>
        <v/>
      </c>
      <c r="E43" s="14">
        <f>D43*$D$5</f>
        <v/>
      </c>
      <c r="F43" s="4" t="inlineStr">
        <is>
          <t>stays posted as part of the PB</t>
        </is>
      </c>
    </row>
    <row r="44">
      <c r="B44" s="3" t="inlineStr">
        <is>
          <t>Performance security posted at award, gross</t>
        </is>
      </c>
      <c r="C44" s="12">
        <f>$D$33</f>
        <v/>
      </c>
      <c r="D44" s="14">
        <f>$D$37</f>
        <v/>
      </c>
      <c r="E44" s="14">
        <f>D44*$D$5</f>
        <v/>
      </c>
      <c r="F44" s="4" t="inlineStr">
        <is>
          <t>top-up paid = gross − bid security credited</t>
        </is>
      </c>
    </row>
    <row r="45">
      <c r="B45" s="3" t="inlineStr">
        <is>
          <t>TSO connection-request security paid</t>
        </is>
      </c>
      <c r="C45" s="12">
        <f>$D$28</f>
        <v/>
      </c>
      <c r="D45" s="14">
        <f>$D$16*$D$4/$D$10/$D$23</f>
        <v/>
      </c>
      <c r="E45" s="14">
        <f>D45*$D$5</f>
        <v/>
      </c>
      <c r="F45" s="4" t="n"/>
    </row>
    <row r="46">
      <c r="B46" s="3" t="inlineStr">
        <is>
          <t>TSO security credited against the indirect fee</t>
        </is>
      </c>
      <c r="C46" s="12">
        <f>$D$29</f>
        <v/>
      </c>
      <c r="D46" s="14">
        <f>-D45</f>
        <v/>
      </c>
      <c r="E46" s="14">
        <f>D46*$D$5</f>
        <v/>
      </c>
      <c r="F46" s="4" t="inlineStr">
        <is>
          <t>indirect fee payable = gross − TSO security</t>
        </is>
      </c>
    </row>
    <row r="47">
      <c r="B47" s="3" t="inlineStr">
        <is>
          <t>Indirect connection fee, gross</t>
        </is>
      </c>
      <c r="C47" s="12">
        <f>$D$29</f>
        <v/>
      </c>
      <c r="D47" s="14">
        <f>$D$17*$D$4/$D$10/$D$23</f>
        <v/>
      </c>
      <c r="E47" s="14">
        <f>D47*$D$5</f>
        <v/>
      </c>
      <c r="F47" s="4" t="n"/>
    </row>
    <row r="48">
      <c r="B48" s="3" t="inlineStr">
        <is>
          <t>Direct connection fee (per point ÷ sharing bids)</t>
        </is>
      </c>
      <c r="C48" s="12">
        <f>$D$29</f>
        <v/>
      </c>
      <c r="D48" s="14">
        <f>$D$18/$D$19/$D$10/$D$23</f>
        <v/>
      </c>
      <c r="E48" s="14">
        <f>D48*$D$5</f>
        <v/>
      </c>
      <c r="F48" s="4" t="inlineStr">
        <is>
          <t>shared connection point</t>
        </is>
      </c>
    </row>
    <row r="49">
      <c r="B49" s="16" t="inlineStr">
        <is>
          <t>Securities and fees, cash</t>
        </is>
      </c>
      <c r="D49" s="17">
        <f>SUM(D41:D48)</f>
        <v/>
      </c>
      <c r="E49" s="17">
        <f>SUM(E41:E48)</f>
        <v/>
      </c>
    </row>
    <row r="51">
      <c r="A51" s="2" t="n"/>
      <c r="B51" s="2" t="inlineStr">
        <is>
          <t>3. Devex payable (dates and amounts as in section 2)</t>
        </is>
      </c>
      <c r="C51" s="2" t="n"/>
      <c r="D51" s="2" t="n"/>
      <c r="E51" s="2" t="n"/>
      <c r="F51" s="2" t="n"/>
      <c r="G51" s="2" t="inlineStr">
        <is>
          <t>200 MVA k€</t>
        </is>
      </c>
    </row>
    <row r="52">
      <c r="B52" s="3" t="inlineStr">
        <is>
          <t>Capacity allocation process - Awarding – Land reservation fee</t>
        </is>
      </c>
      <c r="C52" s="11" t="n">
        <v>46431</v>
      </c>
      <c r="D52" s="14">
        <f>E52/$D$5</f>
        <v/>
      </c>
      <c r="E52" s="14">
        <f>G52*$D$38</f>
        <v/>
      </c>
      <c r="G52" s="18" t="n">
        <v>55.65</v>
      </c>
    </row>
    <row r="53">
      <c r="B53" s="3" t="inlineStr">
        <is>
          <t>Land purchase price</t>
        </is>
      </c>
      <c r="C53" s="11" t="n">
        <v>46431</v>
      </c>
      <c r="D53" s="14">
        <f>E53/$D$5</f>
        <v/>
      </c>
      <c r="E53" s="14">
        <f>G53*$D$38</f>
        <v/>
      </c>
      <c r="G53" s="18" t="n">
        <v>123.243243243243</v>
      </c>
    </row>
    <row r="54">
      <c r="B54" s="3" t="inlineStr">
        <is>
          <t>Grid connection plan – Design fee</t>
        </is>
      </c>
      <c r="C54" s="11" t="n">
        <v>46976</v>
      </c>
      <c r="D54" s="14">
        <f>E54/$D$5</f>
        <v/>
      </c>
      <c r="E54" s="14">
        <f>G54*$D$38</f>
        <v/>
      </c>
      <c r="G54" s="18" t="n">
        <v>159.84555984556</v>
      </c>
    </row>
    <row r="55">
      <c r="B55" s="3" t="inlineStr">
        <is>
          <t>Administrative fee</t>
        </is>
      </c>
      <c r="C55" s="11" t="n">
        <v>46976</v>
      </c>
      <c r="D55" s="14">
        <f>E55/$D$5</f>
        <v/>
      </c>
      <c r="E55" s="14">
        <f>G55*$D$38</f>
        <v/>
      </c>
      <c r="G55" s="18" t="n">
        <v>2.0284972972973</v>
      </c>
    </row>
    <row r="56">
      <c r="B56" s="3" t="inlineStr">
        <is>
          <t>Land contracting (additional land) – Legal fee, agent fee</t>
        </is>
      </c>
      <c r="C56" s="11" t="n">
        <v>46296</v>
      </c>
      <c r="D56" s="14">
        <f>E56/$D$5</f>
        <v/>
      </c>
      <c r="E56" s="14">
        <f>G56*$D$38</f>
        <v/>
      </c>
      <c r="G56" s="18" t="n">
        <v>177.243243243243</v>
      </c>
    </row>
    <row r="57">
      <c r="B57" s="3" t="inlineStr">
        <is>
          <t>Wind measurement – Met Masts</t>
        </is>
      </c>
      <c r="C57" s="11" t="n">
        <v>46447</v>
      </c>
      <c r="D57" s="14">
        <f>E57/$D$5</f>
        <v/>
      </c>
      <c r="E57" s="14">
        <f>G57*$D$38</f>
        <v/>
      </c>
      <c r="G57" s="18" t="n">
        <v>398</v>
      </c>
    </row>
    <row r="58">
      <c r="B58" s="3" t="inlineStr">
        <is>
          <t>Design fee</t>
        </is>
      </c>
      <c r="C58" s="11" t="n">
        <v>46388</v>
      </c>
      <c r="D58" s="14">
        <f>E58/$D$5</f>
        <v/>
      </c>
      <c r="E58" s="14">
        <f>G58*$D$38</f>
        <v/>
      </c>
      <c r="G58" s="18" t="n">
        <v>9.72972972972973</v>
      </c>
    </row>
    <row r="59">
      <c r="B59" s="3" t="inlineStr">
        <is>
          <t>EYA</t>
        </is>
      </c>
      <c r="C59" s="11" t="n">
        <v>46932</v>
      </c>
      <c r="D59" s="14">
        <f>E59/$D$5</f>
        <v/>
      </c>
      <c r="E59" s="14">
        <f>G59*$D$38</f>
        <v/>
      </c>
      <c r="G59" s="18" t="n">
        <v>4.5</v>
      </c>
    </row>
    <row r="60">
      <c r="B60" s="3" t="inlineStr">
        <is>
          <t>Land reclassification – Administrative fee</t>
        </is>
      </c>
      <c r="C60" s="11" t="n">
        <v>46746</v>
      </c>
      <c r="D60" s="14">
        <f>E60/$D$5</f>
        <v/>
      </c>
      <c r="E60" s="14">
        <f>G60*$D$38</f>
        <v/>
      </c>
      <c r="G60" s="18" t="n">
        <v>2.59459459459459</v>
      </c>
    </row>
    <row r="61">
      <c r="B61" s="3" t="inlineStr">
        <is>
          <t>Report fee</t>
        </is>
      </c>
      <c r="C61" s="11" t="n">
        <v>46596</v>
      </c>
      <c r="D61" s="14">
        <f>E61/$D$5</f>
        <v/>
      </c>
      <c r="E61" s="14">
        <f>G61*$D$38</f>
        <v/>
      </c>
      <c r="G61" s="18" t="n">
        <v>21.6216216216216</v>
      </c>
    </row>
    <row r="62">
      <c r="B62" s="3" t="inlineStr">
        <is>
          <t>Zoning plan modification – Design fee</t>
        </is>
      </c>
      <c r="C62" s="11" t="n">
        <v>46806</v>
      </c>
      <c r="D62" s="14">
        <f>E62/$D$5</f>
        <v/>
      </c>
      <c r="E62" s="14">
        <f>G62*$D$38</f>
        <v/>
      </c>
      <c r="G62" s="18" t="n">
        <v>135.135135135135</v>
      </c>
    </row>
    <row r="63">
      <c r="B63" s="3" t="inlineStr">
        <is>
          <t>Municipality donation – Donation</t>
        </is>
      </c>
      <c r="C63" s="11" t="n">
        <v>46806</v>
      </c>
      <c r="D63" s="14">
        <f>E63/$D$5</f>
        <v/>
      </c>
      <c r="E63" s="14">
        <f>G63*$D$38</f>
        <v/>
      </c>
      <c r="G63" s="18" t="n">
        <v>94.5945945945946</v>
      </c>
    </row>
    <row r="64">
      <c r="B64" s="3" t="inlineStr">
        <is>
          <t>Environmental assessment – Bird-bat monitoring</t>
        </is>
      </c>
      <c r="C64" s="11" t="n">
        <v>46751</v>
      </c>
      <c r="D64" s="14">
        <f>E64/$D$5</f>
        <v/>
      </c>
      <c r="E64" s="14">
        <f>G64*$D$38</f>
        <v/>
      </c>
      <c r="G64" s="18" t="n">
        <v>40.0864864864865</v>
      </c>
    </row>
    <row r="65">
      <c r="B65" s="3" t="inlineStr">
        <is>
          <t>Administrative fee</t>
        </is>
      </c>
      <c r="C65" s="11" t="n">
        <v>46871</v>
      </c>
      <c r="D65" s="14">
        <f>E65/$D$5</f>
        <v/>
      </c>
      <c r="E65" s="14">
        <f>G65*$D$38</f>
        <v/>
      </c>
      <c r="G65" s="18" t="n">
        <v>0.108108108108108</v>
      </c>
    </row>
    <row r="66">
      <c r="B66" s="3" t="inlineStr">
        <is>
          <t>Assessment fee</t>
        </is>
      </c>
      <c r="C66" s="11" t="n">
        <v>46841</v>
      </c>
      <c r="D66" s="14">
        <f>E66/$D$5</f>
        <v/>
      </c>
      <c r="E66" s="14">
        <f>G66*$D$38</f>
        <v/>
      </c>
      <c r="G66" s="18" t="n">
        <v>88.1351351351351</v>
      </c>
    </row>
    <row r="67">
      <c r="B67" s="3" t="inlineStr">
        <is>
          <t>Other project development – Geotechnical assessment fee</t>
        </is>
      </c>
      <c r="C67" s="11" t="n">
        <v>46596</v>
      </c>
      <c r="D67" s="14">
        <f>E67/$D$5</f>
        <v/>
      </c>
      <c r="E67" s="14">
        <f>G67*$D$38</f>
        <v/>
      </c>
      <c r="G67" s="18" t="n">
        <v>21.6216216216216</v>
      </c>
    </row>
    <row r="68">
      <c r="B68" s="3" t="inlineStr">
        <is>
          <t>Archaeological</t>
        </is>
      </c>
      <c r="C68" s="11" t="n">
        <v>46566</v>
      </c>
      <c r="D68" s="14">
        <f>E68/$D$5</f>
        <v/>
      </c>
      <c r="E68" s="14">
        <f>G68*$D$38</f>
        <v/>
      </c>
      <c r="G68" s="18" t="n">
        <v>21.6216216216216</v>
      </c>
    </row>
    <row r="69">
      <c r="B69" s="3" t="inlineStr">
        <is>
          <t>Topography</t>
        </is>
      </c>
      <c r="C69" s="11" t="n">
        <v>46566</v>
      </c>
      <c r="D69" s="14">
        <f>E69/$D$5</f>
        <v/>
      </c>
      <c r="E69" s="14">
        <f>G69*$D$38</f>
        <v/>
      </c>
      <c r="G69" s="18" t="n">
        <v>21.6216216216216</v>
      </c>
    </row>
    <row r="70">
      <c r="B70" s="3" t="inlineStr">
        <is>
          <t>Building permit - Turbines – Administrative fee</t>
        </is>
      </c>
      <c r="C70" s="11" t="n">
        <v>46780</v>
      </c>
      <c r="D70" s="14">
        <f>E70/$D$5</f>
        <v/>
      </c>
      <c r="E70" s="14">
        <f>G70*$D$38</f>
        <v/>
      </c>
      <c r="G70" s="18" t="n">
        <v>12.4054054054054</v>
      </c>
    </row>
    <row r="71">
      <c r="B71" s="3" t="inlineStr">
        <is>
          <t>Design fee</t>
        </is>
      </c>
      <c r="C71" s="11" t="n">
        <v>46780</v>
      </c>
      <c r="D71" s="14">
        <f>E71/$D$5</f>
        <v/>
      </c>
      <c r="E71" s="14">
        <f>G71*$D$38</f>
        <v/>
      </c>
      <c r="G71" s="18" t="n">
        <v>372.972972972973</v>
      </c>
    </row>
    <row r="72">
      <c r="B72" s="3" t="inlineStr">
        <is>
          <t>Cable right – Administrative fee</t>
        </is>
      </c>
      <c r="C72" s="11" t="n">
        <v>46780</v>
      </c>
      <c r="D72" s="14">
        <f>E72/$D$5</f>
        <v/>
      </c>
      <c r="E72" s="14">
        <f>G72*$D$38</f>
        <v/>
      </c>
      <c r="G72" s="18" t="n">
        <v>121.621621621622</v>
      </c>
    </row>
    <row r="73">
      <c r="B73" s="3" t="inlineStr">
        <is>
          <t>Design fee</t>
        </is>
      </c>
      <c r="C73" s="11" t="n">
        <v>46780</v>
      </c>
      <c r="D73" s="14">
        <f>E73/$D$5</f>
        <v/>
      </c>
      <c r="E73" s="14">
        <f>G73*$D$38</f>
        <v/>
      </c>
      <c r="G73" s="18" t="n">
        <v>202.423469387755</v>
      </c>
    </row>
    <row r="74">
      <c r="B74" s="3" t="inlineStr">
        <is>
          <t>Compensation</t>
        </is>
      </c>
      <c r="C74" s="11" t="n">
        <v>46720</v>
      </c>
      <c r="D74" s="14">
        <f>E74/$D$5</f>
        <v/>
      </c>
      <c r="E74" s="14">
        <f>G74*$D$38</f>
        <v/>
      </c>
      <c r="G74" s="18" t="n">
        <v>40.5405405405405</v>
      </c>
    </row>
    <row r="75">
      <c r="B75" s="3" t="inlineStr">
        <is>
          <t>Building permit - Substation, switching station – Administrative fee</t>
        </is>
      </c>
      <c r="C75" s="11" t="n">
        <v>46780</v>
      </c>
      <c r="D75" s="14">
        <f>E75/$D$5</f>
        <v/>
      </c>
      <c r="E75" s="14">
        <f>G75*$D$38</f>
        <v/>
      </c>
      <c r="G75" s="18" t="n">
        <v>16.2162162162162</v>
      </c>
    </row>
    <row r="76">
      <c r="B76" s="3" t="inlineStr">
        <is>
          <t>Design fee</t>
        </is>
      </c>
      <c r="C76" s="11" t="n">
        <v>46780</v>
      </c>
      <c r="D76" s="14">
        <f>E76/$D$5</f>
        <v/>
      </c>
      <c r="E76" s="14">
        <f>G76*$D$38</f>
        <v/>
      </c>
      <c r="G76" s="18" t="n">
        <v>122.104247104247</v>
      </c>
    </row>
    <row r="77">
      <c r="B77" s="3" t="inlineStr">
        <is>
          <t>Building permit - BESS – Administrative fee</t>
        </is>
      </c>
      <c r="C77" s="11" t="n">
        <v>46780</v>
      </c>
      <c r="D77" s="14">
        <f>E77/$D$5</f>
        <v/>
      </c>
      <c r="E77" s="14">
        <f>G77*$D$38</f>
        <v/>
      </c>
      <c r="G77" s="18" t="n">
        <v>12.4054054054054</v>
      </c>
    </row>
    <row r="78">
      <c r="B78" s="3" t="inlineStr">
        <is>
          <t>Design fee</t>
        </is>
      </c>
      <c r="C78" s="11" t="n">
        <v>46780</v>
      </c>
      <c r="D78" s="14">
        <f>E78/$D$5</f>
        <v/>
      </c>
      <c r="E78" s="14">
        <f>G78*$D$38</f>
        <v/>
      </c>
      <c r="G78" s="18" t="n">
        <v>94.5945945945946</v>
      </c>
    </row>
    <row r="79">
      <c r="B79" s="3" t="inlineStr">
        <is>
          <t>HEPURA permit – Administrative fee</t>
        </is>
      </c>
      <c r="C79" s="11" t="n">
        <v>47126</v>
      </c>
      <c r="D79" s="14">
        <f>E79/$D$5</f>
        <v/>
      </c>
      <c r="E79" s="14">
        <f>G79*$D$38</f>
        <v/>
      </c>
      <c r="G79" s="18" t="n">
        <v>54.0540540540541</v>
      </c>
    </row>
    <row r="80">
      <c r="B80" s="3" t="inlineStr">
        <is>
          <t>Report fee</t>
        </is>
      </c>
      <c r="C80" s="11" t="n">
        <v>47066</v>
      </c>
      <c r="D80" s="14">
        <f>E80/$D$5</f>
        <v/>
      </c>
      <c r="E80" s="14">
        <f>G80*$D$38</f>
        <v/>
      </c>
      <c r="G80" s="18" t="n">
        <v>32.4324324324324</v>
      </c>
    </row>
    <row r="81">
      <c r="B81" s="3" t="inlineStr">
        <is>
          <t>Legal costs</t>
        </is>
      </c>
      <c r="C81" s="11" t="n">
        <v>46752</v>
      </c>
      <c r="D81" s="14">
        <f>E81/$D$5</f>
        <v/>
      </c>
      <c r="E81" s="14">
        <f>G81*$D$38</f>
        <v/>
      </c>
      <c r="G81" s="18" t="n">
        <v>20</v>
      </c>
    </row>
    <row r="82">
      <c r="B82" s="3" t="inlineStr">
        <is>
          <t>Financial costs</t>
        </is>
      </c>
      <c r="C82" s="11" t="n">
        <v>46752</v>
      </c>
      <c r="D82" s="14">
        <f>E82/$D$5</f>
        <v/>
      </c>
      <c r="E82" s="14">
        <f>G82*$D$38</f>
        <v/>
      </c>
      <c r="G82" s="18" t="n">
        <v>80</v>
      </c>
    </row>
    <row r="83">
      <c r="B83" s="3" t="inlineStr">
        <is>
          <t>Other costs (HR, car etc.)</t>
        </is>
      </c>
      <c r="C83" s="11" t="n">
        <v>46752</v>
      </c>
      <c r="D83" s="14">
        <f>E83/$D$5</f>
        <v/>
      </c>
      <c r="E83" s="14">
        <f>G83*$D$38</f>
        <v/>
      </c>
      <c r="G83" s="18" t="n">
        <v>50</v>
      </c>
    </row>
    <row r="84">
      <c r="B84" s="3" t="inlineStr">
        <is>
          <t>RtB – Land purchase price</t>
        </is>
      </c>
      <c r="C84" s="11" t="n">
        <v>47201</v>
      </c>
      <c r="D84" s="14">
        <f>E84/$D$5</f>
        <v/>
      </c>
      <c r="E84" s="14">
        <f>G84*$D$38</f>
        <v/>
      </c>
      <c r="G84" s="18" t="n">
        <v>246.486486486486</v>
      </c>
    </row>
    <row r="85">
      <c r="B85" s="3" t="inlineStr">
        <is>
          <t>Contingency (devex excl. other costs + participation fee)</t>
        </is>
      </c>
      <c r="C85" s="11" t="n">
        <v>47118</v>
      </c>
      <c r="D85" s="14">
        <f>E85/$D$5</f>
        <v/>
      </c>
      <c r="E85" s="14">
        <f>$D$20*(SUM(E52:E84)-E83+E41)</f>
        <v/>
      </c>
      <c r="F85" s="4" t="inlineStr">
        <is>
          <t>other costs outside the base (as the model)</t>
        </is>
      </c>
    </row>
    <row r="86">
      <c r="B86" s="16" t="inlineStr">
        <is>
          <t>Devex, land and contingency</t>
        </is>
      </c>
      <c r="D86" s="17">
        <f>SUM(D52:D85)</f>
        <v/>
      </c>
      <c r="E86" s="17">
        <f>SUM(E52:E85)</f>
        <v/>
      </c>
    </row>
    <row r="88">
      <c r="B88" s="16" t="inlineStr">
        <is>
          <t>Grand total cash to RtB</t>
        </is>
      </c>
      <c r="D88" s="17">
        <f>D49+D86</f>
        <v/>
      </c>
      <c r="E88" s="17">
        <f>E49+E86</f>
        <v/>
      </c>
    </row>
    <row r="90">
      <c r="A90" s="2" t="n"/>
      <c r="B90" s="2" t="inlineStr">
        <is>
          <t>4. Cash by year</t>
        </is>
      </c>
      <c r="C90" s="2" t="inlineStr">
        <is>
          <t>Year</t>
        </is>
      </c>
      <c r="D90" s="2" t="inlineStr">
        <is>
          <t>Per bid k€</t>
        </is>
      </c>
      <c r="E90" s="2" t="inlineStr">
        <is>
          <t>All bids k€</t>
        </is>
      </c>
      <c r="F90" s="2" t="inlineStr">
        <is>
          <t>Cumulative, all bids k€</t>
        </is>
      </c>
      <c r="G90" s="2" t="n"/>
    </row>
    <row r="91">
      <c r="B91" s="3" t="inlineStr">
        <is>
          <t>Cash paid in the year</t>
        </is>
      </c>
      <c r="C91" s="19">
        <f>YEAR($D$25)</f>
        <v/>
      </c>
      <c r="D91" s="14">
        <f>SUMPRODUCT((YEAR($C$41:$C$86)=$C91)*D$41:D$86)</f>
        <v/>
      </c>
      <c r="E91" s="14">
        <f>SUMPRODUCT((YEAR($C$41:$C$86)=$C91)*E$41:E$86)</f>
        <v/>
      </c>
      <c r="F91" s="14">
        <f>E91</f>
        <v/>
      </c>
    </row>
    <row r="92">
      <c r="B92" s="3" t="inlineStr">
        <is>
          <t>Cash paid in the year</t>
        </is>
      </c>
      <c r="C92" s="19">
        <f>C91+1</f>
        <v/>
      </c>
      <c r="D92" s="14">
        <f>SUMPRODUCT((YEAR($C$41:$C$86)=$C92)*D$41:D$86)</f>
        <v/>
      </c>
      <c r="E92" s="14">
        <f>SUMPRODUCT((YEAR($C$41:$C$86)=$C92)*E$41:E$86)</f>
        <v/>
      </c>
      <c r="F92" s="14">
        <f>F91+E92</f>
        <v/>
      </c>
    </row>
    <row r="93">
      <c r="B93" s="3" t="inlineStr">
        <is>
          <t>Cash paid in the year</t>
        </is>
      </c>
      <c r="C93" s="19">
        <f>C92+1</f>
        <v/>
      </c>
      <c r="D93" s="14">
        <f>SUMPRODUCT((YEAR($C$41:$C$86)=$C93)*D$41:D$86)</f>
        <v/>
      </c>
      <c r="E93" s="14">
        <f>SUMPRODUCT((YEAR($C$41:$C$86)=$C93)*E$41:E$86)</f>
        <v/>
      </c>
      <c r="F93" s="14">
        <f>F92+E93</f>
        <v/>
      </c>
    </row>
    <row r="94">
      <c r="B94" s="3" t="inlineStr">
        <is>
          <t>Cash paid in the year</t>
        </is>
      </c>
      <c r="C94" s="19">
        <f>C93+1</f>
        <v/>
      </c>
      <c r="D94" s="14">
        <f>SUMPRODUCT((YEAR($C$41:$C$86)=$C94)*D$41:D$86)</f>
        <v/>
      </c>
      <c r="E94" s="14">
        <f>SUMPRODUCT((YEAR($C$41:$C$86)=$C94)*E$41:E$86)</f>
        <v/>
      </c>
      <c r="F94" s="14">
        <f>F93+E94</f>
        <v/>
      </c>
    </row>
    <row r="95">
      <c r="B95" s="16" t="inlineStr">
        <is>
          <t>Total by year</t>
        </is>
      </c>
      <c r="D95" s="17">
        <f>SUM(D91:D94)</f>
        <v/>
      </c>
      <c r="E95" s="17">
        <f>SUM(E91:E94)</f>
        <v/>
      </c>
    </row>
    <row r="96">
      <c r="B96" s="3" t="inlineStr">
        <is>
          <t>Check: by-year sum = grand total (all bids)</t>
        </is>
      </c>
      <c r="D96" s="20">
        <f>IF(ABS(E95-E88)&lt;$D$24,"OK","CHECK")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2026-10-27T11:28:03Z</dcterms:created>
  <dcterms:modified xmlns:dcterms="http://purl.org/dc/terms/" xmlns:xsi="http://www.w3.org/2001/XMLSchema-instance" xsi:type="dcterms:W3CDTF">2026-10-27T11:28:03Z</dcterms:modified>
</cp:coreProperties>
</file>