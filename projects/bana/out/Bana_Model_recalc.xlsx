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Dashboard!$H$107:$R$107</definedName>
    <definedName function="false" hidden="false" name="Buyer_IRR_L_2_Stored" vbProcedure="false">Dashboard!$H$108:$R$108</definedName>
    <definedName function="false" hidden="false" name="Buyer_IRR_U_1_Stored" vbProcedure="false">Dashboard!$H$105:$R$105</definedName>
    <definedName function="false" hidden="false" name="Buyer_IRR_U_2_Stored" vbProcedure="false">Dashboard!$H$106:$R$106</definedName>
    <definedName function="false" hidden="false" name="Checks_1_Stored" vbProcedure="false">Dashboard!$H$111:$R$111</definedName>
    <definedName function="false" hidden="false" name="Checks_2_Stored" vbProcedure="false">Dashboard!$H$112:$R$112</definedName>
    <definedName function="false" hidden="false" name="COD_IRR_1_Stored" vbProcedure="false">Dashboard!$H$93:$R$93</definedName>
    <definedName function="false" hidden="false" name="COD_IRR_2_Stored" vbProcedure="false">Dashboard!$H$94:$R$94</definedName>
    <definedName function="false" hidden="false" name="COD_MOIC_1_Stored" vbProcedure="false">Dashboard!$H$95:$R$95</definedName>
    <definedName function="false" hidden="false" name="COD_MOIC_2_Stored" vbProcedure="false">Dashboard!$H$96:$R$96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Dashboard!$H$101:$R$101</definedName>
    <definedName function="false" hidden="false" name="Debt_COD_2_Stored" vbProcedure="false">Dashboard!$H$102:$R$102</definedName>
    <definedName function="false" hidden="false" name="Equity_COD_1_Stored" vbProcedure="false">Dashboard!$H$103:$R$103</definedName>
    <definedName function="false" hidden="false" name="Equity_COD_2_Stored" vbProcedure="false">Dashboard!$H$104:$R$104</definedName>
    <definedName function="false" hidden="false" name="GoalSeek_Topics" vbProcedure="false">Inputs!$F$105</definedName>
    <definedName function="false" hidden="false" name="HTM_IRR_1_Stored" vbProcedure="false">Dashboard!$H$97:$R$97</definedName>
    <definedName function="false" hidden="false" name="HTM_IRR_2_Stored" vbProcedure="false">Dashboard!$H$98:$R$98</definedName>
    <definedName function="false" hidden="false" name="HTM_MOIC_1_Stored" vbProcedure="false">Dashboard!$H$99:$R$99</definedName>
    <definedName function="false" hidden="false" name="HTM_MOIC_2_Stored" vbProcedure="false">Dashboard!$H$100:$R$100</definedName>
    <definedName function="false" hidden="false" name="In_Admin" vbProcedure="false">Inputs!$F$87</definedName>
    <definedName function="false" hidden="false" name="In_Award_Date" vbProcedure="false">Inputs!$F$22</definedName>
    <definedName function="false" hidden="false" name="In_Bench_BESS" vbProcedure="false">Inputs!$F$59</definedName>
    <definedName function="false" hidden="false" name="In_Bench_Wind" vbProcedure="false">Inputs!$F$60</definedName>
    <definedName function="false" hidden="false" name="In_BESS_Built" vbProcedure="false">Inputs!$F$54</definedName>
    <definedName function="false" hidden="false" name="In_BESS_Capex" vbProcedure="false">Inputs!$F$76</definedName>
    <definedName function="false" hidden="false" name="In_Bid_Date" vbProcedure="false">Inputs!$F$21</definedName>
    <definedName function="false" hidden="false" name="In_Bid_Rate" vbProcedure="false">Inputs!$F$62</definedName>
    <definedName function="false" hidden="false" name="In_Bottleneck_Loss" vbProcedure="false">Inputs!$F$53</definedName>
    <definedName function="false" hidden="false" name="In_Capex_Contingency" vbProcedure="false">Inputs!$F$75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Inputs!$F$100</definedName>
    <definedName function="false" hidden="false" name="In_Curtailment" vbProcedure="false">Inputs!$F$80</definedName>
    <definedName function="false" hidden="false" name="In_DD" vbProcedure="false">Inputs!$F$35</definedName>
    <definedName function="false" hidden="false" name="In_Debt_Rate" vbProcedure="false">Inputs!$F$98</definedName>
    <definedName function="false" hidden="false" name="In_Debt_Tenor" vbProcedure="false">Inputs!$F$97</definedName>
    <definedName function="false" hidden="false" name="In_Decision_Date" vbProcedure="false">Inputs!$F$23</definedName>
    <definedName function="false" hidden="false" name="In_Degradation" vbProcedure="false">Inputs!$F$81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Inputs!$F$65</definedName>
    <definedName function="false" hidden="false" name="In_Discount_Rate" vbProcedure="false">Inputs!$F$40</definedName>
    <definedName function="false" hidden="false" name="In_DSCR" vbProcedure="false">Inputs!$F$96</definedName>
    <definedName function="false" hidden="false" name="In_DSRA_Months" vbProcedure="false">Inputs!$F$101</definedName>
    <definedName function="false" hidden="false" name="In_Fixed_Opex" vbProcedure="false">Inputs!$F$85</definedName>
    <definedName function="false" hidden="false" name="In_FX" vbProcedure="false">Inputs!$F$33</definedName>
    <definedName function="false" hidden="false" name="In_Gearing" vbProcedure="false">Inputs!$F$95</definedName>
    <definedName function="false" hidden="false" name="In_Guarantee_Fee" vbProcedure="false">Inputs!$F$67</definedName>
    <definedName function="false" hidden="false" name="In_HCSSZ_Date" vbProcedure="false">Inputs!$F$27</definedName>
    <definedName function="false" hidden="false" name="In_HIPA" vbProcedure="false">Inputs!$F$91</definedName>
    <definedName function="false" hidden="false" name="In_Indirect_Fee" vbProcedure="false">Inputs!$F$66</definedName>
    <definedName function="false" hidden="false" name="In_Innovation" vbProcedure="false">Inputs!$F$92</definedName>
    <definedName function="false" hidden="false" name="In_Lease" vbProcedure="false">Inputs!$F$86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Inputs!$F$90</definedName>
    <definedName function="false" hidden="false" name="In_Min_Hours" vbProcedure="false">Inputs!$F$55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Inputs!$F$88</definedName>
    <definedName function="false" hidden="false" name="In_Opex_Esc" vbProcedure="false">Inputs!$F$89</definedName>
    <definedName function="false" hidden="false" name="In_Other_Wind" vbProcedure="false">Inputs!$F$72</definedName>
    <definedName function="false" hidden="false" name="In_Overbuild_Built" vbProcedure="false">Inputs!$F$52</definedName>
    <definedName function="false" hidden="false" name="In_P50_Hours" vbProcedure="false">Inputs!$F$79</definedName>
    <definedName function="false" hidden="false" name="In_Part_Fee" vbProcedure="false">Inputs!$F$61</definedName>
    <definedName function="false" hidden="false" name="In_PB_Days" vbProcedure="false">Inputs!$F$24</definedName>
    <definedName function="false" hidden="false" name="In_PB_Rate" vbProcedure="false">Inputs!$F$63</definedName>
    <definedName function="false" hidden="false" name="In_PB_Release" vbProcedure="false">Inputs!$F$30</definedName>
    <definedName function="false" hidden="false" name="In_PPA_Esc" vbProcedure="false">Inputs!$F$83</definedName>
    <definedName function="false" hidden="false" name="In_PPA_Price" vbProcedure="false">Inputs!$F$82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Inputs!$F$58</definedName>
    <definedName function="false" hidden="false" name="In_Sanction_Regime" vbProcedure="false">Inputs!$F$57</definedName>
    <definedName function="false" hidden="false" name="In_Substation" vbProcedure="false">Inputs!$F$73</definedName>
    <definedName function="false" hidden="false" name="In_Substation_CN" vbProcedure="false">Inputs!$F$74</definedName>
    <definedName function="false" hidden="false" name="In_Tolerance_Cap" vbProcedure="false">Inputs!$F$56</definedName>
    <definedName function="false" hidden="false" name="In_TSO_Security" vbProcedure="false">Inputs!$F$64</definedName>
    <definedName function="false" hidden="false" name="In_Turbine" vbProcedure="false">Inputs!$F$70</definedName>
    <definedName function="false" hidden="false" name="In_Turbine_CN" vbProcedure="false">Inputs!$F$71</definedName>
    <definedName function="false" hidden="false" name="In_Upfront_Fee" vbProcedure="false">Inputs!$F$99</definedName>
    <definedName function="false" hidden="false" name="In_Var_Opex" vbProcedure="false">Inputs!$F$84</definedName>
    <definedName function="false" hidden="false" name="Live_Results" vbProcedure="false">Dashboard!$E$93:$E$112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Dashboard!$H$109:$R$109</definedName>
    <definedName function="false" hidden="false" name="Min_DSCR_2_Stored" vbProcedure="false">Dashboard!$H$110:$R$110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Buyer_IRR_L_1" vbProcedure="false">Dashboard!$E$75</definedName>
    <definedName function="false" hidden="false" name="Out_Buyer_IRR_L_2" vbProcedure="false">Dashboard!$F$75</definedName>
    <definedName function="false" hidden="false" name="Out_Buyer_IRR_U_1" vbProcedure="false">Dashboard!$E$74</definedName>
    <definedName function="false" hidden="false" name="Out_Buyer_IRR_U_2" vbProcedure="false">Dashboard!$F$74</definedName>
    <definedName function="false" hidden="false" name="Out_Capacity_Used_1" vbProcedure="false">Dashboard!$E$80</definedName>
    <definedName function="false" hidden="false" name="Out_Capacity_Used_2" vbProcedure="false">Dashboard!$F$80</definedName>
    <definedName function="false" hidden="false" name="Out_Checks_1" vbProcedure="false">Dashboard!$E$90</definedName>
    <definedName function="false" hidden="false" name="Out_Checks_2" vbProcedure="false">Dashboard!$F$90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Dashboard!$E$78</definedName>
    <definedName function="false" hidden="false" name="Out_Debt_Capacity_2" vbProcedure="false">Dashboard!$F$78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Share_1" vbProcedure="false">Dashboard!$E$79</definedName>
    <definedName function="false" hidden="false" name="Out_Debt_Share_2" vbProcedure="false">Dashboard!$F$79</definedName>
    <definedName function="false" hidden="false" name="Out_DSRA_1" vbProcedure="false">Dashboard!$E$81</definedName>
    <definedName function="false" hidden="false" name="Out_DSRA_2" vbProcedure="false">Dashboard!$F$81</definedName>
    <definedName function="false" hidden="false" name="Out_EBITDA_Life_1" vbProcedure="false">Dashboard!$E$87</definedName>
    <definedName function="false" hidden="false" name="Out_EBITDA_Life_2" vbProcedure="false">Dashboard!$F$87</definedName>
    <definedName function="false" hidden="false" name="Out_EBITDA_Year1_1" vbProcedure="false">Dashboard!$E$85</definedName>
    <definedName function="false" hidden="false" name="Out_EBITDA_Year1_2" vbProcedure="false">Dashboard!$F$85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Dashboard!$E$83</definedName>
    <definedName function="false" hidden="false" name="Out_Gen_Year1_2" vbProcedure="false">Dashboard!$F$83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Dashboard!$E$82</definedName>
    <definedName function="false" hidden="false" name="Out_Min_DSCR_2" vbProcedure="false">Dashboard!$F$82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Dashboard!$E$86</definedName>
    <definedName function="false" hidden="false" name="Out_Revenue_Life_2" vbProcedure="false">Dashboard!$F$86</definedName>
    <definedName function="false" hidden="false" name="Out_Revenue_Year1_1" vbProcedure="false">Dashboard!$E$84</definedName>
    <definedName function="false" hidden="false" name="Out_Revenue_Year1_2" vbProcedure="false">Dashboard!$F$84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Dashboard!$E$88</definedName>
    <definedName function="false" hidden="false" name="Out_Tax_Life_2" vbProcedure="false">Dashboard!$F$88</definedName>
    <definedName function="false" hidden="false" name="Out_Tax_Losses_Lapsed_1" vbProcedure="false">Dashboard!$E$89</definedName>
    <definedName function="false" hidden="false" name="Out_Tax_Losses_Lapsed_2" vbProcedure="false">Dashboard!$F$89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Inputs!$F$50</definedName>
    <definedName function="false" hidden="false" name="Scenario_Name" vbProcedure="false">Dashboard!$V$12</definedName>
    <definedName function="false" hidden="false" name="Scenario_Names" vbProcedure="false">Inputs!$H$7:$R$7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Inputs!$F$104</definedName>
    <definedName function="false" hidden="false" name="Stored_Results" vbProcedure="false">Dashboard!$H$93:$R$112</definedName>
    <definedName function="false" hidden="false" name="Tax_1_Copy" vbProcedure="false">Calc_1!$J$108:$EO$108</definedName>
    <definedName function="false" hidden="false" name="Tax_1_Delta" vbProcedure="false">Calc_1!$I$109</definedName>
    <definedName function="false" hidden="false" name="Tax_1_Paste" vbProcedure="false">Calc_1!$J$82:$EO$82</definedName>
    <definedName function="false" hidden="false" name="Tax_2_Copy" vbProcedure="false">Calc_2!$J$108:$EO$108</definedName>
    <definedName function="false" hidden="false" name="Tax_2_Delta" vbProcedure="false">Calc_2!$I$109</definedName>
    <definedName function="false" hidden="false" name="Tax_2_Paste" vbProcedure="false">Calc_2!$J$82:$EO$82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<sst xmlns="http://schemas.openxmlformats.org/spreadsheetml/2006/main" count="1170" uniqueCount="498">
  <si>
    <t xml:space="preserve">Project Bana</t>
  </si>
  <si>
    <t xml:space="preserve">50 MW onshore wind, Ács Katódgyár – sale at COD vs hold to maturity</t>
  </si>
  <si>
    <t xml:space="preserve">Version</t>
  </si>
  <si>
    <t xml:space="preserve">v1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</si>
  <si>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</si>
  <si>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</si>
  <si>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</si>
  <si>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</si>
  <si>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</si>
  <si>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</si>
  <si>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</si>
  <si>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</si>
  <si>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</si>
  <si>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</si>
  <si>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</si>
  <si>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</si>
  <si>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</si>
  <si>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</si>
  <si>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</si>
  <si>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</si>
  <si>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</si>
  <si>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</si>
  <si>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</si>
  <si>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</si>
  <si>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</si>
  <si>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</si>
  <si>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</si>
  <si>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</si>
  <si>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</si>
  <si>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</si>
  <si>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</si>
  <si>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</si>
  <si>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</si>
  <si>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</si>
  <si>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</si>
  <si>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</si>
  <si>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</si>
  <si>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</si>
  <si>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</si>
  <si>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</si>
  <si>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</si>
  <si>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</si>
  <si>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</si>
  <si>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</si>
  <si>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</si>
  <si>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</si>
  <si>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</si>
  <si>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</si>
  <si>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</si>
  <si>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</si>
  <si>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</si>
  <si>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</si>
  <si>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</si>
  <si>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</si>
  <si>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</si>
  <si>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</si>
  <si>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</si>
  <si>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</si>
  <si>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</si>
  <si>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</si>
  <si>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</si>
  <si>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</si>
  <si>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</si>
  <si>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</si>
  <si>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</si>
  <si>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</si>
  <si>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</si>
  <si>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</si>
  <si>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</si>
  <si>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</si>
  <si>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</si>
  <si>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</si>
  <si>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</si>
  <si>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</si>
  <si>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</si>
  <si>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</si>
  <si>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</si>
  <si>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</si>
  <si>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</si>
  <si>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</si>
  <si>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</si>
  <si>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</si>
  <si>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</si>
  <si>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</si>
  <si>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</si>
  <si>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</si>
  <si>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</si>
  <si>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</si>
  <si>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</si>
  <si>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</si>
  <si>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</si>
  <si>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</si>
  <si>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</si>
  <si>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</si>
  <si>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</si>
  <si>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</si>
  <si>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</si>
  <si>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</si>
  <si>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</si>
  <si>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</si>
  <si>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</si>
  <si>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</si>
  <si>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</si>
  <si>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</si>
  <si>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</si>
  <si>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</si>
  <si>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</si>
  <si>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</si>
  <si>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</si>
  <si>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</si>
  <si>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</si>
  <si>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</si>
  <si>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</si>
  <si>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</si>
  <si>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</si>
  <si>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</si>
  <si>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</si>
  <si>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</si>
  <si>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</si>
  <si>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</si>
  <si>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</si>
  <si>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</si>
  <si>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</si>
  <si>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</si>
  <si>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post-tax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</si>
  <si>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</si>
  <si>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</si>
  <si>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</si>
  <si>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</si>
  <si>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</si>
  <si>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</si>
  <si>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</si>
  <si>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</si>
  <si>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</si>
  <si>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</si>
  <si>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</si>
  <si>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</si>
  <si>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</si>
  <si>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</si>
  <si>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</si>
  <si>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</si>
  <si>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</si>
  <si>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</si>
  <si>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</si>
  <si>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</si>
  <si>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</si>
  <si>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</si>
  <si>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</si>
  <si>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</si>
  <si>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</si>
  <si>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</si>
  <si>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</si>
  <si>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</si>
  <si>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</si>
  <si>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</si>
  <si>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post-tax – European turbine</t>
  </si>
  <si>
    <t xml:space="preserve">Buyer IRR, unlevered, post-tax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</si>
  <si>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</si>
  <si>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</si>
  <si>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</si>
  <si>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</si>
  <si>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</si>
  <si>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</si>
  <si>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</si>
  <si>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</si>
  <si>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</si>
  <si>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</si>
  <si>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</si>
  <si>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</si>
  <si>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</si>
  <si>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</si>
  <si>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</si>
  <si>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</si>
  <si>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</si>
  <si>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</si>
  <si>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</si>
  <si>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</si>
  <si>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</si>
  <si>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</si>
  <si>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</si>
  <si>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</si>
  <si>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</si>
  <si>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</si>
  <si>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</si>
  <si>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</si>
  <si>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</si>
  <si>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</si>
  <si>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</si>
  <si>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</si>
  <si>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</si>
  <si>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</si>
  <si>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</si>
  <si>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</si>
  <si>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</si>
  <si>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</si>
  <si>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</si>
  <si>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</si>
  <si>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</si>
  <si>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</si>
  <si>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</si>
  <si>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</si>
  <si>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</si>
  <si>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</si>
  <si>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</si>
  <si>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</si>
  <si>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</si>
  <si>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</si>
  <si>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</si>
  <si>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</si>
  <si>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</si>
  <si>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</si>
  <si>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</si>
  <si>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</si>
  <si>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</si>
  <si>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</si>
  <si>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</si>
  <si>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</si>
  <si>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</si>
  <si>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</si>
  <si>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</si>
  <si>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</si>
  <si>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</si>
  <si>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</si>
  <si>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</si>
  <si>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</si>
  <si>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</si>
  <si>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</si>
  <si>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</si>
  <si>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</si>
  <si>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</si>
  <si>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</si>
  <si>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</si>
  <si>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</si>
  <si>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</si>
  <si>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 (Pillar Two 15 % minimum)</t>
  </si>
  <si>
    <t xml:space="preserve">User 14-Oct-26; set 11: Tao. 19. §</t>
  </si>
  <si>
    <t xml:space="preserve">Robin Hood tax applies (1 = yes)</t>
  </si>
  <si>
    <t xml:space="preserve">Bana v3 E197 (≤ 50 MW: off)</t>
  </si>
  <si>
    <t xml:space="preserve">Robin Hood tax on positive pre-tax profit</t>
  </si>
  <si>
    <t xml:space="preserve">Bana v3 Inputs E198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</si>
  <si>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</si>
  <si>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</si>
  <si>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</si>
  <si>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</si>
  <si>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</si>
  <si>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</si>
  <si>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</si>
  <si>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</si>
  <si>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</si>
  <si>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</si>
  <si>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</si>
  <si>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</si>
  <si>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</si>
  <si>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</si>
  <si>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</si>
  <si>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</si>
  <si>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</si>
  <si>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</si>
  <si>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</si>
  <si>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</si>
  <si>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</si>
  <si>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</si>
  <si>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</si>
  <si>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</si>
  <si>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</si>
  <si>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</si>
  <si>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</si>
  <si>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</si>
  <si>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</si>
  <si>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</si>
  <si>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</si>
  <si>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</si>
  <si>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</si>
  <si>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</si>
  <si>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</si>
  <si>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</si>
  <si>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</si>
  <si>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</si>
  <si>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</si>
  <si>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</si>
  <si>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</si>
  <si>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</si>
  <si>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</si>
  <si>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</si>
  <si>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</si>
  <si>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</si>
  <si>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</si>
  <si>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</si>
  <si>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</si>
  <si>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</si>
  <si>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</si>
  <si>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</si>
  <si>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</si>
  <si>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</si>
  <si>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</si>
  <si>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</si>
  <si>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</si>
  <si>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</si>
  <si>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</si>
  <si>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</si>
  <si>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</si>
  <si>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</si>
  <si>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</si>
  <si>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</si>
  <si>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</si>
  <si>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</si>
  <si>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</si>
  <si>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</si>
  <si>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</si>
  <si>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</si>
  <si>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</si>
  <si>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</si>
  <si>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</si>
  <si>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</si>
  <si>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</si>
  <si>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</si>
  <si>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</si>
  <si>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</si>
  <si>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</si>
  <si>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</si>
  <si>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</si>
  <si>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</si>
  <si>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</si>
  <si>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</si>
  <si>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</si>
  <si>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</si>
  <si>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</si>
  <si>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</si>
  <si>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</si>
  <si>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</si>
  <si>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</si>
  <si>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</si>
  <si>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</si>
  <si>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</si>
  <si>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</si>
  <si>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</si>
  <si>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</si>
  <si>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</si>
  <si>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</si>
  <si>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</si>
  <si>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</si>
  <si>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</si>
  <si>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</si>
  <si>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</si>
  <si>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</si>
  <si>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</si>
  <si>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</si>
  <si>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</si>
  <si>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</si>
  <si>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</si>
  <si>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</si>
  <si>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</si>
  <si>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</si>
  <si>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</si>
  <si>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</si>
  <si>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</si>
  <si>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</si>
  <si>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</si>
  <si>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</si>
  <si>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</si>
  <si>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</si>
  <si>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</si>
  <si>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</si>
  <si>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</si>
  <si>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</si>
  <si>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</si>
  <si>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</si>
  <si>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</si>
  <si>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</si>
  <si>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</si>
  <si>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</si>
  <si>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</si>
  <si>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</si>
  <si>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</si>
  <si>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</si>
  <si>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</si>
  <si>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</si>
  <si>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</si>
  <si>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</si>
  <si>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</si>
  <si>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</si>
  <si>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</si>
  <si>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</si>
  <si>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</si>
  <si>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</si>
  <si>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</si>
  <si>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</si>
  <si>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</si>
  <si>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</si>
  <si>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</si>
  <si>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</si>
  <si>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</si>
  <si>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</si>
  <si>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</si>
  <si>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</si>
  <si>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</si>
  <si>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</si>
  <si>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</si>
  <si>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</si>
  <si>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</si>
  <si>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</si>
  <si>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</si>
  <si>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</si>
  <si>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</si>
  <si>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</si>
  <si>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</si>
  <si>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</si>
  <si>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</si>
  <si>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</si>
  <si>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</si>
  <si>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</si>
  <si>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</si>
  <si>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</si>
  <si>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</si>
  <si>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</si>
  <si>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</si>
  <si>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</si>
  <si>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</si>
  <si>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</si>
  <si>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</si>
  <si>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</si>
  <si>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</si>
  <si>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</si>
  <si>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</si>
  <si>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</si>
  <si>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</si>
  <si>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</si>
  <si>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</si>
  <si>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</si>
  <si>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</si>
  <si>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</si>
  <si>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</si>
  <si>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</si>
  <si>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</si>
  <si>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</si>
  <si>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</si>
  <si>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</si>
  <si>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</si>
  <si>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</si>
  <si>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</si>
  <si>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</si>
  <si>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</si>
  <si>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</si>
  <si>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</si>
  <si>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</si>
  <si>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</si>
  <si>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</si>
  <si>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</si>
  <si>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</si>
  <si>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</si>
  <si>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</si>
  <si>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</si>
  <si>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</si>
  <si>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</si>
  <si>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</si>
  <si>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</si>
  <si>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</si>
  <si>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</si>
  <si>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</si>
  <si>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</si>
  <si>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</si>
  <si>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</si>
  <si>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</si>
  <si>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</si>
  <si>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</si>
  <si>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</si>
  <si>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</si>
  <si>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</si>
  <si>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</si>
  <si>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</si>
  <si>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</si>
  <si>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pays the price, gets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</si>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</sst>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46308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Calc_1!$F$31</f>
        <v>20</v>
      </c>
      <c r="J12" s="15" t="n">
        <f aca="false">Calc_2!$F$31</f>
        <v>20</v>
      </c>
      <c r="T12" s="14" t="s">
        <v>5</v>
      </c>
      <c r="U12" s="12" t="s">
        <v>21</v>
      </c>
      <c r="V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Calc_1!$F$32</f>
        <v>15</v>
      </c>
      <c r="J13" s="15" t="n">
        <f aca="false">Calc_2!$F$32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Calc_1!$F$33</f>
        <v>5</v>
      </c>
      <c r="J14" s="15" t="n">
        <f aca="false">Calc_2!$F$33</f>
        <v>5</v>
      </c>
      <c r="T14" s="10" t="s">
        <v>29</v>
      </c>
      <c r="U14" s="10"/>
      <c r="V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Calc_1!$F$34</f>
        <v>7.5</v>
      </c>
      <c r="J15" s="15" t="n">
        <f aca="false">Calc_2!$F$34</f>
        <v>7.5</v>
      </c>
      <c r="T15" s="14" t="s">
        <v>32</v>
      </c>
      <c r="U15" s="12" t="s">
        <v>33</v>
      </c>
      <c r="V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T16" s="14" t="s">
        <v>37</v>
      </c>
      <c r="U16" s="12" t="s">
        <v>38</v>
      </c>
      <c r="V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Calc_1!$F$36</f>
        <v>0</v>
      </c>
      <c r="J17" s="15" t="n">
        <f aca="false">Calc_2!$F$36</f>
        <v>0</v>
      </c>
      <c r="T17" s="14" t="s">
        <v>41</v>
      </c>
      <c r="U17" s="12" t="s">
        <v>27</v>
      </c>
      <c r="V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Calc_1!$F$35</f>
        <v>0</v>
      </c>
      <c r="J18" s="15" t="n">
        <f aca="false">Calc_2!$F$35</f>
        <v>0</v>
      </c>
      <c r="T18" s="14" t="s">
        <v>45</v>
      </c>
      <c r="U18" s="12" t="s">
        <v>43</v>
      </c>
      <c r="V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Calc_1!$F$37</f>
        <v>0</v>
      </c>
      <c r="J19" s="15" t="n">
        <f aca="false">Calc_2!$F$37</f>
        <v>0</v>
      </c>
      <c r="T19" s="14" t="s">
        <v>47</v>
      </c>
      <c r="U19" s="12" t="s">
        <v>19</v>
      </c>
      <c r="V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Calc_1!$F$38</f>
        <v>12</v>
      </c>
      <c r="J20" s="15" t="n">
        <f aca="false">Calc_2!$F$38</f>
        <v>0</v>
      </c>
      <c r="T20" s="14" t="s">
        <v>49</v>
      </c>
      <c r="U20" s="12" t="s">
        <v>19</v>
      </c>
      <c r="V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Calc_1!$F$39</f>
        <v>0</v>
      </c>
      <c r="J21" s="15" t="n">
        <f aca="false">Calc_2!$F$39</f>
        <v>0</v>
      </c>
      <c r="T21" s="14" t="s">
        <v>51</v>
      </c>
      <c r="U21" s="12" t="s">
        <v>19</v>
      </c>
      <c r="V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Calc_1!$E40</f>
        <v>59.5</v>
      </c>
      <c r="F22" s="27" t="n">
        <f aca="false">Calc_2!$E40</f>
        <v>47.5</v>
      </c>
      <c r="T22" s="14" t="s">
        <v>54</v>
      </c>
      <c r="U22" s="12" t="s">
        <v>19</v>
      </c>
      <c r="V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IF(Calc_1!$E41+Calc_1!$F41=0,"OK","CHECK")</f>
        <v>OK</v>
      </c>
      <c r="F23" s="28" t="str">
        <f aca="false">IF(Calc_2!$E41+Calc_2!$F41=0,"OK","CHECK")</f>
        <v>OK</v>
      </c>
      <c r="T23" s="14" t="s">
        <v>56</v>
      </c>
      <c r="U23" s="12" t="s">
        <v>57</v>
      </c>
      <c r="V23" s="19" t="n">
        <f aca="false">In_P50_Hours</f>
        <v>2600</v>
      </c>
    </row>
    <row r="24" customFormat="false" ht="15" hidden="false" customHeight="false" outlineLevel="0" collapsed="false">
      <c r="T24" s="1" t="s">
        <v>58</v>
      </c>
      <c r="U24" s="12" t="s">
        <v>24</v>
      </c>
      <c r="V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T25" s="14" t="s">
        <v>60</v>
      </c>
      <c r="U25" s="12" t="s">
        <v>27</v>
      </c>
      <c r="V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Calc_1!$E24</f>
        <v>60</v>
      </c>
      <c r="F26" s="29" t="n">
        <f aca="false">Calc_2!$E24</f>
        <v>60</v>
      </c>
      <c r="T26" s="14" t="s">
        <v>63</v>
      </c>
      <c r="U26" s="12" t="s">
        <v>13</v>
      </c>
      <c r="V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Calc_1!$F24</f>
        <v>55</v>
      </c>
      <c r="F27" s="29" t="n">
        <f aca="false">Calc_2!$F24</f>
        <v>55</v>
      </c>
      <c r="T27" s="14" t="s">
        <v>65</v>
      </c>
      <c r="U27" s="12" t="s">
        <v>66</v>
      </c>
      <c r="V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Calc_1!$E25</f>
        <v>10</v>
      </c>
      <c r="F28" s="29" t="n">
        <f aca="false">Calc_2!$E25</f>
        <v>10</v>
      </c>
      <c r="T28" s="14" t="s">
        <v>68</v>
      </c>
      <c r="U28" s="12" t="s">
        <v>27</v>
      </c>
      <c r="V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Calc_1!$E26</f>
        <v>40</v>
      </c>
      <c r="F29" s="29" t="n">
        <f aca="false">Calc_2!$E26</f>
        <v>40</v>
      </c>
      <c r="T29" s="14" t="s">
        <v>71</v>
      </c>
      <c r="U29" s="12" t="s">
        <v>27</v>
      </c>
      <c r="V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Calc_1!$F25</f>
        <v>10</v>
      </c>
      <c r="F30" s="29" t="n">
        <f aca="false">Calc_2!$F25</f>
        <v>10</v>
      </c>
      <c r="T30" s="14" t="s">
        <v>73</v>
      </c>
      <c r="U30" s="12" t="s">
        <v>43</v>
      </c>
      <c r="V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Calc_1!$E28</f>
        <v>0.0833333333333333</v>
      </c>
      <c r="F31" s="23" t="n">
        <f aca="false">Calc_2!$E28</f>
        <v>0.0833333333333333</v>
      </c>
      <c r="T31" s="14" t="s">
        <v>75</v>
      </c>
      <c r="U31" s="12" t="s">
        <v>27</v>
      </c>
      <c r="V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Calc_1!$E27</f>
        <v>0.00454545454545455</v>
      </c>
      <c r="F32" s="32" t="n">
        <f aca="false">Calc_2!$E27</f>
        <v>0.00454545454545455</v>
      </c>
      <c r="T32" s="14" t="s">
        <v>77</v>
      </c>
      <c r="U32" s="12" t="s">
        <v>78</v>
      </c>
      <c r="V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Calc_1!$E57/Thousand</f>
        <v>0</v>
      </c>
      <c r="F33" s="33" t="n">
        <f aca="false">Calc_2!$E57/Thousand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Calc_1!$F57/Thousand</f>
        <v>2.21643835616438</v>
      </c>
      <c r="F34" s="33" t="n">
        <f aca="false">Calc_2!$F57/Thousand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Calc_1!$I128/Thousand</f>
        <v>21.8725390544187</v>
      </c>
      <c r="F37" s="33" t="n">
        <f aca="false">Calc_2!$I128/Thousand</f>
        <v>31.0553290062136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Calc_1!$E129</f>
        <v>0.284084033636541</v>
      </c>
      <c r="F38" s="34" t="n">
        <f aca="false">Calc_2!$E129</f>
        <v>0.431605205102548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Calc_1!$E130</f>
        <v>1.40784965721905</v>
      </c>
      <c r="F39" s="30" t="n">
        <f aca="false">Calc_2!$E130</f>
        <v>1.75852383469303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Calc_1!$E131/Thousand</f>
        <v>12.2778594824033</v>
      </c>
      <c r="F40" s="33" t="n">
        <f aca="false">Calc_2!$E131/Thousand</f>
        <v>19.8480948232429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Calc_1!$I141/Thousand</f>
        <v>130.210653239714</v>
      </c>
      <c r="F41" s="33" t="n">
        <f aca="false">Calc_2!$I141/Thousand</f>
        <v>161.288120273565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Calc_1!$E142</f>
        <v>0.0798286717747364</v>
      </c>
      <c r="F42" s="34" t="n">
        <f aca="false">Calc_2!$E142</f>
        <v>0.120333275856183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Calc_1!$E143</f>
        <v>3.37367367104427</v>
      </c>
      <c r="F43" s="30" t="n">
        <f aca="false">Calc_2!$E143</f>
        <v>4.85394047019183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Calc_1!$E144/Thousand</f>
        <v>-0.0926704544981952</v>
      </c>
      <c r="F44" s="33" t="n">
        <f aca="false">Calc_2!$E144/Thousand</f>
        <v>17.7234335623615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Calc_1!$E140</f>
        <v>0.071565353731744</v>
      </c>
      <c r="F45" s="23" t="n">
        <f aca="false">Calc_2!$E140</f>
        <v>0.0981897026920008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Calc_1!$E112/Thousand</f>
        <v>5.15</v>
      </c>
      <c r="F48" s="33" t="n">
        <f aca="false">Calc_2!$E112/Thousand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Calc_1!$E113/Thousand</f>
        <v>1.11492155376243</v>
      </c>
      <c r="F49" s="33" t="n">
        <f aca="false">Calc_2!$E113/Thousand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Calc_1!$E114/Thousand</f>
        <v>90.36375</v>
      </c>
      <c r="F50" s="33" t="n">
        <f aca="false">Calc_2!$E114/Thousand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Calc_1!$E115/Thousand</f>
        <v>8.15482315068493</v>
      </c>
      <c r="F51" s="33" t="n">
        <f aca="false">Calc_2!$E115/Thousand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Calc_1!$E116/Thousand</f>
        <v>2.5</v>
      </c>
      <c r="F52" s="33" t="n">
        <f aca="false">Calc_2!$E116/Thousand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Calc_1!$E117/Thousand</f>
        <v>4.14129604359987</v>
      </c>
      <c r="F53" s="33" t="n">
        <f aca="false">Calc_2!$E117/Thousand</f>
        <v>3.04350609180492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Calc_1!$E118/Thousand</f>
        <v>0.340170197534084</v>
      </c>
      <c r="F54" s="33" t="n">
        <f aca="false">Calc_2!$E118/Thousand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Calc_1!$E119/Thousand</f>
        <v>111.764960945581</v>
      </c>
      <c r="F55" s="27" t="n">
        <f aca="false">Calc_2!$E119/Thousand</f>
        <v>83.4196709937864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Calc_1!$E94/Thousand</f>
        <v>58.1360350233236</v>
      </c>
      <c r="F56" s="33" t="n">
        <f aca="false">Calc_2!$E94/Thousand</f>
        <v>42.4778738005823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Calc_1!$E120/Thousand</f>
        <v>53.6289259222578</v>
      </c>
      <c r="F57" s="27" t="n">
        <f aca="false">Calc_2!$E120/Thousand</f>
        <v>40.9417971932041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Calc_1!$F120/Thousand</f>
        <v>54.8561728716606</v>
      </c>
      <c r="F58" s="33" t="n">
        <f aca="false">Calc_2!$F120/Thousand</f>
        <v>41.8501846411594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Calc_1!$E121</f>
        <v>0.520163336804906</v>
      </c>
      <c r="F59" s="23" t="n">
        <f aca="false">Calc_2!$E121</f>
        <v>0.509206920796251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  <c r="P61" s="10"/>
      <c r="Q61" s="10"/>
      <c r="R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Calc_1!$E48/Thousand</f>
        <v>0.00821917808219178</v>
      </c>
      <c r="F62" s="35" t="n">
        <f aca="false">Calc_2!$E48/Thousand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Calc_1!$E49/Thousand</f>
        <v>0.443287671232877</v>
      </c>
      <c r="F63" s="35" t="n">
        <f aca="false">Calc_2!$E49/Thousand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Calc_1!$F$50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Calc_1!$E50/Thousand</f>
        <v>2.21643835616438</v>
      </c>
      <c r="F64" s="35" t="n">
        <f aca="false">Calc_2!$E50/Thousand</f>
        <v>2.21643835616438</v>
      </c>
      <c r="H64" s="14" t="s">
        <v>113</v>
      </c>
      <c r="I64" s="21" t="n">
        <f aca="false">Calc_1!$F$50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Calc_1!$E51/Thousand</f>
        <v>0.616438356164384</v>
      </c>
      <c r="F65" s="35" t="n">
        <f aca="false">Calc_2!$E51/Thousand</f>
        <v>0.616438356164384</v>
      </c>
      <c r="H65" s="14" t="s">
        <v>110</v>
      </c>
      <c r="I65" s="21" t="n">
        <f aca="false">Calc_1!$F$50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Calc_1!$E52/Thousand</f>
        <v>1.26027397260274</v>
      </c>
      <c r="F66" s="35" t="n">
        <f aca="false">Calc_2!$E52/Thousand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Calc_1!$E53/Thousand</f>
        <v>6.89454917808219</v>
      </c>
      <c r="F67" s="35" t="n">
        <f aca="false">Calc_2!$E53/Thousand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(-Calc_1!$E55)/Thousand</f>
        <v>0.490264019515857</v>
      </c>
      <c r="F68" s="35" t="n">
        <f aca="false">(-Calc_2!$E55)/Thousand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Calc_1!$E125/Thousand</f>
        <v>134.1375</v>
      </c>
      <c r="F71" s="33" t="n">
        <f aca="false">Calc_2!$E125/Thousand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Calc_1!$E126/Thousand</f>
        <v>75.5014649766765</v>
      </c>
      <c r="F72" s="33" t="n">
        <f aca="false">Calc_2!$E126/Thousand</f>
        <v>71.9971261994177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Calc_1!$E127/Thousand</f>
        <v>-0</v>
      </c>
      <c r="F73" s="33" t="n">
        <f aca="false">Calc_2!$E127/Thousand</f>
        <v>-0</v>
      </c>
    </row>
    <row r="74" customFormat="false" ht="15" hidden="false" customHeight="false" outlineLevel="0" collapsed="false">
      <c r="C74" s="26" t="s">
        <v>124</v>
      </c>
      <c r="D74" s="12" t="s">
        <v>27</v>
      </c>
      <c r="E74" s="34" t="n">
        <f aca="false">Calc_1!$E134</f>
        <v>0.0568046288872877</v>
      </c>
      <c r="F74" s="34" t="n">
        <f aca="false">Calc_2!$E134</f>
        <v>0.0696894448393209</v>
      </c>
    </row>
    <row r="75" customFormat="false" ht="15" hidden="false" customHeight="false" outlineLevel="0" collapsed="false">
      <c r="C75" s="1" t="s">
        <v>125</v>
      </c>
      <c r="D75" s="12" t="s">
        <v>27</v>
      </c>
      <c r="E75" s="23" t="n">
        <f aca="false">Calc_1!$E136</f>
        <v>0.0585329319728951</v>
      </c>
      <c r="F75" s="23" t="n">
        <f aca="false">Calc_2!$E136</f>
        <v>0.0754971888634913</v>
      </c>
    </row>
    <row r="77" customFormat="false" ht="15" hidden="false" customHeight="false" outlineLevel="0" collapsed="false">
      <c r="A77" s="10" t="s">
        <v>13</v>
      </c>
      <c r="B77" s="10"/>
      <c r="C77" s="10" t="s">
        <v>126</v>
      </c>
      <c r="D77" s="10"/>
      <c r="E77" s="11" t="s">
        <v>9</v>
      </c>
      <c r="F77" s="11" t="s">
        <v>10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customFormat="false" ht="15" hidden="false" customHeight="false" outlineLevel="0" collapsed="false">
      <c r="C78" s="1" t="s">
        <v>127</v>
      </c>
      <c r="D78" s="12" t="s">
        <v>80</v>
      </c>
      <c r="E78" s="33" t="n">
        <f aca="false">Calc_1!$E84/Thousand</f>
        <v>92.4525034441622</v>
      </c>
      <c r="F78" s="33" t="n">
        <f aca="false">Calc_2!$E84/Thousand</f>
        <v>89.6637581285872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Calc_1!$E85</f>
        <v>0.55</v>
      </c>
      <c r="F79" s="23" t="n">
        <f aca="false">Calc_2!$E85</f>
        <v>0.55</v>
      </c>
    </row>
    <row r="80" customFormat="false" ht="15" hidden="false" customHeight="false" outlineLevel="0" collapsed="false">
      <c r="C80" s="1" t="s">
        <v>129</v>
      </c>
      <c r="D80" s="12" t="s">
        <v>27</v>
      </c>
      <c r="E80" s="23" t="n">
        <f aca="false">Calc_1!$F85</f>
        <v>0.628820560369525</v>
      </c>
      <c r="F80" s="23" t="n">
        <f aca="false">Calc_2!$F85</f>
        <v>0.473746301595619</v>
      </c>
    </row>
    <row r="81" customFormat="false" ht="15" hidden="false" customHeight="false" outlineLevel="0" collapsed="false">
      <c r="C81" s="1" t="s">
        <v>130</v>
      </c>
      <c r="D81" s="12" t="s">
        <v>80</v>
      </c>
      <c r="E81" s="33" t="n">
        <f aca="false">Calc_1!$E97/Thousand</f>
        <v>1.22724694940278</v>
      </c>
      <c r="F81" s="33" t="n">
        <f aca="false">Calc_2!$E97/Thousand</f>
        <v>0.908387447955351</v>
      </c>
    </row>
    <row r="82" customFormat="false" ht="15" hidden="false" customHeight="false" outlineLevel="0" collapsed="false">
      <c r="C82" s="1" t="s">
        <v>131</v>
      </c>
      <c r="D82" s="12" t="s">
        <v>13</v>
      </c>
      <c r="E82" s="30" t="n">
        <f aca="false">Calc_1!$E98</f>
        <v>1.90833454824509</v>
      </c>
      <c r="F82" s="30" t="n">
        <f aca="false">Calc_2!$E98</f>
        <v>2.53300130461873</v>
      </c>
    </row>
    <row r="83" customFormat="false" ht="15" hidden="false" customHeight="false" outlineLevel="0" collapsed="false">
      <c r="C83" s="1" t="s">
        <v>132</v>
      </c>
      <c r="D83" s="12" t="s">
        <v>133</v>
      </c>
      <c r="E83" s="37" t="n">
        <f aca="false">Calc_1!$E71/Thousand</f>
        <v>139.3975128</v>
      </c>
      <c r="F83" s="37" t="n">
        <f aca="false">Calc_2!$E71/Thousand</f>
        <v>139.3975128</v>
      </c>
    </row>
    <row r="84" customFormat="false" ht="15" hidden="false" customHeight="false" outlineLevel="0" collapsed="false">
      <c r="C84" s="1" t="s">
        <v>134</v>
      </c>
      <c r="D84" s="12" t="s">
        <v>80</v>
      </c>
      <c r="E84" s="33" t="n">
        <f aca="false">Calc_1!$E72/Thousand</f>
        <v>12.67123391352</v>
      </c>
      <c r="F84" s="33" t="n">
        <f aca="false">Calc_2!$E72/Thousand</f>
        <v>12.67123391352</v>
      </c>
    </row>
    <row r="85" customFormat="false" ht="15" hidden="false" customHeight="false" outlineLevel="0" collapsed="false">
      <c r="C85" s="1" t="s">
        <v>135</v>
      </c>
      <c r="D85" s="12" t="s">
        <v>80</v>
      </c>
      <c r="E85" s="33" t="n">
        <f aca="false">Calc_1!$E79/Thousand</f>
        <v>9.55688408374485</v>
      </c>
      <c r="F85" s="33" t="n">
        <f aca="false">Calc_2!$E79/Thousand</f>
        <v>9.55688408374485</v>
      </c>
    </row>
    <row r="86" customFormat="false" ht="15" hidden="false" customHeight="false" outlineLevel="0" collapsed="false">
      <c r="C86" s="1" t="s">
        <v>136</v>
      </c>
      <c r="D86" s="12" t="s">
        <v>80</v>
      </c>
      <c r="E86" s="33" t="n">
        <f aca="false">Calc_1!$I72/Thousand</f>
        <v>420.752711777652</v>
      </c>
      <c r="F86" s="33" t="n">
        <f aca="false">Calc_2!$I72/Thousand</f>
        <v>420.752711777652</v>
      </c>
    </row>
    <row r="87" customFormat="false" ht="15" hidden="false" customHeight="false" outlineLevel="0" collapsed="false">
      <c r="C87" s="1" t="s">
        <v>137</v>
      </c>
      <c r="D87" s="12" t="s">
        <v>80</v>
      </c>
      <c r="E87" s="33" t="n">
        <f aca="false">Calc_1!$I79/Thousand</f>
        <v>295.37332772584</v>
      </c>
      <c r="F87" s="33" t="n">
        <f aca="false">Calc_2!$I79/Thousand</f>
        <v>295.37332772584</v>
      </c>
    </row>
    <row r="88" customFormat="false" ht="15" hidden="false" customHeight="false" outlineLevel="0" collapsed="false">
      <c r="C88" s="1" t="s">
        <v>138</v>
      </c>
      <c r="D88" s="12" t="s">
        <v>80</v>
      </c>
      <c r="E88" s="33" t="n">
        <f aca="false">(SUM(Calc_1!$J108:$EO108))/Thousand</f>
        <v>-23.0733829675412</v>
      </c>
      <c r="F88" s="33" t="n">
        <f aca="false">(SUM(Calc_2!$J108:$EO108))/Thousand</f>
        <v>-28.4626094600408</v>
      </c>
    </row>
    <row r="89" customFormat="false" ht="15" hidden="false" customHeight="false" outlineLevel="0" collapsed="false">
      <c r="C89" s="1" t="s">
        <v>139</v>
      </c>
      <c r="D89" s="12" t="s">
        <v>80</v>
      </c>
      <c r="E89" s="33" t="n">
        <f aca="false">(-Calc_1!$I106)/Thousand</f>
        <v>0.538516909686779</v>
      </c>
      <c r="F89" s="33" t="n">
        <f aca="false">(-Calc_2!$I106)/Thousand</f>
        <v>-0</v>
      </c>
    </row>
    <row r="90" customFormat="false" ht="15" hidden="false" customHeight="false" outlineLevel="0" collapsed="false">
      <c r="C90" s="1" t="s">
        <v>140</v>
      </c>
      <c r="D90" s="12" t="s">
        <v>141</v>
      </c>
      <c r="E90" s="31" t="n">
        <f aca="false">Model_Checks</f>
        <v>0</v>
      </c>
      <c r="F90" s="31" t="n">
        <f aca="false">Model_Checks</f>
        <v>0</v>
      </c>
    </row>
    <row r="92" customFormat="false" ht="15" hidden="false" customHeight="false" outlineLevel="0" collapsed="false">
      <c r="A92" s="10" t="s">
        <v>13</v>
      </c>
      <c r="B92" s="10"/>
      <c r="C92" s="10" t="s">
        <v>142</v>
      </c>
      <c r="D92" s="10"/>
      <c r="E92" s="11" t="s">
        <v>12</v>
      </c>
      <c r="F92" s="11"/>
      <c r="G92" s="10"/>
      <c r="H92" s="11" t="str">
        <f aca="false">Inputs!H$7</f>
        <v>Base</v>
      </c>
      <c r="I92" s="11" t="str">
        <f aca="false">Inputs!I$7</f>
        <v>COD price −10%</v>
      </c>
      <c r="J92" s="11" t="str">
        <f aca="false">Inputs!J$7</f>
        <v>COD price +10%</v>
      </c>
      <c r="K92" s="11" t="str">
        <f aca="false">Inputs!K$7</f>
        <v>Turbine +10%</v>
      </c>
      <c r="L92" s="11" t="str">
        <f aca="false">Inputs!L$7</f>
        <v>Yield −10%</v>
      </c>
      <c r="M92" s="11" t="str">
        <f aca="false">Inputs!M$7</f>
        <v>PPA +10%</v>
      </c>
      <c r="N92" s="11" t="str">
        <f aca="false">Inputs!N$7</f>
        <v>Full PB call</v>
      </c>
      <c r="O92" s="11" t="str">
        <f aca="false">Inputs!O$7</f>
        <v>Rate +1 pp</v>
      </c>
      <c r="P92" s="11" t="str">
        <f aca="false">Inputs!P$7</f>
        <v>Tenor 10 years</v>
      </c>
      <c r="Q92" s="11" t="str">
        <f aca="false">Inputs!Q$7</f>
        <v>Robin Hood 31%</v>
      </c>
      <c r="R92" s="11" t="str">
        <f aca="false">Inputs!R$7</f>
        <v>CIT 9%</v>
      </c>
    </row>
    <row r="93" customFormat="false" ht="15" hidden="false" customHeight="false" outlineLevel="0" collapsed="false">
      <c r="C93" s="1" t="s">
        <v>143</v>
      </c>
      <c r="D93" s="12" t="s">
        <v>27</v>
      </c>
      <c r="E93" s="23" t="n">
        <f aca="false">Calc_1!$E129</f>
        <v>0.284084033636541</v>
      </c>
      <c r="H93" s="38" t="n">
        <v>0.284084033636541</v>
      </c>
      <c r="I93" s="38" t="n">
        <v>0.120602054328118</v>
      </c>
      <c r="J93" s="38" t="n">
        <v>0.422387837746302</v>
      </c>
      <c r="K93" s="38" t="n">
        <v>0.212090904921561</v>
      </c>
      <c r="L93" s="38" t="n">
        <v>0.284084033636541</v>
      </c>
      <c r="M93" s="38" t="n">
        <v>0.284084033636541</v>
      </c>
      <c r="N93" s="38" t="n">
        <v>0.259034311228568</v>
      </c>
      <c r="O93" s="38" t="n">
        <v>0.277982701172003</v>
      </c>
      <c r="P93" s="38" t="n">
        <v>0.284084033636541</v>
      </c>
      <c r="Q93" s="38" t="n">
        <v>0.284084033636541</v>
      </c>
      <c r="R93" s="38" t="n">
        <v>0.284084033636541</v>
      </c>
    </row>
    <row r="94" customFormat="false" ht="15" hidden="false" customHeight="false" outlineLevel="0" collapsed="false">
      <c r="C94" s="1" t="s">
        <v>144</v>
      </c>
      <c r="D94" s="12" t="s">
        <v>27</v>
      </c>
      <c r="E94" s="23" t="n">
        <f aca="false">Calc_2!$E129</f>
        <v>0.431605205102548</v>
      </c>
      <c r="H94" s="38" t="n">
        <v>0.431605205102548</v>
      </c>
      <c r="I94" s="38" t="n">
        <v>0.297451749159973</v>
      </c>
      <c r="J94" s="38" t="n">
        <v>0.546764074612228</v>
      </c>
      <c r="K94" s="38" t="n">
        <v>0.393034809879684</v>
      </c>
      <c r="L94" s="38" t="n">
        <v>0.431605205102548</v>
      </c>
      <c r="M94" s="38" t="n">
        <v>0.431605205102548</v>
      </c>
      <c r="N94" s="38" t="n">
        <v>0.407415987608548</v>
      </c>
      <c r="O94" s="38" t="n">
        <v>0.427232005478628</v>
      </c>
      <c r="P94" s="38" t="n">
        <v>0.431605205102548</v>
      </c>
      <c r="Q94" s="38" t="n">
        <v>0.431605205102548</v>
      </c>
      <c r="R94" s="38" t="n">
        <v>0.431605205102548</v>
      </c>
    </row>
    <row r="95" customFormat="false" ht="15" hidden="false" customHeight="false" outlineLevel="0" collapsed="false">
      <c r="C95" s="1" t="s">
        <v>145</v>
      </c>
      <c r="D95" s="12" t="s">
        <v>13</v>
      </c>
      <c r="E95" s="30" t="n">
        <f aca="false">Calc_1!$E130</f>
        <v>1.40784965721905</v>
      </c>
      <c r="H95" s="39" t="n">
        <v>1.40784965721905</v>
      </c>
      <c r="I95" s="39" t="n">
        <v>1.15772810864571</v>
      </c>
      <c r="J95" s="39" t="n">
        <v>1.65797120579239</v>
      </c>
      <c r="K95" s="39" t="n">
        <v>1.28772256894757</v>
      </c>
      <c r="L95" s="39" t="n">
        <v>1.40784965721905</v>
      </c>
      <c r="M95" s="39" t="n">
        <v>1.40784965721905</v>
      </c>
      <c r="N95" s="39" t="n">
        <v>1.36652049915653</v>
      </c>
      <c r="O95" s="39" t="n">
        <v>1.3977006887947</v>
      </c>
      <c r="P95" s="39" t="n">
        <v>1.40784965721905</v>
      </c>
      <c r="Q95" s="39" t="n">
        <v>1.40784965721905</v>
      </c>
      <c r="R95" s="39" t="n">
        <v>1.40784965721905</v>
      </c>
    </row>
    <row r="96" customFormat="false" ht="15" hidden="false" customHeight="false" outlineLevel="0" collapsed="false">
      <c r="C96" s="1" t="s">
        <v>146</v>
      </c>
      <c r="D96" s="12" t="s">
        <v>13</v>
      </c>
      <c r="E96" s="30" t="n">
        <f aca="false">Calc_2!$E130</f>
        <v>1.75852383469303</v>
      </c>
      <c r="H96" s="39" t="n">
        <v>1.75852383469303</v>
      </c>
      <c r="I96" s="39" t="n">
        <v>1.47769835100107</v>
      </c>
      <c r="J96" s="39" t="n">
        <v>2.039349318385</v>
      </c>
      <c r="K96" s="39" t="n">
        <v>1.66337085811058</v>
      </c>
      <c r="L96" s="39" t="n">
        <v>1.75852383469303</v>
      </c>
      <c r="M96" s="39" t="n">
        <v>1.75852383469303</v>
      </c>
      <c r="N96" s="39" t="n">
        <v>1.70438751171471</v>
      </c>
      <c r="O96" s="39" t="n">
        <v>1.74863602166122</v>
      </c>
      <c r="P96" s="39" t="n">
        <v>1.75852383469303</v>
      </c>
      <c r="Q96" s="39" t="n">
        <v>1.75852383469303</v>
      </c>
      <c r="R96" s="39" t="n">
        <v>1.75852383469303</v>
      </c>
    </row>
    <row r="97" customFormat="false" ht="15" hidden="false" customHeight="false" outlineLevel="0" collapsed="false">
      <c r="C97" s="1" t="s">
        <v>147</v>
      </c>
      <c r="D97" s="12" t="s">
        <v>27</v>
      </c>
      <c r="E97" s="23" t="n">
        <f aca="false">Calc_1!$E142</f>
        <v>0.0798286717747364</v>
      </c>
      <c r="H97" s="38" t="n">
        <v>0.0798286717747476</v>
      </c>
      <c r="I97" s="38" t="n">
        <v>0.0798286717747476</v>
      </c>
      <c r="J97" s="38" t="n">
        <v>0.0798286717747476</v>
      </c>
      <c r="K97" s="38" t="n">
        <v>0.073346365716097</v>
      </c>
      <c r="L97" s="38" t="n">
        <v>0.0629017369001835</v>
      </c>
      <c r="M97" s="38" t="n">
        <v>0.0975018032907385</v>
      </c>
      <c r="N97" s="38" t="n">
        <v>0.0769404169615882</v>
      </c>
      <c r="O97" s="38" t="n">
        <v>0.0747458227391903</v>
      </c>
      <c r="P97" s="38" t="n">
        <v>0.0740714202565923</v>
      </c>
      <c r="Q97" s="38" t="n">
        <v>0.0606372162720189</v>
      </c>
      <c r="R97" s="38" t="n">
        <v>0.0829084182180895</v>
      </c>
    </row>
    <row r="98" customFormat="false" ht="15" hidden="false" customHeight="false" outlineLevel="0" collapsed="false">
      <c r="C98" s="1" t="s">
        <v>148</v>
      </c>
      <c r="D98" s="12" t="s">
        <v>27</v>
      </c>
      <c r="E98" s="23" t="n">
        <f aca="false">Calc_2!$E142</f>
        <v>0.120333275856183</v>
      </c>
      <c r="H98" s="38" t="n">
        <v>0.120333275856186</v>
      </c>
      <c r="I98" s="38" t="n">
        <v>0.120333275856186</v>
      </c>
      <c r="J98" s="38" t="n">
        <v>0.120333275856186</v>
      </c>
      <c r="K98" s="38" t="n">
        <v>0.115187758125652</v>
      </c>
      <c r="L98" s="38" t="n">
        <v>0.100966098050213</v>
      </c>
      <c r="M98" s="38" t="n">
        <v>0.140797686945913</v>
      </c>
      <c r="N98" s="38" t="n">
        <v>0.115734875052697</v>
      </c>
      <c r="O98" s="38" t="n">
        <v>0.115687550744006</v>
      </c>
      <c r="P98" s="38" t="n">
        <v>0.109423668686618</v>
      </c>
      <c r="Q98" s="38" t="n">
        <v>0.090508331022998</v>
      </c>
      <c r="R98" s="38" t="n">
        <v>0.125289327441302</v>
      </c>
    </row>
    <row r="99" customFormat="false" ht="15" hidden="false" customHeight="false" outlineLevel="0" collapsed="false">
      <c r="C99" s="1" t="s">
        <v>149</v>
      </c>
      <c r="D99" s="12" t="s">
        <v>13</v>
      </c>
      <c r="E99" s="30" t="n">
        <f aca="false">Calc_1!$E143</f>
        <v>3.37367367104427</v>
      </c>
      <c r="H99" s="39" t="n">
        <v>3.373673671044</v>
      </c>
      <c r="I99" s="39" t="n">
        <v>3.373673671044</v>
      </c>
      <c r="J99" s="39" t="n">
        <v>3.373673671044</v>
      </c>
      <c r="K99" s="39" t="n">
        <v>3.15479951141566</v>
      </c>
      <c r="L99" s="39" t="n">
        <v>2.80035099710545</v>
      </c>
      <c r="M99" s="39" t="n">
        <v>4.01013755465379</v>
      </c>
      <c r="N99" s="39" t="n">
        <v>3.28664059589257</v>
      </c>
      <c r="O99" s="39" t="n">
        <v>3.24553663579523</v>
      </c>
      <c r="P99" s="39" t="n">
        <v>3.56598636699595</v>
      </c>
      <c r="Q99" s="39" t="n">
        <v>2.5000651241493</v>
      </c>
      <c r="R99" s="39" t="n">
        <v>3.53984867976057</v>
      </c>
    </row>
    <row r="100" customFormat="false" ht="15" hidden="false" customHeight="false" outlineLevel="0" collapsed="false">
      <c r="C100" s="1" t="s">
        <v>150</v>
      </c>
      <c r="D100" s="12" t="s">
        <v>13</v>
      </c>
      <c r="E100" s="30" t="n">
        <f aca="false">Calc_2!$E143</f>
        <v>4.85394047019183</v>
      </c>
      <c r="H100" s="39" t="n">
        <v>4.8539404701918</v>
      </c>
      <c r="I100" s="39" t="n">
        <v>4.8539404701918</v>
      </c>
      <c r="J100" s="39" t="n">
        <v>4.8539404701918</v>
      </c>
      <c r="K100" s="39" t="n">
        <v>4.65505740619435</v>
      </c>
      <c r="L100" s="39" t="n">
        <v>4.10923559261368</v>
      </c>
      <c r="M100" s="39" t="n">
        <v>5.6864514026361</v>
      </c>
      <c r="N100" s="39" t="n">
        <v>4.72575390501271</v>
      </c>
      <c r="O100" s="39" t="n">
        <v>4.73049524278147</v>
      </c>
      <c r="P100" s="39" t="n">
        <v>5.02112697122382</v>
      </c>
      <c r="Q100" s="39" t="n">
        <v>3.43770962247383</v>
      </c>
      <c r="R100" s="39" t="n">
        <v>5.12525913952814</v>
      </c>
    </row>
    <row r="101" customFormat="false" ht="15" hidden="false" customHeight="false" outlineLevel="0" collapsed="false">
      <c r="C101" s="1" t="s">
        <v>151</v>
      </c>
      <c r="D101" s="12" t="s">
        <v>80</v>
      </c>
      <c r="E101" s="33" t="n">
        <f aca="false">Calc_1!$E94/Thousand</f>
        <v>58.1360350233236</v>
      </c>
      <c r="H101" s="40" t="n">
        <v>58.1360350233236</v>
      </c>
      <c r="I101" s="40" t="n">
        <v>58.1360350233236</v>
      </c>
      <c r="J101" s="40" t="n">
        <v>58.1360350233236</v>
      </c>
      <c r="K101" s="40" t="n">
        <v>61.2887861751086</v>
      </c>
      <c r="L101" s="40" t="n">
        <v>58.1360350233236</v>
      </c>
      <c r="M101" s="40" t="n">
        <v>58.1360350233236</v>
      </c>
      <c r="N101" s="40" t="n">
        <v>58.1360350233236</v>
      </c>
      <c r="O101" s="40" t="n">
        <v>58.6673182381231</v>
      </c>
      <c r="P101" s="40" t="n">
        <v>58.1360350233236</v>
      </c>
      <c r="Q101" s="40" t="n">
        <v>58.1360350233236</v>
      </c>
      <c r="R101" s="40" t="n">
        <v>58.1360350233236</v>
      </c>
    </row>
    <row r="102" customFormat="false" ht="15" hidden="false" customHeight="false" outlineLevel="0" collapsed="false">
      <c r="C102" s="1" t="s">
        <v>152</v>
      </c>
      <c r="D102" s="12" t="s">
        <v>80</v>
      </c>
      <c r="E102" s="33" t="n">
        <f aca="false">Calc_2!$E94/Thousand</f>
        <v>42.4778738005823</v>
      </c>
      <c r="H102" s="40" t="n">
        <v>42.4778738005823</v>
      </c>
      <c r="I102" s="40" t="n">
        <v>42.4778738005823</v>
      </c>
      <c r="J102" s="40" t="n">
        <v>42.4778738005823</v>
      </c>
      <c r="K102" s="40" t="n">
        <v>44.1372165120482</v>
      </c>
      <c r="L102" s="40" t="n">
        <v>42.4778738005823</v>
      </c>
      <c r="M102" s="40" t="n">
        <v>42.4778738005823</v>
      </c>
      <c r="N102" s="40" t="n">
        <v>42.4778738005823</v>
      </c>
      <c r="O102" s="40" t="n">
        <v>42.8706783724966</v>
      </c>
      <c r="P102" s="40" t="n">
        <v>42.4778738005823</v>
      </c>
      <c r="Q102" s="40" t="n">
        <v>42.4778738005823</v>
      </c>
      <c r="R102" s="40" t="n">
        <v>42.4778738005823</v>
      </c>
    </row>
    <row r="103" customFormat="false" ht="15" hidden="false" customHeight="false" outlineLevel="0" collapsed="false">
      <c r="C103" s="1" t="s">
        <v>153</v>
      </c>
      <c r="D103" s="12" t="s">
        <v>80</v>
      </c>
      <c r="E103" s="33" t="n">
        <f aca="false">Calc_1!$E120/Thousand</f>
        <v>53.6289259222578</v>
      </c>
      <c r="H103" s="40" t="n">
        <v>53.6289259222578</v>
      </c>
      <c r="I103" s="40" t="n">
        <v>53.6289259222578</v>
      </c>
      <c r="J103" s="40" t="n">
        <v>53.6289259222578</v>
      </c>
      <c r="K103" s="40" t="n">
        <v>56.1834634023852</v>
      </c>
      <c r="L103" s="40" t="n">
        <v>53.6289259222578</v>
      </c>
      <c r="M103" s="40" t="n">
        <v>53.6289259222578</v>
      </c>
      <c r="N103" s="40" t="n">
        <v>53.6289259222578</v>
      </c>
      <c r="O103" s="40" t="n">
        <v>53.6382233785168</v>
      </c>
      <c r="P103" s="40" t="n">
        <v>53.6289259222578</v>
      </c>
      <c r="Q103" s="40" t="n">
        <v>53.6289259222578</v>
      </c>
      <c r="R103" s="40" t="n">
        <v>53.6289259222578</v>
      </c>
    </row>
    <row r="104" customFormat="false" ht="15" hidden="false" customHeight="false" outlineLevel="0" collapsed="false">
      <c r="C104" s="1" t="s">
        <v>154</v>
      </c>
      <c r="D104" s="12" t="s">
        <v>80</v>
      </c>
      <c r="E104" s="33" t="n">
        <f aca="false">Calc_2!$E120/Thousand</f>
        <v>40.9417971932041</v>
      </c>
      <c r="H104" s="40" t="n">
        <v>40.9417971932041</v>
      </c>
      <c r="I104" s="40" t="n">
        <v>40.9417971932041</v>
      </c>
      <c r="J104" s="40" t="n">
        <v>40.9417971932041</v>
      </c>
      <c r="K104" s="40" t="n">
        <v>42.2862906037974</v>
      </c>
      <c r="L104" s="40" t="n">
        <v>40.9417971932041</v>
      </c>
      <c r="M104" s="40" t="n">
        <v>40.9417971932041</v>
      </c>
      <c r="N104" s="40" t="n">
        <v>40.9417971932041</v>
      </c>
      <c r="O104" s="40" t="n">
        <v>40.9486712732126</v>
      </c>
      <c r="P104" s="40" t="n">
        <v>40.9417971932041</v>
      </c>
      <c r="Q104" s="40" t="n">
        <v>40.9417971932041</v>
      </c>
      <c r="R104" s="40" t="n">
        <v>40.9417971932041</v>
      </c>
    </row>
    <row r="105" customFormat="false" ht="15" hidden="false" customHeight="false" outlineLevel="0" collapsed="false">
      <c r="C105" s="1" t="s">
        <v>155</v>
      </c>
      <c r="D105" s="12" t="s">
        <v>27</v>
      </c>
      <c r="E105" s="23" t="n">
        <f aca="false">Calc_1!$E134</f>
        <v>0.0568046288872877</v>
      </c>
      <c r="H105" s="38" t="n">
        <v>0.0568046288872892</v>
      </c>
      <c r="I105" s="38" t="n">
        <v>0.0673434550531194</v>
      </c>
      <c r="J105" s="38" t="n">
        <v>0.047851654441164</v>
      </c>
      <c r="K105" s="38" t="n">
        <v>0.0572335019472217</v>
      </c>
      <c r="L105" s="38" t="n">
        <v>0.0456705386872546</v>
      </c>
      <c r="M105" s="38" t="n">
        <v>0.0684045651114415</v>
      </c>
      <c r="N105" s="38" t="n">
        <v>0.0552690562617405</v>
      </c>
      <c r="O105" s="38" t="n">
        <v>0.0572967448124243</v>
      </c>
      <c r="P105" s="38" t="n">
        <v>0.0559171712880207</v>
      </c>
      <c r="Q105" s="38" t="n">
        <v>0.0429903921440314</v>
      </c>
      <c r="R105" s="38" t="n">
        <v>0.0590607216801305</v>
      </c>
    </row>
    <row r="106" customFormat="false" ht="15" hidden="false" customHeight="false" outlineLevel="0" collapsed="false">
      <c r="C106" s="1" t="s">
        <v>156</v>
      </c>
      <c r="D106" s="12" t="s">
        <v>27</v>
      </c>
      <c r="E106" s="23" t="n">
        <f aca="false">Calc_2!$E134</f>
        <v>0.0696894448393209</v>
      </c>
      <c r="H106" s="38" t="n">
        <v>0.0696894448393211</v>
      </c>
      <c r="I106" s="38" t="n">
        <v>0.0810876676554175</v>
      </c>
      <c r="J106" s="38" t="n">
        <v>0.0600528746504114</v>
      </c>
      <c r="K106" s="38" t="n">
        <v>0.06999194446808</v>
      </c>
      <c r="L106" s="38" t="n">
        <v>0.0576593038751684</v>
      </c>
      <c r="M106" s="38" t="n">
        <v>0.0824059442497119</v>
      </c>
      <c r="N106" s="38" t="n">
        <v>0.0677729730016486</v>
      </c>
      <c r="O106" s="38" t="n">
        <v>0.0701895609790416</v>
      </c>
      <c r="P106" s="38" t="n">
        <v>0.0689350936915445</v>
      </c>
      <c r="Q106" s="38" t="n">
        <v>0.04928003045341</v>
      </c>
      <c r="R106" s="38" t="n">
        <v>0.0730899412415148</v>
      </c>
    </row>
    <row r="107" customFormat="false" ht="15" hidden="false" customHeight="false" outlineLevel="0" collapsed="false">
      <c r="C107" s="1" t="s">
        <v>157</v>
      </c>
      <c r="D107" s="12" t="s">
        <v>27</v>
      </c>
      <c r="E107" s="23" t="n">
        <f aca="false">Calc_1!$E136</f>
        <v>0.0585329319728951</v>
      </c>
      <c r="H107" s="38" t="n">
        <v>0.0585329319728996</v>
      </c>
      <c r="I107" s="38" t="n">
        <v>0.0747150442732598</v>
      </c>
      <c r="J107" s="38" t="n">
        <v>0.0461486766624495</v>
      </c>
      <c r="K107" s="38" t="n">
        <v>0.0592986240428982</v>
      </c>
      <c r="L107" s="38" t="n">
        <v>0.0428441785882543</v>
      </c>
      <c r="M107" s="38" t="n">
        <v>0.0751292809070285</v>
      </c>
      <c r="N107" s="38" t="n">
        <v>0.0563319506848872</v>
      </c>
      <c r="O107" s="38" t="n">
        <v>0.0546751412291754</v>
      </c>
      <c r="P107" s="38" t="n">
        <v>0.0563466559612445</v>
      </c>
      <c r="Q107" s="38" t="n">
        <v>0.0387114953684004</v>
      </c>
      <c r="R107" s="38" t="n">
        <v>0.0617200089090674</v>
      </c>
    </row>
    <row r="108" customFormat="false" ht="15" hidden="false" customHeight="false" outlineLevel="0" collapsed="false">
      <c r="C108" s="1" t="s">
        <v>158</v>
      </c>
      <c r="D108" s="12" t="s">
        <v>27</v>
      </c>
      <c r="E108" s="23" t="n">
        <f aca="false">Calc_2!$E136</f>
        <v>0.0754971888634913</v>
      </c>
      <c r="H108" s="38" t="n">
        <v>0.0754971888634926</v>
      </c>
      <c r="I108" s="38" t="n">
        <v>0.0926971707106316</v>
      </c>
      <c r="J108" s="38" t="n">
        <v>0.0622220411902616</v>
      </c>
      <c r="K108" s="38" t="n">
        <v>0.0762345702721471</v>
      </c>
      <c r="L108" s="38" t="n">
        <v>0.0593234938659363</v>
      </c>
      <c r="M108" s="38" t="n">
        <v>0.092841713309449</v>
      </c>
      <c r="N108" s="38" t="n">
        <v>0.072780882857513</v>
      </c>
      <c r="O108" s="38" t="n">
        <v>0.0725146023588143</v>
      </c>
      <c r="P108" s="38" t="n">
        <v>0.0716893440385177</v>
      </c>
      <c r="Q108" s="38" t="n">
        <v>0.0480650884558682</v>
      </c>
      <c r="R108" s="38" t="n">
        <v>0.0800701877003212</v>
      </c>
    </row>
    <row r="109" customFormat="false" ht="15" hidden="false" customHeight="false" outlineLevel="0" collapsed="false">
      <c r="C109" s="1" t="s">
        <v>159</v>
      </c>
      <c r="D109" s="12" t="s">
        <v>13</v>
      </c>
      <c r="E109" s="30" t="n">
        <f aca="false">Calc_1!$E98</f>
        <v>1.90833454824509</v>
      </c>
      <c r="H109" s="39" t="n">
        <v>1.90833454824636</v>
      </c>
      <c r="I109" s="39" t="n">
        <v>1.90833454824636</v>
      </c>
      <c r="J109" s="39" t="n">
        <v>1.90833454824636</v>
      </c>
      <c r="K109" s="39" t="n">
        <v>1.81981919686943</v>
      </c>
      <c r="L109" s="39" t="n">
        <v>1.70186047008104</v>
      </c>
      <c r="M109" s="39" t="n">
        <v>2.13448961504836</v>
      </c>
      <c r="N109" s="39" t="n">
        <v>1.90833454824385</v>
      </c>
      <c r="O109" s="39" t="n">
        <v>1.76455331523184</v>
      </c>
      <c r="P109" s="39" t="n">
        <v>1.25323625220032</v>
      </c>
      <c r="Q109" s="39" t="n">
        <v>1.75599824880879</v>
      </c>
      <c r="R109" s="39" t="n">
        <v>1.93544389664335</v>
      </c>
    </row>
    <row r="110" customFormat="false" ht="15" hidden="false" customHeight="false" outlineLevel="0" collapsed="false">
      <c r="C110" s="1" t="s">
        <v>160</v>
      </c>
      <c r="D110" s="12" t="s">
        <v>13</v>
      </c>
      <c r="E110" s="30" t="n">
        <f aca="false">Calc_2!$E98</f>
        <v>2.53300130461873</v>
      </c>
      <c r="H110" s="39" t="n">
        <v>2.53300130461927</v>
      </c>
      <c r="I110" s="39" t="n">
        <v>2.53300130461927</v>
      </c>
      <c r="J110" s="39" t="n">
        <v>2.53300130461927</v>
      </c>
      <c r="K110" s="39" t="n">
        <v>2.44600346635507</v>
      </c>
      <c r="L110" s="39" t="n">
        <v>2.25582607287275</v>
      </c>
      <c r="M110" s="39" t="n">
        <v>2.84059636850825</v>
      </c>
      <c r="N110" s="39" t="n">
        <v>2.53300130461831</v>
      </c>
      <c r="O110" s="39" t="n">
        <v>2.34009133873894</v>
      </c>
      <c r="P110" s="39" t="n">
        <v>1.6636302661774</v>
      </c>
      <c r="Q110" s="39" t="n">
        <v>2.16227830634639</v>
      </c>
      <c r="R110" s="39" t="n">
        <v>2.60154567028004</v>
      </c>
    </row>
    <row r="111" customFormat="false" ht="15" hidden="false" customHeight="false" outlineLevel="0" collapsed="false">
      <c r="C111" s="1" t="s">
        <v>161</v>
      </c>
      <c r="D111" s="12" t="s">
        <v>141</v>
      </c>
      <c r="E111" s="31" t="n">
        <f aca="false">Model_Checks</f>
        <v>0</v>
      </c>
      <c r="H111" s="41" t="n">
        <v>0</v>
      </c>
      <c r="I111" s="41" t="n">
        <v>0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n">
        <v>0</v>
      </c>
      <c r="O111" s="41" t="n">
        <v>0</v>
      </c>
      <c r="P111" s="41" t="n">
        <v>0</v>
      </c>
      <c r="Q111" s="41" t="n">
        <v>0</v>
      </c>
      <c r="R111" s="41" t="n">
        <v>0</v>
      </c>
    </row>
    <row r="112" customFormat="false" ht="15" hidden="false" customHeight="false" outlineLevel="0" collapsed="false">
      <c r="C112" s="1" t="s">
        <v>162</v>
      </c>
      <c r="D112" s="12" t="s">
        <v>141</v>
      </c>
      <c r="E112" s="31" t="n">
        <f aca="false">Model_Checks</f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n">
        <v>0</v>
      </c>
      <c r="O112" s="41" t="n">
        <v>0</v>
      </c>
      <c r="P112" s="41" t="n">
        <v>0</v>
      </c>
      <c r="Q112" s="41" t="n">
        <v>0</v>
      </c>
      <c r="R112" s="41" t="n">
        <v>0</v>
      </c>
    </row>
    <row r="114" customFormat="false" ht="15" hidden="false" customHeight="false" outlineLevel="0" collapsed="false">
      <c r="C114" s="42" t="s">
        <v>163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2"/>
    <col collapsed="false" customWidth="false" hidden="true" outlineLevel="1" max="16384" min="21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B4" s="1" t="s">
        <v>164</v>
      </c>
      <c r="D4" s="1" t="s">
        <v>165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166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167</v>
      </c>
      <c r="C7" s="8" t="s">
        <v>8</v>
      </c>
      <c r="D7" s="8" t="s">
        <v>168</v>
      </c>
      <c r="F7" s="9" t="s">
        <v>12</v>
      </c>
      <c r="H7" s="45" t="s">
        <v>22</v>
      </c>
      <c r="I7" s="45" t="s">
        <v>169</v>
      </c>
      <c r="J7" s="45" t="s">
        <v>170</v>
      </c>
      <c r="K7" s="45" t="s">
        <v>171</v>
      </c>
      <c r="L7" s="45" t="s">
        <v>172</v>
      </c>
      <c r="M7" s="45" t="s">
        <v>173</v>
      </c>
      <c r="N7" s="45" t="s">
        <v>174</v>
      </c>
      <c r="O7" s="45" t="s">
        <v>175</v>
      </c>
      <c r="P7" s="45" t="s">
        <v>176</v>
      </c>
      <c r="Q7" s="45" t="s">
        <v>177</v>
      </c>
      <c r="R7" s="45" t="s">
        <v>178</v>
      </c>
      <c r="S7" s="9"/>
    </row>
    <row r="10" customFormat="false" ht="15" hidden="false" customHeight="false" outlineLevel="0" collapsed="false">
      <c r="A10" s="10" t="s">
        <v>13</v>
      </c>
      <c r="B10" s="10"/>
      <c r="C10" s="10" t="s">
        <v>179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B11" s="1" t="s">
        <v>180</v>
      </c>
      <c r="C11" s="12" t="s">
        <v>141</v>
      </c>
      <c r="D11" s="14" t="s">
        <v>181</v>
      </c>
      <c r="F11" s="45" t="n">
        <v>1000</v>
      </c>
    </row>
    <row r="12" customFormat="false" ht="15" hidden="false" customHeight="false" outlineLevel="0" collapsed="false">
      <c r="B12" s="1" t="s">
        <v>182</v>
      </c>
      <c r="C12" s="12" t="s">
        <v>141</v>
      </c>
      <c r="D12" s="14" t="s">
        <v>181</v>
      </c>
      <c r="F12" s="45" t="n">
        <v>1000000</v>
      </c>
    </row>
    <row r="13" customFormat="false" ht="15" hidden="false" customHeight="false" outlineLevel="0" collapsed="false">
      <c r="B13" s="1" t="s">
        <v>183</v>
      </c>
      <c r="C13" s="12" t="s">
        <v>184</v>
      </c>
      <c r="D13" s="14" t="s">
        <v>185</v>
      </c>
      <c r="F13" s="45" t="n">
        <v>365</v>
      </c>
    </row>
    <row r="14" customFormat="false" ht="15" hidden="false" customHeight="false" outlineLevel="0" collapsed="false">
      <c r="B14" s="1" t="s">
        <v>186</v>
      </c>
      <c r="C14" s="12" t="s">
        <v>187</v>
      </c>
      <c r="F14" s="45" t="n">
        <v>12</v>
      </c>
    </row>
    <row r="15" customFormat="false" ht="15" hidden="false" customHeight="false" outlineLevel="0" collapsed="false">
      <c r="B15" s="1" t="s">
        <v>188</v>
      </c>
      <c r="C15" s="12" t="s">
        <v>187</v>
      </c>
      <c r="D15" s="14" t="s">
        <v>189</v>
      </c>
      <c r="F15" s="45" t="n">
        <v>3</v>
      </c>
    </row>
    <row r="16" customFormat="false" ht="15" hidden="false" customHeight="false" outlineLevel="0" collapsed="false">
      <c r="B16" s="1" t="s">
        <v>190</v>
      </c>
      <c r="C16" s="12" t="s">
        <v>141</v>
      </c>
      <c r="D16" s="14" t="s">
        <v>191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B19" s="1" t="s">
        <v>193</v>
      </c>
      <c r="C19" s="12" t="s">
        <v>38</v>
      </c>
      <c r="D19" s="14" t="s">
        <v>194</v>
      </c>
      <c r="F19" s="46" t="n">
        <f aca="false">IF(INDEX($H19:$S19,1,Scenario_Selected)="",$H19,INDEX($H19:$S19,1,Scenario_Selected))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</row>
    <row r="20" customFormat="false" ht="15" hidden="false" customHeight="false" outlineLevel="0" collapsed="false">
      <c r="B20" s="1" t="s">
        <v>195</v>
      </c>
      <c r="C20" s="12" t="s">
        <v>27</v>
      </c>
      <c r="D20" s="14" t="s">
        <v>196</v>
      </c>
      <c r="F20" s="45" t="n">
        <v>0.1</v>
      </c>
    </row>
    <row r="21" customFormat="false" ht="15" hidden="false" customHeight="false" outlineLevel="0" collapsed="false">
      <c r="B21" s="1" t="s">
        <v>197</v>
      </c>
      <c r="C21" s="12" t="s">
        <v>38</v>
      </c>
      <c r="D21" s="14" t="s">
        <v>198</v>
      </c>
      <c r="F21" s="46" t="n">
        <f aca="false">IF(INDEX($H21:$S21,1,Scenario_Selected)="",$H21,INDEX($H21:$S21,1,Scenario_Selected))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</row>
    <row r="22" customFormat="false" ht="15" hidden="false" customHeight="false" outlineLevel="0" collapsed="false">
      <c r="B22" s="1" t="s">
        <v>199</v>
      </c>
      <c r="C22" s="12" t="s">
        <v>38</v>
      </c>
      <c r="D22" s="14" t="s">
        <v>200</v>
      </c>
      <c r="F22" s="46" t="n">
        <f aca="false">IF(INDEX($H22:$S22,1,Scenario_Selected)="",$H22,INDEX($H22:$S22,1,Scenario_Selected))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</row>
    <row r="23" customFormat="false" ht="15" hidden="false" customHeight="false" outlineLevel="0" collapsed="false">
      <c r="B23" s="1" t="s">
        <v>201</v>
      </c>
      <c r="C23" s="12" t="s">
        <v>38</v>
      </c>
      <c r="D23" s="14" t="s">
        <v>202</v>
      </c>
      <c r="F23" s="46" t="n">
        <f aca="false">IF(INDEX($H23:$S23,1,Scenario_Selected)="",$H23,INDEX($H23:$S23,1,Scenario_Selected))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</row>
    <row r="24" customFormat="false" ht="15" hidden="false" customHeight="false" outlineLevel="0" collapsed="false">
      <c r="B24" s="1" t="s">
        <v>203</v>
      </c>
      <c r="C24" s="12" t="s">
        <v>184</v>
      </c>
      <c r="D24" s="14" t="s">
        <v>204</v>
      </c>
      <c r="F24" s="44" t="n">
        <f aca="false">IF(INDEX($H24:$S24,1,Scenario_Selected)="",$H24,INDEX($H24:$S24,1,Scenario_Selected))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  <c r="P24" s="47"/>
      <c r="Q24" s="47"/>
      <c r="R24" s="47"/>
    </row>
    <row r="25" customFormat="false" ht="15" hidden="false" customHeight="false" outlineLevel="0" collapsed="false">
      <c r="B25" s="1" t="s">
        <v>205</v>
      </c>
      <c r="C25" s="12" t="s">
        <v>38</v>
      </c>
      <c r="D25" s="14" t="s">
        <v>206</v>
      </c>
      <c r="F25" s="46" t="n">
        <f aca="false">IF(INDEX($H25:$S25,1,Scenario_Selected)="",$H25,INDEX($H25:$S25,1,Scenario_Selected))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</row>
    <row r="26" customFormat="false" ht="15" hidden="false" customHeight="false" outlineLevel="0" collapsed="false">
      <c r="B26" s="1" t="s">
        <v>207</v>
      </c>
      <c r="C26" s="12" t="s">
        <v>38</v>
      </c>
      <c r="D26" s="14" t="s">
        <v>208</v>
      </c>
      <c r="F26" s="46" t="n">
        <f aca="false">IF(INDEX($H26:$S26,1,Scenario_Selected)="",$H26,INDEX($H26:$S26,1,Scenario_Selected))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</row>
    <row r="27" customFormat="false" ht="15" hidden="false" customHeight="false" outlineLevel="0" collapsed="false">
      <c r="B27" s="1" t="s">
        <v>209</v>
      </c>
      <c r="C27" s="12" t="s">
        <v>38</v>
      </c>
      <c r="D27" s="14" t="s">
        <v>210</v>
      </c>
      <c r="F27" s="46" t="n">
        <f aca="false">IF(INDEX($H27:$S27,1,Scenario_Selected)="",$H27,INDEX($H27:$S27,1,Scenario_Selected))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</row>
    <row r="28" customFormat="false" ht="15" hidden="false" customHeight="false" outlineLevel="0" collapsed="false">
      <c r="B28" s="1" t="s">
        <v>211</v>
      </c>
      <c r="C28" s="12" t="s">
        <v>38</v>
      </c>
      <c r="D28" s="14" t="s">
        <v>212</v>
      </c>
      <c r="F28" s="46" t="n">
        <f aca="false">IF(INDEX($H28:$S28,1,Scenario_Selected)="",$H28,INDEX($H28:$S28,1,Scenario_Selected))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</row>
    <row r="29" customFormat="false" ht="15" hidden="false" customHeight="false" outlineLevel="0" collapsed="false">
      <c r="B29" s="1" t="s">
        <v>213</v>
      </c>
      <c r="C29" s="12" t="s">
        <v>66</v>
      </c>
      <c r="D29" s="14" t="s">
        <v>214</v>
      </c>
      <c r="F29" s="44" t="n">
        <f aca="false">IF(INDEX($H29:$S29,1,Scenario_Selected)="",$H29,INDEX($H29:$S29,1,Scenario_Selected))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  <c r="P29" s="47"/>
      <c r="Q29" s="47"/>
      <c r="R29" s="47"/>
    </row>
    <row r="30" customFormat="false" ht="15" hidden="false" customHeight="false" outlineLevel="0" collapsed="false">
      <c r="B30" s="1" t="s">
        <v>215</v>
      </c>
      <c r="C30" s="12" t="s">
        <v>38</v>
      </c>
      <c r="D30" s="14" t="s">
        <v>216</v>
      </c>
      <c r="F30" s="46" t="n">
        <f aca="false">IF(INDEX($H30:$S30,1,Scenario_Selected)="",$H30,INDEX($H30:$S30,1,Scenario_Selected))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</row>
    <row r="32" customFormat="false" ht="15" hidden="false" customHeight="false" outlineLevel="0" collapsed="false">
      <c r="A32" s="10" t="s">
        <v>13</v>
      </c>
      <c r="B32" s="10"/>
      <c r="C32" s="10" t="s">
        <v>217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B33" s="1" t="s">
        <v>218</v>
      </c>
      <c r="C33" s="12" t="s">
        <v>78</v>
      </c>
      <c r="D33" s="14" t="s">
        <v>219</v>
      </c>
      <c r="F33" s="48" t="n">
        <f aca="false">IF(INDEX($H33:$S33,1,Scenario_Selected)="",$H33,INDEX($H33:$S33,1,Scenario_Selected))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customFormat="false" ht="15" hidden="false" customHeight="false" outlineLevel="0" collapsed="false">
      <c r="B34" s="1" t="s">
        <v>220</v>
      </c>
      <c r="C34" s="12" t="s">
        <v>33</v>
      </c>
      <c r="D34" s="14" t="s">
        <v>221</v>
      </c>
      <c r="F34" s="48" t="n">
        <f aca="false">IF(INDEX($H34:$S34,1,Scenario_Selected)="",$H34,INDEX($H34:$S34,1,Scenario_Selected))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15" hidden="false" customHeight="false" outlineLevel="0" collapsed="false">
      <c r="B35" s="1" t="s">
        <v>222</v>
      </c>
      <c r="C35" s="12" t="s">
        <v>33</v>
      </c>
      <c r="D35" s="14" t="s">
        <v>223</v>
      </c>
      <c r="F35" s="48" t="n">
        <f aca="false">IF(INDEX($H35:$S35,1,Scenario_Selected)="",$H35,INDEX($H35:$S35,1,Scenario_Selected))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customFormat="false" ht="15" hidden="false" customHeight="false" outlineLevel="0" collapsed="false">
      <c r="B36" s="1" t="s">
        <v>224</v>
      </c>
      <c r="C36" s="12" t="s">
        <v>33</v>
      </c>
      <c r="D36" s="14" t="s">
        <v>225</v>
      </c>
      <c r="F36" s="48" t="n">
        <f aca="false">IF(INDEX($H36:$S36,1,Scenario_Selected)="",$H36,INDEX($H36:$S36,1,Scenario_Selected))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customFormat="false" ht="15" hidden="false" customHeight="false" outlineLevel="0" collapsed="false">
      <c r="B37" s="1" t="s">
        <v>226</v>
      </c>
      <c r="C37" s="12" t="s">
        <v>19</v>
      </c>
      <c r="D37" s="14" t="s">
        <v>227</v>
      </c>
      <c r="F37" s="48" t="n">
        <f aca="false">IF(INDEX($H37:$S37,1,Scenario_Selected)="",$H37,INDEX($H37:$S37,1,Scenario_Selected))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</row>
    <row r="38" customFormat="false" ht="15" hidden="false" customHeight="false" outlineLevel="0" collapsed="false">
      <c r="B38" s="1" t="s">
        <v>228</v>
      </c>
      <c r="C38" s="12" t="s">
        <v>19</v>
      </c>
      <c r="D38" s="14" t="s">
        <v>229</v>
      </c>
      <c r="F38" s="48" t="n">
        <f aca="false">IF(INDEX($H38:$S38,1,Scenario_Selected)="",$H38,INDEX($H38:$S38,1,Scenario_Selected))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</row>
    <row r="39" customFormat="false" ht="15" hidden="false" customHeight="false" outlineLevel="0" collapsed="false">
      <c r="B39" s="1" t="s">
        <v>230</v>
      </c>
      <c r="C39" s="12" t="s">
        <v>33</v>
      </c>
      <c r="D39" s="14" t="s">
        <v>231</v>
      </c>
      <c r="F39" s="48" t="n">
        <f aca="false">IF(INDEX($H39:$S39,1,Scenario_Selected)="",$H39,INDEX($H39:$S39,1,Scenario_Selected))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customFormat="false" ht="15" hidden="false" customHeight="false" outlineLevel="0" collapsed="false">
      <c r="B40" s="1" t="s">
        <v>232</v>
      </c>
      <c r="C40" s="12" t="s">
        <v>27</v>
      </c>
      <c r="D40" s="14" t="s">
        <v>233</v>
      </c>
      <c r="F40" s="49" t="n">
        <f aca="false">IF(INDEX($H40:$S40,1,Scenario_Selected)="",$H40,INDEX($H40:$S40,1,Scenario_Selected))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</row>
    <row r="41" customFormat="false" ht="15" hidden="false" customHeight="false" outlineLevel="0" collapsed="false">
      <c r="B41" s="1" t="s">
        <v>234</v>
      </c>
      <c r="C41" s="12" t="s">
        <v>27</v>
      </c>
      <c r="D41" s="14" t="s">
        <v>235</v>
      </c>
      <c r="F41" s="49" t="n">
        <f aca="false">IF(INDEX($H41:$S41,1,Scenario_Selected)="",$H41,INDEX($H41:$S41,1,Scenario_Selected))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</row>
    <row r="42" customFormat="false" ht="15" hidden="false" customHeight="false" outlineLevel="0" collapsed="false">
      <c r="B42" s="1" t="s">
        <v>236</v>
      </c>
      <c r="C42" s="12" t="s">
        <v>43</v>
      </c>
      <c r="D42" s="14" t="s">
        <v>237</v>
      </c>
      <c r="F42" s="50" t="n">
        <f aca="false">IF(INDEX($H42:$S42,1,Scenario_Selected)="",$H42,INDEX($H42:$S42,1,Scenario_Selected))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</row>
    <row r="43" customFormat="false" ht="15" hidden="false" customHeight="false" outlineLevel="0" collapsed="false">
      <c r="B43" s="1" t="s">
        <v>238</v>
      </c>
      <c r="C43" s="12" t="s">
        <v>27</v>
      </c>
      <c r="D43" s="14" t="s">
        <v>239</v>
      </c>
      <c r="F43" s="49" t="n">
        <f aca="false">IF(INDEX($H43:$S43,1,Scenario_Selected)="",$H43,INDEX($H43:$S43,1,Scenario_Selected))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</row>
    <row r="44" customFormat="false" ht="15" hidden="false" customHeight="false" outlineLevel="0" collapsed="false">
      <c r="B44" s="1" t="s">
        <v>240</v>
      </c>
      <c r="C44" s="12" t="s">
        <v>43</v>
      </c>
      <c r="D44" s="14" t="s">
        <v>241</v>
      </c>
      <c r="F44" s="50" t="n">
        <f aca="false">IF(INDEX($H44:$S44,1,Scenario_Selected)="",$H44,INDEX($H44:$S44,1,Scenario_Selected))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</row>
    <row r="45" customFormat="false" ht="15" hidden="false" customHeight="false" outlineLevel="0" collapsed="false">
      <c r="B45" s="1" t="s">
        <v>242</v>
      </c>
      <c r="C45" s="12" t="s">
        <v>66</v>
      </c>
      <c r="D45" s="14" t="s">
        <v>243</v>
      </c>
      <c r="F45" s="44" t="n">
        <f aca="false">IF(INDEX($H45:$S45,1,Scenario_Selected)="",$H45,INDEX($H45:$S45,1,Scenario_Selected))</f>
        <v>20</v>
      </c>
      <c r="H45" s="47" t="n">
        <v>20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</row>
    <row r="46" customFormat="false" ht="15" hidden="false" customHeight="false" outlineLevel="0" collapsed="false">
      <c r="B46" s="1" t="s">
        <v>244</v>
      </c>
      <c r="C46" s="12" t="s">
        <v>27</v>
      </c>
      <c r="D46" s="14" t="s">
        <v>245</v>
      </c>
      <c r="F46" s="49" t="n">
        <f aca="false">IF(INDEX($H46:$S46,1,Scenario_Selected)="",$H46,INDEX($H46:$S46,1,Scenario_Selected))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</row>
    <row r="47" customFormat="false" ht="15" hidden="false" customHeight="false" outlineLevel="0" collapsed="false">
      <c r="B47" s="1" t="s">
        <v>246</v>
      </c>
      <c r="C47" s="12" t="s">
        <v>66</v>
      </c>
      <c r="D47" s="14" t="s">
        <v>247</v>
      </c>
      <c r="F47" s="44" t="n">
        <f aca="false">IF(INDEX($H47:$S47,1,Scenario_Selected)="",$H47,INDEX($H47:$S47,1,Scenario_Selected))</f>
        <v>5</v>
      </c>
      <c r="H47" s="47" t="n">
        <v>5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</row>
    <row r="49" customFormat="false" ht="15" hidden="false" customHeight="false" outlineLevel="0" collapsed="false">
      <c r="A49" s="10" t="s">
        <v>13</v>
      </c>
      <c r="B49" s="10"/>
      <c r="C49" s="10" t="s">
        <v>248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B50" s="1" t="s">
        <v>249</v>
      </c>
      <c r="C50" s="12" t="s">
        <v>141</v>
      </c>
      <c r="D50" s="14" t="s">
        <v>250</v>
      </c>
      <c r="F50" s="45" t="n">
        <v>2</v>
      </c>
    </row>
    <row r="51" customFormat="false" ht="15" hidden="false" customHeight="false" outlineLevel="0" collapsed="false">
      <c r="B51" s="1" t="s">
        <v>251</v>
      </c>
      <c r="C51" s="12" t="s">
        <v>252</v>
      </c>
      <c r="D51" s="14" t="s">
        <v>253</v>
      </c>
      <c r="F51" s="48" t="n">
        <f aca="false">IF(INDEX($H51:$S51,1,Scenario_Selected)="",$H51,INDEX($H51:$S51,1,Scenario_Selected))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customFormat="false" ht="15" hidden="false" customHeight="false" outlineLevel="0" collapsed="false">
      <c r="B52" s="1" t="s">
        <v>254</v>
      </c>
      <c r="C52" s="12" t="s">
        <v>27</v>
      </c>
      <c r="D52" s="14" t="s">
        <v>196</v>
      </c>
      <c r="F52" s="49" t="n">
        <f aca="false">IF(INDEX($H52:$S52,1,Scenario_Selected)="",$H52,INDEX($H52:$S52,1,Scenario_Selected))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</row>
    <row r="53" customFormat="false" ht="15" hidden="false" customHeight="false" outlineLevel="0" collapsed="false">
      <c r="B53" s="1" t="s">
        <v>255</v>
      </c>
      <c r="C53" s="12" t="s">
        <v>27</v>
      </c>
      <c r="D53" s="14" t="s">
        <v>256</v>
      </c>
      <c r="F53" s="49" t="n">
        <f aca="false">IF(INDEX($H53:$S53,1,Scenario_Selected)="",$H53,INDEX($H53:$S53,1,Scenario_Selected))</f>
        <v>0.05</v>
      </c>
      <c r="H53" s="18" t="n">
        <v>0.05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</row>
    <row r="54" customFormat="false" ht="15" hidden="false" customHeight="false" outlineLevel="0" collapsed="false">
      <c r="B54" s="1" t="s">
        <v>257</v>
      </c>
      <c r="C54" s="12" t="s">
        <v>43</v>
      </c>
      <c r="D54" s="14" t="s">
        <v>258</v>
      </c>
      <c r="F54" s="50" t="n">
        <f aca="false">IF(INDEX($H54:$S54,1,Scenario_Selected)="",$H54,INDEX($H54:$S54,1,Scenario_Selected))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</row>
    <row r="55" customFormat="false" ht="15" hidden="false" customHeight="false" outlineLevel="0" collapsed="false">
      <c r="B55" s="1" t="s">
        <v>259</v>
      </c>
      <c r="C55" s="12" t="s">
        <v>35</v>
      </c>
      <c r="D55" s="14" t="s">
        <v>260</v>
      </c>
      <c r="F55" s="37" t="n">
        <f aca="false">IF(INDEX($H55:$S55,1,Scenario_Selected)="",$H55,INDEX($H55:$S55,1,Scenario_Selected))</f>
        <v>4</v>
      </c>
      <c r="H55" s="20" t="n">
        <v>4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</row>
    <row r="56" customFormat="false" ht="15" hidden="false" customHeight="false" outlineLevel="0" collapsed="false">
      <c r="B56" s="1" t="s">
        <v>261</v>
      </c>
      <c r="C56" s="12" t="s">
        <v>27</v>
      </c>
      <c r="D56" s="14" t="s">
        <v>262</v>
      </c>
      <c r="F56" s="49" t="n">
        <f aca="false">IF(INDEX($H56:$S56,1,Scenario_Selected)="",$H56,INDEX($H56:$S56,1,Scenario_Selected))</f>
        <v>0.1</v>
      </c>
      <c r="H56" s="18" t="n">
        <v>0.1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</row>
    <row r="57" customFormat="false" ht="15" hidden="false" customHeight="false" outlineLevel="0" collapsed="false">
      <c r="B57" s="1" t="s">
        <v>263</v>
      </c>
      <c r="C57" s="12" t="s">
        <v>43</v>
      </c>
      <c r="D57" s="14" t="s">
        <v>264</v>
      </c>
      <c r="F57" s="50" t="n">
        <f aca="false">IF(INDEX($H57:$S57,1,Scenario_Selected)="",$H57,INDEX($H57:$S57,1,Scenario_Selected))</f>
        <v>1</v>
      </c>
      <c r="H57" s="24" t="n">
        <v>1</v>
      </c>
      <c r="I57" s="24"/>
      <c r="J57" s="24"/>
      <c r="K57" s="24"/>
      <c r="L57" s="24"/>
      <c r="M57" s="24"/>
      <c r="N57" s="24" t="n">
        <v>2</v>
      </c>
      <c r="O57" s="24"/>
      <c r="P57" s="24"/>
      <c r="Q57" s="24"/>
      <c r="R57" s="24"/>
    </row>
    <row r="58" customFormat="false" ht="15" hidden="false" customHeight="false" outlineLevel="0" collapsed="false">
      <c r="B58" s="1" t="s">
        <v>265</v>
      </c>
      <c r="C58" s="12" t="s">
        <v>187</v>
      </c>
      <c r="D58" s="14" t="s">
        <v>266</v>
      </c>
      <c r="F58" s="44" t="n">
        <f aca="false">IF(INDEX($H58:$S58,1,Scenario_Selected)="",$H58,INDEX($H58:$S58,1,Scenario_Selected))</f>
        <v>6</v>
      </c>
      <c r="H58" s="47" t="n">
        <v>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</row>
    <row r="59" customFormat="false" ht="15" hidden="false" customHeight="false" outlineLevel="0" collapsed="false">
      <c r="B59" s="1" t="s">
        <v>267</v>
      </c>
      <c r="C59" s="12" t="s">
        <v>268</v>
      </c>
      <c r="D59" s="14" t="s">
        <v>269</v>
      </c>
      <c r="F59" s="48" t="n">
        <f aca="false">IF(INDEX($H59:$S59,1,Scenario_Selected)="",$H59,INDEX($H59:$S59,1,Scenario_Selected))</f>
        <v>200</v>
      </c>
      <c r="H59" s="13" t="n">
        <v>200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</row>
    <row r="60" customFormat="false" ht="15" hidden="false" customHeight="false" outlineLevel="0" collapsed="false">
      <c r="B60" s="1" t="s">
        <v>270</v>
      </c>
      <c r="C60" s="12" t="s">
        <v>271</v>
      </c>
      <c r="D60" s="14" t="s">
        <v>269</v>
      </c>
      <c r="F60" s="48" t="n">
        <f aca="false">IF(INDEX($H60:$S60,1,Scenario_Selected)="",$H60,INDEX($H60:$S60,1,Scenario_Selected))</f>
        <v>406</v>
      </c>
      <c r="H60" s="13" t="n">
        <v>406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</row>
    <row r="61" customFormat="false" ht="15" hidden="false" customHeight="false" outlineLevel="0" collapsed="false">
      <c r="B61" s="1" t="s">
        <v>272</v>
      </c>
      <c r="C61" s="12" t="s">
        <v>273</v>
      </c>
      <c r="D61" s="14" t="s">
        <v>274</v>
      </c>
      <c r="F61" s="37" t="n">
        <f aca="false">IF(INDEX($H61:$S61,1,Scenario_Selected)="",$H61,INDEX($H61:$S61,1,Scenario_Selected))</f>
        <v>3</v>
      </c>
      <c r="H61" s="20" t="n">
        <v>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</row>
    <row r="62" customFormat="false" ht="15" hidden="false" customHeight="false" outlineLevel="0" collapsed="false">
      <c r="B62" s="1" t="s">
        <v>275</v>
      </c>
      <c r="C62" s="12" t="s">
        <v>27</v>
      </c>
      <c r="D62" s="14" t="s">
        <v>276</v>
      </c>
      <c r="F62" s="51" t="n">
        <f aca="false">IF(INDEX($H62:$S62,1,Scenario_Selected)="",$H62,INDEX($H62:$S62,1,Scenario_Selected))</f>
        <v>0.005</v>
      </c>
      <c r="H62" s="52" t="n">
        <v>0.005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</row>
    <row r="63" customFormat="false" ht="15" hidden="false" customHeight="false" outlineLevel="0" collapsed="false">
      <c r="B63" s="1" t="s">
        <v>277</v>
      </c>
      <c r="C63" s="12" t="s">
        <v>27</v>
      </c>
      <c r="D63" s="14" t="s">
        <v>278</v>
      </c>
      <c r="F63" s="51" t="n">
        <f aca="false">IF(INDEX($H63:$S63,1,Scenario_Selected)="",$H63,INDEX($H63:$S63,1,Scenario_Selected))</f>
        <v>0.025</v>
      </c>
      <c r="H63" s="52" t="n">
        <v>0.025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customFormat="false" ht="15" hidden="false" customHeight="false" outlineLevel="0" collapsed="false">
      <c r="B64" s="1" t="s">
        <v>279</v>
      </c>
      <c r="C64" s="12" t="s">
        <v>280</v>
      </c>
      <c r="D64" s="14" t="s">
        <v>281</v>
      </c>
      <c r="F64" s="37" t="n">
        <f aca="false">IF(INDEX($H64:$S64,1,Scenario_Selected)="",$H64,INDEX($H64:$S64,1,Scenario_Selected))</f>
        <v>4.5</v>
      </c>
      <c r="H64" s="20" t="n">
        <v>4.5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</row>
    <row r="65" customFormat="false" ht="15" hidden="false" customHeight="false" outlineLevel="0" collapsed="false">
      <c r="B65" s="1" t="s">
        <v>282</v>
      </c>
      <c r="C65" s="12" t="s">
        <v>273</v>
      </c>
      <c r="D65" s="14" t="s">
        <v>283</v>
      </c>
      <c r="F65" s="37" t="n">
        <f aca="false">IF(INDEX($H65:$S65,1,Scenario_Selected)="",$H65,INDEX($H65:$S65,1,Scenario_Selected))</f>
        <v>460</v>
      </c>
      <c r="H65" s="20" t="n">
        <v>460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</row>
    <row r="66" customFormat="false" ht="15" hidden="false" customHeight="false" outlineLevel="0" collapsed="false">
      <c r="B66" s="1" t="s">
        <v>284</v>
      </c>
      <c r="C66" s="12" t="s">
        <v>280</v>
      </c>
      <c r="D66" s="14" t="s">
        <v>285</v>
      </c>
      <c r="F66" s="33" t="n">
        <f aca="false">IF(INDEX($H66:$S66,1,Scenario_Selected)="",$H66,INDEX($H66:$S66,1,Scenario_Selected))</f>
        <v>54.830209</v>
      </c>
      <c r="H66" s="17" t="n">
        <v>54.830209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</row>
    <row r="67" customFormat="false" ht="15" hidden="false" customHeight="false" outlineLevel="0" collapsed="false">
      <c r="B67" s="1" t="s">
        <v>286</v>
      </c>
      <c r="C67" s="12" t="s">
        <v>27</v>
      </c>
      <c r="D67" s="14" t="s">
        <v>287</v>
      </c>
      <c r="F67" s="49" t="n">
        <f aca="false">IF(INDEX($H67:$S67,1,Scenario_Selected)="",$H67,INDEX($H67:$S67,1,Scenario_Selected))</f>
        <v>0.06</v>
      </c>
      <c r="H67" s="18" t="n">
        <v>0.06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</row>
    <row r="69" customFormat="false" ht="15" hidden="false" customHeight="false" outlineLevel="0" collapsed="false">
      <c r="A69" s="10" t="s">
        <v>13</v>
      </c>
      <c r="B69" s="10"/>
      <c r="C69" s="10" t="s">
        <v>288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B70" s="1" t="s">
        <v>289</v>
      </c>
      <c r="C70" s="12" t="s">
        <v>19</v>
      </c>
      <c r="D70" s="14" t="s">
        <v>290</v>
      </c>
      <c r="F70" s="48" t="n">
        <f aca="false">IF(INDEX($H70:$S70,1,Scenario_Selected)="",$H70,INDEX($H70:$S70,1,Scenario_Selected))</f>
        <v>950</v>
      </c>
      <c r="H70" s="13" t="n">
        <v>950</v>
      </c>
      <c r="I70" s="13"/>
      <c r="J70" s="13"/>
      <c r="K70" s="13" t="n">
        <f aca="false">H70*(1+Sens_Step)</f>
        <v>1045</v>
      </c>
      <c r="L70" s="13"/>
      <c r="M70" s="13"/>
      <c r="N70" s="13"/>
      <c r="O70" s="13"/>
      <c r="P70" s="13"/>
      <c r="Q70" s="13"/>
      <c r="R70" s="13"/>
    </row>
    <row r="71" customFormat="false" ht="15" hidden="false" customHeight="false" outlineLevel="0" collapsed="false">
      <c r="B71" s="1" t="s">
        <v>291</v>
      </c>
      <c r="C71" s="12" t="s">
        <v>19</v>
      </c>
      <c r="D71" s="14" t="s">
        <v>292</v>
      </c>
      <c r="F71" s="48" t="n">
        <f aca="false">IF(INDEX($H71:$S71,1,Scenario_Selected)="",$H71,INDEX($H71:$S71,1,Scenario_Selected))</f>
        <v>500</v>
      </c>
      <c r="H71" s="13" t="n">
        <v>500</v>
      </c>
      <c r="I71" s="13"/>
      <c r="J71" s="13"/>
      <c r="K71" s="13" t="n">
        <f aca="false">H71*(1+Sens_Step)</f>
        <v>550</v>
      </c>
      <c r="L71" s="13"/>
      <c r="M71" s="13"/>
      <c r="N71" s="13"/>
      <c r="O71" s="13"/>
      <c r="P71" s="13"/>
      <c r="Q71" s="13"/>
      <c r="R71" s="13"/>
    </row>
    <row r="72" customFormat="false" ht="15" hidden="false" customHeight="false" outlineLevel="0" collapsed="false">
      <c r="B72" s="1" t="s">
        <v>293</v>
      </c>
      <c r="C72" s="12" t="s">
        <v>19</v>
      </c>
      <c r="D72" s="14" t="s">
        <v>294</v>
      </c>
      <c r="F72" s="48" t="n">
        <f aca="false">IF(INDEX($H72:$S72,1,Scenario_Selected)="",$H72,INDEX($H72:$S72,1,Scenario_Selected))</f>
        <v>355</v>
      </c>
      <c r="H72" s="13" t="n">
        <v>355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</row>
    <row r="73" customFormat="false" ht="15" hidden="false" customHeight="false" outlineLevel="0" collapsed="false">
      <c r="B73" s="1" t="s">
        <v>295</v>
      </c>
      <c r="C73" s="12" t="s">
        <v>33</v>
      </c>
      <c r="D73" s="14" t="s">
        <v>296</v>
      </c>
      <c r="F73" s="48" t="n">
        <f aca="false">IF(INDEX($H73:$S73,1,Scenario_Selected)="",$H73,INDEX($H73:$S73,1,Scenario_Selected))</f>
        <v>12000</v>
      </c>
      <c r="H73" s="13" t="n">
        <v>12000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</row>
    <row r="74" customFormat="false" ht="15" hidden="false" customHeight="false" outlineLevel="0" collapsed="false">
      <c r="B74" s="1" t="s">
        <v>297</v>
      </c>
      <c r="C74" s="12" t="s">
        <v>33</v>
      </c>
      <c r="D74" s="14" t="s">
        <v>298</v>
      </c>
      <c r="F74" s="48" t="n">
        <f aca="false">IF(INDEX($H74:$S74,1,Scenario_Selected)="",$H74,INDEX($H74:$S74,1,Scenario_Selected))</f>
        <v>10800</v>
      </c>
      <c r="H74" s="13" t="n">
        <v>10800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customFormat="false" ht="15" hidden="false" customHeight="false" outlineLevel="0" collapsed="false">
      <c r="B75" s="1" t="s">
        <v>299</v>
      </c>
      <c r="C75" s="12" t="s">
        <v>27</v>
      </c>
      <c r="D75" s="14" t="s">
        <v>300</v>
      </c>
      <c r="F75" s="49" t="n">
        <f aca="false">IF(INDEX($H75:$S75,1,Scenario_Selected)="",$H75,INDEX($H75:$S75,1,Scenario_Selected))</f>
        <v>0.05</v>
      </c>
      <c r="H75" s="18" t="n">
        <v>0.05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</row>
    <row r="76" customFormat="false" ht="15" hidden="false" customHeight="false" outlineLevel="0" collapsed="false">
      <c r="B76" s="1" t="s">
        <v>301</v>
      </c>
      <c r="C76" s="12" t="s">
        <v>19</v>
      </c>
      <c r="D76" s="14" t="s">
        <v>302</v>
      </c>
      <c r="F76" s="48" t="n">
        <f aca="false">IF(INDEX($H76:$S76,1,Scenario_Selected)="",$H76,INDEX($H76:$S76,1,Scenario_Selected))</f>
        <v>240</v>
      </c>
      <c r="H76" s="13" t="n">
        <v>240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8" customFormat="false" ht="15" hidden="false" customHeight="false" outlineLevel="0" collapsed="false">
      <c r="A78" s="10" t="s">
        <v>13</v>
      </c>
      <c r="B78" s="10"/>
      <c r="C78" s="10" t="s">
        <v>303</v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B79" s="1" t="s">
        <v>56</v>
      </c>
      <c r="C79" s="12" t="s">
        <v>57</v>
      </c>
      <c r="D79" s="14" t="s">
        <v>196</v>
      </c>
      <c r="F79" s="48" t="n">
        <f aca="false">IF(INDEX($H79:$S79,1,Scenario_Selected)="",$H79,INDEX($H79:$S79,1,Scenario_Selected))</f>
        <v>2600</v>
      </c>
      <c r="H79" s="13" t="n">
        <v>2600</v>
      </c>
      <c r="I79" s="13"/>
      <c r="J79" s="13"/>
      <c r="K79" s="13"/>
      <c r="L79" s="13" t="n">
        <f aca="false">H79*(1-Sens_Step)</f>
        <v>2340</v>
      </c>
      <c r="M79" s="13"/>
      <c r="N79" s="13"/>
      <c r="O79" s="13"/>
      <c r="P79" s="13"/>
      <c r="Q79" s="13"/>
      <c r="R79" s="13"/>
    </row>
    <row r="80" customFormat="false" ht="15" hidden="false" customHeight="false" outlineLevel="0" collapsed="false">
      <c r="B80" s="1" t="s">
        <v>304</v>
      </c>
      <c r="C80" s="12" t="s">
        <v>27</v>
      </c>
      <c r="D80" s="14" t="s">
        <v>305</v>
      </c>
      <c r="F80" s="49" t="n">
        <f aca="false">IF(INDEX($H80:$S80,1,Scenario_Selected)="",$H80,INDEX($H80:$S80,1,Scenario_Selected))</f>
        <v>0.02</v>
      </c>
      <c r="H80" s="18" t="n">
        <v>0.02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</row>
    <row r="81" customFormat="false" ht="15" hidden="false" customHeight="false" outlineLevel="0" collapsed="false">
      <c r="B81" s="1" t="s">
        <v>306</v>
      </c>
      <c r="C81" s="12" t="s">
        <v>27</v>
      </c>
      <c r="D81" s="14" t="s">
        <v>307</v>
      </c>
      <c r="F81" s="51" t="n">
        <f aca="false">IF(INDEX($H81:$S81,1,Scenario_Selected)="",$H81,INDEX($H81:$S81,1,Scenario_Selected))</f>
        <v>0.003</v>
      </c>
      <c r="H81" s="52" t="n">
        <v>0.003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</row>
    <row r="82" customFormat="false" ht="15" hidden="false" customHeight="false" outlineLevel="0" collapsed="false">
      <c r="B82" s="1" t="s">
        <v>308</v>
      </c>
      <c r="C82" s="12" t="s">
        <v>24</v>
      </c>
      <c r="D82" s="14" t="s">
        <v>196</v>
      </c>
      <c r="F82" s="37" t="n">
        <f aca="false">IF(INDEX($H82:$S82,1,Scenario_Selected)="",$H82,INDEX($H82:$S82,1,Scenario_Selected))</f>
        <v>90</v>
      </c>
      <c r="H82" s="20" t="n">
        <v>90</v>
      </c>
      <c r="I82" s="20"/>
      <c r="J82" s="20"/>
      <c r="K82" s="20"/>
      <c r="L82" s="20"/>
      <c r="M82" s="20" t="n">
        <v>99</v>
      </c>
      <c r="N82" s="20"/>
      <c r="O82" s="20"/>
      <c r="P82" s="20"/>
      <c r="Q82" s="20"/>
      <c r="R82" s="20"/>
    </row>
    <row r="83" customFormat="false" ht="15" hidden="false" customHeight="false" outlineLevel="0" collapsed="false">
      <c r="B83" s="1" t="s">
        <v>309</v>
      </c>
      <c r="C83" s="12" t="s">
        <v>27</v>
      </c>
      <c r="D83" s="14" t="s">
        <v>310</v>
      </c>
      <c r="F83" s="49" t="n">
        <f aca="false">IF(INDEX($H83:$S83,1,Scenario_Selected)="",$H83,INDEX($H83:$S83,1,Scenario_Selected))</f>
        <v>0.01</v>
      </c>
      <c r="H83" s="18" t="n">
        <v>0.01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</row>
    <row r="84" customFormat="false" ht="15" hidden="false" customHeight="false" outlineLevel="0" collapsed="false">
      <c r="B84" s="1" t="s">
        <v>311</v>
      </c>
      <c r="C84" s="12" t="s">
        <v>24</v>
      </c>
      <c r="D84" s="14" t="s">
        <v>312</v>
      </c>
      <c r="F84" s="37" t="n">
        <f aca="false">IF(INDEX($H84:$S84,1,Scenario_Selected)="",$H84,INDEX($H84:$S84,1,Scenario_Selected))</f>
        <v>5</v>
      </c>
      <c r="H84" s="20" t="n">
        <v>5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 customFormat="false" ht="15" hidden="false" customHeight="false" outlineLevel="0" collapsed="false">
      <c r="B85" s="1" t="s">
        <v>313</v>
      </c>
      <c r="C85" s="12" t="s">
        <v>19</v>
      </c>
      <c r="D85" s="14" t="s">
        <v>314</v>
      </c>
      <c r="F85" s="48" t="n">
        <f aca="false">IF(INDEX($H85:$S85,1,Scenario_Selected)="",$H85,INDEX($H85:$S85,1,Scenario_Selected))</f>
        <v>22</v>
      </c>
      <c r="H85" s="13" t="n">
        <v>22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</row>
    <row r="86" customFormat="false" ht="15" hidden="false" customHeight="false" outlineLevel="0" collapsed="false">
      <c r="B86" s="1" t="s">
        <v>315</v>
      </c>
      <c r="C86" s="12" t="s">
        <v>19</v>
      </c>
      <c r="D86" s="14" t="s">
        <v>316</v>
      </c>
      <c r="F86" s="48" t="n">
        <f aca="false">IF(INDEX($H86:$S86,1,Scenario_Selected)="",$H86,INDEX($H86:$S86,1,Scenario_Selected))</f>
        <v>3</v>
      </c>
      <c r="H86" s="13" t="n">
        <v>3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</row>
    <row r="87" customFormat="false" ht="15" hidden="false" customHeight="false" outlineLevel="0" collapsed="false">
      <c r="B87" s="1" t="s">
        <v>317</v>
      </c>
      <c r="C87" s="12" t="s">
        <v>33</v>
      </c>
      <c r="D87" s="14" t="s">
        <v>318</v>
      </c>
      <c r="F87" s="48" t="n">
        <f aca="false">IF(INDEX($H87:$S87,1,Scenario_Selected)="",$H87,INDEX($H87:$S87,1,Scenario_Selected))</f>
        <v>150</v>
      </c>
      <c r="H87" s="13" t="n">
        <v>150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</row>
    <row r="88" customFormat="false" ht="15" hidden="false" customHeight="false" outlineLevel="0" collapsed="false">
      <c r="B88" s="1" t="s">
        <v>319</v>
      </c>
      <c r="C88" s="12" t="s">
        <v>27</v>
      </c>
      <c r="D88" s="14" t="s">
        <v>320</v>
      </c>
      <c r="F88" s="49" t="n">
        <f aca="false">IF(INDEX($H88:$S88,1,Scenario_Selected)="",$H88,INDEX($H88:$S88,1,Scenario_Selected))</f>
        <v>0.05</v>
      </c>
      <c r="H88" s="18" t="n">
        <v>0.05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</row>
    <row r="89" customFormat="false" ht="15" hidden="false" customHeight="false" outlineLevel="0" collapsed="false">
      <c r="B89" s="1" t="s">
        <v>321</v>
      </c>
      <c r="C89" s="12" t="s">
        <v>27</v>
      </c>
      <c r="D89" s="14" t="s">
        <v>322</v>
      </c>
      <c r="F89" s="49" t="n">
        <f aca="false">IF(INDEX($H89:$S89,1,Scenario_Selected)="",$H89,INDEX($H89:$S89,1,Scenario_Selected))</f>
        <v>0.025</v>
      </c>
      <c r="H89" s="18" t="n">
        <v>0.025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</row>
    <row r="90" customFormat="false" ht="15" hidden="false" customHeight="false" outlineLevel="0" collapsed="false">
      <c r="B90" s="1" t="s">
        <v>323</v>
      </c>
      <c r="C90" s="12" t="s">
        <v>27</v>
      </c>
      <c r="D90" s="14" t="s">
        <v>324</v>
      </c>
      <c r="F90" s="51" t="n">
        <f aca="false">IF(INDEX($H90:$S90,1,Scenario_Selected)="",$H90,INDEX($H90:$S90,1,Scenario_Selected))</f>
        <v>0.001</v>
      </c>
      <c r="H90" s="52" t="n">
        <v>0.001</v>
      </c>
      <c r="I90" s="52"/>
      <c r="J90" s="52"/>
      <c r="K90" s="52"/>
      <c r="L90" s="52"/>
      <c r="M90" s="52"/>
      <c r="N90" s="52"/>
      <c r="O90" s="52"/>
      <c r="P90" s="52"/>
      <c r="Q90" s="52"/>
      <c r="R90" s="52"/>
    </row>
    <row r="91" customFormat="false" ht="15" hidden="false" customHeight="false" outlineLevel="0" collapsed="false">
      <c r="B91" s="1" t="s">
        <v>325</v>
      </c>
      <c r="C91" s="12" t="s">
        <v>27</v>
      </c>
      <c r="D91" s="14" t="s">
        <v>326</v>
      </c>
      <c r="F91" s="49" t="n">
        <f aca="false">IF(INDEX($H91:$S91,1,Scenario_Selected)="",$H91,INDEX($H91:$S91,1,Scenario_Selected))</f>
        <v>0.02</v>
      </c>
      <c r="H91" s="18" t="n">
        <v>0.02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</row>
    <row r="92" customFormat="false" ht="15" hidden="false" customHeight="false" outlineLevel="0" collapsed="false">
      <c r="B92" s="1" t="s">
        <v>327</v>
      </c>
      <c r="C92" s="12" t="s">
        <v>27</v>
      </c>
      <c r="D92" s="14" t="s">
        <v>328</v>
      </c>
      <c r="F92" s="51" t="n">
        <f aca="false">IF(INDEX($H92:$S92,1,Scenario_Selected)="",$H92,INDEX($H92:$S92,1,Scenario_Selected))</f>
        <v>0.003</v>
      </c>
      <c r="H92" s="52" t="n">
        <v>0.003</v>
      </c>
      <c r="I92" s="52"/>
      <c r="J92" s="52"/>
      <c r="K92" s="52"/>
      <c r="L92" s="52"/>
      <c r="M92" s="52"/>
      <c r="N92" s="52"/>
      <c r="O92" s="52"/>
      <c r="P92" s="52"/>
      <c r="Q92" s="52"/>
      <c r="R92" s="52"/>
    </row>
    <row r="94" customFormat="false" ht="15" hidden="false" customHeight="false" outlineLevel="0" collapsed="false">
      <c r="A94" s="10" t="s">
        <v>13</v>
      </c>
      <c r="B94" s="10"/>
      <c r="C94" s="10" t="s">
        <v>329</v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B95" s="1" t="s">
        <v>330</v>
      </c>
      <c r="C95" s="12" t="s">
        <v>27</v>
      </c>
      <c r="D95" s="14" t="s">
        <v>331</v>
      </c>
      <c r="F95" s="49" t="n">
        <f aca="false">IF(INDEX($H95:$S95,1,Scenario_Selected)="",$H95,INDEX($H95:$S95,1,Scenario_Selected))</f>
        <v>0.55</v>
      </c>
      <c r="H95" s="18" t="n">
        <v>0.55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</row>
    <row r="96" customFormat="false" ht="15" hidden="false" customHeight="false" outlineLevel="0" collapsed="false">
      <c r="B96" s="1" t="s">
        <v>332</v>
      </c>
      <c r="C96" s="12" t="s">
        <v>13</v>
      </c>
      <c r="D96" s="14" t="s">
        <v>333</v>
      </c>
      <c r="F96" s="53" t="n">
        <f aca="false">IF(INDEX($H96:$S96,1,Scenario_Selected)="",$H96,INDEX($H96:$S96,1,Scenario_Selected))</f>
        <v>1.2</v>
      </c>
      <c r="H96" s="22" t="n">
        <v>1.2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B97" s="1" t="s">
        <v>65</v>
      </c>
      <c r="C97" s="12" t="s">
        <v>66</v>
      </c>
      <c r="D97" s="14" t="s">
        <v>334</v>
      </c>
      <c r="F97" s="44" t="n">
        <f aca="false">IF(INDEX($H97:$S97,1,Scenario_Selected)="",$H97,INDEX($H97:$S97,1,Scenario_Selected))</f>
        <v>18</v>
      </c>
      <c r="H97" s="47" t="n">
        <v>18</v>
      </c>
      <c r="I97" s="47"/>
      <c r="J97" s="47"/>
      <c r="K97" s="47"/>
      <c r="L97" s="47"/>
      <c r="M97" s="47"/>
      <c r="N97" s="47"/>
      <c r="O97" s="47"/>
      <c r="P97" s="47" t="n">
        <v>10</v>
      </c>
      <c r="Q97" s="47"/>
      <c r="R97" s="47"/>
    </row>
    <row r="98" customFormat="false" ht="15" hidden="false" customHeight="false" outlineLevel="0" collapsed="false">
      <c r="B98" s="1" t="s">
        <v>335</v>
      </c>
      <c r="C98" s="12" t="s">
        <v>27</v>
      </c>
      <c r="D98" s="14" t="s">
        <v>336</v>
      </c>
      <c r="F98" s="49" t="n">
        <f aca="false">IF(INDEX($H98:$S98,1,Scenario_Selected)="",$H98,INDEX($H98:$S98,1,Scenario_Selected))</f>
        <v>0.05</v>
      </c>
      <c r="H98" s="18" t="n">
        <v>0.05</v>
      </c>
      <c r="I98" s="18"/>
      <c r="J98" s="18"/>
      <c r="K98" s="18"/>
      <c r="L98" s="18"/>
      <c r="M98" s="18"/>
      <c r="N98" s="18"/>
      <c r="O98" s="18" t="n">
        <v>0.06</v>
      </c>
      <c r="P98" s="18"/>
      <c r="Q98" s="18"/>
      <c r="R98" s="18"/>
    </row>
    <row r="99" customFormat="false" ht="15" hidden="false" customHeight="false" outlineLevel="0" collapsed="false">
      <c r="B99" s="1" t="s">
        <v>337</v>
      </c>
      <c r="C99" s="12" t="s">
        <v>27</v>
      </c>
      <c r="D99" s="14" t="s">
        <v>338</v>
      </c>
      <c r="F99" s="51" t="n">
        <f aca="false">IF(INDEX($H99:$S99,1,Scenario_Selected)="",$H99,INDEX($H99:$S99,1,Scenario_Selected))</f>
        <v>0.0175</v>
      </c>
      <c r="H99" s="52" t="n">
        <v>0.0175</v>
      </c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customFormat="false" ht="15" hidden="false" customHeight="false" outlineLevel="0" collapsed="false">
      <c r="B100" s="1" t="s">
        <v>339</v>
      </c>
      <c r="C100" s="12" t="s">
        <v>27</v>
      </c>
      <c r="D100" s="14" t="s">
        <v>340</v>
      </c>
      <c r="F100" s="51" t="n">
        <f aca="false">IF(INDEX($H100:$S100,1,Scenario_Selected)="",$H100,INDEX($H100:$S100,1,Scenario_Selected))</f>
        <v>0.009</v>
      </c>
      <c r="H100" s="52" t="n">
        <v>0.009</v>
      </c>
      <c r="I100" s="52"/>
      <c r="J100" s="52"/>
      <c r="K100" s="52"/>
      <c r="L100" s="52"/>
      <c r="M100" s="52"/>
      <c r="N100" s="52"/>
      <c r="O100" s="52"/>
      <c r="P100" s="52"/>
      <c r="Q100" s="52"/>
      <c r="R100" s="52"/>
    </row>
    <row r="101" customFormat="false" ht="15" hidden="false" customHeight="false" outlineLevel="0" collapsed="false">
      <c r="B101" s="1" t="s">
        <v>341</v>
      </c>
      <c r="C101" s="12" t="s">
        <v>187</v>
      </c>
      <c r="D101" s="14" t="s">
        <v>342</v>
      </c>
      <c r="F101" s="44" t="n">
        <f aca="false">IF(INDEX($H101:$S101,1,Scenario_Selected)="",$H101,INDEX($H101:$S101,1,Scenario_Selected))</f>
        <v>6</v>
      </c>
      <c r="H101" s="47" t="n">
        <v>6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</row>
    <row r="103" customFormat="false" ht="15" hidden="false" customHeight="false" outlineLevel="0" collapsed="false">
      <c r="A103" s="10" t="s">
        <v>13</v>
      </c>
      <c r="B103" s="10"/>
      <c r="C103" s="10" t="s">
        <v>343</v>
      </c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customFormat="false" ht="15" hidden="false" customHeight="false" outlineLevel="0" collapsed="false">
      <c r="B104" s="1" t="s">
        <v>344</v>
      </c>
      <c r="C104" s="12" t="s">
        <v>21</v>
      </c>
      <c r="D104" s="14" t="s">
        <v>345</v>
      </c>
      <c r="F104" s="4" t="s">
        <v>346</v>
      </c>
    </row>
    <row r="105" customFormat="false" ht="15" hidden="false" customHeight="false" outlineLevel="0" collapsed="false">
      <c r="B105" s="1" t="s">
        <v>347</v>
      </c>
      <c r="C105" s="12" t="s">
        <v>21</v>
      </c>
      <c r="D105" s="14" t="s">
        <v>348</v>
      </c>
      <c r="F105" s="4"/>
    </row>
    <row r="107" customFormat="false" ht="15" hidden="false" customHeight="false" outlineLevel="0" collapsed="false">
      <c r="C107" s="4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349</v>
      </c>
      <c r="D5" s="10"/>
      <c r="E5" s="10" t="s">
        <v>350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351</v>
      </c>
      <c r="F6" s="9" t="s">
        <v>352</v>
      </c>
      <c r="J6" s="9" t="s">
        <v>353</v>
      </c>
    </row>
    <row r="7" customFormat="false" ht="15" hidden="false" customHeight="false" outlineLevel="0" collapsed="false">
      <c r="C7" s="1" t="s">
        <v>354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355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356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357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358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359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360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361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362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363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364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365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366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367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368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369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370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371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372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373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374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375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376</v>
      </c>
      <c r="D5" s="12" t="s">
        <v>184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377</v>
      </c>
      <c r="D6" s="12" t="s">
        <v>378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379</v>
      </c>
      <c r="D7" s="12" t="s">
        <v>380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381</v>
      </c>
      <c r="D8" s="12" t="s">
        <v>141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383</v>
      </c>
      <c r="D12" s="12" t="s">
        <v>378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384</v>
      </c>
      <c r="D13" s="12" t="s">
        <v>378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303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385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386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387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388</v>
      </c>
      <c r="D19" s="12" t="s">
        <v>378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389</v>
      </c>
      <c r="D20" s="12" t="s">
        <v>141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390</v>
      </c>
      <c r="D21" s="12" t="s">
        <v>378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392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393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394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395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396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397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398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399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400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401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402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403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404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405</v>
      </c>
      <c r="D38" s="12" t="s">
        <v>43</v>
      </c>
      <c r="E38" s="50" t="n">
        <f aca="false">INDEX(Dash_EU_Turbine,1,$A$1)</f>
        <v>1</v>
      </c>
      <c r="F38" s="33" t="n">
        <f aca="false">$E38*Osz9a_Pts*Osz9_W</f>
        <v>12</v>
      </c>
    </row>
    <row r="39" customFormat="false" ht="15" hidden="false" customHeight="false" outlineLevel="0" collapsed="false">
      <c r="C39" s="1" t="s">
        <v>406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59.5</v>
      </c>
    </row>
    <row r="41" customFormat="false" ht="15" hidden="false" customHeight="false" outlineLevel="0" collapsed="false">
      <c r="C41" s="1" t="s">
        <v>407</v>
      </c>
      <c r="D41" s="12" t="s">
        <v>141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408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409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410</v>
      </c>
      <c r="D47" s="12" t="s">
        <v>273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411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412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413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414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415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416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417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418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419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420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421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422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423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424</v>
      </c>
      <c r="D62" s="12" t="s">
        <v>19</v>
      </c>
      <c r="E62" s="48" t="n">
        <f aca="false">IF($E38=1,In_Turbine,In_Turbine_CN)</f>
        <v>950</v>
      </c>
    </row>
    <row r="63" customFormat="false" ht="15" hidden="false" customHeight="false" outlineLevel="0" collapsed="false">
      <c r="C63" s="1" t="s">
        <v>425</v>
      </c>
      <c r="D63" s="12" t="s">
        <v>33</v>
      </c>
      <c r="E63" s="48" t="n">
        <f aca="false">IF($E38=1,In_Substation,In_Substation_CN)</f>
        <v>12000</v>
      </c>
    </row>
    <row r="64" customFormat="false" ht="15" hidden="false" customHeight="false" outlineLevel="0" collapsed="false">
      <c r="C64" s="1" t="s">
        <v>426</v>
      </c>
      <c r="D64" s="12" t="s">
        <v>33</v>
      </c>
      <c r="E64" s="48" t="n">
        <f aca="false">(($E62+In_Other_Wind)*$F24+$E63)*(1+In_Capex_Contingency)+In_BESS_Capex*$F25</f>
        <v>90363.75</v>
      </c>
      <c r="I64" s="48" t="n">
        <f aca="false">SUM(J64:EO64)</f>
        <v>-90363.75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-11388.3082191781</v>
      </c>
      <c r="S64" s="48" t="n">
        <f aca="false">-$E64*S12</f>
        <v>-11140.7363013699</v>
      </c>
      <c r="T64" s="48" t="n">
        <f aca="false">-$E64*T12</f>
        <v>-11264.522260274</v>
      </c>
      <c r="U64" s="48" t="n">
        <f aca="false">-$E64*U12</f>
        <v>-11388.3082191781</v>
      </c>
      <c r="V64" s="48" t="n">
        <f aca="false">-$E64*V12</f>
        <v>-11388.3082191781</v>
      </c>
      <c r="W64" s="48" t="n">
        <f aca="false">-$E64*W12</f>
        <v>-11140.7363013699</v>
      </c>
      <c r="X64" s="48" t="n">
        <f aca="false">-$E64*X12</f>
        <v>-11264.522260274</v>
      </c>
      <c r="Y64" s="48" t="n">
        <f aca="false">-$E64*Y12</f>
        <v>-11388.3082191781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427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428</v>
      </c>
      <c r="D66" s="12" t="s">
        <v>33</v>
      </c>
      <c r="E66" s="57" t="n">
        <f aca="false">SUMPRODUCT($J66:$EO66/$J21:$EO21)*$E21</f>
        <v>-105701.881860588</v>
      </c>
      <c r="I66" s="57" t="n">
        <f aca="false">SUM(J66:EO66)</f>
        <v>-101018.573150685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-11388.3082191781</v>
      </c>
      <c r="S66" s="57" t="n">
        <f aca="false">S64+S54+S65</f>
        <v>-19295.5594520548</v>
      </c>
      <c r="T66" s="57" t="n">
        <f aca="false">T64+T54+T65</f>
        <v>-11264.522260274</v>
      </c>
      <c r="U66" s="57" t="n">
        <f aca="false">U64+U54+U65</f>
        <v>-11388.3082191781</v>
      </c>
      <c r="V66" s="57" t="n">
        <f aca="false">V64+V54+V65</f>
        <v>-11388.3082191781</v>
      </c>
      <c r="W66" s="57" t="n">
        <f aca="false">W64+W54+W65</f>
        <v>-11140.7363013699</v>
      </c>
      <c r="X66" s="57" t="n">
        <f aca="false">X64+X54+X65</f>
        <v>-11264.522260274</v>
      </c>
      <c r="Y66" s="57" t="n">
        <f aca="false">Y64+Y54+Y65</f>
        <v>-13888.3082191781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303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429</v>
      </c>
      <c r="D69" s="12" t="s">
        <v>378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430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431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432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433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434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435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436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319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437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438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439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-19.2968578344355</v>
      </c>
      <c r="AA82" s="58" t="n">
        <v>-19.3489005053072</v>
      </c>
      <c r="AB82" s="58" t="n">
        <v>-20.6219184738636</v>
      </c>
      <c r="AC82" s="58" t="n">
        <v>-21.9127271622197</v>
      </c>
      <c r="AD82" s="58" t="n">
        <v>-21.7706281412459</v>
      </c>
      <c r="AE82" s="58" t="n">
        <v>-22.6477645622832</v>
      </c>
      <c r="AF82" s="58" t="n">
        <v>-23.1442033805169</v>
      </c>
      <c r="AG82" s="58" t="n">
        <v>-24.4681305819427</v>
      </c>
      <c r="AH82" s="58" t="n">
        <v>-24.3493119970993</v>
      </c>
      <c r="AI82" s="58" t="n">
        <v>-24.4096316191219</v>
      </c>
      <c r="AJ82" s="58" t="n">
        <v>-28.2357404367032</v>
      </c>
      <c r="AK82" s="58" t="n">
        <v>-29.6360961007296</v>
      </c>
      <c r="AL82" s="58" t="n">
        <v>-59.1140983505224</v>
      </c>
      <c r="AM82" s="58" t="n">
        <v>-59.1388082778085</v>
      </c>
      <c r="AN82" s="58" t="n">
        <v>-61.943385854684</v>
      </c>
      <c r="AO82" s="58" t="n">
        <v>-64.7847322918428</v>
      </c>
      <c r="AP82" s="58" t="n">
        <v>-64.6465054965982</v>
      </c>
      <c r="AQ82" s="58" t="n">
        <v>-64.681957411819</v>
      </c>
      <c r="AR82" s="58" t="n">
        <v>-67.5556406381445</v>
      </c>
      <c r="AS82" s="58" t="n">
        <v>-70.4668212408551</v>
      </c>
      <c r="AT82" s="58" t="n">
        <v>-70.3796976290556</v>
      </c>
      <c r="AU82" s="58" t="n">
        <v>-72.1716686278229</v>
      </c>
      <c r="AV82" s="58" t="n">
        <v>-73.3973490987692</v>
      </c>
      <c r="AW82" s="58" t="n">
        <v>-76.3808408205373</v>
      </c>
      <c r="AX82" s="58" t="n">
        <v>-76.347663998586</v>
      </c>
      <c r="AY82" s="58" t="n">
        <v>-76.4112405201852</v>
      </c>
      <c r="AZ82" s="58" t="n">
        <v>-79.4300307696134</v>
      </c>
      <c r="BA82" s="58" t="n">
        <v>-82.4878613791021</v>
      </c>
      <c r="BB82" s="58" t="n">
        <v>-82.5110342004019</v>
      </c>
      <c r="BC82" s="58" t="n">
        <v>-82.5919342870516</v>
      </c>
      <c r="BD82" s="58" t="n">
        <v>-85.6866509612937</v>
      </c>
      <c r="BE82" s="58" t="n">
        <v>-88.821221757382</v>
      </c>
      <c r="BF82" s="58" t="n">
        <v>-88.9035388802499</v>
      </c>
      <c r="BG82" s="58" t="n">
        <v>-89.0041761414065</v>
      </c>
      <c r="BH82" s="58" t="n">
        <v>-92.1772994820838</v>
      </c>
      <c r="BI82" s="58" t="n">
        <v>-95.3911216626357</v>
      </c>
      <c r="BJ82" s="58" t="n">
        <v>-95.5355032591336</v>
      </c>
      <c r="BK82" s="58" t="n">
        <v>-97.4420956457996</v>
      </c>
      <c r="BL82" s="58" t="n">
        <v>-98.9371760614041</v>
      </c>
      <c r="BM82" s="58" t="n">
        <v>-102.233159758534</v>
      </c>
      <c r="BN82" s="58" t="n">
        <v>-102.442944264505</v>
      </c>
      <c r="BO82" s="58" t="n">
        <v>-102.591075101054</v>
      </c>
      <c r="BP82" s="58" t="n">
        <v>-105.929206629622</v>
      </c>
      <c r="BQ82" s="58" t="n">
        <v>-109.309828326915</v>
      </c>
      <c r="BR82" s="58" t="n">
        <v>-109.587930665394</v>
      </c>
      <c r="BS82" s="58" t="n">
        <v>-109.763799493562</v>
      </c>
      <c r="BT82" s="58" t="n">
        <v>-113.188496634661</v>
      </c>
      <c r="BU82" s="58" t="n">
        <v>-116.65663031655</v>
      </c>
      <c r="BV82" s="58" t="n">
        <v>-117.006383025163</v>
      </c>
      <c r="BW82" s="58" t="n">
        <v>-117.212921323379</v>
      </c>
      <c r="BX82" s="58" t="n">
        <v>-120.727153562869</v>
      </c>
      <c r="BY82" s="58" t="n">
        <v>-124.285805656067</v>
      </c>
      <c r="BZ82" s="58" t="n">
        <v>-124.710691191048</v>
      </c>
      <c r="CA82" s="58" t="n">
        <v>-126.767754992813</v>
      </c>
      <c r="CB82" s="58" t="n">
        <v>-128.582673536307</v>
      </c>
      <c r="CC82" s="58" t="n">
        <v>-132.235275137828</v>
      </c>
      <c r="CD82" s="58" t="n">
        <v>-132.739221893491</v>
      </c>
      <c r="CE82" s="58" t="n">
        <v>-133.016771909923</v>
      </c>
      <c r="CF82" s="58" t="n">
        <v>-136.719833581338</v>
      </c>
      <c r="CG82" s="58" t="n">
        <v>-140.469402729271</v>
      </c>
      <c r="CH82" s="58" t="n">
        <v>-141.055938096597</v>
      </c>
      <c r="CI82" s="58" t="n">
        <v>-141.373861630842</v>
      </c>
      <c r="CJ82" s="58" t="n">
        <v>-145.176229681105</v>
      </c>
      <c r="CK82" s="58" t="n">
        <v>-149.02620985052</v>
      </c>
      <c r="CL82" s="58" t="n">
        <v>-149.699308817583</v>
      </c>
      <c r="CM82" s="58" t="n">
        <v>-150.061158826321</v>
      </c>
      <c r="CN82" s="58" t="n">
        <v>-153.966392192967</v>
      </c>
      <c r="CO82" s="58" t="n">
        <v>-157.920386439386</v>
      </c>
      <c r="CP82" s="58" t="n">
        <v>-158.684203131143</v>
      </c>
      <c r="CQ82" s="58" t="n">
        <v>-160.935697289852</v>
      </c>
      <c r="CR82" s="58" t="n">
        <v>-163.130493908309</v>
      </c>
      <c r="CS82" s="58" t="n">
        <v>-167.192559999749</v>
      </c>
      <c r="CT82" s="58" t="n">
        <v>-168.051726678946</v>
      </c>
      <c r="CU82" s="58" t="n">
        <v>-166.224183016148</v>
      </c>
      <c r="CV82" s="58" t="n">
        <v>-168.071118382994</v>
      </c>
      <c r="CW82" s="58" t="n">
        <v>-169.91805374984</v>
      </c>
      <c r="CX82" s="58" t="n">
        <v>-168.498164540174</v>
      </c>
      <c r="CY82" s="58" t="n">
        <v>-166.617041396964</v>
      </c>
      <c r="CZ82" s="58" t="n">
        <v>-168.46834185693</v>
      </c>
      <c r="DA82" s="58" t="n">
        <v>-170.319642316896</v>
      </c>
      <c r="DB82" s="58" t="n">
        <v>-375.486699874706</v>
      </c>
      <c r="DC82" s="58" t="n">
        <v>-369.060276869219</v>
      </c>
      <c r="DD82" s="58" t="n">
        <v>-373.160946612211</v>
      </c>
      <c r="DE82" s="58" t="n">
        <v>-377.261616355202</v>
      </c>
      <c r="DF82" s="58" t="n">
        <v>-375.824783779586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-376.328687856251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-373.952073960705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-378.105320721435</v>
      </c>
      <c r="DZ82" s="58" t="n">
        <v>-376.625871256129</v>
      </c>
      <c r="EA82" s="58" t="n">
        <v>-369.863624794353</v>
      </c>
      <c r="EB82" s="58" t="n">
        <v>-373.973220625401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-377.991855047369</v>
      </c>
      <c r="EH82" s="58" t="n">
        <v>-376.495273595488</v>
      </c>
      <c r="EI82" s="58" t="n">
        <v>-369.616610884433</v>
      </c>
      <c r="EJ82" s="58" t="n">
        <v>-373.723462116482</v>
      </c>
      <c r="EK82" s="58" t="n">
        <v>-377.830313348532</v>
      </c>
      <c r="EL82" s="58" t="n">
        <v>-376.325151374578</v>
      </c>
      <c r="EM82" s="58" t="n">
        <v>-373.491708815651</v>
      </c>
      <c r="EN82" s="58" t="n">
        <v>-373.491708815651</v>
      </c>
      <c r="EO82" s="58" t="n">
        <v>-377.596013308131</v>
      </c>
    </row>
    <row r="83" customFormat="false" ht="15" hidden="false" customHeight="false" outlineLevel="0" collapsed="false">
      <c r="C83" s="1" t="s">
        <v>440</v>
      </c>
      <c r="D83" s="12" t="s">
        <v>33</v>
      </c>
      <c r="I83" s="48" t="n">
        <f aca="false">SUM(J83:EO83)</f>
        <v>272307.467029496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2341.99775277371</v>
      </c>
      <c r="AA83" s="48" t="n">
        <f aca="false">(AA79+AA55+AA82)*(AA$4&gt;In_COD)</f>
        <v>2306.4414171798</v>
      </c>
      <c r="AB83" s="48" t="n">
        <f aca="false">(AB79+AB55+AB82)*(AB$4&gt;In_COD)</f>
        <v>2331.01051385219</v>
      </c>
      <c r="AC83" s="48" t="n">
        <f aca="false">(AC79+AC55+AC82)*(AC$4&gt;In_COD)</f>
        <v>2355.56181980477</v>
      </c>
      <c r="AD83" s="48" t="n">
        <f aca="false">(AD79+AD55+AD82)*(AD$4&gt;In_COD)</f>
        <v>2347.22985725559</v>
      </c>
      <c r="AE83" s="48" t="n">
        <f aca="false">(AE79+AE55+AE82)*(AE$4&gt;In_COD)</f>
        <v>2336.47011679521</v>
      </c>
      <c r="AF83" s="48" t="n">
        <f aca="false">(AF79+AF55+AF82)*(AF$4&gt;In_COD)</f>
        <v>2335.97367797698</v>
      </c>
      <c r="AG83" s="48" t="n">
        <f aca="false">(AG79+AG55+AG82)*(AG$4&gt;In_COD)</f>
        <v>2360.57412309816</v>
      </c>
      <c r="AH83" s="48" t="n">
        <f aca="false">(AH79+AH55+AH82)*(AH$4&gt;In_COD)</f>
        <v>2352.16515003209</v>
      </c>
      <c r="AI83" s="48" t="n">
        <f aca="false">(AI79+AI55+AI82)*(AI$4&gt;In_COD)</f>
        <v>2315.99247065562</v>
      </c>
      <c r="AJ83" s="48" t="n">
        <f aca="false">(AJ79+AJ55+AJ82)*(AJ$4&gt;In_COD)</f>
        <v>2371.32631847577</v>
      </c>
      <c r="AK83" s="48" t="n">
        <f aca="false">(AK79+AK55+AK82)*(AK$4&gt;In_COD)</f>
        <v>2396.29477664595</v>
      </c>
      <c r="AL83" s="48" t="n">
        <f aca="false">(AL79+AL55+AL82)*(AL$4&gt;In_COD)</f>
        <v>2358.23507375801</v>
      </c>
      <c r="AM83" s="48" t="n">
        <f aca="false">(AM79+AM55+AM82)*(AM$4&gt;In_COD)</f>
        <v>2321.06119367824</v>
      </c>
      <c r="AN83" s="48" t="n">
        <f aca="false">(AN79+AN55+AN82)*(AN$4&gt;In_COD)</f>
        <v>2344.70328278976</v>
      </c>
      <c r="AO83" s="48" t="n">
        <f aca="false">(AO79+AO55+AO82)*(AO$4&gt;In_COD)</f>
        <v>2368.308603041</v>
      </c>
      <c r="AP83" s="48" t="n">
        <f aca="false">(AP79+AP55+AP82)*(AP$4&gt;In_COD)</f>
        <v>2359.81104410985</v>
      </c>
      <c r="AQ83" s="48" t="n">
        <f aca="false">(AQ79+AQ55+AQ82)*(AQ$4&gt;In_COD)</f>
        <v>2322.31553314222</v>
      </c>
      <c r="AR83" s="48" t="n">
        <f aca="false">(AR79+AR55+AR82)*(AR$4&gt;In_COD)</f>
        <v>2345.96404425538</v>
      </c>
      <c r="AS83" s="48" t="n">
        <f aca="false">(AS79+AS55+AS82)*(AS$4&gt;In_COD)</f>
        <v>2369.57505799216</v>
      </c>
      <c r="AT83" s="48" t="n">
        <f aca="false">(AT79+AT55+AT82)*(AT$4&gt;In_COD)</f>
        <v>2360.97213760285</v>
      </c>
      <c r="AU83" s="48" t="n">
        <f aca="false">(AU79+AU55+AU82)*(AU$4&gt;In_COD)</f>
        <v>2348.00172382642</v>
      </c>
      <c r="AV83" s="48" t="n">
        <f aca="false">(AV79+AV55+AV82)*(AV$4&gt;In_COD)</f>
        <v>2346.77604335547</v>
      </c>
      <c r="AW83" s="48" t="n">
        <f aca="false">(AW79+AW55+AW82)*(AW$4&gt;In_COD)</f>
        <v>2370.3878636387</v>
      </c>
      <c r="AX83" s="48" t="n">
        <f aca="false">(AX79+AX55+AX82)*(AX$4&gt;In_COD)</f>
        <v>2361.67656802477</v>
      </c>
      <c r="AY83" s="48" t="n">
        <f aca="false">(AY79+AY55+AY82)*(AY$4&gt;In_COD)</f>
        <v>2323.52269723449</v>
      </c>
      <c r="AZ83" s="48" t="n">
        <f aca="false">(AZ79+AZ55+AZ82)*(AZ$4&gt;In_COD)</f>
        <v>2347.16983962678</v>
      </c>
      <c r="BA83" s="48" t="n">
        <f aca="false">(BA79+BA55+BA82)*(BA$4&gt;In_COD)</f>
        <v>2370.77794165901</v>
      </c>
      <c r="BB83" s="48" t="n">
        <f aca="false">(BB79+BB55+BB82)*(BB$4&gt;In_COD)</f>
        <v>2361.95570094804</v>
      </c>
      <c r="BC83" s="48" t="n">
        <f aca="false">(BC79+BC55+BC82)*(BC$4&gt;In_COD)</f>
        <v>2323.46508575156</v>
      </c>
      <c r="BD83" s="48" t="n">
        <f aca="false">(BD79+BD55+BD82)*(BD$4&gt;In_COD)</f>
        <v>2347.10433596663</v>
      </c>
      <c r="BE83" s="48" t="n">
        <f aca="false">(BE79+BE55+BE82)*(BE$4&gt;In_COD)</f>
        <v>2370.70373205986</v>
      </c>
      <c r="BF83" s="48" t="n">
        <f aca="false">(BF79+BF55+BF82)*(BF$4&gt;In_COD)</f>
        <v>2361.76758783297</v>
      </c>
      <c r="BG83" s="48" t="n">
        <f aca="false">(BG79+BG55+BG82)*(BG$4&gt;In_COD)</f>
        <v>2322.93489497762</v>
      </c>
      <c r="BH83" s="48" t="n">
        <f aca="false">(BH79+BH55+BH82)*(BH$4&gt;In_COD)</f>
        <v>2346.56109464938</v>
      </c>
      <c r="BI83" s="48" t="n">
        <f aca="false">(BI79+BI55+BI82)*(BI$4&gt;In_COD)</f>
        <v>2370.14659548126</v>
      </c>
      <c r="BJ83" s="48" t="n">
        <f aca="false">(BJ79+BJ55+BJ82)*(BJ$4&gt;In_COD)</f>
        <v>2361.09346718469</v>
      </c>
      <c r="BK83" s="48" t="n">
        <f aca="false">(BK79+BK55+BK82)*(BK$4&gt;In_COD)</f>
        <v>2346.99142692567</v>
      </c>
      <c r="BL83" s="48" t="n">
        <f aca="false">(BL79+BL55+BL82)*(BL$4&gt;In_COD)</f>
        <v>2345.49634651007</v>
      </c>
      <c r="BM83" s="48" t="n">
        <f aca="false">(BM79+BM55+BM82)*(BM$4&gt;In_COD)</f>
        <v>2369.06226965438</v>
      </c>
      <c r="BN83" s="48" t="n">
        <f aca="false">(BN79+BN55+BN82)*(BN$4&gt;In_COD)</f>
        <v>2359.88866197282</v>
      </c>
      <c r="BO83" s="48" t="n">
        <f aca="false">(BO79+BO55+BO82)*(BO$4&gt;In_COD)</f>
        <v>2320.35487895604</v>
      </c>
      <c r="BP83" s="48" t="n">
        <f aca="false">(BP79+BP55+BP82)*(BP$4&gt;In_COD)</f>
        <v>2343.93836913922</v>
      </c>
      <c r="BQ83" s="48" t="n">
        <f aca="false">(BQ79+BQ55+BQ82)*(BQ$4&gt;In_COD)</f>
        <v>2367.47936915367</v>
      </c>
      <c r="BR83" s="48" t="n">
        <f aca="false">(BR79+BR55+BR82)*(BR$4&gt;In_COD)</f>
        <v>2358.18221391321</v>
      </c>
      <c r="BS83" s="48" t="n">
        <f aca="false">(BS79+BS55+BS82)*(BS$4&gt;In_COD)</f>
        <v>2318.2893566445</v>
      </c>
      <c r="BT83" s="48" t="n">
        <f aca="false">(BT79+BT55+BT82)*(BT$4&gt;In_COD)</f>
        <v>2341.84302790493</v>
      </c>
      <c r="BU83" s="48" t="n">
        <f aca="false">(BU79+BU55+BU82)*(BU$4&gt;In_COD)</f>
        <v>2365.35326262458</v>
      </c>
      <c r="BV83" s="48" t="n">
        <f aca="false">(BV79+BV55+BV82)*(BV$4&gt;In_COD)</f>
        <v>2355.92907779486</v>
      </c>
      <c r="BW83" s="48" t="n">
        <f aca="false">(BW79+BW55+BW82)*(BW$4&gt;In_COD)</f>
        <v>2315.671134803</v>
      </c>
      <c r="BX83" s="48" t="n">
        <f aca="false">(BX79+BX55+BX82)*(BX$4&gt;In_COD)</f>
        <v>2339.18894763158</v>
      </c>
      <c r="BY83" s="48" t="n">
        <f aca="false">(BY79+BY55+BY82)*(BY$4&gt;In_COD)</f>
        <v>2362.66234060645</v>
      </c>
      <c r="BZ83" s="48" t="n">
        <f aca="false">(BZ79+BZ55+BZ82)*(BZ$4&gt;In_COD)</f>
        <v>2353.10749812935</v>
      </c>
      <c r="CA83" s="48" t="n">
        <f aca="false">(CA79+CA55+CA82)*(CA$4&gt;In_COD)</f>
        <v>2337.74403860303</v>
      </c>
      <c r="CB83" s="48" t="n">
        <f aca="false">(CB79+CB55+CB82)*(CB$4&gt;In_COD)</f>
        <v>2335.92912005953</v>
      </c>
      <c r="CC83" s="48" t="n">
        <f aca="false">(CC79+CC55+CC82)*(CC$4&gt;In_COD)</f>
        <v>2359.35906564038</v>
      </c>
      <c r="CD83" s="48" t="n">
        <f aca="false">(CD79+CD55+CD82)*(CD$4&gt;In_COD)</f>
        <v>2349.66949554647</v>
      </c>
      <c r="CE83" s="48" t="n">
        <f aca="false">(CE79+CE55+CE82)*(CE$4&gt;In_COD)</f>
        <v>2308.66229969657</v>
      </c>
      <c r="CF83" s="48" t="n">
        <f aca="false">(CF79+CF55+CF82)*(CF$4&gt;In_COD)</f>
        <v>2332.08900548745</v>
      </c>
      <c r="CG83" s="48" t="n">
        <f aca="false">(CG79+CG55+CG82)*(CG$4&gt;In_COD)</f>
        <v>2355.46920380181</v>
      </c>
      <c r="CH83" s="48" t="n">
        <f aca="false">(CH79+CH55+CH82)*(CH$4&gt;In_COD)</f>
        <v>2345.64124129108</v>
      </c>
      <c r="CI83" s="48" t="n">
        <f aca="false">(CI79+CI55+CI82)*(CI$4&gt;In_COD)</f>
        <v>2304.24976072737</v>
      </c>
      <c r="CJ83" s="48" t="n">
        <f aca="false">(CJ79+CJ55+CJ82)*(CJ$4&gt;In_COD)</f>
        <v>2327.62098848109</v>
      </c>
      <c r="CK83" s="48" t="n">
        <f aca="false">(CK79+CK55+CK82)*(CK$4&gt;In_COD)</f>
        <v>2350.94460411565</v>
      </c>
      <c r="CL83" s="48" t="n">
        <f aca="false">(CL79+CL55+CL82)*(CL$4&gt;In_COD)</f>
        <v>2340.97414109978</v>
      </c>
      <c r="CM83" s="48" t="n">
        <f aca="false">(CM79+CM55+CM82)*(CM$4&gt;In_COD)</f>
        <v>2299.1915702188</v>
      </c>
      <c r="CN83" s="48" t="n">
        <f aca="false">(CN79+CN55+CN82)*(CN$4&gt;In_COD)</f>
        <v>2322.50025606377</v>
      </c>
      <c r="CO83" s="48" t="n">
        <f aca="false">(CO79+CO55+CO82)*(CO$4&gt;In_COD)</f>
        <v>2345.76018102896</v>
      </c>
      <c r="CP83" s="48" t="n">
        <f aca="false">(CP79+CP55+CP82)*(CP$4&gt;In_COD)</f>
        <v>2335.64293473771</v>
      </c>
      <c r="CQ83" s="48" t="n">
        <f aca="false">(CQ79+CQ55+CQ82)*(CQ$4&gt;In_COD)</f>
        <v>2318.87087972587</v>
      </c>
      <c r="CR83" s="48" t="n">
        <f aca="false">(CR79+CR55+CR82)*(CR$4&gt;In_COD)</f>
        <v>2316.67608310741</v>
      </c>
      <c r="CS83" s="48" t="n">
        <f aca="false">(CS79+CS55+CS82)*(CS$4&gt;In_COD)</f>
        <v>2339.86463874142</v>
      </c>
      <c r="CT83" s="48" t="n">
        <f aca="false">(CT79+CT55+CT82)*(CT$4&gt;In_COD)</f>
        <v>2329.59585287149</v>
      </c>
      <c r="CU83" s="48" t="n">
        <f aca="false">(CU79+CU55+CU82)*(CU$4&gt;In_COD)</f>
        <v>2289.29840831076</v>
      </c>
      <c r="CV83" s="48" t="n">
        <f aca="false">(CV79+CV55+CV82)*(CV$4&gt;In_COD)</f>
        <v>2314.73505729199</v>
      </c>
      <c r="CW83" s="48" t="n">
        <f aca="false">(CW79+CW55+CW82)*(CW$4&gt;In_COD)</f>
        <v>2340.17170627322</v>
      </c>
      <c r="CX83" s="48" t="n">
        <f aca="false">(CX79+CX55+CX82)*(CX$4&gt;In_COD)</f>
        <v>2332.12566741845</v>
      </c>
      <c r="CY83" s="48" t="n">
        <f aca="false">(CY79+CY55+CY82)*(CY$4&gt;In_COD)</f>
        <v>2291.52460580205</v>
      </c>
      <c r="CZ83" s="48" t="n">
        <f aca="false">(CZ79+CZ55+CZ82)*(CZ$4&gt;In_COD)</f>
        <v>2316.98599031096</v>
      </c>
      <c r="DA83" s="48" t="n">
        <f aca="false">(DA79+DA55+DA82)*(DA$4&gt;In_COD)</f>
        <v>2342.44737481988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441</v>
      </c>
      <c r="D84" s="12" t="s">
        <v>33</v>
      </c>
      <c r="E84" s="48" t="n">
        <f aca="false">SUMPRODUCT($J84:$EO84/$J21:$EO21)*$E21</f>
        <v>92452.5034441622</v>
      </c>
      <c r="I84" s="48" t="n">
        <f aca="false">SUM(J84:EO84)</f>
        <v>140688.605689726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1951.66479397809</v>
      </c>
      <c r="AA84" s="48" t="n">
        <f aca="false">AA83/In_DSCR*AA17</f>
        <v>1922.0345143165</v>
      </c>
      <c r="AB84" s="48" t="n">
        <f aca="false">AB83/In_DSCR*AB17</f>
        <v>1942.50876154349</v>
      </c>
      <c r="AC84" s="48" t="n">
        <f aca="false">AC83/In_DSCR*AC17</f>
        <v>1962.96818317065</v>
      </c>
      <c r="AD84" s="48" t="n">
        <f aca="false">AD83/In_DSCR*AD17</f>
        <v>1956.02488104633</v>
      </c>
      <c r="AE84" s="48" t="n">
        <f aca="false">AE83/In_DSCR*AE17</f>
        <v>1947.05843066267</v>
      </c>
      <c r="AF84" s="48" t="n">
        <f aca="false">AF83/In_DSCR*AF17</f>
        <v>1946.64473164748</v>
      </c>
      <c r="AG84" s="48" t="n">
        <f aca="false">AG83/In_DSCR*AG17</f>
        <v>1967.1451025818</v>
      </c>
      <c r="AH84" s="48" t="n">
        <f aca="false">AH83/In_DSCR*AH17</f>
        <v>1960.13762502674</v>
      </c>
      <c r="AI84" s="48" t="n">
        <f aca="false">AI83/In_DSCR*AI17</f>
        <v>1929.99372554635</v>
      </c>
      <c r="AJ84" s="48" t="n">
        <f aca="false">AJ83/In_DSCR*AJ17</f>
        <v>1976.10526539647</v>
      </c>
      <c r="AK84" s="48" t="n">
        <f aca="false">AK83/In_DSCR*AK17</f>
        <v>1996.91231387162</v>
      </c>
      <c r="AL84" s="48" t="n">
        <f aca="false">AL83/In_DSCR*AL17</f>
        <v>1965.19589479834</v>
      </c>
      <c r="AM84" s="48" t="n">
        <f aca="false">AM83/In_DSCR*AM17</f>
        <v>1934.21766139853</v>
      </c>
      <c r="AN84" s="48" t="n">
        <f aca="false">AN83/In_DSCR*AN17</f>
        <v>1953.9194023248</v>
      </c>
      <c r="AO84" s="48" t="n">
        <f aca="false">AO83/In_DSCR*AO17</f>
        <v>1973.59050253417</v>
      </c>
      <c r="AP84" s="48" t="n">
        <f aca="false">AP83/In_DSCR*AP17</f>
        <v>1966.50920342487</v>
      </c>
      <c r="AQ84" s="48" t="n">
        <f aca="false">AQ83/In_DSCR*AQ17</f>
        <v>1935.26294428518</v>
      </c>
      <c r="AR84" s="48" t="n">
        <f aca="false">AR83/In_DSCR*AR17</f>
        <v>1954.97003687948</v>
      </c>
      <c r="AS84" s="48" t="n">
        <f aca="false">AS83/In_DSCR*AS17</f>
        <v>1974.64588166013</v>
      </c>
      <c r="AT84" s="48" t="n">
        <f aca="false">AT83/In_DSCR*AT17</f>
        <v>1967.47678133571</v>
      </c>
      <c r="AU84" s="48" t="n">
        <f aca="false">AU83/In_DSCR*AU17</f>
        <v>1956.66810318868</v>
      </c>
      <c r="AV84" s="48" t="n">
        <f aca="false">AV83/In_DSCR*AV17</f>
        <v>1955.64670279623</v>
      </c>
      <c r="AW84" s="48" t="n">
        <f aca="false">AW83/In_DSCR*AW17</f>
        <v>1975.32321969891</v>
      </c>
      <c r="AX84" s="48" t="n">
        <f aca="false">AX83/In_DSCR*AX17</f>
        <v>1968.06380668731</v>
      </c>
      <c r="AY84" s="48" t="n">
        <f aca="false">AY83/In_DSCR*AY17</f>
        <v>1936.26891436208</v>
      </c>
      <c r="AZ84" s="48" t="n">
        <f aca="false">AZ83/In_DSCR*AZ17</f>
        <v>1955.97486635565</v>
      </c>
      <c r="BA84" s="48" t="n">
        <f aca="false">BA83/In_DSCR*BA17</f>
        <v>1975.64828471584</v>
      </c>
      <c r="BB84" s="48" t="n">
        <f aca="false">BB83/In_DSCR*BB17</f>
        <v>1968.2964174567</v>
      </c>
      <c r="BC84" s="48" t="n">
        <f aca="false">BC83/In_DSCR*BC17</f>
        <v>1936.22090479296</v>
      </c>
      <c r="BD84" s="48" t="n">
        <f aca="false">BD83/In_DSCR*BD17</f>
        <v>1955.92027997219</v>
      </c>
      <c r="BE84" s="48" t="n">
        <f aca="false">BE83/In_DSCR*BE17</f>
        <v>1975.58644338322</v>
      </c>
      <c r="BF84" s="48" t="n">
        <f aca="false">BF83/In_DSCR*BF17</f>
        <v>1968.13965652747</v>
      </c>
      <c r="BG84" s="48" t="n">
        <f aca="false">BG83/In_DSCR*BG17</f>
        <v>1935.77907914802</v>
      </c>
      <c r="BH84" s="48" t="n">
        <f aca="false">BH83/In_DSCR*BH17</f>
        <v>1955.46757887448</v>
      </c>
      <c r="BI84" s="48" t="n">
        <f aca="false">BI83/In_DSCR*BI17</f>
        <v>1975.12216290105</v>
      </c>
      <c r="BJ84" s="48" t="n">
        <f aca="false">BJ83/In_DSCR*BJ17</f>
        <v>1967.57788932057</v>
      </c>
      <c r="BK84" s="48" t="n">
        <f aca="false">BK83/In_DSCR*BK17</f>
        <v>1955.82618910473</v>
      </c>
      <c r="BL84" s="48" t="n">
        <f aca="false">BL83/In_DSCR*BL17</f>
        <v>1954.58028875839</v>
      </c>
      <c r="BM84" s="48" t="n">
        <f aca="false">BM83/In_DSCR*BM17</f>
        <v>1974.21855804532</v>
      </c>
      <c r="BN84" s="48" t="n">
        <f aca="false">BN83/In_DSCR*BN17</f>
        <v>1966.57388497735</v>
      </c>
      <c r="BO84" s="48" t="n">
        <f aca="false">BO83/In_DSCR*BO17</f>
        <v>1933.6290657967</v>
      </c>
      <c r="BP84" s="48" t="n">
        <f aca="false">BP83/In_DSCR*BP17</f>
        <v>1953.28197428268</v>
      </c>
      <c r="BQ84" s="48" t="n">
        <f aca="false">BQ83/In_DSCR*BQ17</f>
        <v>1972.89947429473</v>
      </c>
      <c r="BR84" s="48" t="n">
        <f aca="false">BR83/In_DSCR*BR17</f>
        <v>1965.15184492768</v>
      </c>
      <c r="BS84" s="48" t="n">
        <f aca="false">BS83/In_DSCR*BS17</f>
        <v>1931.90779720375</v>
      </c>
      <c r="BT84" s="48" t="n">
        <f aca="false">BT83/In_DSCR*BT17</f>
        <v>1951.53585658744</v>
      </c>
      <c r="BU84" s="48" t="n">
        <f aca="false">BU83/In_DSCR*BU17</f>
        <v>1971.12771885382</v>
      </c>
      <c r="BV84" s="48" t="n">
        <f aca="false">BV83/In_DSCR*BV17</f>
        <v>1963.27423149572</v>
      </c>
      <c r="BW84" s="48" t="n">
        <f aca="false">BW83/In_DSCR*BW17</f>
        <v>1929.72594566917</v>
      </c>
      <c r="BX84" s="48" t="n">
        <f aca="false">BX83/In_DSCR*BX17</f>
        <v>1949.32412302632</v>
      </c>
      <c r="BY84" s="48" t="n">
        <f aca="false">BY83/In_DSCR*BY17</f>
        <v>1968.88528383871</v>
      </c>
      <c r="BZ84" s="48" t="n">
        <f aca="false">BZ83/In_DSCR*BZ17</f>
        <v>1960.92291510779</v>
      </c>
      <c r="CA84" s="48" t="n">
        <f aca="false">CA83/In_DSCR*CA17</f>
        <v>1948.12003216919</v>
      </c>
      <c r="CB84" s="48" t="n">
        <f aca="false">CB83/In_DSCR*CB17</f>
        <v>1946.60760004961</v>
      </c>
      <c r="CC84" s="48" t="n">
        <f aca="false">CC83/In_DSCR*CC17</f>
        <v>1966.13255470032</v>
      </c>
      <c r="CD84" s="48" t="n">
        <f aca="false">CD83/In_DSCR*CD17</f>
        <v>1958.05791295539</v>
      </c>
      <c r="CE84" s="48" t="n">
        <f aca="false">CE83/In_DSCR*CE17</f>
        <v>1923.88524974714</v>
      </c>
      <c r="CF84" s="48" t="n">
        <f aca="false">CF83/In_DSCR*CF17</f>
        <v>1943.40750457288</v>
      </c>
      <c r="CG84" s="48" t="n">
        <f aca="false">CG83/In_DSCR*CG17</f>
        <v>1962.89100316818</v>
      </c>
      <c r="CH84" s="48" t="n">
        <f aca="false">CH83/In_DSCR*CH17</f>
        <v>1954.70103440923</v>
      </c>
      <c r="CI84" s="48" t="n">
        <f aca="false">CI83/In_DSCR*CI17</f>
        <v>1920.20813393948</v>
      </c>
      <c r="CJ84" s="48" t="n">
        <f aca="false">CJ83/In_DSCR*CJ17</f>
        <v>1939.68415706757</v>
      </c>
      <c r="CK84" s="48" t="n">
        <f aca="false">CK83/In_DSCR*CK17</f>
        <v>1959.12050342971</v>
      </c>
      <c r="CL84" s="48" t="n">
        <f aca="false">CL83/In_DSCR*CL17</f>
        <v>1950.81178424982</v>
      </c>
      <c r="CM84" s="48" t="n">
        <f aca="false">CM83/In_DSCR*CM17</f>
        <v>1915.99297518233</v>
      </c>
      <c r="CN84" s="48" t="n">
        <f aca="false">CN83/In_DSCR*CN17</f>
        <v>1935.41688005314</v>
      </c>
      <c r="CO84" s="48" t="n">
        <f aca="false">CO83/In_DSCR*CO17</f>
        <v>1954.80015085747</v>
      </c>
      <c r="CP84" s="48" t="n">
        <f aca="false">CP83/In_DSCR*CP17</f>
        <v>1946.36911228143</v>
      </c>
      <c r="CQ84" s="48" t="n">
        <f aca="false">CQ83/In_DSCR*CQ17</f>
        <v>1932.39239977156</v>
      </c>
      <c r="CR84" s="48" t="n">
        <f aca="false">CR83/In_DSCR*CR17</f>
        <v>1930.56340258951</v>
      </c>
      <c r="CS84" s="48" t="n">
        <f aca="false">CS83/In_DSCR*CS17</f>
        <v>1949.88719895118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442</v>
      </c>
      <c r="D85" s="12" t="s">
        <v>27</v>
      </c>
      <c r="E85" s="34" t="n">
        <f aca="false">MIN(In_Gearing,$E84/-$E66)</f>
        <v>0.55</v>
      </c>
      <c r="F85" s="34" t="n">
        <f aca="false">$E85*-$E66/$E84</f>
        <v>0.628820560369525</v>
      </c>
    </row>
    <row r="87" customFormat="false" ht="15" hidden="false" customHeight="false" outlineLevel="0" collapsed="false">
      <c r="A87" s="10" t="s">
        <v>13</v>
      </c>
      <c r="B87" s="10"/>
      <c r="C87" s="10" t="s">
        <v>329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443</v>
      </c>
      <c r="D88" s="12" t="s">
        <v>33</v>
      </c>
      <c r="I88" s="48" t="n">
        <f aca="false">SUM(J88:EO88)</f>
        <v>-30331.8528440977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-726.700437791545</v>
      </c>
      <c r="AA88" s="48" t="n">
        <f aca="false">-Z94*$F21*(AA$4&gt;In_COD)</f>
        <v>-720.443606396404</v>
      </c>
      <c r="AB88" s="48" t="n">
        <f aca="false">-AA94*$F21*(AB$4&gt;In_COD)</f>
        <v>-714.341466222084</v>
      </c>
      <c r="AC88" s="48" t="n">
        <f aca="false">-AB94*$F21*(AC$4&gt;In_COD)</f>
        <v>-708.002116450403</v>
      </c>
      <c r="AD88" s="48" t="n">
        <f aca="false">-AC94*$F21*(AD$4&gt;In_COD)</f>
        <v>-701.422708494422</v>
      </c>
      <c r="AE88" s="48" t="n">
        <f aca="false">-AD94*$F21*(AE$4&gt;In_COD)</f>
        <v>-694.815634078149</v>
      </c>
      <c r="AF88" s="48" t="n">
        <f aca="false">-AE94*$F21*(AF$4&gt;In_COD)</f>
        <v>-688.196449836107</v>
      </c>
      <c r="AG88" s="48" t="n">
        <f aca="false">-AF94*$F21*(AG$4&gt;In_COD)</f>
        <v>-681.497777571621</v>
      </c>
      <c r="AH88" s="48" t="n">
        <f aca="false">-AG94*$F21*(AH$4&gt;In_COD)</f>
        <v>-674.554233719596</v>
      </c>
      <c r="AI88" s="48" t="n">
        <f aca="false">-AH94*$F21*(AI$4&gt;In_COD)</f>
        <v>-667.578976143957</v>
      </c>
      <c r="AJ88" s="48" t="n">
        <f aca="false">-AI94*$F21*(AJ$4&gt;In_COD)</f>
        <v>-660.75346664566</v>
      </c>
      <c r="AK88" s="48" t="n">
        <f aca="false">-AJ94*$F21*(AK$4&gt;In_COD)</f>
        <v>-653.480189724533</v>
      </c>
      <c r="AL88" s="48" t="n">
        <f aca="false">-AK94*$F21*(AL$4&gt;In_COD)</f>
        <v>-645.95244809337</v>
      </c>
      <c r="AM88" s="48" t="n">
        <f aca="false">-AL94*$F21*(AM$4&gt;In_COD)</f>
        <v>-638.579908897</v>
      </c>
      <c r="AN88" s="48" t="n">
        <f aca="false">-AM94*$F21*(AN$4&gt;In_COD)</f>
        <v>-631.358709836747</v>
      </c>
      <c r="AO88" s="48" t="n">
        <f aca="false">-AN94*$F21*(AO$4&gt;In_COD)</f>
        <v>-623.892385041122</v>
      </c>
      <c r="AP88" s="48" t="n">
        <f aca="false">-AO94*$F21*(AP$4&gt;In_COD)</f>
        <v>-616.178111282342</v>
      </c>
      <c r="AQ88" s="48" t="n">
        <f aca="false">-AP94*$F21*(AQ$4&gt;In_COD)</f>
        <v>-608.423069932503</v>
      </c>
      <c r="AR88" s="48" t="n">
        <f aca="false">-AQ94*$F21*(AR$4&gt;In_COD)</f>
        <v>-600.816694193062</v>
      </c>
      <c r="AS88" s="48" t="n">
        <f aca="false">-AR94*$F21*(AS$4&gt;In_COD)</f>
        <v>-592.960335944273</v>
      </c>
      <c r="AT88" s="48" t="n">
        <f aca="false">-AS94*$F21*(AT$4&gt;In_COD)</f>
        <v>-584.851116020615</v>
      </c>
      <c r="AU88" s="48" t="n">
        <f aca="false">-AT94*$F21*(AU$4&gt;In_COD)</f>
        <v>-576.696881818953</v>
      </c>
      <c r="AV88" s="48" t="n">
        <f aca="false">-AU94*$F21*(AV$4&gt;In_COD)</f>
        <v>-568.525678677887</v>
      </c>
      <c r="AW88" s="48" t="n">
        <f aca="false">-AV94*$F21*(AW$4&gt;In_COD)</f>
        <v>-560.260363967146</v>
      </c>
      <c r="AX88" s="48" t="n">
        <f aca="false">-AW94*$F21*(AX$4&gt;In_COD)</f>
        <v>-551.73707034271</v>
      </c>
      <c r="AY88" s="48" t="n">
        <f aca="false">-AX94*$F21*(AY$4&gt;In_COD)</f>
        <v>-543.164296399943</v>
      </c>
      <c r="AZ88" s="48" t="n">
        <f aca="false">-AY94*$F21*(AZ$4&gt;In_COD)</f>
        <v>-534.734278808001</v>
      </c>
      <c r="BA88" s="48" t="n">
        <f aca="false">-AZ94*$F21*(BA$4&gt;In_COD)</f>
        <v>-526.04399214897</v>
      </c>
      <c r="BB88" s="48" t="n">
        <f aca="false">-BA94*$F21*(BB$4&gt;In_COD)</f>
        <v>-517.090438782231</v>
      </c>
      <c r="BC88" s="48" t="n">
        <f aca="false">-BB94*$F21*(BC$4&gt;In_COD)</f>
        <v>-508.082753564529</v>
      </c>
      <c r="BD88" s="48" t="n">
        <f aca="false">-BC94*$F21*(BD$4&gt;In_COD)</f>
        <v>-499.214594054696</v>
      </c>
      <c r="BE88" s="48" t="n">
        <f aca="false">-BD94*$F21*(BE$4&gt;In_COD)</f>
        <v>-490.080740399252</v>
      </c>
      <c r="BF88" s="48" t="n">
        <f aca="false">-BE94*$F21*(BF$4&gt;In_COD)</f>
        <v>-480.678132474409</v>
      </c>
      <c r="BG88" s="48" t="n">
        <f aca="false">-BF94*$F21*(BG$4&gt;In_COD)</f>
        <v>-471.216525609051</v>
      </c>
      <c r="BH88" s="48" t="n">
        <f aca="false">-BG94*$F21*(BH$4&gt;In_COD)</f>
        <v>-461.891011112896</v>
      </c>
      <c r="BI88" s="48" t="n">
        <f aca="false">-BH94*$F21*(BI$4&gt;In_COD)</f>
        <v>-452.294171017653</v>
      </c>
      <c r="BJ88" s="48" t="n">
        <f aca="false">-BI94*$F21*(BJ$4&gt;In_COD)</f>
        <v>-442.422880339453</v>
      </c>
      <c r="BK88" s="48" t="n">
        <f aca="false">-BJ94*$F21*(BK$4&gt;In_COD)</f>
        <v>-432.48749845703</v>
      </c>
      <c r="BL88" s="48" t="n">
        <f aca="false">-BK94*$F21*(BL$4&gt;In_COD)</f>
        <v>-422.520295685015</v>
      </c>
      <c r="BM88" s="48" t="n">
        <f aca="false">-BL94*$F21*(BM$4&gt;In_COD)</f>
        <v>-412.438295975274</v>
      </c>
      <c r="BN88" s="48" t="n">
        <f aca="false">-BM94*$F21*(BN$4&gt;In_COD)</f>
        <v>-402.075909425441</v>
      </c>
      <c r="BO88" s="48" t="n">
        <f aca="false">-BN94*$F21*(BO$4&gt;In_COD)</f>
        <v>-391.644082138765</v>
      </c>
      <c r="BP88" s="48" t="n">
        <f aca="false">-BO94*$F21*(BP$4&gt;In_COD)</f>
        <v>-381.340811756736</v>
      </c>
      <c r="BQ88" s="48" t="n">
        <f aca="false">-BP94*$F21*(BQ$4&gt;In_COD)</f>
        <v>-370.754273583343</v>
      </c>
      <c r="BR88" s="48" t="n">
        <f aca="false">-BQ94*$F21*(BR$4&gt;In_COD)</f>
        <v>-359.881205090901</v>
      </c>
      <c r="BS88" s="48" t="n">
        <f aca="false">-BR94*$F21*(BS$4&gt;In_COD)</f>
        <v>-348.933121600304</v>
      </c>
      <c r="BT88" s="48" t="n">
        <f aca="false">-BS94*$F21*(BT$4&gt;In_COD)</f>
        <v>-338.109493825059</v>
      </c>
      <c r="BU88" s="48" t="n">
        <f aca="false">-BT94*$F21*(BU$4&gt;In_COD)</f>
        <v>-326.996289111365</v>
      </c>
      <c r="BV88" s="48" t="n">
        <f aca="false">-BU94*$F21*(BV$4&gt;In_COD)</f>
        <v>-315.590172266138</v>
      </c>
      <c r="BW88" s="48" t="n">
        <f aca="false">-BV94*$F21*(BW$4&gt;In_COD)</f>
        <v>-304.103209389362</v>
      </c>
      <c r="BX88" s="48" t="n">
        <f aca="false">-BW94*$F21*(BX$4&gt;In_COD)</f>
        <v>-292.736357625288</v>
      </c>
      <c r="BY88" s="48" t="n">
        <f aca="false">-BX94*$F21*(BY$4&gt;In_COD)</f>
        <v>-281.073373503314</v>
      </c>
      <c r="BZ88" s="48" t="n">
        <f aca="false">-BY94*$F21*(BZ$4&gt;In_COD)</f>
        <v>-269.11084632852</v>
      </c>
      <c r="CA88" s="48" t="n">
        <f aca="false">-BZ94*$F21*(CA$4&gt;In_COD)</f>
        <v>-257.061373828633</v>
      </c>
      <c r="CB88" s="48" t="n">
        <f aca="false">-CA94*$F21*(CB$4&gt;In_COD)</f>
        <v>-244.961916872794</v>
      </c>
      <c r="CC88" s="48" t="n">
        <f aca="false">-CB94*$F21*(CC$4&gt;In_COD)</f>
        <v>-232.723104810169</v>
      </c>
      <c r="CD88" s="48" t="n">
        <f aca="false">-CC94*$F21*(CD$4&gt;In_COD)</f>
        <v>-220.177836435204</v>
      </c>
      <c r="CE88" s="48" t="n">
        <f aca="false">-CD94*$F21*(CE$4&gt;In_COD)</f>
        <v>-207.539220964886</v>
      </c>
      <c r="CF88" s="48" t="n">
        <f aca="false">-CE94*$F21*(CF$4&gt;In_COD)</f>
        <v>-195.011228716539</v>
      </c>
      <c r="CG88" s="48" t="n">
        <f aca="false">-CF94*$F21*(CG$4&gt;In_COD)</f>
        <v>-182.173186624848</v>
      </c>
      <c r="CH88" s="48" t="n">
        <f aca="false">-CG94*$F21*(CH$4&gt;In_COD)</f>
        <v>-169.021523700702</v>
      </c>
      <c r="CI88" s="48" t="n">
        <f aca="false">-CH94*$F21*(CI$4&gt;In_COD)</f>
        <v>-155.769840249309</v>
      </c>
      <c r="CJ88" s="48" t="n">
        <f aca="false">-CI94*$F21*(CJ$4&gt;In_COD)</f>
        <v>-142.623633817301</v>
      </c>
      <c r="CK88" s="48" t="n">
        <f aca="false">-CJ94*$F21*(CK$4&gt;In_COD)</f>
        <v>-129.160013257679</v>
      </c>
      <c r="CL88" s="48" t="n">
        <f aca="false">-CK94*$F21*(CL$4&gt;In_COD)</f>
        <v>-115.375322763423</v>
      </c>
      <c r="CM88" s="48" t="n">
        <f aca="false">-CL94*$F21*(CM$4&gt;In_COD)</f>
        <v>-101.483632306123</v>
      </c>
      <c r="CN88" s="48" t="n">
        <f aca="false">-CM94*$F21*(CN$4&gt;In_COD)</f>
        <v>-87.6919805059719</v>
      </c>
      <c r="CO88" s="48" t="n">
        <f aca="false">-CN94*$F21*(CO$4&gt;In_COD)</f>
        <v>-73.5752561740008</v>
      </c>
      <c r="CP88" s="48" t="n">
        <f aca="false">-CO94*$F21*(CP$4&gt;In_COD)</f>
        <v>-59.129715297768</v>
      </c>
      <c r="CQ88" s="48" t="n">
        <f aca="false">-CP94*$F21*(CQ$4&gt;In_COD)</f>
        <v>-44.5698752906058</v>
      </c>
      <c r="CR88" s="48" t="n">
        <f aca="false">-CQ94*$F21*(CR$4&gt;In_COD)</f>
        <v>-29.9378978357614</v>
      </c>
      <c r="CS88" s="48" t="n">
        <f aca="false">-CR94*$F21*(CS$4&gt;In_COD)</f>
        <v>-15.137397050643</v>
      </c>
      <c r="CT88" s="48" t="n">
        <f aca="false">-CS94*$F21*(CT$4&gt;In_COD)</f>
        <v>-2.90185653284425E-012</v>
      </c>
      <c r="CU88" s="48" t="n">
        <f aca="false">-CT94*$F21*(CU$4&gt;In_COD)</f>
        <v>-2.9381297395048E-012</v>
      </c>
      <c r="CV88" s="48" t="n">
        <f aca="false">-CU94*$F21*(CV$4&gt;In_COD)</f>
        <v>-2.97485636124861E-012</v>
      </c>
      <c r="CW88" s="48" t="n">
        <f aca="false">-CV94*$F21*(CW$4&gt;In_COD)</f>
        <v>-3.01204206576422E-012</v>
      </c>
      <c r="CX88" s="48" t="n">
        <f aca="false">-CW94*$F21*(CX$4&gt;In_COD)</f>
        <v>-3.04969259158627E-012</v>
      </c>
      <c r="CY88" s="48" t="n">
        <f aca="false">-CX94*$F21*(CY$4&gt;In_COD)</f>
        <v>-3.0878137489811E-012</v>
      </c>
      <c r="CZ88" s="48" t="n">
        <f aca="false">-CY94*$F21*(CZ$4&gt;In_COD)</f>
        <v>-3.12641142084337E-012</v>
      </c>
      <c r="DA88" s="48" t="n">
        <f aca="false">-CZ94*$F21*(DA$4&gt;In_COD)</f>
        <v>-3.16549156360391E-012</v>
      </c>
      <c r="DB88" s="48" t="n">
        <f aca="false">-DA94*$F21*(DB$4&gt;In_COD)</f>
        <v>-3.20506020814896E-012</v>
      </c>
      <c r="DC88" s="48" t="n">
        <f aca="false">-DB94*$F21*(DC$4&gt;In_COD)</f>
        <v>-3.24512346075082E-012</v>
      </c>
      <c r="DD88" s="48" t="n">
        <f aca="false">-DC94*$F21*(DD$4&gt;In_COD)</f>
        <v>-3.2856875040102E-012</v>
      </c>
      <c r="DE88" s="48" t="n">
        <f aca="false">-DD94*$F21*(DE$4&gt;In_COD)</f>
        <v>-3.32675859781033E-012</v>
      </c>
      <c r="DF88" s="48" t="n">
        <f aca="false">-DE94*$F21*(DF$4&gt;In_COD)</f>
        <v>-3.36834308028296E-012</v>
      </c>
      <c r="DG88" s="48" t="n">
        <f aca="false">-DF94*$F21*(DG$4&gt;In_COD)</f>
        <v>-3.4104473687865E-012</v>
      </c>
      <c r="DH88" s="48" t="n">
        <f aca="false">-DG94*$F21*(DH$4&gt;In_COD)</f>
        <v>-3.45307796089633E-012</v>
      </c>
      <c r="DI88" s="48" t="n">
        <f aca="false">-DH94*$F21*(DI$4&gt;In_COD)</f>
        <v>-3.49624143540753E-012</v>
      </c>
      <c r="DJ88" s="48" t="n">
        <f aca="false">-DI94*$F21*(DJ$4&gt;In_COD)</f>
        <v>-3.53994445335013E-012</v>
      </c>
      <c r="DK88" s="48" t="n">
        <f aca="false">-DJ94*$F21*(DK$4&gt;In_COD)</f>
        <v>-3.584193759017E-012</v>
      </c>
      <c r="DL88" s="48" t="n">
        <f aca="false">-DK94*$F21*(DL$4&gt;In_COD)</f>
        <v>-3.62899618100472E-012</v>
      </c>
      <c r="DM88" s="48" t="n">
        <f aca="false">-DL94*$F21*(DM$4&gt;In_COD)</f>
        <v>-3.67435863326727E-012</v>
      </c>
      <c r="DN88" s="48" t="n">
        <f aca="false">-DM94*$F21*(DN$4&gt;In_COD)</f>
        <v>-3.72028811618312E-012</v>
      </c>
      <c r="DO88" s="48" t="n">
        <f aca="false">-DN94*$F21*(DO$4&gt;In_COD)</f>
        <v>-3.76679171763541E-012</v>
      </c>
      <c r="DP88" s="48" t="n">
        <f aca="false">-DO94*$F21*(DP$4&gt;In_COD)</f>
        <v>-3.81387661410585E-012</v>
      </c>
      <c r="DQ88" s="48" t="n">
        <f aca="false">-DP94*$F21*(DQ$4&gt;In_COD)</f>
        <v>-3.86155007178217E-012</v>
      </c>
      <c r="DR88" s="48" t="n">
        <f aca="false">-DQ94*$F21*(DR$4&gt;In_COD)</f>
        <v>-3.90981944767945E-012</v>
      </c>
      <c r="DS88" s="48" t="n">
        <f aca="false">-DR94*$F21*(DS$4&gt;In_COD)</f>
        <v>-3.95869219077544E-012</v>
      </c>
      <c r="DT88" s="48" t="n">
        <f aca="false">-DS94*$F21*(DT$4&gt;In_COD)</f>
        <v>-4.00817584316013E-012</v>
      </c>
      <c r="DU88" s="48" t="n">
        <f aca="false">-DT94*$F21*(DU$4&gt;In_COD)</f>
        <v>-4.05827804119964E-012</v>
      </c>
      <c r="DV88" s="48" t="n">
        <f aca="false">-DU94*$F21*(DV$4&gt;In_COD)</f>
        <v>-4.10900651671463E-012</v>
      </c>
      <c r="DW88" s="48" t="n">
        <f aca="false">-DV94*$F21*(DW$4&gt;In_COD)</f>
        <v>-4.16036909817356E-012</v>
      </c>
      <c r="DX88" s="48" t="n">
        <f aca="false">-DW94*$F21*(DX$4&gt;In_COD)</f>
        <v>-4.21237371190073E-012</v>
      </c>
      <c r="DY88" s="48" t="n">
        <f aca="false">-DX94*$F21*(DY$4&gt;In_COD)</f>
        <v>-4.26502838329949E-012</v>
      </c>
      <c r="DZ88" s="48" t="n">
        <f aca="false">-DY94*$F21*(DZ$4&gt;In_COD)</f>
        <v>-4.31834123809074E-012</v>
      </c>
      <c r="EA88" s="48" t="n">
        <f aca="false">-DZ94*$F21*(EA$4&gt;In_COD)</f>
        <v>-4.37232050356687E-012</v>
      </c>
      <c r="EB88" s="48" t="n">
        <f aca="false">-EA94*$F21*(EB$4&gt;In_COD)</f>
        <v>-4.42697450986146E-012</v>
      </c>
      <c r="EC88" s="48" t="n">
        <f aca="false">-EB94*$F21*(EC$4&gt;In_COD)</f>
        <v>-4.48231169123473E-012</v>
      </c>
      <c r="ED88" s="48" t="n">
        <f aca="false">-EC94*$F21*(ED$4&gt;In_COD)</f>
        <v>-4.53834058737516E-012</v>
      </c>
      <c r="EE88" s="48" t="n">
        <f aca="false">-ED94*$F21*(EE$4&gt;In_COD)</f>
        <v>-4.59506984471735E-012</v>
      </c>
      <c r="EF88" s="48" t="n">
        <f aca="false">-EE94*$F21*(EF$4&gt;In_COD)</f>
        <v>-4.65250821777632E-012</v>
      </c>
      <c r="EG88" s="48" t="n">
        <f aca="false">-EF94*$F21*(EG$4&gt;In_COD)</f>
        <v>-4.71066457049852E-012</v>
      </c>
      <c r="EH88" s="48" t="n">
        <f aca="false">-EG94*$F21*(EH$4&gt;In_COD)</f>
        <v>-4.76954787762975E-012</v>
      </c>
      <c r="EI88" s="48" t="n">
        <f aca="false">-EH94*$F21*(EI$4&gt;In_COD)</f>
        <v>-4.82916722610012E-012</v>
      </c>
      <c r="EJ88" s="48" t="n">
        <f aca="false">-EI94*$F21*(EJ$4&gt;In_COD)</f>
        <v>-4.88953181642637E-012</v>
      </c>
      <c r="EK88" s="48" t="n">
        <f aca="false">-EJ94*$F21*(EK$4&gt;In_COD)</f>
        <v>-4.9506509641317E-012</v>
      </c>
      <c r="EL88" s="48" t="n">
        <f aca="false">-EK94*$F21*(EL$4&gt;In_COD)</f>
        <v>-5.01253410118335E-012</v>
      </c>
      <c r="EM88" s="48" t="n">
        <f aca="false">-EL94*$F21*(EM$4&gt;In_COD)</f>
        <v>-5.07519077744814E-012</v>
      </c>
      <c r="EN88" s="48" t="n">
        <f aca="false">-EM94*$F21*(EN$4&gt;In_COD)</f>
        <v>-5.13863066216624E-012</v>
      </c>
      <c r="EO88" s="48" t="n">
        <f aca="false">-EN94*$F21*(EO$4&gt;In_COD)</f>
        <v>-5.20286354544332E-012</v>
      </c>
    </row>
    <row r="89" customFormat="false" ht="15" hidden="false" customHeight="false" outlineLevel="0" collapsed="false">
      <c r="C89" s="1" t="s">
        <v>444</v>
      </c>
      <c r="D89" s="12" t="s">
        <v>33</v>
      </c>
      <c r="I89" s="48" t="n">
        <f aca="false">SUM(J89:EO89)</f>
        <v>-88467.8878674208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-1227.24694940278</v>
      </c>
      <c r="AA89" s="48" t="n">
        <f aca="false">-AA84*$F85</f>
        <v>-1208.61482034207</v>
      </c>
      <c r="AB89" s="48" t="n">
        <f aca="false">-AB84*$F85</f>
        <v>-1221.48944795649</v>
      </c>
      <c r="AC89" s="48" t="n">
        <f aca="false">-AC84*$F85</f>
        <v>-1234.35475292891</v>
      </c>
      <c r="AD89" s="48" t="n">
        <f aca="false">-AD84*$F85</f>
        <v>-1229.98866179629</v>
      </c>
      <c r="AE89" s="48" t="n">
        <f aca="false">-AE84*$F85</f>
        <v>-1224.35037344151</v>
      </c>
      <c r="AF89" s="48" t="n">
        <f aca="false">-AF84*$F85</f>
        <v>-1224.09023099495</v>
      </c>
      <c r="AG89" s="48" t="n">
        <f aca="false">-AG84*$F85</f>
        <v>-1236.98128573365</v>
      </c>
      <c r="AH89" s="48" t="n">
        <f aca="false">-AH84*$F85</f>
        <v>-1232.57483977071</v>
      </c>
      <c r="AI89" s="48" t="n">
        <f aca="false">-AI84*$F85</f>
        <v>-1213.61973600772</v>
      </c>
      <c r="AJ89" s="48" t="n">
        <f aca="false">-AJ84*$F85</f>
        <v>-1242.61562033578</v>
      </c>
      <c r="AK89" s="48" t="n">
        <f aca="false">-AK84*$F85</f>
        <v>-1255.69952021756</v>
      </c>
      <c r="AL89" s="48" t="n">
        <f aca="false">-AL84*$F85</f>
        <v>-1235.75558380298</v>
      </c>
      <c r="AM89" s="48" t="n">
        <f aca="false">-AM84*$F85</f>
        <v>-1216.27583371726</v>
      </c>
      <c r="AN89" s="48" t="n">
        <f aca="false">-AN84*$F85</f>
        <v>-1228.66469348677</v>
      </c>
      <c r="AO89" s="48" t="n">
        <f aca="false">-AO84*$F85</f>
        <v>-1241.03428574351</v>
      </c>
      <c r="AP89" s="48" t="n">
        <f aca="false">-AP84*$F85</f>
        <v>-1236.58141926946</v>
      </c>
      <c r="AQ89" s="48" t="n">
        <f aca="false">-AQ84*$F85</f>
        <v>-1216.93312908779</v>
      </c>
      <c r="AR89" s="48" t="n">
        <f aca="false">-AR84*$F85</f>
        <v>-1229.32535409619</v>
      </c>
      <c r="AS89" s="48" t="n">
        <f aca="false">-AS84*$F85</f>
        <v>-1241.6979298369</v>
      </c>
      <c r="AT89" s="48" t="n">
        <f aca="false">-AT84*$F85</f>
        <v>-1237.18985215355</v>
      </c>
      <c r="AU89" s="48" t="n">
        <f aca="false">-AU84*$F85</f>
        <v>-1230.39313310428</v>
      </c>
      <c r="AV89" s="48" t="n">
        <f aca="false">-AV84*$F85</f>
        <v>-1229.75085553714</v>
      </c>
      <c r="AW89" s="48" t="n">
        <f aca="false">-AW84*$F85</f>
        <v>-1242.12385392201</v>
      </c>
      <c r="AX89" s="48" t="n">
        <f aca="false">-AX84*$F85</f>
        <v>-1237.55898576409</v>
      </c>
      <c r="AY89" s="48" t="n">
        <f aca="false">-AY84*$F85</f>
        <v>-1217.56570375525</v>
      </c>
      <c r="AZ89" s="48" t="n">
        <f aca="false">-AZ84*$F85</f>
        <v>-1229.95721153047</v>
      </c>
      <c r="BA89" s="48" t="n">
        <f aca="false">-BA84*$F85</f>
        <v>-1242.32826148811</v>
      </c>
      <c r="BB89" s="48" t="n">
        <f aca="false">-BB84*$F85</f>
        <v>-1237.70525619845</v>
      </c>
      <c r="BC89" s="48" t="n">
        <f aca="false">-BC84*$F85</f>
        <v>-1217.5355143511</v>
      </c>
      <c r="BD89" s="48" t="n">
        <f aca="false">-BD84*$F85</f>
        <v>-1229.92288649023</v>
      </c>
      <c r="BE89" s="48" t="n">
        <f aca="false">-BE84*$F85</f>
        <v>-1242.28937438667</v>
      </c>
      <c r="BF89" s="48" t="n">
        <f aca="false">-BF84*$F85</f>
        <v>-1237.60668170309</v>
      </c>
      <c r="BG89" s="48" t="n">
        <f aca="false">-BG84*$F85</f>
        <v>-1217.25768530146</v>
      </c>
      <c r="BH89" s="48" t="n">
        <f aca="false">-BH84*$F85</f>
        <v>-1229.63821873229</v>
      </c>
      <c r="BI89" s="48" t="n">
        <f aca="false">-BI84*$F85</f>
        <v>-1241.99742527371</v>
      </c>
      <c r="BJ89" s="48" t="n">
        <f aca="false">-BJ84*$F85</f>
        <v>-1237.25343093325</v>
      </c>
      <c r="BK89" s="48" t="n">
        <f aca="false">-BK84*$F85</f>
        <v>-1229.86372021823</v>
      </c>
      <c r="BL89" s="48" t="n">
        <f aca="false">-BL84*$F85</f>
        <v>-1229.08027246428</v>
      </c>
      <c r="BM89" s="48" t="n">
        <f aca="false">-BM84*$F85</f>
        <v>-1241.42921996197</v>
      </c>
      <c r="BN89" s="48" t="n">
        <f aca="false">-BN84*$F85</f>
        <v>-1236.62209235953</v>
      </c>
      <c r="BO89" s="48" t="n">
        <f aca="false">-BO84*$F85</f>
        <v>-1215.90571270108</v>
      </c>
      <c r="BP89" s="48" t="n">
        <f aca="false">-BP84*$F85</f>
        <v>-1228.26386562813</v>
      </c>
      <c r="BQ89" s="48" t="n">
        <f aca="false">-BQ84*$F85</f>
        <v>-1240.59975297875</v>
      </c>
      <c r="BR89" s="48" t="n">
        <f aca="false">-BR84*$F85</f>
        <v>-1235.72788433863</v>
      </c>
      <c r="BS89" s="48" t="n">
        <f aca="false">-BS84*$F85</f>
        <v>-1214.82334361992</v>
      </c>
      <c r="BT89" s="48" t="n">
        <f aca="false">-BT84*$F85</f>
        <v>-1227.16587092054</v>
      </c>
      <c r="BU89" s="48" t="n">
        <f aca="false">-BU84*$F85</f>
        <v>-1239.48563672956</v>
      </c>
      <c r="BV89" s="48" t="n">
        <f aca="false">-BV84*$F85</f>
        <v>-1234.54720240819</v>
      </c>
      <c r="BW89" s="48" t="n">
        <f aca="false">-BW84*$F85</f>
        <v>-1213.4513505153</v>
      </c>
      <c r="BX89" s="48" t="n">
        <f aca="false">-BX84*$F85</f>
        <v>-1225.77508738324</v>
      </c>
      <c r="BY89" s="48" t="n">
        <f aca="false">-BY84*$F85</f>
        <v>-1238.07554748677</v>
      </c>
      <c r="BZ89" s="48" t="n">
        <f aca="false">-BZ84*$F85</f>
        <v>-1233.06864631953</v>
      </c>
      <c r="CA89" s="48" t="n">
        <f aca="false">-CA84*$F85</f>
        <v>-1225.01793029573</v>
      </c>
      <c r="CB89" s="48" t="n">
        <f aca="false">-CB84*$F85</f>
        <v>-1224.06688188277</v>
      </c>
      <c r="CC89" s="48" t="n">
        <f aca="false">-CC84*$F85</f>
        <v>-1236.34457480742</v>
      </c>
      <c r="CD89" s="48" t="n">
        <f aca="false">-CD84*$F85</f>
        <v>-1231.26707406059</v>
      </c>
      <c r="CE89" s="48" t="n">
        <f aca="false">-CE84*$F85</f>
        <v>-1209.77860083266</v>
      </c>
      <c r="CF89" s="48" t="n">
        <f aca="false">-CF84*$F85</f>
        <v>-1222.05459605186</v>
      </c>
      <c r="CG89" s="48" t="n">
        <f aca="false">-CG84*$F85</f>
        <v>-1234.30622055651</v>
      </c>
      <c r="CH89" s="48" t="n">
        <f aca="false">-CH84*$F85</f>
        <v>-1229.1561998121</v>
      </c>
      <c r="CI89" s="48" t="n">
        <f aca="false">-CI84*$F85</f>
        <v>-1207.46635480994</v>
      </c>
      <c r="CJ89" s="48" t="n">
        <f aca="false">-CJ84*$F85</f>
        <v>-1219.71327858712</v>
      </c>
      <c r="CK89" s="48" t="n">
        <f aca="false">-CK84*$F85</f>
        <v>-1231.9352527981</v>
      </c>
      <c r="CL89" s="48" t="n">
        <f aca="false">-CL84*$F85</f>
        <v>-1226.71055934744</v>
      </c>
      <c r="CM89" s="48" t="n">
        <f aca="false">-CM84*$F85</f>
        <v>-1204.81577631823</v>
      </c>
      <c r="CN89" s="48" t="n">
        <f aca="false">-CN84*$F85</f>
        <v>-1217.02992706365</v>
      </c>
      <c r="CO89" s="48" t="n">
        <f aca="false">-CO84*$F85</f>
        <v>-1229.21852627263</v>
      </c>
      <c r="CP89" s="48" t="n">
        <f aca="false">-CP84*$F85</f>
        <v>-1223.91691587074</v>
      </c>
      <c r="CQ89" s="48" t="n">
        <f aca="false">-CQ84*$F85</f>
        <v>-1215.12807167816</v>
      </c>
      <c r="CR89" s="48" t="n">
        <f aca="false">-CR84*$F85</f>
        <v>-1213.97796064523</v>
      </c>
      <c r="CS89" s="48" t="n">
        <f aca="false">-CS84*$F85</f>
        <v>-1226.12916110185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445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6263.56952054795</v>
      </c>
      <c r="T90" s="19" t="n">
        <f aca="false">S94</f>
        <v>16954.4218381849</v>
      </c>
      <c r="U90" s="19" t="n">
        <f aca="false">T94</f>
        <v>23361.8393543129</v>
      </c>
      <c r="V90" s="19" t="n">
        <f aca="false">U94</f>
        <v>29917.4318667898</v>
      </c>
      <c r="W90" s="19" t="n">
        <f aca="false">V94</f>
        <v>36554.9692856726</v>
      </c>
      <c r="X90" s="19" t="n">
        <f aca="false">W94</f>
        <v>43139.3113674969</v>
      </c>
      <c r="Y90" s="19" t="n">
        <f aca="false">X94</f>
        <v>49874.0400027413</v>
      </c>
      <c r="Z90" s="19" t="n">
        <f aca="false">Y94</f>
        <v>58136.0350233236</v>
      </c>
      <c r="AA90" s="19" t="n">
        <f aca="false">Z94</f>
        <v>57635.4885117123</v>
      </c>
      <c r="AB90" s="19" t="n">
        <f aca="false">AA94</f>
        <v>57147.3172977667</v>
      </c>
      <c r="AC90" s="19" t="n">
        <f aca="false">AB94</f>
        <v>56640.1693160323</v>
      </c>
      <c r="AD90" s="19" t="n">
        <f aca="false">AC94</f>
        <v>56113.8166795537</v>
      </c>
      <c r="AE90" s="19" t="n">
        <f aca="false">AD94</f>
        <v>55585.2507262519</v>
      </c>
      <c r="AF90" s="19" t="n">
        <f aca="false">AE94</f>
        <v>55055.7159868885</v>
      </c>
      <c r="AG90" s="19" t="n">
        <f aca="false">AF94</f>
        <v>54519.8222057297</v>
      </c>
      <c r="AH90" s="19" t="n">
        <f aca="false">AG94</f>
        <v>53964.3386975676</v>
      </c>
      <c r="AI90" s="19" t="n">
        <f aca="false">AH94</f>
        <v>53406.3180915165</v>
      </c>
      <c r="AJ90" s="19" t="n">
        <f aca="false">AI94</f>
        <v>52860.2773316528</v>
      </c>
      <c r="AK90" s="19" t="n">
        <f aca="false">AJ94</f>
        <v>52278.4151779626</v>
      </c>
      <c r="AL90" s="19" t="n">
        <f aca="false">AK94</f>
        <v>51676.1958474696</v>
      </c>
      <c r="AM90" s="19" t="n">
        <f aca="false">AL94</f>
        <v>51086.39271176</v>
      </c>
      <c r="AN90" s="19" t="n">
        <f aca="false">AM94</f>
        <v>50508.6967869397</v>
      </c>
      <c r="AO90" s="19" t="n">
        <f aca="false">AN94</f>
        <v>49911.3908032897</v>
      </c>
      <c r="AP90" s="19" t="n">
        <f aca="false">AO94</f>
        <v>49294.2489025873</v>
      </c>
      <c r="AQ90" s="19" t="n">
        <f aca="false">AP94</f>
        <v>48673.8455946002</v>
      </c>
      <c r="AR90" s="19" t="n">
        <f aca="false">AQ94</f>
        <v>48065.3355354449</v>
      </c>
      <c r="AS90" s="19" t="n">
        <f aca="false">AR94</f>
        <v>47436.8268755418</v>
      </c>
      <c r="AT90" s="19" t="n">
        <f aca="false">AS94</f>
        <v>46788.0892816492</v>
      </c>
      <c r="AU90" s="19" t="n">
        <f aca="false">AT94</f>
        <v>46135.7505455162</v>
      </c>
      <c r="AV90" s="19" t="n">
        <f aca="false">AU94</f>
        <v>45482.0542942309</v>
      </c>
      <c r="AW90" s="19" t="n">
        <f aca="false">AV94</f>
        <v>44820.8291173717</v>
      </c>
      <c r="AX90" s="19" t="n">
        <f aca="false">AW94</f>
        <v>44138.9656274168</v>
      </c>
      <c r="AY90" s="19" t="n">
        <f aca="false">AX94</f>
        <v>43453.1437119954</v>
      </c>
      <c r="AZ90" s="19" t="n">
        <f aca="false">AY94</f>
        <v>42778.7423046401</v>
      </c>
      <c r="BA90" s="19" t="n">
        <f aca="false">AZ94</f>
        <v>42083.5193719176</v>
      </c>
      <c r="BB90" s="19" t="n">
        <f aca="false">BA94</f>
        <v>41367.2351025785</v>
      </c>
      <c r="BC90" s="19" t="n">
        <f aca="false">BB94</f>
        <v>40646.6202851623</v>
      </c>
      <c r="BD90" s="19" t="n">
        <f aca="false">BC94</f>
        <v>39937.1675243757</v>
      </c>
      <c r="BE90" s="19" t="n">
        <f aca="false">BD94</f>
        <v>39206.4592319402</v>
      </c>
      <c r="BF90" s="19" t="n">
        <f aca="false">BE94</f>
        <v>38454.2505979527</v>
      </c>
      <c r="BG90" s="19" t="n">
        <f aca="false">BF94</f>
        <v>37697.3220487241</v>
      </c>
      <c r="BH90" s="19" t="n">
        <f aca="false">BG94</f>
        <v>36951.2808890317</v>
      </c>
      <c r="BI90" s="19" t="n">
        <f aca="false">BH94</f>
        <v>36183.5336814123</v>
      </c>
      <c r="BJ90" s="19" t="n">
        <f aca="false">BI94</f>
        <v>35393.8304271562</v>
      </c>
      <c r="BK90" s="19" t="n">
        <f aca="false">BJ94</f>
        <v>34598.9998765624</v>
      </c>
      <c r="BL90" s="19" t="n">
        <f aca="false">BK94</f>
        <v>33801.6236548012</v>
      </c>
      <c r="BM90" s="19" t="n">
        <f aca="false">BL94</f>
        <v>32995.0636780219</v>
      </c>
      <c r="BN90" s="19" t="n">
        <f aca="false">BM94</f>
        <v>32166.0727540352</v>
      </c>
      <c r="BO90" s="19" t="n">
        <f aca="false">BN94</f>
        <v>31331.5265711012</v>
      </c>
      <c r="BP90" s="19" t="n">
        <f aca="false">BO94</f>
        <v>30507.2649405388</v>
      </c>
      <c r="BQ90" s="19" t="n">
        <f aca="false">BP94</f>
        <v>29660.3418866674</v>
      </c>
      <c r="BR90" s="19" t="n">
        <f aca="false">BQ94</f>
        <v>28790.496407272</v>
      </c>
      <c r="BS90" s="19" t="n">
        <f aca="false">BR94</f>
        <v>27914.6497280243</v>
      </c>
      <c r="BT90" s="19" t="n">
        <f aca="false">BS94</f>
        <v>27048.7595060047</v>
      </c>
      <c r="BU90" s="19" t="n">
        <f aca="false">BT94</f>
        <v>26159.7031289092</v>
      </c>
      <c r="BV90" s="19" t="n">
        <f aca="false">BU94</f>
        <v>25247.213781291</v>
      </c>
      <c r="BW90" s="19" t="n">
        <f aca="false">BV94</f>
        <v>24328.256751149</v>
      </c>
      <c r="BX90" s="19" t="n">
        <f aca="false">BW94</f>
        <v>23418.908610023</v>
      </c>
      <c r="BY90" s="19" t="n">
        <f aca="false">BX94</f>
        <v>22485.8698802651</v>
      </c>
      <c r="BZ90" s="19" t="n">
        <f aca="false">BY94</f>
        <v>21528.8677062816</v>
      </c>
      <c r="CA90" s="19" t="n">
        <f aca="false">BZ94</f>
        <v>20564.9099062906</v>
      </c>
      <c r="CB90" s="19" t="n">
        <f aca="false">CA94</f>
        <v>19596.9533498235</v>
      </c>
      <c r="CC90" s="19" t="n">
        <f aca="false">CB94</f>
        <v>18617.8483848135</v>
      </c>
      <c r="CD90" s="19" t="n">
        <f aca="false">CC94</f>
        <v>17614.2269148163</v>
      </c>
      <c r="CE90" s="19" t="n">
        <f aca="false">CD94</f>
        <v>16603.1376771909</v>
      </c>
      <c r="CF90" s="19" t="n">
        <f aca="false">CE94</f>
        <v>15600.8982973231</v>
      </c>
      <c r="CG90" s="19" t="n">
        <f aca="false">CF94</f>
        <v>14573.8549299878</v>
      </c>
      <c r="CH90" s="19" t="n">
        <f aca="false">CG94</f>
        <v>13521.7218960561</v>
      </c>
      <c r="CI90" s="19" t="n">
        <f aca="false">CH94</f>
        <v>12461.5872199447</v>
      </c>
      <c r="CJ90" s="19" t="n">
        <f aca="false">CI94</f>
        <v>11409.8907053841</v>
      </c>
      <c r="CK90" s="19" t="n">
        <f aca="false">CJ94</f>
        <v>10332.8010606143</v>
      </c>
      <c r="CL90" s="19" t="n">
        <f aca="false">CK94</f>
        <v>9230.02582107387</v>
      </c>
      <c r="CM90" s="19" t="n">
        <f aca="false">CL94</f>
        <v>8118.69058448985</v>
      </c>
      <c r="CN90" s="19" t="n">
        <f aca="false">CM94</f>
        <v>7015.35844047775</v>
      </c>
      <c r="CO90" s="19" t="n">
        <f aca="false">CN94</f>
        <v>5886.02049392007</v>
      </c>
      <c r="CP90" s="19" t="n">
        <f aca="false">CO94</f>
        <v>4730.37722382144</v>
      </c>
      <c r="CQ90" s="19" t="n">
        <f aca="false">CP94</f>
        <v>3565.59002324847</v>
      </c>
      <c r="CR90" s="19" t="n">
        <f aca="false">CQ94</f>
        <v>2395.03182686091</v>
      </c>
      <c r="CS90" s="19" t="n">
        <f aca="false">CR94</f>
        <v>1210.99176405144</v>
      </c>
      <c r="CT90" s="19" t="n">
        <f aca="false">CS94</f>
        <v>2.3214852262754E-010</v>
      </c>
      <c r="CU90" s="19" t="n">
        <f aca="false">CT94</f>
        <v>2.35050379160384E-010</v>
      </c>
      <c r="CV90" s="19" t="n">
        <f aca="false">CU94</f>
        <v>2.37988508899889E-010</v>
      </c>
      <c r="CW90" s="19" t="n">
        <f aca="false">CV94</f>
        <v>2.40963365261138E-010</v>
      </c>
      <c r="CX90" s="19" t="n">
        <f aca="false">CW94</f>
        <v>2.43975407326902E-010</v>
      </c>
      <c r="CY90" s="19" t="n">
        <f aca="false">CX94</f>
        <v>2.47025099918488E-010</v>
      </c>
      <c r="CZ90" s="19" t="n">
        <f aca="false">CY94</f>
        <v>2.50112913667469E-010</v>
      </c>
      <c r="DA90" s="19" t="n">
        <f aca="false">CZ94</f>
        <v>2.53239325088313E-010</v>
      </c>
      <c r="DB90" s="19" t="n">
        <f aca="false">DA94</f>
        <v>2.56404816651917E-010</v>
      </c>
      <c r="DC90" s="19" t="n">
        <f aca="false">DB94</f>
        <v>2.59609876860065E-010</v>
      </c>
      <c r="DD90" s="19" t="n">
        <f aca="false">DC94</f>
        <v>2.62855000320816E-010</v>
      </c>
      <c r="DE90" s="19" t="n">
        <f aca="false">DD94</f>
        <v>2.66140687824826E-010</v>
      </c>
      <c r="DF90" s="19" t="n">
        <f aca="false">DE94</f>
        <v>2.69467446422637E-010</v>
      </c>
      <c r="DG90" s="19" t="n">
        <f aca="false">DF94</f>
        <v>2.7283578950292E-010</v>
      </c>
      <c r="DH90" s="19" t="n">
        <f aca="false">DG94</f>
        <v>2.76246236871706E-010</v>
      </c>
      <c r="DI90" s="19" t="n">
        <f aca="false">DH94</f>
        <v>2.79699314832603E-010</v>
      </c>
      <c r="DJ90" s="19" t="n">
        <f aca="false">DI94</f>
        <v>2.8319555626801E-010</v>
      </c>
      <c r="DK90" s="19" t="n">
        <f aca="false">DJ94</f>
        <v>2.8673550072136E-010</v>
      </c>
      <c r="DL90" s="19" t="n">
        <f aca="false">DK94</f>
        <v>2.90319694480377E-010</v>
      </c>
      <c r="DM90" s="19" t="n">
        <f aca="false">DL94</f>
        <v>2.93948690661382E-010</v>
      </c>
      <c r="DN90" s="19" t="n">
        <f aca="false">DM94</f>
        <v>2.97623049294649E-010</v>
      </c>
      <c r="DO90" s="19" t="n">
        <f aca="false">DN94</f>
        <v>3.01343337410832E-010</v>
      </c>
      <c r="DP90" s="19" t="n">
        <f aca="false">DO94</f>
        <v>3.05110129128468E-010</v>
      </c>
      <c r="DQ90" s="19" t="n">
        <f aca="false">DP94</f>
        <v>3.08924005742574E-010</v>
      </c>
      <c r="DR90" s="19" t="n">
        <f aca="false">DQ94</f>
        <v>3.12785555814356E-010</v>
      </c>
      <c r="DS90" s="19" t="n">
        <f aca="false">DR94</f>
        <v>3.16695375262035E-010</v>
      </c>
      <c r="DT90" s="19" t="n">
        <f aca="false">DS94</f>
        <v>3.20654067452811E-010</v>
      </c>
      <c r="DU90" s="19" t="n">
        <f aca="false">DT94</f>
        <v>3.24662243295971E-010</v>
      </c>
      <c r="DV90" s="19" t="n">
        <f aca="false">DU94</f>
        <v>3.2872052133717E-010</v>
      </c>
      <c r="DW90" s="19" t="n">
        <f aca="false">DV94</f>
        <v>3.32829527853885E-010</v>
      </c>
      <c r="DX90" s="19" t="n">
        <f aca="false">DW94</f>
        <v>3.36989896952059E-010</v>
      </c>
      <c r="DY90" s="19" t="n">
        <f aca="false">DX94</f>
        <v>3.41202270663959E-010</v>
      </c>
      <c r="DZ90" s="19" t="n">
        <f aca="false">DY94</f>
        <v>3.45467299047259E-010</v>
      </c>
      <c r="EA90" s="19" t="n">
        <f aca="false">DZ94</f>
        <v>3.4978564028535E-010</v>
      </c>
      <c r="EB90" s="19" t="n">
        <f aca="false">EA94</f>
        <v>3.54157960788917E-010</v>
      </c>
      <c r="EC90" s="19" t="n">
        <f aca="false">EB94</f>
        <v>3.58584935298778E-010</v>
      </c>
      <c r="ED90" s="19" t="n">
        <f aca="false">EC94</f>
        <v>3.63067246990013E-010</v>
      </c>
      <c r="EE90" s="19" t="n">
        <f aca="false">ED94</f>
        <v>3.67605587577388E-010</v>
      </c>
      <c r="EF90" s="19" t="n">
        <f aca="false">EE94</f>
        <v>3.72200657422105E-010</v>
      </c>
      <c r="EG90" s="19" t="n">
        <f aca="false">EF94</f>
        <v>3.76853165639881E-010</v>
      </c>
      <c r="EH90" s="19" t="n">
        <f aca="false">EG94</f>
        <v>3.8156383021038E-010</v>
      </c>
      <c r="EI90" s="19" t="n">
        <f aca="false">EH94</f>
        <v>3.8633337808801E-010</v>
      </c>
      <c r="EJ90" s="19" t="n">
        <f aca="false">EI94</f>
        <v>3.9116254531411E-010</v>
      </c>
      <c r="EK90" s="19" t="n">
        <f aca="false">EJ94</f>
        <v>3.96052077130536E-010</v>
      </c>
      <c r="EL90" s="19" t="n">
        <f aca="false">EK94</f>
        <v>4.01002728094668E-010</v>
      </c>
      <c r="EM90" s="19" t="n">
        <f aca="false">EL94</f>
        <v>4.06015262195851E-010</v>
      </c>
      <c r="EN90" s="19" t="n">
        <f aca="false">EM94</f>
        <v>4.11090452973299E-010</v>
      </c>
      <c r="EO90" s="19" t="n">
        <f aca="false">EN94</f>
        <v>4.16229083635466E-010</v>
      </c>
    </row>
    <row r="91" customFormat="false" ht="15" hidden="false" customHeight="false" outlineLevel="0" collapsed="false">
      <c r="C91" s="1" t="s">
        <v>446</v>
      </c>
      <c r="D91" s="12" t="s">
        <v>33</v>
      </c>
      <c r="I91" s="48" t="n">
        <f aca="false">SUM(J91:EO91)</f>
        <v>55560.2152328767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6263.56952054795</v>
      </c>
      <c r="S91" s="48" t="n">
        <f aca="false">-$E85*S66</f>
        <v>10612.5576986301</v>
      </c>
      <c r="T91" s="48" t="n">
        <f aca="false">-$E85*T66</f>
        <v>6195.48724315069</v>
      </c>
      <c r="U91" s="48" t="n">
        <f aca="false">-$E85*U66</f>
        <v>6263.56952054795</v>
      </c>
      <c r="V91" s="48" t="n">
        <f aca="false">-$E85*V66</f>
        <v>6263.56952054795</v>
      </c>
      <c r="W91" s="48" t="n">
        <f aca="false">-$E85*W66</f>
        <v>6127.40496575343</v>
      </c>
      <c r="X91" s="48" t="n">
        <f aca="false">-$E85*X66</f>
        <v>6195.48724315069</v>
      </c>
      <c r="Y91" s="48" t="n">
        <f aca="false">-$E85*Y66</f>
        <v>7638.56952054795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447</v>
      </c>
      <c r="D92" s="12" t="s">
        <v>33</v>
      </c>
      <c r="I92" s="48" t="n">
        <f aca="false">SUM(J92:EO92)</f>
        <v>2575.81979044683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78.2946190068494</v>
      </c>
      <c r="T92" s="48" t="n">
        <f aca="false">T90*$F21*(T$4&lt;=In_COD)</f>
        <v>211.930272977312</v>
      </c>
      <c r="U92" s="48" t="n">
        <f aca="false">U90*$F21*(U$4&lt;=In_COD)</f>
        <v>292.022991928912</v>
      </c>
      <c r="V92" s="48" t="n">
        <f aca="false">V90*$F21*(V$4&lt;=In_COD)</f>
        <v>373.967898334873</v>
      </c>
      <c r="W92" s="48" t="n">
        <f aca="false">W90*$F21*(W$4&lt;=In_COD)</f>
        <v>456.937116070908</v>
      </c>
      <c r="X92" s="48" t="n">
        <f aca="false">X90*$F21*(X$4&lt;=In_COD)</f>
        <v>539.241392093712</v>
      </c>
      <c r="Y92" s="48" t="n">
        <f aca="false">Y90*$F21*(Y$4&lt;=In_COD)</f>
        <v>623.425500034267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448</v>
      </c>
      <c r="D93" s="12" t="s">
        <v>33</v>
      </c>
      <c r="I93" s="48" t="n">
        <f aca="false">SUM(J93:EO93)</f>
        <v>-58136.0350233231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-500.546511611233</v>
      </c>
      <c r="AA93" s="48" t="n">
        <f aca="false">AA89-AA88</f>
        <v>-488.171213945664</v>
      </c>
      <c r="AB93" s="48" t="n">
        <f aca="false">AB89-AB88</f>
        <v>-507.147981734405</v>
      </c>
      <c r="AC93" s="48" t="n">
        <f aca="false">AC89-AC88</f>
        <v>-526.352636478511</v>
      </c>
      <c r="AD93" s="48" t="n">
        <f aca="false">AD89-AD88</f>
        <v>-528.565953301864</v>
      </c>
      <c r="AE93" s="48" t="n">
        <f aca="false">AE89-AE88</f>
        <v>-529.534739363363</v>
      </c>
      <c r="AF93" s="48" t="n">
        <f aca="false">AF89-AF88</f>
        <v>-535.893781158846</v>
      </c>
      <c r="AG93" s="48" t="n">
        <f aca="false">AG89-AG88</f>
        <v>-555.483508162034</v>
      </c>
      <c r="AH93" s="48" t="n">
        <f aca="false">AH89-AH88</f>
        <v>-558.020606051111</v>
      </c>
      <c r="AI93" s="48" t="n">
        <f aca="false">AI89-AI88</f>
        <v>-546.040759863767</v>
      </c>
      <c r="AJ93" s="48" t="n">
        <f aca="false">AJ89-AJ88</f>
        <v>-581.862153690121</v>
      </c>
      <c r="AK93" s="48" t="n">
        <f aca="false">AK89-AK88</f>
        <v>-602.219330493026</v>
      </c>
      <c r="AL93" s="48" t="n">
        <f aca="false">AL89-AL88</f>
        <v>-589.803135709612</v>
      </c>
      <c r="AM93" s="48" t="n">
        <f aca="false">AM89-AM88</f>
        <v>-577.695924820257</v>
      </c>
      <c r="AN93" s="48" t="n">
        <f aca="false">AN89-AN88</f>
        <v>-597.305983650023</v>
      </c>
      <c r="AO93" s="48" t="n">
        <f aca="false">AO89-AO88</f>
        <v>-617.141900702389</v>
      </c>
      <c r="AP93" s="48" t="n">
        <f aca="false">AP89-AP88</f>
        <v>-620.403307987115</v>
      </c>
      <c r="AQ93" s="48" t="n">
        <f aca="false">AQ89-AQ88</f>
        <v>-608.510059155282</v>
      </c>
      <c r="AR93" s="48" t="n">
        <f aca="false">AR89-AR88</f>
        <v>-628.508659903127</v>
      </c>
      <c r="AS93" s="48" t="n">
        <f aca="false">AS89-AS88</f>
        <v>-648.737593892627</v>
      </c>
      <c r="AT93" s="48" t="n">
        <f aca="false">AT89-AT88</f>
        <v>-652.338736132933</v>
      </c>
      <c r="AU93" s="48" t="n">
        <f aca="false">AU89-AU88</f>
        <v>-653.69625128533</v>
      </c>
      <c r="AV93" s="48" t="n">
        <f aca="false">AV89-AV88</f>
        <v>-661.225176859251</v>
      </c>
      <c r="AW93" s="48" t="n">
        <f aca="false">AW89-AW88</f>
        <v>-681.86348995486</v>
      </c>
      <c r="AX93" s="48" t="n">
        <f aca="false">AX89-AX88</f>
        <v>-685.821915421385</v>
      </c>
      <c r="AY93" s="48" t="n">
        <f aca="false">AY89-AY88</f>
        <v>-674.401407355311</v>
      </c>
      <c r="AZ93" s="48" t="n">
        <f aca="false">AZ89-AZ88</f>
        <v>-695.222932722468</v>
      </c>
      <c r="BA93" s="48" t="n">
        <f aca="false">BA89-BA88</f>
        <v>-716.284269339138</v>
      </c>
      <c r="BB93" s="48" t="n">
        <f aca="false">BB89-BB88</f>
        <v>-720.614817416218</v>
      </c>
      <c r="BC93" s="48" t="n">
        <f aca="false">BC89-BC88</f>
        <v>-709.452760786573</v>
      </c>
      <c r="BD93" s="48" t="n">
        <f aca="false">BD89-BD88</f>
        <v>-730.708292435538</v>
      </c>
      <c r="BE93" s="48" t="n">
        <f aca="false">BE89-BE88</f>
        <v>-752.208633987421</v>
      </c>
      <c r="BF93" s="48" t="n">
        <f aca="false">BF89-BF88</f>
        <v>-756.928549228681</v>
      </c>
      <c r="BG93" s="48" t="n">
        <f aca="false">BG89-BG88</f>
        <v>-746.04115969241</v>
      </c>
      <c r="BH93" s="48" t="n">
        <f aca="false">BH89-BH88</f>
        <v>-767.747207619394</v>
      </c>
      <c r="BI93" s="48" t="n">
        <f aca="false">BI89-BI88</f>
        <v>-789.703254256054</v>
      </c>
      <c r="BJ93" s="48" t="n">
        <f aca="false">BJ89-BJ88</f>
        <v>-794.830550593799</v>
      </c>
      <c r="BK93" s="48" t="n">
        <f aca="false">BK89-BK88</f>
        <v>-797.376221761198</v>
      </c>
      <c r="BL93" s="48" t="n">
        <f aca="false">BL89-BL88</f>
        <v>-806.559976779265</v>
      </c>
      <c r="BM93" s="48" t="n">
        <f aca="false">BM89-BM88</f>
        <v>-828.9909239867</v>
      </c>
      <c r="BN93" s="48" t="n">
        <f aca="false">BN89-BN88</f>
        <v>-834.54618293409</v>
      </c>
      <c r="BO93" s="48" t="n">
        <f aca="false">BO89-BO88</f>
        <v>-824.26163056232</v>
      </c>
      <c r="BP93" s="48" t="n">
        <f aca="false">BP89-BP88</f>
        <v>-846.923053871394</v>
      </c>
      <c r="BQ93" s="48" t="n">
        <f aca="false">BQ89-BQ88</f>
        <v>-869.84547939541</v>
      </c>
      <c r="BR93" s="48" t="n">
        <f aca="false">BR89-BR88</f>
        <v>-875.846679247728</v>
      </c>
      <c r="BS93" s="48" t="n">
        <f aca="false">BS89-BS88</f>
        <v>-865.890222019612</v>
      </c>
      <c r="BT93" s="48" t="n">
        <f aca="false">BT89-BT88</f>
        <v>-889.05637709548</v>
      </c>
      <c r="BU93" s="48" t="n">
        <f aca="false">BU89-BU88</f>
        <v>-912.489347618195</v>
      </c>
      <c r="BV93" s="48" t="n">
        <f aca="false">BV89-BV88</f>
        <v>-918.957030142049</v>
      </c>
      <c r="BW93" s="48" t="n">
        <f aca="false">BW89-BW88</f>
        <v>-909.348141125936</v>
      </c>
      <c r="BX93" s="48" t="n">
        <f aca="false">BX89-BX88</f>
        <v>-933.038729757956</v>
      </c>
      <c r="BY93" s="48" t="n">
        <f aca="false">BY89-BY88</f>
        <v>-957.002173983457</v>
      </c>
      <c r="BZ93" s="48" t="n">
        <f aca="false">BZ89-BZ88</f>
        <v>-963.957799991006</v>
      </c>
      <c r="CA93" s="48" t="n">
        <f aca="false">CA89-CA88</f>
        <v>-967.956556467094</v>
      </c>
      <c r="CB93" s="48" t="n">
        <f aca="false">CB89-CB88</f>
        <v>-979.104965009979</v>
      </c>
      <c r="CC93" s="48" t="n">
        <f aca="false">CC89-CC88</f>
        <v>-1003.62146999725</v>
      </c>
      <c r="CD93" s="48" t="n">
        <f aca="false">CD89-CD88</f>
        <v>-1011.08923762539</v>
      </c>
      <c r="CE93" s="48" t="n">
        <f aca="false">CE89-CE88</f>
        <v>-1002.23937986778</v>
      </c>
      <c r="CF93" s="48" t="n">
        <f aca="false">CF89-CF88</f>
        <v>-1027.04336733532</v>
      </c>
      <c r="CG93" s="48" t="n">
        <f aca="false">CG89-CG88</f>
        <v>-1052.13303393167</v>
      </c>
      <c r="CH93" s="48" t="n">
        <f aca="false">CH89-CH88</f>
        <v>-1060.1346761114</v>
      </c>
      <c r="CI93" s="48" t="n">
        <f aca="false">CI89-CI88</f>
        <v>-1051.69651456063</v>
      </c>
      <c r="CJ93" s="48" t="n">
        <f aca="false">CJ89-CJ88</f>
        <v>-1077.08964476982</v>
      </c>
      <c r="CK93" s="48" t="n">
        <f aca="false">CK89-CK88</f>
        <v>-1102.77523954042</v>
      </c>
      <c r="CL93" s="48" t="n">
        <f aca="false">CL89-CL88</f>
        <v>-1111.33523658402</v>
      </c>
      <c r="CM93" s="48" t="n">
        <f aca="false">CM89-CM88</f>
        <v>-1103.33214401211</v>
      </c>
      <c r="CN93" s="48" t="n">
        <f aca="false">CN89-CN88</f>
        <v>-1129.33794655768</v>
      </c>
      <c r="CO93" s="48" t="n">
        <f aca="false">CO89-CO88</f>
        <v>-1155.64327009862</v>
      </c>
      <c r="CP93" s="48" t="n">
        <f aca="false">CP89-CP88</f>
        <v>-1164.78720057298</v>
      </c>
      <c r="CQ93" s="48" t="n">
        <f aca="false">CQ89-CQ88</f>
        <v>-1170.55819638756</v>
      </c>
      <c r="CR93" s="48" t="n">
        <f aca="false">CR89-CR88</f>
        <v>-1184.04006280947</v>
      </c>
      <c r="CS93" s="48" t="n">
        <f aca="false">CS89-CS88</f>
        <v>-1210.9917640512</v>
      </c>
      <c r="CT93" s="48" t="n">
        <f aca="false">CT89-CT88</f>
        <v>2.90185653284425E-012</v>
      </c>
      <c r="CU93" s="48" t="n">
        <f aca="false">CU89-CU88</f>
        <v>2.9381297395048E-012</v>
      </c>
      <c r="CV93" s="48" t="n">
        <f aca="false">CV89-CV88</f>
        <v>2.97485636124861E-012</v>
      </c>
      <c r="CW93" s="48" t="n">
        <f aca="false">CW89-CW88</f>
        <v>3.01204206576422E-012</v>
      </c>
      <c r="CX93" s="48" t="n">
        <f aca="false">CX89-CX88</f>
        <v>3.04969259158627E-012</v>
      </c>
      <c r="CY93" s="48" t="n">
        <f aca="false">CY89-CY88</f>
        <v>3.0878137489811E-012</v>
      </c>
      <c r="CZ93" s="48" t="n">
        <f aca="false">CZ89-CZ88</f>
        <v>3.12641142084337E-012</v>
      </c>
      <c r="DA93" s="48" t="n">
        <f aca="false">DA89-DA88</f>
        <v>3.16549156360391E-012</v>
      </c>
      <c r="DB93" s="48" t="n">
        <f aca="false">DB89-DB88</f>
        <v>3.20506020814896E-012</v>
      </c>
      <c r="DC93" s="48" t="n">
        <f aca="false">DC89-DC88</f>
        <v>3.24512346075082E-012</v>
      </c>
      <c r="DD93" s="48" t="n">
        <f aca="false">DD89-DD88</f>
        <v>3.2856875040102E-012</v>
      </c>
      <c r="DE93" s="48" t="n">
        <f aca="false">DE89-DE88</f>
        <v>3.32675859781033E-012</v>
      </c>
      <c r="DF93" s="48" t="n">
        <f aca="false">DF89-DF88</f>
        <v>3.36834308028296E-012</v>
      </c>
      <c r="DG93" s="48" t="n">
        <f aca="false">DG89-DG88</f>
        <v>3.4104473687865E-012</v>
      </c>
      <c r="DH93" s="48" t="n">
        <f aca="false">DH89-DH88</f>
        <v>3.45307796089633E-012</v>
      </c>
      <c r="DI93" s="48" t="n">
        <f aca="false">DI89-DI88</f>
        <v>3.49624143540753E-012</v>
      </c>
      <c r="DJ93" s="48" t="n">
        <f aca="false">DJ89-DJ88</f>
        <v>3.53994445335013E-012</v>
      </c>
      <c r="DK93" s="48" t="n">
        <f aca="false">DK89-DK88</f>
        <v>3.584193759017E-012</v>
      </c>
      <c r="DL93" s="48" t="n">
        <f aca="false">DL89-DL88</f>
        <v>3.62899618100472E-012</v>
      </c>
      <c r="DM93" s="48" t="n">
        <f aca="false">DM89-DM88</f>
        <v>3.67435863326727E-012</v>
      </c>
      <c r="DN93" s="48" t="n">
        <f aca="false">DN89-DN88</f>
        <v>3.72028811618312E-012</v>
      </c>
      <c r="DO93" s="48" t="n">
        <f aca="false">DO89-DO88</f>
        <v>3.76679171763541E-012</v>
      </c>
      <c r="DP93" s="48" t="n">
        <f aca="false">DP89-DP88</f>
        <v>3.81387661410585E-012</v>
      </c>
      <c r="DQ93" s="48" t="n">
        <f aca="false">DQ89-DQ88</f>
        <v>3.86155007178217E-012</v>
      </c>
      <c r="DR93" s="48" t="n">
        <f aca="false">DR89-DR88</f>
        <v>3.90981944767945E-012</v>
      </c>
      <c r="DS93" s="48" t="n">
        <f aca="false">DS89-DS88</f>
        <v>3.95869219077544E-012</v>
      </c>
      <c r="DT93" s="48" t="n">
        <f aca="false">DT89-DT88</f>
        <v>4.00817584316013E-012</v>
      </c>
      <c r="DU93" s="48" t="n">
        <f aca="false">DU89-DU88</f>
        <v>4.05827804119964E-012</v>
      </c>
      <c r="DV93" s="48" t="n">
        <f aca="false">DV89-DV88</f>
        <v>4.10900651671463E-012</v>
      </c>
      <c r="DW93" s="48" t="n">
        <f aca="false">DW89-DW88</f>
        <v>4.16036909817356E-012</v>
      </c>
      <c r="DX93" s="48" t="n">
        <f aca="false">DX89-DX88</f>
        <v>4.21237371190073E-012</v>
      </c>
      <c r="DY93" s="48" t="n">
        <f aca="false">DY89-DY88</f>
        <v>4.26502838329949E-012</v>
      </c>
      <c r="DZ93" s="48" t="n">
        <f aca="false">DZ89-DZ88</f>
        <v>4.31834123809074E-012</v>
      </c>
      <c r="EA93" s="48" t="n">
        <f aca="false">EA89-EA88</f>
        <v>4.37232050356687E-012</v>
      </c>
      <c r="EB93" s="48" t="n">
        <f aca="false">EB89-EB88</f>
        <v>4.42697450986146E-012</v>
      </c>
      <c r="EC93" s="48" t="n">
        <f aca="false">EC89-EC88</f>
        <v>4.48231169123473E-012</v>
      </c>
      <c r="ED93" s="48" t="n">
        <f aca="false">ED89-ED88</f>
        <v>4.53834058737516E-012</v>
      </c>
      <c r="EE93" s="48" t="n">
        <f aca="false">EE89-EE88</f>
        <v>4.59506984471735E-012</v>
      </c>
      <c r="EF93" s="48" t="n">
        <f aca="false">EF89-EF88</f>
        <v>4.65250821777632E-012</v>
      </c>
      <c r="EG93" s="48" t="n">
        <f aca="false">EG89-EG88</f>
        <v>4.71066457049852E-012</v>
      </c>
      <c r="EH93" s="48" t="n">
        <f aca="false">EH89-EH88</f>
        <v>4.76954787762975E-012</v>
      </c>
      <c r="EI93" s="48" t="n">
        <f aca="false">EI89-EI88</f>
        <v>4.82916722610012E-012</v>
      </c>
      <c r="EJ93" s="48" t="n">
        <f aca="false">EJ89-EJ88</f>
        <v>4.88953181642637E-012</v>
      </c>
      <c r="EK93" s="48" t="n">
        <f aca="false">EK89-EK88</f>
        <v>4.9506509641317E-012</v>
      </c>
      <c r="EL93" s="48" t="n">
        <f aca="false">EL89-EL88</f>
        <v>5.01253410118335E-012</v>
      </c>
      <c r="EM93" s="48" t="n">
        <f aca="false">EM89-EM88</f>
        <v>5.07519077744814E-012</v>
      </c>
      <c r="EN93" s="48" t="n">
        <f aca="false">EN89-EN88</f>
        <v>5.13863066216624E-012</v>
      </c>
      <c r="EO93" s="48" t="n">
        <f aca="false">EO89-EO88</f>
        <v>5.20286354544332E-012</v>
      </c>
    </row>
    <row r="94" customFormat="false" ht="15" hidden="false" customHeight="false" outlineLevel="0" collapsed="false">
      <c r="C94" s="26" t="s">
        <v>449</v>
      </c>
      <c r="D94" s="12" t="s">
        <v>33</v>
      </c>
      <c r="E94" s="57" t="n">
        <f aca="false">SUMIF($J$4:$EO$4,In_COD,$J94:$EO94)</f>
        <v>58136.0350233236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6263.56952054795</v>
      </c>
      <c r="S94" s="57" t="n">
        <f aca="false">SUM(S90:S93)</f>
        <v>16954.4218381849</v>
      </c>
      <c r="T94" s="57" t="n">
        <f aca="false">SUM(T90:T93)</f>
        <v>23361.8393543129</v>
      </c>
      <c r="U94" s="57" t="n">
        <f aca="false">SUM(U90:U93)</f>
        <v>29917.4318667898</v>
      </c>
      <c r="V94" s="57" t="n">
        <f aca="false">SUM(V90:V93)</f>
        <v>36554.9692856726</v>
      </c>
      <c r="W94" s="57" t="n">
        <f aca="false">SUM(W90:W93)</f>
        <v>43139.3113674969</v>
      </c>
      <c r="X94" s="57" t="n">
        <f aca="false">SUM(X90:X93)</f>
        <v>49874.0400027413</v>
      </c>
      <c r="Y94" s="57" t="n">
        <f aca="false">SUM(Y90:Y93)</f>
        <v>58136.0350233236</v>
      </c>
      <c r="Z94" s="57" t="n">
        <f aca="false">SUM(Z90:Z93)</f>
        <v>57635.4885117123</v>
      </c>
      <c r="AA94" s="57" t="n">
        <f aca="false">SUM(AA90:AA93)</f>
        <v>57147.3172977667</v>
      </c>
      <c r="AB94" s="57" t="n">
        <f aca="false">SUM(AB90:AB93)</f>
        <v>56640.1693160323</v>
      </c>
      <c r="AC94" s="57" t="n">
        <f aca="false">SUM(AC90:AC93)</f>
        <v>56113.8166795537</v>
      </c>
      <c r="AD94" s="57" t="n">
        <f aca="false">SUM(AD90:AD93)</f>
        <v>55585.2507262519</v>
      </c>
      <c r="AE94" s="57" t="n">
        <f aca="false">SUM(AE90:AE93)</f>
        <v>55055.7159868885</v>
      </c>
      <c r="AF94" s="57" t="n">
        <f aca="false">SUM(AF90:AF93)</f>
        <v>54519.8222057297</v>
      </c>
      <c r="AG94" s="57" t="n">
        <f aca="false">SUM(AG90:AG93)</f>
        <v>53964.3386975676</v>
      </c>
      <c r="AH94" s="57" t="n">
        <f aca="false">SUM(AH90:AH93)</f>
        <v>53406.3180915165</v>
      </c>
      <c r="AI94" s="57" t="n">
        <f aca="false">SUM(AI90:AI93)</f>
        <v>52860.2773316528</v>
      </c>
      <c r="AJ94" s="57" t="n">
        <f aca="false">SUM(AJ90:AJ93)</f>
        <v>52278.4151779626</v>
      </c>
      <c r="AK94" s="57" t="n">
        <f aca="false">SUM(AK90:AK93)</f>
        <v>51676.1958474696</v>
      </c>
      <c r="AL94" s="57" t="n">
        <f aca="false">SUM(AL90:AL93)</f>
        <v>51086.39271176</v>
      </c>
      <c r="AM94" s="57" t="n">
        <f aca="false">SUM(AM90:AM93)</f>
        <v>50508.6967869397</v>
      </c>
      <c r="AN94" s="57" t="n">
        <f aca="false">SUM(AN90:AN93)</f>
        <v>49911.3908032897</v>
      </c>
      <c r="AO94" s="57" t="n">
        <f aca="false">SUM(AO90:AO93)</f>
        <v>49294.2489025873</v>
      </c>
      <c r="AP94" s="57" t="n">
        <f aca="false">SUM(AP90:AP93)</f>
        <v>48673.8455946002</v>
      </c>
      <c r="AQ94" s="57" t="n">
        <f aca="false">SUM(AQ90:AQ93)</f>
        <v>48065.3355354449</v>
      </c>
      <c r="AR94" s="57" t="n">
        <f aca="false">SUM(AR90:AR93)</f>
        <v>47436.8268755418</v>
      </c>
      <c r="AS94" s="57" t="n">
        <f aca="false">SUM(AS90:AS93)</f>
        <v>46788.0892816492</v>
      </c>
      <c r="AT94" s="57" t="n">
        <f aca="false">SUM(AT90:AT93)</f>
        <v>46135.7505455162</v>
      </c>
      <c r="AU94" s="57" t="n">
        <f aca="false">SUM(AU90:AU93)</f>
        <v>45482.0542942309</v>
      </c>
      <c r="AV94" s="57" t="n">
        <f aca="false">SUM(AV90:AV93)</f>
        <v>44820.8291173717</v>
      </c>
      <c r="AW94" s="57" t="n">
        <f aca="false">SUM(AW90:AW93)</f>
        <v>44138.9656274168</v>
      </c>
      <c r="AX94" s="57" t="n">
        <f aca="false">SUM(AX90:AX93)</f>
        <v>43453.1437119954</v>
      </c>
      <c r="AY94" s="57" t="n">
        <f aca="false">SUM(AY90:AY93)</f>
        <v>42778.7423046401</v>
      </c>
      <c r="AZ94" s="57" t="n">
        <f aca="false">SUM(AZ90:AZ93)</f>
        <v>42083.5193719176</v>
      </c>
      <c r="BA94" s="57" t="n">
        <f aca="false">SUM(BA90:BA93)</f>
        <v>41367.2351025785</v>
      </c>
      <c r="BB94" s="57" t="n">
        <f aca="false">SUM(BB90:BB93)</f>
        <v>40646.6202851623</v>
      </c>
      <c r="BC94" s="57" t="n">
        <f aca="false">SUM(BC90:BC93)</f>
        <v>39937.1675243757</v>
      </c>
      <c r="BD94" s="57" t="n">
        <f aca="false">SUM(BD90:BD93)</f>
        <v>39206.4592319402</v>
      </c>
      <c r="BE94" s="57" t="n">
        <f aca="false">SUM(BE90:BE93)</f>
        <v>38454.2505979527</v>
      </c>
      <c r="BF94" s="57" t="n">
        <f aca="false">SUM(BF90:BF93)</f>
        <v>37697.3220487241</v>
      </c>
      <c r="BG94" s="57" t="n">
        <f aca="false">SUM(BG90:BG93)</f>
        <v>36951.2808890317</v>
      </c>
      <c r="BH94" s="57" t="n">
        <f aca="false">SUM(BH90:BH93)</f>
        <v>36183.5336814123</v>
      </c>
      <c r="BI94" s="57" t="n">
        <f aca="false">SUM(BI90:BI93)</f>
        <v>35393.8304271562</v>
      </c>
      <c r="BJ94" s="57" t="n">
        <f aca="false">SUM(BJ90:BJ93)</f>
        <v>34598.9998765624</v>
      </c>
      <c r="BK94" s="57" t="n">
        <f aca="false">SUM(BK90:BK93)</f>
        <v>33801.6236548012</v>
      </c>
      <c r="BL94" s="57" t="n">
        <f aca="false">SUM(BL90:BL93)</f>
        <v>32995.0636780219</v>
      </c>
      <c r="BM94" s="57" t="n">
        <f aca="false">SUM(BM90:BM93)</f>
        <v>32166.0727540352</v>
      </c>
      <c r="BN94" s="57" t="n">
        <f aca="false">SUM(BN90:BN93)</f>
        <v>31331.5265711012</v>
      </c>
      <c r="BO94" s="57" t="n">
        <f aca="false">SUM(BO90:BO93)</f>
        <v>30507.2649405388</v>
      </c>
      <c r="BP94" s="57" t="n">
        <f aca="false">SUM(BP90:BP93)</f>
        <v>29660.3418866674</v>
      </c>
      <c r="BQ94" s="57" t="n">
        <f aca="false">SUM(BQ90:BQ93)</f>
        <v>28790.496407272</v>
      </c>
      <c r="BR94" s="57" t="n">
        <f aca="false">SUM(BR90:BR93)</f>
        <v>27914.6497280243</v>
      </c>
      <c r="BS94" s="57" t="n">
        <f aca="false">SUM(BS90:BS93)</f>
        <v>27048.7595060047</v>
      </c>
      <c r="BT94" s="57" t="n">
        <f aca="false">SUM(BT90:BT93)</f>
        <v>26159.7031289092</v>
      </c>
      <c r="BU94" s="57" t="n">
        <f aca="false">SUM(BU90:BU93)</f>
        <v>25247.213781291</v>
      </c>
      <c r="BV94" s="57" t="n">
        <f aca="false">SUM(BV90:BV93)</f>
        <v>24328.256751149</v>
      </c>
      <c r="BW94" s="57" t="n">
        <f aca="false">SUM(BW90:BW93)</f>
        <v>23418.908610023</v>
      </c>
      <c r="BX94" s="57" t="n">
        <f aca="false">SUM(BX90:BX93)</f>
        <v>22485.8698802651</v>
      </c>
      <c r="BY94" s="57" t="n">
        <f aca="false">SUM(BY90:BY93)</f>
        <v>21528.8677062816</v>
      </c>
      <c r="BZ94" s="57" t="n">
        <f aca="false">SUM(BZ90:BZ93)</f>
        <v>20564.9099062906</v>
      </c>
      <c r="CA94" s="57" t="n">
        <f aca="false">SUM(CA90:CA93)</f>
        <v>19596.9533498235</v>
      </c>
      <c r="CB94" s="57" t="n">
        <f aca="false">SUM(CB90:CB93)</f>
        <v>18617.8483848135</v>
      </c>
      <c r="CC94" s="57" t="n">
        <f aca="false">SUM(CC90:CC93)</f>
        <v>17614.2269148163</v>
      </c>
      <c r="CD94" s="57" t="n">
        <f aca="false">SUM(CD90:CD93)</f>
        <v>16603.1376771909</v>
      </c>
      <c r="CE94" s="57" t="n">
        <f aca="false">SUM(CE90:CE93)</f>
        <v>15600.8982973231</v>
      </c>
      <c r="CF94" s="57" t="n">
        <f aca="false">SUM(CF90:CF93)</f>
        <v>14573.8549299878</v>
      </c>
      <c r="CG94" s="57" t="n">
        <f aca="false">SUM(CG90:CG93)</f>
        <v>13521.7218960561</v>
      </c>
      <c r="CH94" s="57" t="n">
        <f aca="false">SUM(CH90:CH93)</f>
        <v>12461.5872199447</v>
      </c>
      <c r="CI94" s="57" t="n">
        <f aca="false">SUM(CI90:CI93)</f>
        <v>11409.8907053841</v>
      </c>
      <c r="CJ94" s="57" t="n">
        <f aca="false">SUM(CJ90:CJ93)</f>
        <v>10332.8010606143</v>
      </c>
      <c r="CK94" s="57" t="n">
        <f aca="false">SUM(CK90:CK93)</f>
        <v>9230.02582107387</v>
      </c>
      <c r="CL94" s="57" t="n">
        <f aca="false">SUM(CL90:CL93)</f>
        <v>8118.69058448985</v>
      </c>
      <c r="CM94" s="57" t="n">
        <f aca="false">SUM(CM90:CM93)</f>
        <v>7015.35844047775</v>
      </c>
      <c r="CN94" s="57" t="n">
        <f aca="false">SUM(CN90:CN93)</f>
        <v>5886.02049392007</v>
      </c>
      <c r="CO94" s="57" t="n">
        <f aca="false">SUM(CO90:CO93)</f>
        <v>4730.37722382144</v>
      </c>
      <c r="CP94" s="57" t="n">
        <f aca="false">SUM(CP90:CP93)</f>
        <v>3565.59002324847</v>
      </c>
      <c r="CQ94" s="57" t="n">
        <f aca="false">SUM(CQ90:CQ93)</f>
        <v>2395.03182686091</v>
      </c>
      <c r="CR94" s="57" t="n">
        <f aca="false">SUM(CR90:CR93)</f>
        <v>1210.99176405144</v>
      </c>
      <c r="CS94" s="57" t="n">
        <f aca="false">SUM(CS90:CS93)</f>
        <v>2.3214852262754E-010</v>
      </c>
      <c r="CT94" s="57" t="n">
        <f aca="false">SUM(CT90:CT93)</f>
        <v>2.35050379160384E-010</v>
      </c>
      <c r="CU94" s="57" t="n">
        <f aca="false">SUM(CU90:CU93)</f>
        <v>2.37988508899889E-010</v>
      </c>
      <c r="CV94" s="57" t="n">
        <f aca="false">SUM(CV90:CV93)</f>
        <v>2.40963365261138E-010</v>
      </c>
      <c r="CW94" s="57" t="n">
        <f aca="false">SUM(CW90:CW93)</f>
        <v>2.43975407326902E-010</v>
      </c>
      <c r="CX94" s="57" t="n">
        <f aca="false">SUM(CX90:CX93)</f>
        <v>2.47025099918488E-010</v>
      </c>
      <c r="CY94" s="57" t="n">
        <f aca="false">SUM(CY90:CY93)</f>
        <v>2.50112913667469E-010</v>
      </c>
      <c r="CZ94" s="57" t="n">
        <f aca="false">SUM(CZ90:CZ93)</f>
        <v>2.53239325088313E-010</v>
      </c>
      <c r="DA94" s="57" t="n">
        <f aca="false">SUM(DA90:DA93)</f>
        <v>2.56404816651917E-010</v>
      </c>
      <c r="DB94" s="57" t="n">
        <f aca="false">SUM(DB90:DB93)</f>
        <v>2.59609876860065E-010</v>
      </c>
      <c r="DC94" s="57" t="n">
        <f aca="false">SUM(DC90:DC93)</f>
        <v>2.62855000320816E-010</v>
      </c>
      <c r="DD94" s="57" t="n">
        <f aca="false">SUM(DD90:DD93)</f>
        <v>2.66140687824826E-010</v>
      </c>
      <c r="DE94" s="57" t="n">
        <f aca="false">SUM(DE90:DE93)</f>
        <v>2.69467446422637E-010</v>
      </c>
      <c r="DF94" s="57" t="n">
        <f aca="false">SUM(DF90:DF93)</f>
        <v>2.7283578950292E-010</v>
      </c>
      <c r="DG94" s="57" t="n">
        <f aca="false">SUM(DG90:DG93)</f>
        <v>2.76246236871706E-010</v>
      </c>
      <c r="DH94" s="57" t="n">
        <f aca="false">SUM(DH90:DH93)</f>
        <v>2.79699314832603E-010</v>
      </c>
      <c r="DI94" s="57" t="n">
        <f aca="false">SUM(DI90:DI93)</f>
        <v>2.8319555626801E-010</v>
      </c>
      <c r="DJ94" s="57" t="n">
        <f aca="false">SUM(DJ90:DJ93)</f>
        <v>2.8673550072136E-010</v>
      </c>
      <c r="DK94" s="57" t="n">
        <f aca="false">SUM(DK90:DK93)</f>
        <v>2.90319694480377E-010</v>
      </c>
      <c r="DL94" s="57" t="n">
        <f aca="false">SUM(DL90:DL93)</f>
        <v>2.93948690661382E-010</v>
      </c>
      <c r="DM94" s="57" t="n">
        <f aca="false">SUM(DM90:DM93)</f>
        <v>2.97623049294649E-010</v>
      </c>
      <c r="DN94" s="57" t="n">
        <f aca="false">SUM(DN90:DN93)</f>
        <v>3.01343337410832E-010</v>
      </c>
      <c r="DO94" s="57" t="n">
        <f aca="false">SUM(DO90:DO93)</f>
        <v>3.05110129128468E-010</v>
      </c>
      <c r="DP94" s="57" t="n">
        <f aca="false">SUM(DP90:DP93)</f>
        <v>3.08924005742574E-010</v>
      </c>
      <c r="DQ94" s="57" t="n">
        <f aca="false">SUM(DQ90:DQ93)</f>
        <v>3.12785555814356E-010</v>
      </c>
      <c r="DR94" s="57" t="n">
        <f aca="false">SUM(DR90:DR93)</f>
        <v>3.16695375262035E-010</v>
      </c>
      <c r="DS94" s="57" t="n">
        <f aca="false">SUM(DS90:DS93)</f>
        <v>3.20654067452811E-010</v>
      </c>
      <c r="DT94" s="57" t="n">
        <f aca="false">SUM(DT90:DT93)</f>
        <v>3.24662243295971E-010</v>
      </c>
      <c r="DU94" s="57" t="n">
        <f aca="false">SUM(DU90:DU93)</f>
        <v>3.2872052133717E-010</v>
      </c>
      <c r="DV94" s="57" t="n">
        <f aca="false">SUM(DV90:DV93)</f>
        <v>3.32829527853885E-010</v>
      </c>
      <c r="DW94" s="57" t="n">
        <f aca="false">SUM(DW90:DW93)</f>
        <v>3.36989896952059E-010</v>
      </c>
      <c r="DX94" s="57" t="n">
        <f aca="false">SUM(DX90:DX93)</f>
        <v>3.41202270663959E-010</v>
      </c>
      <c r="DY94" s="57" t="n">
        <f aca="false">SUM(DY90:DY93)</f>
        <v>3.45467299047259E-010</v>
      </c>
      <c r="DZ94" s="57" t="n">
        <f aca="false">SUM(DZ90:DZ93)</f>
        <v>3.4978564028535E-010</v>
      </c>
      <c r="EA94" s="57" t="n">
        <f aca="false">SUM(EA90:EA93)</f>
        <v>3.54157960788917E-010</v>
      </c>
      <c r="EB94" s="57" t="n">
        <f aca="false">SUM(EB90:EB93)</f>
        <v>3.58584935298778E-010</v>
      </c>
      <c r="EC94" s="57" t="n">
        <f aca="false">SUM(EC90:EC93)</f>
        <v>3.63067246990013E-010</v>
      </c>
      <c r="ED94" s="57" t="n">
        <f aca="false">SUM(ED90:ED93)</f>
        <v>3.67605587577388E-010</v>
      </c>
      <c r="EE94" s="57" t="n">
        <f aca="false">SUM(EE90:EE93)</f>
        <v>3.72200657422105E-010</v>
      </c>
      <c r="EF94" s="57" t="n">
        <f aca="false">SUM(EF90:EF93)</f>
        <v>3.76853165639881E-010</v>
      </c>
      <c r="EG94" s="57" t="n">
        <f aca="false">SUM(EG90:EG93)</f>
        <v>3.8156383021038E-010</v>
      </c>
      <c r="EH94" s="57" t="n">
        <f aca="false">SUM(EH90:EH93)</f>
        <v>3.8633337808801E-010</v>
      </c>
      <c r="EI94" s="57" t="n">
        <f aca="false">SUM(EI90:EI93)</f>
        <v>3.9116254531411E-010</v>
      </c>
      <c r="EJ94" s="57" t="n">
        <f aca="false">SUM(EJ90:EJ93)</f>
        <v>3.96052077130536E-010</v>
      </c>
      <c r="EK94" s="57" t="n">
        <f aca="false">SUM(EK90:EK93)</f>
        <v>4.01002728094668E-010</v>
      </c>
      <c r="EL94" s="57" t="n">
        <f aca="false">SUM(EL90:EL93)</f>
        <v>4.06015262195851E-010</v>
      </c>
      <c r="EM94" s="57" t="n">
        <f aca="false">SUM(EM90:EM93)</f>
        <v>4.11090452973299E-010</v>
      </c>
      <c r="EN94" s="57" t="n">
        <f aca="false">SUM(EN90:EN93)</f>
        <v>4.16229083635466E-010</v>
      </c>
      <c r="EO94" s="57" t="n">
        <f aca="false">SUM(EO90:EO93)</f>
        <v>4.21431947180909E-010</v>
      </c>
    </row>
    <row r="95" customFormat="false" ht="15" hidden="false" customHeight="false" outlineLevel="0" collapsed="false">
      <c r="C95" s="1" t="s">
        <v>450</v>
      </c>
      <c r="D95" s="12" t="s">
        <v>33</v>
      </c>
      <c r="I95" s="48" t="n">
        <f aca="false">SUM(J95:EO95)</f>
        <v>-1017.38061290816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-1017.38061290816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451</v>
      </c>
      <c r="D96" s="12" t="s">
        <v>33</v>
      </c>
      <c r="I96" s="48" t="n">
        <f aca="false">SUM(J96:EO96)</f>
        <v>-548.095640244877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-126.037967706361</v>
      </c>
      <c r="S96" s="48" t="n">
        <f aca="false">-In_Commitment_Fee*($I91-SUM($J91:S91)+S91)*S$6*(S12&gt;0)</f>
        <v>-109.398035690373</v>
      </c>
      <c r="T96" s="48" t="n">
        <f aca="false">-In_Commitment_Fee*($I91-SUM($J91:T91)+T91)*T$6*(T12&gt;0)</f>
        <v>-86.8007344745731</v>
      </c>
      <c r="U96" s="48" t="n">
        <f aca="false">-In_Commitment_Fee*($I91-SUM($J91:U91)+U91)*U$6*(U12&gt;0)</f>
        <v>-73.7001683233252</v>
      </c>
      <c r="V96" s="48" t="n">
        <f aca="false">-In_Commitment_Fee*($I91-SUM($J91:V91)+V91)*V$6*(V12&gt;0)</f>
        <v>-59.4913037671233</v>
      </c>
      <c r="W96" s="48" t="n">
        <f aca="false">-In_Commitment_Fee*($I91-SUM($J91:W91)+W91)*W$6*(W12&gt;0)</f>
        <v>-44.29803835851</v>
      </c>
      <c r="X96" s="48" t="n">
        <f aca="false">-In_Commitment_Fee*($I91-SUM($J91:X91)+X91)*X$6*(X12&gt;0)</f>
        <v>-31.0413492862169</v>
      </c>
      <c r="Y96" s="48" t="n">
        <f aca="false">-In_Commitment_Fee*($I91-SUM($J91:Y91)+Y91)*Y$6*(Y12&gt;0)</f>
        <v>-17.3280426383937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452</v>
      </c>
      <c r="D97" s="12" t="s">
        <v>33</v>
      </c>
      <c r="E97" s="48" t="n">
        <f aca="false">-SUMIFS($J89:$EO89,$J$4:$EO$4,"&gt;"&amp;In_COD,$J$4:$EO$4,"&lt;="&amp;EDATE(In_COD,In_DSRA_Months))</f>
        <v>1227.24694940278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-1227.24694940278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1227.24694940278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453</v>
      </c>
      <c r="D98" s="12" t="s">
        <v>13</v>
      </c>
      <c r="E98" s="53" t="n">
        <f aca="false">MIN($J98:$EO98)</f>
        <v>1.90833454824509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1.90833454824509</v>
      </c>
      <c r="AA98" s="53" t="n">
        <f aca="false">IF(AA89&lt;0,AA83/-AA89,"")</f>
        <v>1.90833454824509</v>
      </c>
      <c r="AB98" s="53" t="n">
        <f aca="false">IF(AB89&lt;0,AB83/-AB89,"")</f>
        <v>1.90833454824509</v>
      </c>
      <c r="AC98" s="53" t="n">
        <f aca="false">IF(AC89&lt;0,AC83/-AC89,"")</f>
        <v>1.90833454824509</v>
      </c>
      <c r="AD98" s="53" t="n">
        <f aca="false">IF(AD89&lt;0,AD83/-AD89,"")</f>
        <v>1.90833454824509</v>
      </c>
      <c r="AE98" s="53" t="n">
        <f aca="false">IF(AE89&lt;0,AE83/-AE89,"")</f>
        <v>1.90833454824509</v>
      </c>
      <c r="AF98" s="53" t="n">
        <f aca="false">IF(AF89&lt;0,AF83/-AF89,"")</f>
        <v>1.90833454824509</v>
      </c>
      <c r="AG98" s="53" t="n">
        <f aca="false">IF(AG89&lt;0,AG83/-AG89,"")</f>
        <v>1.90833454824509</v>
      </c>
      <c r="AH98" s="53" t="n">
        <f aca="false">IF(AH89&lt;0,AH83/-AH89,"")</f>
        <v>1.90833454824509</v>
      </c>
      <c r="AI98" s="53" t="n">
        <f aca="false">IF(AI89&lt;0,AI83/-AI89,"")</f>
        <v>1.90833454824509</v>
      </c>
      <c r="AJ98" s="53" t="n">
        <f aca="false">IF(AJ89&lt;0,AJ83/-AJ89,"")</f>
        <v>1.90833454824509</v>
      </c>
      <c r="AK98" s="53" t="n">
        <f aca="false">IF(AK89&lt;0,AK83/-AK89,"")</f>
        <v>1.90833454824509</v>
      </c>
      <c r="AL98" s="53" t="n">
        <f aca="false">IF(AL89&lt;0,AL83/-AL89,"")</f>
        <v>1.90833454824509</v>
      </c>
      <c r="AM98" s="53" t="n">
        <f aca="false">IF(AM89&lt;0,AM83/-AM89,"")</f>
        <v>1.90833454824509</v>
      </c>
      <c r="AN98" s="53" t="n">
        <f aca="false">IF(AN89&lt;0,AN83/-AN89,"")</f>
        <v>1.90833454824509</v>
      </c>
      <c r="AO98" s="53" t="n">
        <f aca="false">IF(AO89&lt;0,AO83/-AO89,"")</f>
        <v>1.90833454824509</v>
      </c>
      <c r="AP98" s="53" t="n">
        <f aca="false">IF(AP89&lt;0,AP83/-AP89,"")</f>
        <v>1.90833454824509</v>
      </c>
      <c r="AQ98" s="53" t="n">
        <f aca="false">IF(AQ89&lt;0,AQ83/-AQ89,"")</f>
        <v>1.90833454824509</v>
      </c>
      <c r="AR98" s="53" t="n">
        <f aca="false">IF(AR89&lt;0,AR83/-AR89,"")</f>
        <v>1.90833454824509</v>
      </c>
      <c r="AS98" s="53" t="n">
        <f aca="false">IF(AS89&lt;0,AS83/-AS89,"")</f>
        <v>1.90833454824509</v>
      </c>
      <c r="AT98" s="53" t="n">
        <f aca="false">IF(AT89&lt;0,AT83/-AT89,"")</f>
        <v>1.90833454824509</v>
      </c>
      <c r="AU98" s="53" t="n">
        <f aca="false">IF(AU89&lt;0,AU83/-AU89,"")</f>
        <v>1.90833454824509</v>
      </c>
      <c r="AV98" s="53" t="n">
        <f aca="false">IF(AV89&lt;0,AV83/-AV89,"")</f>
        <v>1.90833454824509</v>
      </c>
      <c r="AW98" s="53" t="n">
        <f aca="false">IF(AW89&lt;0,AW83/-AW89,"")</f>
        <v>1.90833454824509</v>
      </c>
      <c r="AX98" s="53" t="n">
        <f aca="false">IF(AX89&lt;0,AX83/-AX89,"")</f>
        <v>1.90833454824509</v>
      </c>
      <c r="AY98" s="53" t="n">
        <f aca="false">IF(AY89&lt;0,AY83/-AY89,"")</f>
        <v>1.90833454824509</v>
      </c>
      <c r="AZ98" s="53" t="n">
        <f aca="false">IF(AZ89&lt;0,AZ83/-AZ89,"")</f>
        <v>1.90833454824509</v>
      </c>
      <c r="BA98" s="53" t="n">
        <f aca="false">IF(BA89&lt;0,BA83/-BA89,"")</f>
        <v>1.90833454824509</v>
      </c>
      <c r="BB98" s="53" t="n">
        <f aca="false">IF(BB89&lt;0,BB83/-BB89,"")</f>
        <v>1.90833454824509</v>
      </c>
      <c r="BC98" s="53" t="n">
        <f aca="false">IF(BC89&lt;0,BC83/-BC89,"")</f>
        <v>1.90833454824509</v>
      </c>
      <c r="BD98" s="53" t="n">
        <f aca="false">IF(BD89&lt;0,BD83/-BD89,"")</f>
        <v>1.90833454824509</v>
      </c>
      <c r="BE98" s="53" t="n">
        <f aca="false">IF(BE89&lt;0,BE83/-BE89,"")</f>
        <v>1.90833454824509</v>
      </c>
      <c r="BF98" s="53" t="n">
        <f aca="false">IF(BF89&lt;0,BF83/-BF89,"")</f>
        <v>1.90833454824509</v>
      </c>
      <c r="BG98" s="53" t="n">
        <f aca="false">IF(BG89&lt;0,BG83/-BG89,"")</f>
        <v>1.90833454824509</v>
      </c>
      <c r="BH98" s="53" t="n">
        <f aca="false">IF(BH89&lt;0,BH83/-BH89,"")</f>
        <v>1.90833454824509</v>
      </c>
      <c r="BI98" s="53" t="n">
        <f aca="false">IF(BI89&lt;0,BI83/-BI89,"")</f>
        <v>1.90833454824509</v>
      </c>
      <c r="BJ98" s="53" t="n">
        <f aca="false">IF(BJ89&lt;0,BJ83/-BJ89,"")</f>
        <v>1.90833454824509</v>
      </c>
      <c r="BK98" s="53" t="n">
        <f aca="false">IF(BK89&lt;0,BK83/-BK89,"")</f>
        <v>1.90833454824509</v>
      </c>
      <c r="BL98" s="53" t="n">
        <f aca="false">IF(BL89&lt;0,BL83/-BL89,"")</f>
        <v>1.90833454824509</v>
      </c>
      <c r="BM98" s="53" t="n">
        <f aca="false">IF(BM89&lt;0,BM83/-BM89,"")</f>
        <v>1.90833454824509</v>
      </c>
      <c r="BN98" s="53" t="n">
        <f aca="false">IF(BN89&lt;0,BN83/-BN89,"")</f>
        <v>1.90833454824509</v>
      </c>
      <c r="BO98" s="53" t="n">
        <f aca="false">IF(BO89&lt;0,BO83/-BO89,"")</f>
        <v>1.90833454824509</v>
      </c>
      <c r="BP98" s="53" t="n">
        <f aca="false">IF(BP89&lt;0,BP83/-BP89,"")</f>
        <v>1.90833454824509</v>
      </c>
      <c r="BQ98" s="53" t="n">
        <f aca="false">IF(BQ89&lt;0,BQ83/-BQ89,"")</f>
        <v>1.90833454824509</v>
      </c>
      <c r="BR98" s="53" t="n">
        <f aca="false">IF(BR89&lt;0,BR83/-BR89,"")</f>
        <v>1.90833454824509</v>
      </c>
      <c r="BS98" s="53" t="n">
        <f aca="false">IF(BS89&lt;0,BS83/-BS89,"")</f>
        <v>1.90833454824509</v>
      </c>
      <c r="BT98" s="53" t="n">
        <f aca="false">IF(BT89&lt;0,BT83/-BT89,"")</f>
        <v>1.90833454824509</v>
      </c>
      <c r="BU98" s="53" t="n">
        <f aca="false">IF(BU89&lt;0,BU83/-BU89,"")</f>
        <v>1.90833454824509</v>
      </c>
      <c r="BV98" s="53" t="n">
        <f aca="false">IF(BV89&lt;0,BV83/-BV89,"")</f>
        <v>1.90833454824509</v>
      </c>
      <c r="BW98" s="53" t="n">
        <f aca="false">IF(BW89&lt;0,BW83/-BW89,"")</f>
        <v>1.90833454824509</v>
      </c>
      <c r="BX98" s="53" t="n">
        <f aca="false">IF(BX89&lt;0,BX83/-BX89,"")</f>
        <v>1.90833454824509</v>
      </c>
      <c r="BY98" s="53" t="n">
        <f aca="false">IF(BY89&lt;0,BY83/-BY89,"")</f>
        <v>1.90833454824509</v>
      </c>
      <c r="BZ98" s="53" t="n">
        <f aca="false">IF(BZ89&lt;0,BZ83/-BZ89,"")</f>
        <v>1.90833454824509</v>
      </c>
      <c r="CA98" s="53" t="n">
        <f aca="false">IF(CA89&lt;0,CA83/-CA89,"")</f>
        <v>1.90833454824509</v>
      </c>
      <c r="CB98" s="53" t="n">
        <f aca="false">IF(CB89&lt;0,CB83/-CB89,"")</f>
        <v>1.90833454824509</v>
      </c>
      <c r="CC98" s="53" t="n">
        <f aca="false">IF(CC89&lt;0,CC83/-CC89,"")</f>
        <v>1.90833454824509</v>
      </c>
      <c r="CD98" s="53" t="n">
        <f aca="false">IF(CD89&lt;0,CD83/-CD89,"")</f>
        <v>1.90833454824509</v>
      </c>
      <c r="CE98" s="53" t="n">
        <f aca="false">IF(CE89&lt;0,CE83/-CE89,"")</f>
        <v>1.90833454824509</v>
      </c>
      <c r="CF98" s="53" t="n">
        <f aca="false">IF(CF89&lt;0,CF83/-CF89,"")</f>
        <v>1.90833454824509</v>
      </c>
      <c r="CG98" s="53" t="n">
        <f aca="false">IF(CG89&lt;0,CG83/-CG89,"")</f>
        <v>1.90833454824509</v>
      </c>
      <c r="CH98" s="53" t="n">
        <f aca="false">IF(CH89&lt;0,CH83/-CH89,"")</f>
        <v>1.90833454824509</v>
      </c>
      <c r="CI98" s="53" t="n">
        <f aca="false">IF(CI89&lt;0,CI83/-CI89,"")</f>
        <v>1.90833454824509</v>
      </c>
      <c r="CJ98" s="53" t="n">
        <f aca="false">IF(CJ89&lt;0,CJ83/-CJ89,"")</f>
        <v>1.90833454824509</v>
      </c>
      <c r="CK98" s="53" t="n">
        <f aca="false">IF(CK89&lt;0,CK83/-CK89,"")</f>
        <v>1.90833454824509</v>
      </c>
      <c r="CL98" s="53" t="n">
        <f aca="false">IF(CL89&lt;0,CL83/-CL89,"")</f>
        <v>1.90833454824509</v>
      </c>
      <c r="CM98" s="53" t="n">
        <f aca="false">IF(CM89&lt;0,CM83/-CM89,"")</f>
        <v>1.90833454824509</v>
      </c>
      <c r="CN98" s="53" t="n">
        <f aca="false">IF(CN89&lt;0,CN83/-CN89,"")</f>
        <v>1.90833454824509</v>
      </c>
      <c r="CO98" s="53" t="n">
        <f aca="false">IF(CO89&lt;0,CO83/-CO89,"")</f>
        <v>1.90833454824509</v>
      </c>
      <c r="CP98" s="53" t="n">
        <f aca="false">IF(CP89&lt;0,CP83/-CP89,"")</f>
        <v>1.90833454824509</v>
      </c>
      <c r="CQ98" s="53" t="n">
        <f aca="false">IF(CQ89&lt;0,CQ83/-CQ89,"")</f>
        <v>1.90833454824509</v>
      </c>
      <c r="CR98" s="53" t="n">
        <f aca="false">IF(CR89&lt;0,CR83/-CR89,"")</f>
        <v>1.90833454824509</v>
      </c>
      <c r="CS98" s="53" t="n">
        <f aca="false">IF(CS89&lt;0,CS83/-CS89,"")</f>
        <v>1.90833454824509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454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455</v>
      </c>
      <c r="D101" s="12" t="s">
        <v>33</v>
      </c>
      <c r="E101" s="48" t="n">
        <f aca="false">$I92-($I64+$I54+$I65+$I51+$I44+$I45+$I46)</f>
        <v>109360.831297296</v>
      </c>
      <c r="I101" s="48" t="n">
        <f aca="false">SUM(J101:EO101)</f>
        <v>-109360.831297296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-1377.30273502413</v>
      </c>
      <c r="AA101" s="48" t="n">
        <f aca="false">-$E101*AA19</f>
        <v>-1347.36137121925</v>
      </c>
      <c r="AB101" s="48" t="n">
        <f aca="false">-$E101*AB19</f>
        <v>-1362.33205312169</v>
      </c>
      <c r="AC101" s="48" t="n">
        <f aca="false">-$E101*AC19</f>
        <v>-1377.30273502413</v>
      </c>
      <c r="AD101" s="48" t="n">
        <f aca="false">-$E101*AD19</f>
        <v>-1377.30273502413</v>
      </c>
      <c r="AE101" s="48" t="n">
        <f aca="false">-$E101*AE19</f>
        <v>-1362.33205312169</v>
      </c>
      <c r="AF101" s="48" t="n">
        <f aca="false">-$E101*AF19</f>
        <v>-1362.33205312169</v>
      </c>
      <c r="AG101" s="48" t="n">
        <f aca="false">-$E101*AG19</f>
        <v>-1377.30273502413</v>
      </c>
      <c r="AH101" s="48" t="n">
        <f aca="false">-$E101*AH19</f>
        <v>-1377.30273502413</v>
      </c>
      <c r="AI101" s="48" t="n">
        <f aca="false">-$E101*AI19</f>
        <v>-1347.36137121925</v>
      </c>
      <c r="AJ101" s="48" t="n">
        <f aca="false">-$E101*AJ19</f>
        <v>-1362.33205312169</v>
      </c>
      <c r="AK101" s="48" t="n">
        <f aca="false">-$E101*AK19</f>
        <v>-1377.30273502413</v>
      </c>
      <c r="AL101" s="48" t="n">
        <f aca="false">-$E101*AL19</f>
        <v>-1377.30273502413</v>
      </c>
      <c r="AM101" s="48" t="n">
        <f aca="false">-$E101*AM19</f>
        <v>-1347.36137121925</v>
      </c>
      <c r="AN101" s="48" t="n">
        <f aca="false">-$E101*AN19</f>
        <v>-1362.33205312169</v>
      </c>
      <c r="AO101" s="48" t="n">
        <f aca="false">-$E101*AO19</f>
        <v>-1377.30273502413</v>
      </c>
      <c r="AP101" s="48" t="n">
        <f aca="false">-$E101*AP19</f>
        <v>-1377.30273502413</v>
      </c>
      <c r="AQ101" s="48" t="n">
        <f aca="false">-$E101*AQ19</f>
        <v>-1347.36137121925</v>
      </c>
      <c r="AR101" s="48" t="n">
        <f aca="false">-$E101*AR19</f>
        <v>-1362.33205312169</v>
      </c>
      <c r="AS101" s="48" t="n">
        <f aca="false">-$E101*AS19</f>
        <v>-1377.30273502413</v>
      </c>
      <c r="AT101" s="48" t="n">
        <f aca="false">-$E101*AT19</f>
        <v>-1377.30273502413</v>
      </c>
      <c r="AU101" s="48" t="n">
        <f aca="false">-$E101*AU19</f>
        <v>-1362.33205312169</v>
      </c>
      <c r="AV101" s="48" t="n">
        <f aca="false">-$E101*AV19</f>
        <v>-1362.33205312169</v>
      </c>
      <c r="AW101" s="48" t="n">
        <f aca="false">-$E101*AW19</f>
        <v>-1377.30273502413</v>
      </c>
      <c r="AX101" s="48" t="n">
        <f aca="false">-$E101*AX19</f>
        <v>-1377.30273502413</v>
      </c>
      <c r="AY101" s="48" t="n">
        <f aca="false">-$E101*AY19</f>
        <v>-1347.36137121925</v>
      </c>
      <c r="AZ101" s="48" t="n">
        <f aca="false">-$E101*AZ19</f>
        <v>-1362.33205312169</v>
      </c>
      <c r="BA101" s="48" t="n">
        <f aca="false">-$E101*BA19</f>
        <v>-1377.30273502413</v>
      </c>
      <c r="BB101" s="48" t="n">
        <f aca="false">-$E101*BB19</f>
        <v>-1377.30273502413</v>
      </c>
      <c r="BC101" s="48" t="n">
        <f aca="false">-$E101*BC19</f>
        <v>-1347.36137121925</v>
      </c>
      <c r="BD101" s="48" t="n">
        <f aca="false">-$E101*BD19</f>
        <v>-1362.33205312169</v>
      </c>
      <c r="BE101" s="48" t="n">
        <f aca="false">-$E101*BE19</f>
        <v>-1377.30273502413</v>
      </c>
      <c r="BF101" s="48" t="n">
        <f aca="false">-$E101*BF19</f>
        <v>-1377.30273502413</v>
      </c>
      <c r="BG101" s="48" t="n">
        <f aca="false">-$E101*BG19</f>
        <v>-1347.36137121925</v>
      </c>
      <c r="BH101" s="48" t="n">
        <f aca="false">-$E101*BH19</f>
        <v>-1362.33205312169</v>
      </c>
      <c r="BI101" s="48" t="n">
        <f aca="false">-$E101*BI19</f>
        <v>-1377.30273502413</v>
      </c>
      <c r="BJ101" s="48" t="n">
        <f aca="false">-$E101*BJ19</f>
        <v>-1377.30273502413</v>
      </c>
      <c r="BK101" s="48" t="n">
        <f aca="false">-$E101*BK19</f>
        <v>-1362.33205312169</v>
      </c>
      <c r="BL101" s="48" t="n">
        <f aca="false">-$E101*BL19</f>
        <v>-1362.33205312169</v>
      </c>
      <c r="BM101" s="48" t="n">
        <f aca="false">-$E101*BM19</f>
        <v>-1377.30273502413</v>
      </c>
      <c r="BN101" s="48" t="n">
        <f aca="false">-$E101*BN19</f>
        <v>-1377.30273502413</v>
      </c>
      <c r="BO101" s="48" t="n">
        <f aca="false">-$E101*BO19</f>
        <v>-1347.36137121925</v>
      </c>
      <c r="BP101" s="48" t="n">
        <f aca="false">-$E101*BP19</f>
        <v>-1362.33205312169</v>
      </c>
      <c r="BQ101" s="48" t="n">
        <f aca="false">-$E101*BQ19</f>
        <v>-1377.30273502413</v>
      </c>
      <c r="BR101" s="48" t="n">
        <f aca="false">-$E101*BR19</f>
        <v>-1377.30273502413</v>
      </c>
      <c r="BS101" s="48" t="n">
        <f aca="false">-$E101*BS19</f>
        <v>-1347.36137121925</v>
      </c>
      <c r="BT101" s="48" t="n">
        <f aca="false">-$E101*BT19</f>
        <v>-1362.33205312169</v>
      </c>
      <c r="BU101" s="48" t="n">
        <f aca="false">-$E101*BU19</f>
        <v>-1377.30273502413</v>
      </c>
      <c r="BV101" s="48" t="n">
        <f aca="false">-$E101*BV19</f>
        <v>-1377.30273502413</v>
      </c>
      <c r="BW101" s="48" t="n">
        <f aca="false">-$E101*BW19</f>
        <v>-1347.36137121925</v>
      </c>
      <c r="BX101" s="48" t="n">
        <f aca="false">-$E101*BX19</f>
        <v>-1362.33205312169</v>
      </c>
      <c r="BY101" s="48" t="n">
        <f aca="false">-$E101*BY19</f>
        <v>-1377.30273502413</v>
      </c>
      <c r="BZ101" s="48" t="n">
        <f aca="false">-$E101*BZ19</f>
        <v>-1377.30273502413</v>
      </c>
      <c r="CA101" s="48" t="n">
        <f aca="false">-$E101*CA19</f>
        <v>-1362.33205312169</v>
      </c>
      <c r="CB101" s="48" t="n">
        <f aca="false">-$E101*CB19</f>
        <v>-1362.33205312169</v>
      </c>
      <c r="CC101" s="48" t="n">
        <f aca="false">-$E101*CC19</f>
        <v>-1377.30273502413</v>
      </c>
      <c r="CD101" s="48" t="n">
        <f aca="false">-$E101*CD19</f>
        <v>-1377.30273502413</v>
      </c>
      <c r="CE101" s="48" t="n">
        <f aca="false">-$E101*CE19</f>
        <v>-1347.36137121925</v>
      </c>
      <c r="CF101" s="48" t="n">
        <f aca="false">-$E101*CF19</f>
        <v>-1362.33205312169</v>
      </c>
      <c r="CG101" s="48" t="n">
        <f aca="false">-$E101*CG19</f>
        <v>-1377.30273502413</v>
      </c>
      <c r="CH101" s="48" t="n">
        <f aca="false">-$E101*CH19</f>
        <v>-1377.30273502413</v>
      </c>
      <c r="CI101" s="48" t="n">
        <f aca="false">-$E101*CI19</f>
        <v>-1347.36137121925</v>
      </c>
      <c r="CJ101" s="48" t="n">
        <f aca="false">-$E101*CJ19</f>
        <v>-1362.33205312169</v>
      </c>
      <c r="CK101" s="48" t="n">
        <f aca="false">-$E101*CK19</f>
        <v>-1377.30273502413</v>
      </c>
      <c r="CL101" s="48" t="n">
        <f aca="false">-$E101*CL19</f>
        <v>-1377.30273502413</v>
      </c>
      <c r="CM101" s="48" t="n">
        <f aca="false">-$E101*CM19</f>
        <v>-1347.36137121925</v>
      </c>
      <c r="CN101" s="48" t="n">
        <f aca="false">-$E101*CN19</f>
        <v>-1362.33205312169</v>
      </c>
      <c r="CO101" s="48" t="n">
        <f aca="false">-$E101*CO19</f>
        <v>-1377.30273502413</v>
      </c>
      <c r="CP101" s="48" t="n">
        <f aca="false">-$E101*CP19</f>
        <v>-1377.30273502413</v>
      </c>
      <c r="CQ101" s="48" t="n">
        <f aca="false">-$E101*CQ19</f>
        <v>-1362.33205312169</v>
      </c>
      <c r="CR101" s="48" t="n">
        <f aca="false">-$E101*CR19</f>
        <v>-1362.33205312169</v>
      </c>
      <c r="CS101" s="48" t="n">
        <f aca="false">-$E101*CS19</f>
        <v>-1377.30273502413</v>
      </c>
      <c r="CT101" s="48" t="n">
        <f aca="false">-$E101*CT19</f>
        <v>-1377.30273502413</v>
      </c>
      <c r="CU101" s="48" t="n">
        <f aca="false">-$E101*CU19</f>
        <v>-1347.36137121925</v>
      </c>
      <c r="CV101" s="48" t="n">
        <f aca="false">-$E101*CV19</f>
        <v>-1362.33205312169</v>
      </c>
      <c r="CW101" s="48" t="n">
        <f aca="false">-$E101*CW19</f>
        <v>-1377.30273502413</v>
      </c>
      <c r="CX101" s="48" t="n">
        <f aca="false">-$E101*CX19</f>
        <v>-1377.30273502413</v>
      </c>
      <c r="CY101" s="48" t="n">
        <f aca="false">-$E101*CY19</f>
        <v>-1347.36137121925</v>
      </c>
      <c r="CZ101" s="48" t="n">
        <f aca="false">-$E101*CZ19</f>
        <v>-1362.33205312169</v>
      </c>
      <c r="DA101" s="48" t="n">
        <f aca="false">-$E101*DA19</f>
        <v>-1377.30273502413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456</v>
      </c>
      <c r="D102" s="12" t="s">
        <v>33</v>
      </c>
      <c r="I102" s="48" t="n">
        <f aca="false">SUM(J102:EO102)</f>
        <v>153284.036207255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-1218.50271592122</v>
      </c>
      <c r="S102" s="48" t="n">
        <f aca="false">S79+S101+S88+S95+S96+S48+S55</f>
        <v>-183.866425403357</v>
      </c>
      <c r="T102" s="48" t="n">
        <f aca="false">T79+T101+T88+T95+T96+T48+T55</f>
        <v>-162.096550739923</v>
      </c>
      <c r="U102" s="48" t="n">
        <f aca="false">U79+U101+U88+U95+U96+U48+U55</f>
        <v>-149.823411141041</v>
      </c>
      <c r="V102" s="48" t="n">
        <f aca="false">V79+V101+V88+V95+V96+V48+V55</f>
        <v>-135.61454658484</v>
      </c>
      <c r="W102" s="48" t="n">
        <f aca="false">W79+W101+W88+W95+W96+W48+W55</f>
        <v>-119.80835924423</v>
      </c>
      <c r="X102" s="48" t="n">
        <f aca="false">X79+X101+X88+X95+X96+X48+X55</f>
        <v>-107.390673737333</v>
      </c>
      <c r="Y102" s="48" t="n">
        <f aca="false">Y79+Y101+Y88+Y95+Y96+Y48+Y55</f>
        <v>-94.5163706549071</v>
      </c>
      <c r="Z102" s="48" t="n">
        <f aca="false">Z79+Z101+Z88+Z95+Z96+Z48+Z55</f>
        <v>257.291437792473</v>
      </c>
      <c r="AA102" s="48" t="n">
        <f aca="false">AA79+AA101+AA88+AA95+AA96+AA48+AA55</f>
        <v>257.985340069445</v>
      </c>
      <c r="AB102" s="48" t="n">
        <f aca="false">AB79+AB101+AB88+AB95+AB96+AB48+AB55</f>
        <v>274.958912982274</v>
      </c>
      <c r="AC102" s="48" t="n">
        <f aca="false">AC79+AC101+AC88+AC95+AC96+AC48+AC55</f>
        <v>292.169695492465</v>
      </c>
      <c r="AD102" s="48" t="n">
        <f aca="false">AD79+AD101+AD88+AD95+AD96+AD48+AD55</f>
        <v>290.27504187829</v>
      </c>
      <c r="AE102" s="48" t="n">
        <f aca="false">AE79+AE101+AE88+AE95+AE96+AE48+AE55</f>
        <v>301.970194157653</v>
      </c>
      <c r="AF102" s="48" t="n">
        <f aca="false">AF79+AF101+AF88+AF95+AF96+AF48+AF55</f>
        <v>308.589378399695</v>
      </c>
      <c r="AG102" s="48" t="n">
        <f aca="false">AG79+AG101+AG88+AG95+AG96+AG48+AG55</f>
        <v>326.241741084355</v>
      </c>
      <c r="AH102" s="48" t="n">
        <f aca="false">AH79+AH101+AH88+AH95+AH96+AH48+AH55</f>
        <v>324.657493285468</v>
      </c>
      <c r="AI102" s="48" t="n">
        <f aca="false">AI79+AI101+AI88+AI95+AI96+AI48+AI55</f>
        <v>325.461754911529</v>
      </c>
      <c r="AJ102" s="48" t="n">
        <f aca="false">AJ79+AJ101+AJ88+AJ95+AJ96+AJ48+AJ55</f>
        <v>376.476539145122</v>
      </c>
      <c r="AK102" s="48" t="n">
        <f aca="false">AK79+AK101+AK88+AK95+AK96+AK48+AK55</f>
        <v>395.147947998015</v>
      </c>
      <c r="AL102" s="48" t="n">
        <f aca="false">AL79+AL101+AL88+AL95+AL96+AL48+AL55</f>
        <v>394.093988991032</v>
      </c>
      <c r="AM102" s="48" t="n">
        <f aca="false">AM79+AM101+AM88+AM95+AM96+AM48+AM55</f>
        <v>394.258721839791</v>
      </c>
      <c r="AN102" s="48" t="n">
        <f aca="false">AN79+AN101+AN88+AN95+AN96+AN48+AN55</f>
        <v>412.955905686008</v>
      </c>
      <c r="AO102" s="48" t="n">
        <f aca="false">AO79+AO101+AO88+AO95+AO96+AO48+AO55</f>
        <v>431.898215267599</v>
      </c>
      <c r="AP102" s="48" t="n">
        <f aca="false">AP79+AP101+AP88+AP95+AP96+AP48+AP55</f>
        <v>430.976703299977</v>
      </c>
      <c r="AQ102" s="48" t="n">
        <f aca="false">AQ79+AQ101+AQ88+AQ95+AQ96+AQ48+AQ55</f>
        <v>431.213049402279</v>
      </c>
      <c r="AR102" s="48" t="n">
        <f aca="false">AR79+AR101+AR88+AR95+AR96+AR48+AR55</f>
        <v>450.370937578773</v>
      </c>
      <c r="AS102" s="48" t="n">
        <f aca="false">AS79+AS101+AS88+AS95+AS96+AS48+AS55</f>
        <v>469.778808264615</v>
      </c>
      <c r="AT102" s="48" t="n">
        <f aca="false">AT79+AT101+AT88+AT95+AT96+AT48+AT55</f>
        <v>469.19798418716</v>
      </c>
      <c r="AU102" s="48" t="n">
        <f aca="false">AU79+AU101+AU88+AU95+AU96+AU48+AU55</f>
        <v>481.144457513597</v>
      </c>
      <c r="AV102" s="48" t="n">
        <f aca="false">AV79+AV101+AV88+AV95+AV96+AV48+AV55</f>
        <v>489.315660654664</v>
      </c>
      <c r="AW102" s="48" t="n">
        <f aca="false">AW79+AW101+AW88+AW95+AW96+AW48+AW55</f>
        <v>509.205605467961</v>
      </c>
      <c r="AX102" s="48" t="n">
        <f aca="false">AX79+AX101+AX88+AX95+AX96+AX48+AX55</f>
        <v>508.984426656519</v>
      </c>
      <c r="AY102" s="48" t="n">
        <f aca="false">AY79+AY101+AY88+AY95+AY96+AY48+AY55</f>
        <v>509.408270135481</v>
      </c>
      <c r="AZ102" s="48" t="n">
        <f aca="false">AZ79+AZ101+AZ88+AZ95+AZ96+AZ48+AZ55</f>
        <v>529.533538466704</v>
      </c>
      <c r="BA102" s="48" t="n">
        <f aca="false">BA79+BA101+BA88+BA95+BA96+BA48+BA55</f>
        <v>549.919075865018</v>
      </c>
      <c r="BB102" s="48" t="n">
        <f aca="false">BB79+BB101+BB88+BB95+BB96+BB48+BB55</f>
        <v>550.073561342081</v>
      </c>
      <c r="BC102" s="48" t="n">
        <f aca="false">BC79+BC101+BC88+BC95+BC96+BC48+BC55</f>
        <v>550.612895254825</v>
      </c>
      <c r="BD102" s="48" t="n">
        <f aca="false">BD79+BD101+BD88+BD95+BD96+BD48+BD55</f>
        <v>571.244339751539</v>
      </c>
      <c r="BE102" s="48" t="n">
        <f aca="false">BE79+BE101+BE88+BE95+BE96+BE48+BE55</f>
        <v>592.141478393865</v>
      </c>
      <c r="BF102" s="48" t="n">
        <f aca="false">BF79+BF101+BF88+BF95+BF96+BF48+BF55</f>
        <v>592.690259214681</v>
      </c>
      <c r="BG102" s="48" t="n">
        <f aca="false">BG79+BG101+BG88+BG95+BG96+BG48+BG55</f>
        <v>593.361174290722</v>
      </c>
      <c r="BH102" s="48" t="n">
        <f aca="false">BH79+BH101+BH88+BH95+BH96+BH48+BH55</f>
        <v>614.515329896874</v>
      </c>
      <c r="BI102" s="48" t="n">
        <f aca="false">BI79+BI101+BI88+BI95+BI96+BI48+BI55</f>
        <v>635.940811102115</v>
      </c>
      <c r="BJ102" s="48" t="n">
        <f aca="false">BJ79+BJ101+BJ88+BJ95+BJ96+BJ48+BJ55</f>
        <v>636.903355080244</v>
      </c>
      <c r="BK102" s="48" t="n">
        <f aca="false">BK79+BK101+BK88+BK95+BK96+BK48+BK55</f>
        <v>649.613970992752</v>
      </c>
      <c r="BL102" s="48" t="n">
        <f aca="false">BL79+BL101+BL88+BL95+BL96+BL48+BL55</f>
        <v>659.581173764767</v>
      </c>
      <c r="BM102" s="48" t="n">
        <f aca="false">BM79+BM101+BM88+BM95+BM96+BM48+BM55</f>
        <v>681.554398413517</v>
      </c>
      <c r="BN102" s="48" t="n">
        <f aca="false">BN79+BN101+BN88+BN95+BN96+BN48+BN55</f>
        <v>682.952961787756</v>
      </c>
      <c r="BO102" s="48" t="n">
        <f aca="false">BO79+BO101+BO88+BO95+BO96+BO48+BO55</f>
        <v>683.940500699078</v>
      </c>
      <c r="BP102" s="48" t="n">
        <f aca="false">BP79+BP101+BP88+BP95+BP96+BP48+BP55</f>
        <v>706.194710890416</v>
      </c>
      <c r="BQ102" s="48" t="n">
        <f aca="false">BQ79+BQ101+BQ88+BQ95+BQ96+BQ48+BQ55</f>
        <v>728.732188873119</v>
      </c>
      <c r="BR102" s="48" t="n">
        <f aca="false">BR79+BR101+BR88+BR95+BR96+BR48+BR55</f>
        <v>730.58620446358</v>
      </c>
      <c r="BS102" s="48" t="n">
        <f aca="false">BS79+BS101+BS88+BS95+BS96+BS48+BS55</f>
        <v>731.758663318501</v>
      </c>
      <c r="BT102" s="48" t="n">
        <f aca="false">BT79+BT101+BT88+BT95+BT96+BT48+BT55</f>
        <v>754.589977592844</v>
      </c>
      <c r="BU102" s="48" t="n">
        <f aca="false">BU79+BU101+BU88+BU95+BU96+BU48+BU55</f>
        <v>777.710868805636</v>
      </c>
      <c r="BV102" s="48" t="n">
        <f aca="false">BV79+BV101+BV88+BV95+BV96+BV48+BV55</f>
        <v>780.042553529761</v>
      </c>
      <c r="BW102" s="48" t="n">
        <f aca="false">BW79+BW101+BW88+BW95+BW96+BW48+BW55</f>
        <v>781.419475517763</v>
      </c>
      <c r="BX102" s="48" t="n">
        <f aca="false">BX79+BX101+BX88+BX95+BX96+BX48+BX55</f>
        <v>804.847690447473</v>
      </c>
      <c r="BY102" s="48" t="n">
        <f aca="false">BY79+BY101+BY88+BY95+BY96+BY48+BY55</f>
        <v>828.572037735082</v>
      </c>
      <c r="BZ102" s="48" t="n">
        <f aca="false">BZ79+BZ101+BZ88+BZ95+BZ96+BZ48+BZ55</f>
        <v>831.404607967753</v>
      </c>
      <c r="CA102" s="48" t="n">
        <f aca="false">CA79+CA101+CA88+CA95+CA96+CA48+CA55</f>
        <v>845.118366645516</v>
      </c>
      <c r="CB102" s="48" t="n">
        <f aca="false">CB79+CB101+CB88+CB95+CB96+CB48+CB55</f>
        <v>857.217823601355</v>
      </c>
      <c r="CC102" s="48" t="n">
        <f aca="false">CC79+CC101+CC88+CC95+CC96+CC48+CC55</f>
        <v>881.568500943916</v>
      </c>
      <c r="CD102" s="48" t="n">
        <f aca="false">CD79+CD101+CD88+CD95+CD96+CD48+CD55</f>
        <v>884.928145980628</v>
      </c>
      <c r="CE102" s="48" t="n">
        <f aca="false">CE79+CE101+CE88+CE95+CE96+CE48+CE55</f>
        <v>886.778479422354</v>
      </c>
      <c r="CF102" s="48" t="n">
        <f aca="false">CF79+CF101+CF88+CF95+CF96+CF48+CF55</f>
        <v>911.465557230559</v>
      </c>
      <c r="CG102" s="48" t="n">
        <f aca="false">CG79+CG101+CG88+CG95+CG96+CG48+CG55</f>
        <v>936.462684882109</v>
      </c>
      <c r="CH102" s="48" t="n">
        <f aca="false">CH79+CH101+CH88+CH95+CH96+CH48+CH55</f>
        <v>940.372920662846</v>
      </c>
      <c r="CI102" s="48" t="n">
        <f aca="false">CI79+CI101+CI88+CI95+CI96+CI48+CI55</f>
        <v>942.49241088965</v>
      </c>
      <c r="CJ102" s="48" t="n">
        <f aca="false">CJ79+CJ101+CJ88+CJ95+CJ96+CJ48+CJ55</f>
        <v>967.841531223202</v>
      </c>
      <c r="CK102" s="48" t="n">
        <f aca="false">CK79+CK101+CK88+CK95+CK96+CK48+CK55</f>
        <v>993.508065684369</v>
      </c>
      <c r="CL102" s="48" t="n">
        <f aca="false">CL79+CL101+CL88+CL95+CL96+CL48+CL55</f>
        <v>997.995392129814</v>
      </c>
      <c r="CM102" s="48" t="n">
        <f aca="false">CM79+CM101+CM88+CM95+CM96+CM48+CM55</f>
        <v>1000.40772551974</v>
      </c>
      <c r="CN102" s="48" t="n">
        <f aca="false">CN79+CN101+CN88+CN95+CN96+CN48+CN55</f>
        <v>1026.44261462907</v>
      </c>
      <c r="CO102" s="48" t="n">
        <f aca="false">CO79+CO101+CO88+CO95+CO96+CO48+CO55</f>
        <v>1052.80257627022</v>
      </c>
      <c r="CP102" s="48" t="n">
        <f aca="false">CP79+CP101+CP88+CP95+CP96+CP48+CP55</f>
        <v>1057.89468754696</v>
      </c>
      <c r="CQ102" s="48" t="n">
        <f aca="false">CQ79+CQ101+CQ88+CQ95+CQ96+CQ48+CQ55</f>
        <v>1072.90464860343</v>
      </c>
      <c r="CR102" s="48" t="n">
        <f aca="false">CR79+CR101+CR88+CR95+CR96+CR48+CR55</f>
        <v>1087.53662605827</v>
      </c>
      <c r="CS102" s="48" t="n">
        <f aca="false">CS79+CS101+CS88+CS95+CS96+CS48+CS55</f>
        <v>1114.6170666664</v>
      </c>
      <c r="CT102" s="48" t="n">
        <f aca="false">CT79+CT101+CT88+CT95+CT96+CT48+CT55</f>
        <v>1120.3448445263</v>
      </c>
      <c r="CU102" s="48" t="n">
        <f aca="false">CU79+CU101+CU88+CU95+CU96+CU48+CU55</f>
        <v>1108.16122010765</v>
      </c>
      <c r="CV102" s="48" t="n">
        <f aca="false">CV79+CV101+CV88+CV95+CV96+CV48+CV55</f>
        <v>1120.47412255329</v>
      </c>
      <c r="CW102" s="48" t="n">
        <f aca="false">CW79+CW101+CW88+CW95+CW96+CW48+CW55</f>
        <v>1132.78702499893</v>
      </c>
      <c r="CX102" s="48" t="n">
        <f aca="false">CX79+CX101+CX88+CX95+CX96+CX48+CX55</f>
        <v>1123.32109693449</v>
      </c>
      <c r="CY102" s="48" t="n">
        <f aca="false">CY79+CY101+CY88+CY95+CY96+CY48+CY55</f>
        <v>1110.78027597976</v>
      </c>
      <c r="CZ102" s="48" t="n">
        <f aca="false">CZ79+CZ101+CZ88+CZ95+CZ96+CZ48+CZ55</f>
        <v>1123.1222790462</v>
      </c>
      <c r="DA102" s="48" t="n">
        <f aca="false">DA79+DA101+DA88+DA95+DA96+DA48+DA55</f>
        <v>1135.46428211264</v>
      </c>
      <c r="DB102" s="48" t="n">
        <f aca="false">DB79+DB101+DB88+DB95+DB96+DB48+DB55</f>
        <v>2503.24466583137</v>
      </c>
      <c r="DC102" s="48" t="n">
        <f aca="false">DC79+DC101+DC88+DC95+DC96+DC48+DC55</f>
        <v>2460.4018457948</v>
      </c>
      <c r="DD102" s="48" t="n">
        <f aca="false">DD79+DD101+DD88+DD95+DD96+DD48+DD55</f>
        <v>2487.7396440814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2491.17462930677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2464.91206834605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2465.61807007058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2510.83914170752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2510.63204110906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2464.11073922955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457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1451.01331077954</v>
      </c>
      <c r="T103" s="19" t="n">
        <f aca="false">S107</f>
        <v>1634.8797361829</v>
      </c>
      <c r="U103" s="19" t="n">
        <f aca="false">T107</f>
        <v>1796.97628692282</v>
      </c>
      <c r="V103" s="19" t="n">
        <f aca="false">U107</f>
        <v>1946.79969806386</v>
      </c>
      <c r="W103" s="19" t="n">
        <f aca="false">V107</f>
        <v>2082.4142446487</v>
      </c>
      <c r="X103" s="19" t="n">
        <f aca="false">W107</f>
        <v>2202.22260389293</v>
      </c>
      <c r="Y103" s="19" t="n">
        <f aca="false">X107</f>
        <v>2309.61327763026</v>
      </c>
      <c r="Z103" s="19" t="n">
        <f aca="false">Y107</f>
        <v>2404.12964828517</v>
      </c>
      <c r="AA103" s="19" t="n">
        <f aca="false">Z107</f>
        <v>2275.48392938894</v>
      </c>
      <c r="AB103" s="19" t="n">
        <f aca="false">AA107</f>
        <v>2146.49125935421</v>
      </c>
      <c r="AC103" s="19" t="n">
        <f aca="false">AB107</f>
        <v>2009.01180286308</v>
      </c>
      <c r="AD103" s="19" t="n">
        <f aca="false">AC107</f>
        <v>1862.92695511684</v>
      </c>
      <c r="AE103" s="19" t="n">
        <f aca="false">AD107</f>
        <v>1717.7894341777</v>
      </c>
      <c r="AF103" s="19" t="n">
        <f aca="false">AE107</f>
        <v>1566.80433709887</v>
      </c>
      <c r="AG103" s="19" t="n">
        <f aca="false">AF107</f>
        <v>1412.50964789902</v>
      </c>
      <c r="AH103" s="19" t="n">
        <f aca="false">AG107</f>
        <v>1249.38877735685</v>
      </c>
      <c r="AI103" s="19" t="n">
        <f aca="false">AH107</f>
        <v>1087.06003071411</v>
      </c>
      <c r="AJ103" s="19" t="n">
        <f aca="false">AI107</f>
        <v>924.329153258347</v>
      </c>
      <c r="AK103" s="19" t="n">
        <f aca="false">AJ107</f>
        <v>736.090883685787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458</v>
      </c>
      <c r="D104" s="12" t="s">
        <v>33</v>
      </c>
      <c r="I104" s="48" t="n">
        <f aca="false">SUM(J104:EO104)</f>
        <v>2404.12964828517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1218.50271592122</v>
      </c>
      <c r="S104" s="48" t="n">
        <f aca="false">MAX(0,-S102)</f>
        <v>183.866425403357</v>
      </c>
      <c r="T104" s="48" t="n">
        <f aca="false">MAX(0,-T102)</f>
        <v>162.096550739923</v>
      </c>
      <c r="U104" s="48" t="n">
        <f aca="false">MAX(0,-U102)</f>
        <v>149.823411141041</v>
      </c>
      <c r="V104" s="48" t="n">
        <f aca="false">MAX(0,-V102)</f>
        <v>135.61454658484</v>
      </c>
      <c r="W104" s="48" t="n">
        <f aca="false">MAX(0,-W102)</f>
        <v>119.80835924423</v>
      </c>
      <c r="X104" s="48" t="n">
        <f aca="false">MAX(0,-X102)</f>
        <v>107.390673737333</v>
      </c>
      <c r="Y104" s="48" t="n">
        <f aca="false">MAX(0,-Y102)</f>
        <v>94.5163706549071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459</v>
      </c>
      <c r="D105" s="12" t="s">
        <v>33</v>
      </c>
      <c r="I105" s="48" t="n">
        <f aca="false">SUM(J105:EO105)</f>
        <v>-1865.61273859839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-128.645718896237</v>
      </c>
      <c r="AA105" s="48" t="n">
        <f aca="false">-MIN(AA103,In_Loss_Cap*MAX(0,AA102))</f>
        <v>-128.992670034722</v>
      </c>
      <c r="AB105" s="48" t="n">
        <f aca="false">-MIN(AB103,In_Loss_Cap*MAX(0,AB102))</f>
        <v>-137.479456491137</v>
      </c>
      <c r="AC105" s="48" t="n">
        <f aca="false">-MIN(AC103,In_Loss_Cap*MAX(0,AC102))</f>
        <v>-146.084847746232</v>
      </c>
      <c r="AD105" s="48" t="n">
        <f aca="false">-MIN(AD103,In_Loss_Cap*MAX(0,AD102))</f>
        <v>-145.137520939145</v>
      </c>
      <c r="AE105" s="48" t="n">
        <f aca="false">-MIN(AE103,In_Loss_Cap*MAX(0,AE102))</f>
        <v>-150.985097078827</v>
      </c>
      <c r="AF105" s="48" t="n">
        <f aca="false">-MIN(AF103,In_Loss_Cap*MAX(0,AF102))</f>
        <v>-154.294689199848</v>
      </c>
      <c r="AG105" s="48" t="n">
        <f aca="false">-MIN(AG103,In_Loss_Cap*MAX(0,AG102))</f>
        <v>-163.120870542177</v>
      </c>
      <c r="AH105" s="48" t="n">
        <f aca="false">-MIN(AH103,In_Loss_Cap*MAX(0,AH102))</f>
        <v>-162.328746642734</v>
      </c>
      <c r="AI105" s="48" t="n">
        <f aca="false">-MIN(AI103,In_Loss_Cap*MAX(0,AI102))</f>
        <v>-162.730877455765</v>
      </c>
      <c r="AJ105" s="48" t="n">
        <f aca="false">-MIN(AJ103,In_Loss_Cap*MAX(0,AJ102))</f>
        <v>-188.238269572561</v>
      </c>
      <c r="AK105" s="48" t="n">
        <f aca="false">-MIN(AK103,In_Loss_Cap*MAX(0,AK102))</f>
        <v>-197.573973999008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460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-538.516909686779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-538.516909686779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461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1451.01331077954</v>
      </c>
      <c r="S107" s="48" t="n">
        <f aca="false">SUM(S103:S106)</f>
        <v>1634.8797361829</v>
      </c>
      <c r="T107" s="48" t="n">
        <f aca="false">SUM(T103:T106)</f>
        <v>1796.97628692282</v>
      </c>
      <c r="U107" s="48" t="n">
        <f aca="false">SUM(U103:U106)</f>
        <v>1946.79969806386</v>
      </c>
      <c r="V107" s="48" t="n">
        <f aca="false">SUM(V103:V106)</f>
        <v>2082.4142446487</v>
      </c>
      <c r="W107" s="48" t="n">
        <f aca="false">SUM(W103:W106)</f>
        <v>2202.22260389293</v>
      </c>
      <c r="X107" s="48" t="n">
        <f aca="false">SUM(X103:X106)</f>
        <v>2309.61327763026</v>
      </c>
      <c r="Y107" s="48" t="n">
        <f aca="false">SUM(Y103:Y106)</f>
        <v>2404.12964828517</v>
      </c>
      <c r="Z107" s="48" t="n">
        <f aca="false">SUM(Z103:Z106)</f>
        <v>2275.48392938894</v>
      </c>
      <c r="AA107" s="48" t="n">
        <f aca="false">SUM(AA103:AA106)</f>
        <v>2146.49125935421</v>
      </c>
      <c r="AB107" s="48" t="n">
        <f aca="false">SUM(AB103:AB106)</f>
        <v>2009.01180286308</v>
      </c>
      <c r="AC107" s="48" t="n">
        <f aca="false">SUM(AC103:AC106)</f>
        <v>1862.92695511684</v>
      </c>
      <c r="AD107" s="48" t="n">
        <f aca="false">SUM(AD103:AD106)</f>
        <v>1717.7894341777</v>
      </c>
      <c r="AE107" s="48" t="n">
        <f aca="false">SUM(AE103:AE106)</f>
        <v>1566.80433709887</v>
      </c>
      <c r="AF107" s="48" t="n">
        <f aca="false">SUM(AF103:AF106)</f>
        <v>1412.50964789902</v>
      </c>
      <c r="AG107" s="48" t="n">
        <f aca="false">SUM(AG103:AG106)</f>
        <v>1249.38877735685</v>
      </c>
      <c r="AH107" s="48" t="n">
        <f aca="false">SUM(AH103:AH106)</f>
        <v>1087.06003071411</v>
      </c>
      <c r="AI107" s="48" t="n">
        <f aca="false">SUM(AI103:AI106)</f>
        <v>924.329153258347</v>
      </c>
      <c r="AJ107" s="48" t="n">
        <f aca="false">SUM(AJ103:AJ106)</f>
        <v>736.090883685787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462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-19.2968578344355</v>
      </c>
      <c r="AA108" s="48" t="n">
        <f aca="false">-In_CIT*(MAX(0,AA102)+AA105)-In_RH_On*In_RH_Rate*MAX(0,AA102)</f>
        <v>-19.3489005052083</v>
      </c>
      <c r="AB108" s="48" t="n">
        <f aca="false">-In_CIT*(MAX(0,AB102)+AB105)-In_RH_On*In_RH_Rate*MAX(0,AB102)</f>
        <v>-20.6219184736706</v>
      </c>
      <c r="AC108" s="48" t="n">
        <f aca="false">-In_CIT*(MAX(0,AC102)+AC105)-In_RH_On*In_RH_Rate*MAX(0,AC102)</f>
        <v>-21.9127271619348</v>
      </c>
      <c r="AD108" s="48" t="n">
        <f aca="false">-In_CIT*(MAX(0,AD102)+AD105)-In_RH_On*In_RH_Rate*MAX(0,AD102)</f>
        <v>-21.7706281408718</v>
      </c>
      <c r="AE108" s="48" t="n">
        <f aca="false">-In_CIT*(MAX(0,AE102)+AE105)-In_RH_On*In_RH_Rate*MAX(0,AE102)</f>
        <v>-22.647764561824</v>
      </c>
      <c r="AF108" s="48" t="n">
        <f aca="false">-In_CIT*(MAX(0,AF102)+AF105)-In_RH_On*In_RH_Rate*MAX(0,AF102)</f>
        <v>-23.1442033799772</v>
      </c>
      <c r="AG108" s="48" t="n">
        <f aca="false">-In_CIT*(MAX(0,AG102)+AG105)-In_RH_On*In_RH_Rate*MAX(0,AG102)</f>
        <v>-24.4681305813266</v>
      </c>
      <c r="AH108" s="48" t="n">
        <f aca="false">-In_CIT*(MAX(0,AH102)+AH105)-In_RH_On*In_RH_Rate*MAX(0,AH102)</f>
        <v>-24.3493119964101</v>
      </c>
      <c r="AI108" s="48" t="n">
        <f aca="false">-In_CIT*(MAX(0,AI102)+AI105)-In_RH_On*In_RH_Rate*MAX(0,AI102)</f>
        <v>-24.4096316183647</v>
      </c>
      <c r="AJ108" s="48" t="n">
        <f aca="false">-In_CIT*(MAX(0,AJ102)+AJ105)-In_RH_On*In_RH_Rate*MAX(0,AJ102)</f>
        <v>-28.2357404358841</v>
      </c>
      <c r="AK108" s="48" t="n">
        <f aca="false">-In_CIT*(MAX(0,AK102)+AK105)-In_RH_On*In_RH_Rate*MAX(0,AK102)</f>
        <v>-29.6360960998512</v>
      </c>
      <c r="AL108" s="48" t="n">
        <f aca="false">-In_CIT*(MAX(0,AL102)+AL105)-In_RH_On*In_RH_Rate*MAX(0,AL102)</f>
        <v>-59.1140983486547</v>
      </c>
      <c r="AM108" s="48" t="n">
        <f aca="false">-In_CIT*(MAX(0,AM102)+AM105)-In_RH_On*In_RH_Rate*MAX(0,AM102)</f>
        <v>-59.1388082759686</v>
      </c>
      <c r="AN108" s="48" t="n">
        <f aca="false">-In_CIT*(MAX(0,AN102)+AN105)-In_RH_On*In_RH_Rate*MAX(0,AN102)</f>
        <v>-61.9433858529012</v>
      </c>
      <c r="AO108" s="48" t="n">
        <f aca="false">-In_CIT*(MAX(0,AO102)+AO105)-In_RH_On*In_RH_Rate*MAX(0,AO102)</f>
        <v>-64.7847322901398</v>
      </c>
      <c r="AP108" s="48" t="n">
        <f aca="false">-In_CIT*(MAX(0,AP102)+AP105)-In_RH_On*In_RH_Rate*MAX(0,AP102)</f>
        <v>-64.6465054949965</v>
      </c>
      <c r="AQ108" s="48" t="n">
        <f aca="false">-In_CIT*(MAX(0,AQ102)+AQ105)-In_RH_On*In_RH_Rate*MAX(0,AQ102)</f>
        <v>-64.6819574103418</v>
      </c>
      <c r="AR108" s="48" t="n">
        <f aca="false">-In_CIT*(MAX(0,AR102)+AR105)-In_RH_On*In_RH_Rate*MAX(0,AR102)</f>
        <v>-67.5556406368159</v>
      </c>
      <c r="AS108" s="48" t="n">
        <f aca="false">-In_CIT*(MAX(0,AS102)+AS105)-In_RH_On*In_RH_Rate*MAX(0,AS102)</f>
        <v>-70.4668212396922</v>
      </c>
      <c r="AT108" s="48" t="n">
        <f aca="false">-In_CIT*(MAX(0,AT102)+AT105)-In_RH_On*In_RH_Rate*MAX(0,AT102)</f>
        <v>-70.379697628074</v>
      </c>
      <c r="AU108" s="48" t="n">
        <f aca="false">-In_CIT*(MAX(0,AU102)+AU105)-In_RH_On*In_RH_Rate*MAX(0,AU102)</f>
        <v>-72.1716686270396</v>
      </c>
      <c r="AV108" s="48" t="n">
        <f aca="false">-In_CIT*(MAX(0,AV102)+AV105)-In_RH_On*In_RH_Rate*MAX(0,AV102)</f>
        <v>-73.3973490981996</v>
      </c>
      <c r="AW108" s="48" t="n">
        <f aca="false">-In_CIT*(MAX(0,AW102)+AW105)-In_RH_On*In_RH_Rate*MAX(0,AW102)</f>
        <v>-76.3808408201941</v>
      </c>
      <c r="AX108" s="48" t="n">
        <f aca="false">-In_CIT*(MAX(0,AX102)+AX105)-In_RH_On*In_RH_Rate*MAX(0,AX102)</f>
        <v>-76.3476639984779</v>
      </c>
      <c r="AY108" s="48" t="n">
        <f aca="false">-In_CIT*(MAX(0,AY102)+AY105)-In_RH_On*In_RH_Rate*MAX(0,AY102)</f>
        <v>-76.4112405203221</v>
      </c>
      <c r="AZ108" s="48" t="n">
        <f aca="false">-In_CIT*(MAX(0,AZ102)+AZ105)-In_RH_On*In_RH_Rate*MAX(0,AZ102)</f>
        <v>-79.4300307700056</v>
      </c>
      <c r="BA108" s="48" t="n">
        <f aca="false">-In_CIT*(MAX(0,BA102)+BA105)-In_RH_On*In_RH_Rate*MAX(0,BA102)</f>
        <v>-82.4878613797527</v>
      </c>
      <c r="BB108" s="48" t="n">
        <f aca="false">-In_CIT*(MAX(0,BB102)+BB105)-In_RH_On*In_RH_Rate*MAX(0,BB102)</f>
        <v>-82.5110342013121</v>
      </c>
      <c r="BC108" s="48" t="n">
        <f aca="false">-In_CIT*(MAX(0,BC102)+BC105)-In_RH_On*In_RH_Rate*MAX(0,BC102)</f>
        <v>-82.5919342882238</v>
      </c>
      <c r="BD108" s="48" t="n">
        <f aca="false">-In_CIT*(MAX(0,BD102)+BD105)-In_RH_On*In_RH_Rate*MAX(0,BD102)</f>
        <v>-85.6866509627309</v>
      </c>
      <c r="BE108" s="48" t="n">
        <f aca="false">-In_CIT*(MAX(0,BE102)+BE105)-In_RH_On*In_RH_Rate*MAX(0,BE102)</f>
        <v>-88.8212217590797</v>
      </c>
      <c r="BF108" s="48" t="n">
        <f aca="false">-In_CIT*(MAX(0,BF102)+BF105)-In_RH_On*In_RH_Rate*MAX(0,BF102)</f>
        <v>-88.9035388822021</v>
      </c>
      <c r="BG108" s="48" t="n">
        <f aca="false">-In_CIT*(MAX(0,BG102)+BG105)-In_RH_On*In_RH_Rate*MAX(0,BG102)</f>
        <v>-89.0041761436084</v>
      </c>
      <c r="BH108" s="48" t="n">
        <f aca="false">-In_CIT*(MAX(0,BH102)+BH105)-In_RH_On*In_RH_Rate*MAX(0,BH102)</f>
        <v>-92.1772994845312</v>
      </c>
      <c r="BI108" s="48" t="n">
        <f aca="false">-In_CIT*(MAX(0,BI102)+BI105)-In_RH_On*In_RH_Rate*MAX(0,BI102)</f>
        <v>-95.3911216653173</v>
      </c>
      <c r="BJ108" s="48" t="n">
        <f aca="false">-In_CIT*(MAX(0,BJ102)+BJ105)-In_RH_On*In_RH_Rate*MAX(0,BJ102)</f>
        <v>-95.5355032620366</v>
      </c>
      <c r="BK108" s="48" t="n">
        <f aca="false">-In_CIT*(MAX(0,BK102)+BK105)-In_RH_On*In_RH_Rate*MAX(0,BK102)</f>
        <v>-97.4420956489128</v>
      </c>
      <c r="BL108" s="48" t="n">
        <f aca="false">-In_CIT*(MAX(0,BL102)+BL105)-In_RH_On*In_RH_Rate*MAX(0,BL102)</f>
        <v>-98.9371760647151</v>
      </c>
      <c r="BM108" s="48" t="n">
        <f aca="false">-In_CIT*(MAX(0,BM102)+BM105)-In_RH_On*In_RH_Rate*MAX(0,BM102)</f>
        <v>-102.233159762028</v>
      </c>
      <c r="BN108" s="48" t="n">
        <f aca="false">-In_CIT*(MAX(0,BN102)+BN105)-In_RH_On*In_RH_Rate*MAX(0,BN102)</f>
        <v>-102.442944268163</v>
      </c>
      <c r="BO108" s="48" t="n">
        <f aca="false">-In_CIT*(MAX(0,BO102)+BO105)-In_RH_On*In_RH_Rate*MAX(0,BO102)</f>
        <v>-102.591075104862</v>
      </c>
      <c r="BP108" s="48" t="n">
        <f aca="false">-In_CIT*(MAX(0,BP102)+BP105)-In_RH_On*In_RH_Rate*MAX(0,BP102)</f>
        <v>-105.929206633562</v>
      </c>
      <c r="BQ108" s="48" t="n">
        <f aca="false">-In_CIT*(MAX(0,BQ102)+BQ105)-In_RH_On*In_RH_Rate*MAX(0,BQ102)</f>
        <v>-109.309828330968</v>
      </c>
      <c r="BR108" s="48" t="n">
        <f aca="false">-In_CIT*(MAX(0,BR102)+BR105)-In_RH_On*In_RH_Rate*MAX(0,BR102)</f>
        <v>-109.587930669537</v>
      </c>
      <c r="BS108" s="48" t="n">
        <f aca="false">-In_CIT*(MAX(0,BS102)+BS105)-In_RH_On*In_RH_Rate*MAX(0,BS102)</f>
        <v>-109.763799497775</v>
      </c>
      <c r="BT108" s="48" t="n">
        <f aca="false">-In_CIT*(MAX(0,BT102)+BT105)-In_RH_On*In_RH_Rate*MAX(0,BT102)</f>
        <v>-113.188496638927</v>
      </c>
      <c r="BU108" s="48" t="n">
        <f aca="false">-In_CIT*(MAX(0,BU102)+BU105)-In_RH_On*In_RH_Rate*MAX(0,BU102)</f>
        <v>-116.656630320845</v>
      </c>
      <c r="BV108" s="48" t="n">
        <f aca="false">-In_CIT*(MAX(0,BV102)+BV105)-In_RH_On*In_RH_Rate*MAX(0,BV102)</f>
        <v>-117.006383029464</v>
      </c>
      <c r="BW108" s="48" t="n">
        <f aca="false">-In_CIT*(MAX(0,BW102)+BW105)-In_RH_On*In_RH_Rate*MAX(0,BW102)</f>
        <v>-117.212921327665</v>
      </c>
      <c r="BX108" s="48" t="n">
        <f aca="false">-In_CIT*(MAX(0,BX102)+BX105)-In_RH_On*In_RH_Rate*MAX(0,BX102)</f>
        <v>-120.727153567121</v>
      </c>
      <c r="BY108" s="48" t="n">
        <f aca="false">-In_CIT*(MAX(0,BY102)+BY105)-In_RH_On*In_RH_Rate*MAX(0,BY102)</f>
        <v>-124.285805660262</v>
      </c>
      <c r="BZ108" s="48" t="n">
        <f aca="false">-In_CIT*(MAX(0,BZ102)+BZ105)-In_RH_On*In_RH_Rate*MAX(0,BZ102)</f>
        <v>-124.710691195163</v>
      </c>
      <c r="CA108" s="48" t="n">
        <f aca="false">-In_CIT*(MAX(0,CA102)+CA105)-In_RH_On*In_RH_Rate*MAX(0,CA102)</f>
        <v>-126.767754996827</v>
      </c>
      <c r="CB108" s="48" t="n">
        <f aca="false">-In_CIT*(MAX(0,CB102)+CB105)-In_RH_On*In_RH_Rate*MAX(0,CB102)</f>
        <v>-128.582673540203</v>
      </c>
      <c r="CC108" s="48" t="n">
        <f aca="false">-In_CIT*(MAX(0,CC102)+CC105)-In_RH_On*In_RH_Rate*MAX(0,CC102)</f>
        <v>-132.235275141587</v>
      </c>
      <c r="CD108" s="48" t="n">
        <f aca="false">-In_CIT*(MAX(0,CD102)+CD105)-In_RH_On*In_RH_Rate*MAX(0,CD102)</f>
        <v>-132.739221897094</v>
      </c>
      <c r="CE108" s="48" t="n">
        <f aca="false">-In_CIT*(MAX(0,CE102)+CE105)-In_RH_On*In_RH_Rate*MAX(0,CE102)</f>
        <v>-133.016771913353</v>
      </c>
      <c r="CF108" s="48" t="n">
        <f aca="false">-In_CIT*(MAX(0,CF102)+CF105)-In_RH_On*In_RH_Rate*MAX(0,CF102)</f>
        <v>-136.719833584584</v>
      </c>
      <c r="CG108" s="48" t="n">
        <f aca="false">-In_CIT*(MAX(0,CG102)+CG105)-In_RH_On*In_RH_Rate*MAX(0,CG102)</f>
        <v>-140.469402732316</v>
      </c>
      <c r="CH108" s="48" t="n">
        <f aca="false">-In_CIT*(MAX(0,CH102)+CH105)-In_RH_On*In_RH_Rate*MAX(0,CH102)</f>
        <v>-141.055938099427</v>
      </c>
      <c r="CI108" s="48" t="n">
        <f aca="false">-In_CIT*(MAX(0,CI102)+CI105)-In_RH_On*In_RH_Rate*MAX(0,CI102)</f>
        <v>-141.373861633447</v>
      </c>
      <c r="CJ108" s="48" t="n">
        <f aca="false">-In_CIT*(MAX(0,CJ102)+CJ105)-In_RH_On*In_RH_Rate*MAX(0,CJ102)</f>
        <v>-145.17622968348</v>
      </c>
      <c r="CK108" s="48" t="n">
        <f aca="false">-In_CIT*(MAX(0,CK102)+CK105)-In_RH_On*In_RH_Rate*MAX(0,CK102)</f>
        <v>-149.026209852655</v>
      </c>
      <c r="CL108" s="48" t="n">
        <f aca="false">-In_CIT*(MAX(0,CL102)+CL105)-In_RH_On*In_RH_Rate*MAX(0,CL102)</f>
        <v>-149.699308819472</v>
      </c>
      <c r="CM108" s="48" t="n">
        <f aca="false">-In_CIT*(MAX(0,CM102)+CM105)-In_RH_On*In_RH_Rate*MAX(0,CM102)</f>
        <v>-150.061158827962</v>
      </c>
      <c r="CN108" s="48" t="n">
        <f aca="false">-In_CIT*(MAX(0,CN102)+CN105)-In_RH_On*In_RH_Rate*MAX(0,CN102)</f>
        <v>-153.966392194361</v>
      </c>
      <c r="CO108" s="48" t="n">
        <f aca="false">-In_CIT*(MAX(0,CO102)+CO105)-In_RH_On*In_RH_Rate*MAX(0,CO102)</f>
        <v>-157.920386440533</v>
      </c>
      <c r="CP108" s="48" t="n">
        <f aca="false">-In_CIT*(MAX(0,CP102)+CP105)-In_RH_On*In_RH_Rate*MAX(0,CP102)</f>
        <v>-158.684203132044</v>
      </c>
      <c r="CQ108" s="48" t="n">
        <f aca="false">-In_CIT*(MAX(0,CQ102)+CQ105)-In_RH_On*In_RH_Rate*MAX(0,CQ102)</f>
        <v>-160.935697290514</v>
      </c>
      <c r="CR108" s="48" t="n">
        <f aca="false">-In_CIT*(MAX(0,CR102)+CR105)-In_RH_On*In_RH_Rate*MAX(0,CR102)</f>
        <v>-163.130493908741</v>
      </c>
      <c r="CS108" s="48" t="n">
        <f aca="false">-In_CIT*(MAX(0,CS102)+CS105)-In_RH_On*In_RH_Rate*MAX(0,CS102)</f>
        <v>-167.19255999996</v>
      </c>
      <c r="CT108" s="48" t="n">
        <f aca="false">-In_CIT*(MAX(0,CT102)+CT105)-In_RH_On*In_RH_Rate*MAX(0,CT102)</f>
        <v>-168.051726678946</v>
      </c>
      <c r="CU108" s="48" t="n">
        <f aca="false">-In_CIT*(MAX(0,CU102)+CU105)-In_RH_On*In_RH_Rate*MAX(0,CU102)</f>
        <v>-166.224183016148</v>
      </c>
      <c r="CV108" s="48" t="n">
        <f aca="false">-In_CIT*(MAX(0,CV102)+CV105)-In_RH_On*In_RH_Rate*MAX(0,CV102)</f>
        <v>-168.071118382994</v>
      </c>
      <c r="CW108" s="48" t="n">
        <f aca="false">-In_CIT*(MAX(0,CW102)+CW105)-In_RH_On*In_RH_Rate*MAX(0,CW102)</f>
        <v>-169.91805374984</v>
      </c>
      <c r="CX108" s="48" t="n">
        <f aca="false">-In_CIT*(MAX(0,CX102)+CX105)-In_RH_On*In_RH_Rate*MAX(0,CX102)</f>
        <v>-168.498164540174</v>
      </c>
      <c r="CY108" s="48" t="n">
        <f aca="false">-In_CIT*(MAX(0,CY102)+CY105)-In_RH_On*In_RH_Rate*MAX(0,CY102)</f>
        <v>-166.617041396964</v>
      </c>
      <c r="CZ108" s="48" t="n">
        <f aca="false">-In_CIT*(MAX(0,CZ102)+CZ105)-In_RH_On*In_RH_Rate*MAX(0,CZ102)</f>
        <v>-168.46834185693</v>
      </c>
      <c r="DA108" s="48" t="n">
        <f aca="false">-In_CIT*(MAX(0,DA102)+DA105)-In_RH_On*In_RH_Rate*MAX(0,DA102)</f>
        <v>-170.319642316896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-369.060276869219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-375.824783779586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-373.952073960705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-378.105320721435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-373.973220625401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-377.991855047369</v>
      </c>
      <c r="EH108" s="48" t="n">
        <f aca="false">-In_CIT*(MAX(0,EH102)+EH105)-In_RH_On*In_RH_Rate*MAX(0,EH102)</f>
        <v>-376.495273595488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-373.723462116482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-373.491708815651</v>
      </c>
      <c r="EN108" s="48" t="n">
        <f aca="false">-In_CIT*(MAX(0,EN102)+EN105)-In_RH_On*In_RH_Rate*MAX(0,EN102)</f>
        <v>-373.491708815651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463</v>
      </c>
      <c r="D109" s="12" t="s">
        <v>33</v>
      </c>
      <c r="I109" s="48" t="n">
        <f aca="false">SUM(J109:EO109)</f>
        <v>1.46501861308934E-007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9.88649162536603E-011</v>
      </c>
      <c r="AB109" s="48" t="n">
        <f aca="false">ABS(AB108-AB82)</f>
        <v>1.93026039596589E-010</v>
      </c>
      <c r="AC109" s="48" t="n">
        <f aca="false">ABS(AC108-AC82)</f>
        <v>2.84860135479903E-010</v>
      </c>
      <c r="AD109" s="48" t="n">
        <f aca="false">ABS(AD108-AD82)</f>
        <v>3.74136277514481E-010</v>
      </c>
      <c r="AE109" s="48" t="n">
        <f aca="false">ABS(AE108-AE82)</f>
        <v>4.59195348412322E-010</v>
      </c>
      <c r="AF109" s="48" t="n">
        <f aca="false">ABS(AF108-AF82)</f>
        <v>5.39742472938087E-010</v>
      </c>
      <c r="AG109" s="48" t="n">
        <f aca="false">ABS(AG108-AG82)</f>
        <v>6.16104500750225E-010</v>
      </c>
      <c r="AH109" s="48" t="n">
        <f aca="false">ABS(AH108-AH82)</f>
        <v>6.89176715695794E-010</v>
      </c>
      <c r="AI109" s="48" t="n">
        <f aca="false">ABS(AI108-AI82)</f>
        <v>7.57189866362751E-010</v>
      </c>
      <c r="AJ109" s="48" t="n">
        <f aca="false">ABS(AJ108-AJ82)</f>
        <v>8.19088796788492E-010</v>
      </c>
      <c r="AK109" s="48" t="n">
        <f aca="false">ABS(AK108-AK82)</f>
        <v>8.78443984220212E-010</v>
      </c>
      <c r="AL109" s="48" t="n">
        <f aca="false">ABS(AL108-AL82)</f>
        <v>1.86766868637278E-009</v>
      </c>
      <c r="AM109" s="48" t="n">
        <f aca="false">ABS(AM108-AM82)</f>
        <v>1.83991488711399E-009</v>
      </c>
      <c r="AN109" s="48" t="n">
        <f aca="false">ABS(AN108-AN82)</f>
        <v>1.78278725115888E-009</v>
      </c>
      <c r="AO109" s="48" t="n">
        <f aca="false">ABS(AO108-AO82)</f>
        <v>1.70298619650566E-009</v>
      </c>
      <c r="AP109" s="48" t="n">
        <f aca="false">ABS(AP108-AP82)</f>
        <v>1.60171964580513E-009</v>
      </c>
      <c r="AQ109" s="48" t="n">
        <f aca="false">ABS(AQ108-AQ82)</f>
        <v>1.47721834764525E-009</v>
      </c>
      <c r="AR109" s="48" t="n">
        <f aca="false">ABS(AR108-AR82)</f>
        <v>1.32861543988838E-009</v>
      </c>
      <c r="AS109" s="48" t="n">
        <f aca="false">ABS(AS108-AS82)</f>
        <v>1.16291687390913E-009</v>
      </c>
      <c r="AT109" s="48" t="n">
        <f aca="false">ABS(AT108-AT82)</f>
        <v>9.81572156888433E-010</v>
      </c>
      <c r="AU109" s="48" t="n">
        <f aca="false">ABS(AU108-AU82)</f>
        <v>7.83302311901934E-010</v>
      </c>
      <c r="AV109" s="48" t="n">
        <f aca="false">ABS(AV108-AV82)</f>
        <v>5.69613689549442E-010</v>
      </c>
      <c r="AW109" s="48" t="n">
        <f aca="false">ABS(AW108-AW82)</f>
        <v>3.43220563081559E-010</v>
      </c>
      <c r="AX109" s="48" t="n">
        <f aca="false">ABS(AX108-AX82)</f>
        <v>1.08087760963826E-010</v>
      </c>
      <c r="AY109" s="48" t="n">
        <f aca="false">ABS(AY108-AY82)</f>
        <v>1.36864741762111E-010</v>
      </c>
      <c r="AZ109" s="48" t="n">
        <f aca="false">ABS(AZ108-AZ82)</f>
        <v>3.92248011849006E-010</v>
      </c>
      <c r="BA109" s="48" t="n">
        <f aca="false">ABS(BA108-BA82)</f>
        <v>6.50587139716663E-010</v>
      </c>
      <c r="BB109" s="48" t="n">
        <f aca="false">ABS(BB108-BB82)</f>
        <v>9.10219455363404E-010</v>
      </c>
      <c r="BC109" s="48" t="n">
        <f aca="false">ABS(BC108-BC82)</f>
        <v>1.17221077289287E-009</v>
      </c>
      <c r="BD109" s="48" t="n">
        <f aca="false">ABS(BD108-BD82)</f>
        <v>1.43718636991252E-009</v>
      </c>
      <c r="BE109" s="48" t="n">
        <f aca="false">ABS(BE108-BE82)</f>
        <v>1.69768554769689E-009</v>
      </c>
      <c r="BF109" s="48" t="n">
        <f aca="false">ABS(BF108-BF82)</f>
        <v>1.95223037735559E-009</v>
      </c>
      <c r="BG109" s="48" t="n">
        <f aca="false">ABS(BG108-BG82)</f>
        <v>2.20184404042811E-009</v>
      </c>
      <c r="BH109" s="48" t="n">
        <f aca="false">ABS(BH108-BH82)</f>
        <v>2.44736497734266E-009</v>
      </c>
      <c r="BI109" s="48" t="n">
        <f aca="false">ABS(BI108-BI82)</f>
        <v>2.68155986304919E-009</v>
      </c>
      <c r="BJ109" s="48" t="n">
        <f aca="false">ABS(BJ108-BJ82)</f>
        <v>2.90297919036675E-009</v>
      </c>
      <c r="BK109" s="48" t="n">
        <f aca="false">ABS(BK108-BK82)</f>
        <v>3.11320036416873E-009</v>
      </c>
      <c r="BL109" s="48" t="n">
        <f aca="false">ABS(BL108-BL82)</f>
        <v>3.31094440753077E-009</v>
      </c>
      <c r="BM109" s="48" t="n">
        <f aca="false">ABS(BM108-BM82)</f>
        <v>3.49358231233055E-009</v>
      </c>
      <c r="BN109" s="48" t="n">
        <f aca="false">ABS(BN108-BN82)</f>
        <v>3.6583429618986E-009</v>
      </c>
      <c r="BO109" s="48" t="n">
        <f aca="false">ABS(BO108-BO82)</f>
        <v>3.80764220153651E-009</v>
      </c>
      <c r="BP109" s="48" t="n">
        <f aca="false">ABS(BP108-BP82)</f>
        <v>3.94045684970479E-009</v>
      </c>
      <c r="BQ109" s="48" t="n">
        <f aca="false">ABS(BQ108-BQ82)</f>
        <v>4.05280786708318E-009</v>
      </c>
      <c r="BR109" s="48" t="n">
        <f aca="false">ABS(BR108-BR82)</f>
        <v>4.14304679452471E-009</v>
      </c>
      <c r="BS109" s="48" t="n">
        <f aca="false">ABS(BS108-BS82)</f>
        <v>4.21310630827065E-009</v>
      </c>
      <c r="BT109" s="48" t="n">
        <f aca="false">ABS(BT108-BT82)</f>
        <v>4.26565804900747E-009</v>
      </c>
      <c r="BU109" s="48" t="n">
        <f aca="false">ABS(BU108-BU82)</f>
        <v>4.29540136792639E-009</v>
      </c>
      <c r="BV109" s="48" t="n">
        <f aca="false">ABS(BV108-BV82)</f>
        <v>4.30108570981247E-009</v>
      </c>
      <c r="BW109" s="48" t="n">
        <f aca="false">ABS(BW108-BW82)</f>
        <v>4.28549640218989E-009</v>
      </c>
      <c r="BX109" s="48" t="n">
        <f aca="false">ABS(BX108-BX82)</f>
        <v>4.2519445742073E-009</v>
      </c>
      <c r="BY109" s="48" t="n">
        <f aca="false">ABS(BY108-BY82)</f>
        <v>4.19521484218421E-009</v>
      </c>
      <c r="BZ109" s="48" t="n">
        <f aca="false">ABS(BZ108-BZ82)</f>
        <v>4.11495193475275E-009</v>
      </c>
      <c r="CA109" s="48" t="n">
        <f aca="false">ABS(CA108-CA82)</f>
        <v>4.01445277020684E-009</v>
      </c>
      <c r="CB109" s="48" t="n">
        <f aca="false">ABS(CB108-CB82)</f>
        <v>3.89627530239522E-009</v>
      </c>
      <c r="CC109" s="48" t="n">
        <f aca="false">ABS(CC108-CC82)</f>
        <v>3.75945319319726E-009</v>
      </c>
      <c r="CD109" s="48" t="n">
        <f aca="false">ABS(CD108-CD82)</f>
        <v>3.60327589987719E-009</v>
      </c>
      <c r="CE109" s="48" t="n">
        <f aca="false">ABS(CE108-CE82)</f>
        <v>3.43010242431774E-009</v>
      </c>
      <c r="CF109" s="48" t="n">
        <f aca="false">ABS(CF108-CF82)</f>
        <v>3.24587290378986E-009</v>
      </c>
      <c r="CG109" s="48" t="n">
        <f aca="false">ABS(CG108-CG82)</f>
        <v>3.04538616546779E-009</v>
      </c>
      <c r="CH109" s="48" t="n">
        <f aca="false">ABS(CH108-CH82)</f>
        <v>2.82983592114761E-009</v>
      </c>
      <c r="CI109" s="48" t="n">
        <f aca="false">ABS(CI108-CI82)</f>
        <v>2.60541810348514E-009</v>
      </c>
      <c r="CJ109" s="48" t="n">
        <f aca="false">ABS(CJ108-CJ82)</f>
        <v>2.37528752222715E-009</v>
      </c>
      <c r="CK109" s="48" t="n">
        <f aca="false">ABS(CK108-CK82)</f>
        <v>2.13529460779682E-009</v>
      </c>
      <c r="CL109" s="48" t="n">
        <f aca="false">ABS(CL108-CL82)</f>
        <v>1.88902049558237E-009</v>
      </c>
      <c r="CM109" s="48" t="n">
        <f aca="false">ABS(CM108-CM82)</f>
        <v>1.64061475516064E-009</v>
      </c>
      <c r="CN109" s="48" t="n">
        <f aca="false">ABS(CN108-CN82)</f>
        <v>1.39374378704815E-009</v>
      </c>
      <c r="CO109" s="48" t="n">
        <f aca="false">ABS(CO108-CO82)</f>
        <v>1.14692966235452E-009</v>
      </c>
      <c r="CP109" s="48" t="n">
        <f aca="false">ABS(CP108-CP82)</f>
        <v>9.01366092875833E-010</v>
      </c>
      <c r="CQ109" s="48" t="n">
        <f aca="false">ABS(CQ108-CQ82)</f>
        <v>6.61856347505818E-010</v>
      </c>
      <c r="CR109" s="48" t="n">
        <f aca="false">ABS(CR108-CR82)</f>
        <v>4.31498392572394E-010</v>
      </c>
      <c r="CS109" s="48" t="n">
        <f aca="false">ABS(CS108-CS82)</f>
        <v>2.10860662264167E-010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464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90363.75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4141.29604359987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111764.960945581</v>
      </c>
    </row>
    <row r="120" customFormat="false" ht="15" hidden="false" customHeight="false" outlineLevel="0" collapsed="false">
      <c r="C120" s="1" t="s">
        <v>465</v>
      </c>
      <c r="D120" s="12" t="s">
        <v>33</v>
      </c>
      <c r="E120" s="48" t="n">
        <f aca="false">$E119-$E94</f>
        <v>53628.9259222578</v>
      </c>
      <c r="F120" s="48" t="n">
        <f aca="false">$E120+$E97</f>
        <v>54856.1728716606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0.520163336804906</v>
      </c>
    </row>
    <row r="123" customFormat="false" ht="15" hidden="false" customHeight="false" outlineLevel="0" collapsed="false">
      <c r="A123" s="10" t="s">
        <v>13</v>
      </c>
      <c r="B123" s="10"/>
      <c r="C123" s="10" t="s">
        <v>120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  <row r="124" customFormat="false" ht="15" hidden="false" customHeight="false" outlineLevel="0" collapsed="false">
      <c r="C124" s="1" t="s">
        <v>466</v>
      </c>
      <c r="D124" s="12" t="s">
        <v>33</v>
      </c>
      <c r="I124" s="48" t="n">
        <f aca="false">SUM(J124:EO124)</f>
        <v>-53628.9259222578</v>
      </c>
      <c r="J124" s="48" t="n">
        <f aca="false">(J59+J66+J91+J95+J96+J79)*(J$4&lt;=In_COD)</f>
        <v>-4662.80993807469</v>
      </c>
      <c r="K124" s="48" t="n">
        <f aca="false">(K59+K66+K91+K95+K96+K79)*(K$4&lt;=In_COD)</f>
        <v>-706.535577057768</v>
      </c>
      <c r="L124" s="48" t="n">
        <f aca="false">(L59+L66+L91+L95+L96+L79)*(L$4&lt;=In_COD)</f>
        <v>-104.360496659404</v>
      </c>
      <c r="M124" s="48" t="n">
        <f aca="false">(M59+M66+M91+M95+M96+M79)*(M$4&lt;=In_COD)</f>
        <v>-105.507315304013</v>
      </c>
      <c r="N124" s="48" t="n">
        <f aca="false">(N59+N66+N91+N95+N96+N79)*(N$4&lt;=In_COD)</f>
        <v>-105.507315304013</v>
      </c>
      <c r="O124" s="48" t="n">
        <f aca="false">(O59+O66+O91+O95+O96+O79)*(O$4&lt;=In_COD)</f>
        <v>-104.360496659404</v>
      </c>
      <c r="P124" s="48" t="n">
        <f aca="false">(P59+P66+P91+P95+P96+P79)*(P$4&lt;=In_COD)</f>
        <v>-104.360496659404</v>
      </c>
      <c r="Q124" s="48" t="n">
        <f aca="false">(Q59+Q66+Q91+Q95+Q96+Q79)*(Q$4&lt;=In_COD)</f>
        <v>-105.507315304013</v>
      </c>
      <c r="R124" s="48" t="n">
        <f aca="false">(R59+R66+R91+R95+R96+R79)*(R$4&lt;=In_COD)</f>
        <v>-6343.24141455136</v>
      </c>
      <c r="S124" s="48" t="n">
        <f aca="false">(S59+S66+S91+S95+S96+S79)*(S$4&lt;=In_COD)</f>
        <v>-8866.86817882802</v>
      </c>
      <c r="T124" s="48" t="n">
        <f aca="false">(T59+T66+T91+T95+T96+T79)*(T$4&lt;=In_COD)</f>
        <v>-5231.13156786321</v>
      </c>
      <c r="U124" s="48" t="n">
        <f aca="false">(U59+U66+U91+U95+U96+U79)*(U$4&lt;=In_COD)</f>
        <v>-5274.56210977118</v>
      </c>
      <c r="V124" s="48" t="n">
        <f aca="false">(V59+V66+V91+V95+V96+V79)*(V$4&lt;=In_COD)</f>
        <v>-5260.35324521498</v>
      </c>
      <c r="W124" s="48" t="n">
        <f aca="false">(W59+W66+W91+W95+W96+W79)*(W$4&lt;=In_COD)</f>
        <v>-5133.13969486067</v>
      </c>
      <c r="X124" s="48" t="n">
        <f aca="false">(X59+X66+X91+X95+X96+X79)*(X$4&lt;=In_COD)</f>
        <v>-5176.42569086062</v>
      </c>
      <c r="Y124" s="48" t="n">
        <f aca="false">(Y59+Y66+Y91+Y95+Y96+Y79)*(Y$4&lt;=In_COD)</f>
        <v>-6344.25506928505</v>
      </c>
      <c r="Z124" s="48" t="n">
        <f aca="false">(Z59+Z66+Z91+Z95+Z96+Z79)*(Z$4&lt;=In_COD)</f>
        <v>0</v>
      </c>
      <c r="AA124" s="48" t="n">
        <f aca="false">(AA59+AA66+AA91+AA95+AA96+AA79)*(AA$4&lt;=In_COD)</f>
        <v>0</v>
      </c>
      <c r="AB124" s="48" t="n">
        <f aca="false">(AB59+AB66+AB91+AB95+AB96+AB79)*(AB$4&lt;=In_COD)</f>
        <v>0</v>
      </c>
      <c r="AC124" s="48" t="n">
        <f aca="false">(AC59+AC66+AC91+AC95+AC96+AC79)*(AC$4&lt;=In_COD)</f>
        <v>0</v>
      </c>
      <c r="AD124" s="48" t="n">
        <f aca="false">(AD59+AD66+AD91+AD95+AD96+AD79)*(AD$4&lt;=In_COD)</f>
        <v>0</v>
      </c>
      <c r="AE124" s="48" t="n">
        <f aca="false">(AE59+AE66+AE91+AE95+AE96+AE79)*(AE$4&lt;=In_COD)</f>
        <v>0</v>
      </c>
      <c r="AF124" s="48" t="n">
        <f aca="false">(AF59+AF66+AF91+AF95+AF96+AF79)*(AF$4&lt;=In_COD)</f>
        <v>0</v>
      </c>
      <c r="AG124" s="48" t="n">
        <f aca="false">(AG59+AG66+AG91+AG95+AG96+AG79)*(AG$4&lt;=In_COD)</f>
        <v>0</v>
      </c>
      <c r="AH124" s="48" t="n">
        <f aca="false">(AH59+AH66+AH91+AH95+AH96+AH79)*(AH$4&lt;=In_COD)</f>
        <v>0</v>
      </c>
      <c r="AI124" s="48" t="n">
        <f aca="false">(AI59+AI66+AI91+AI95+AI96+AI79)*(AI$4&lt;=In_COD)</f>
        <v>0</v>
      </c>
      <c r="AJ124" s="48" t="n">
        <f aca="false">(AJ59+AJ66+AJ91+AJ95+AJ96+AJ79)*(AJ$4&lt;=In_COD)</f>
        <v>0</v>
      </c>
      <c r="AK124" s="48" t="n">
        <f aca="false">(AK59+AK66+AK91+AK95+AK96+AK79)*(AK$4&lt;=In_COD)</f>
        <v>0</v>
      </c>
      <c r="AL124" s="48" t="n">
        <f aca="false">(AL59+AL66+AL91+AL95+AL96+AL79)*(AL$4&lt;=In_COD)</f>
        <v>0</v>
      </c>
      <c r="AM124" s="48" t="n">
        <f aca="false">(AM59+AM66+AM91+AM95+AM96+AM79)*(AM$4&lt;=In_COD)</f>
        <v>0</v>
      </c>
      <c r="AN124" s="48" t="n">
        <f aca="false">(AN59+AN66+AN91+AN95+AN96+AN79)*(AN$4&lt;=In_COD)</f>
        <v>0</v>
      </c>
      <c r="AO124" s="48" t="n">
        <f aca="false">(AO59+AO66+AO91+AO95+AO96+AO79)*(AO$4&lt;=In_COD)</f>
        <v>0</v>
      </c>
      <c r="AP124" s="48" t="n">
        <f aca="false">(AP59+AP66+AP91+AP95+AP96+AP79)*(AP$4&lt;=In_COD)</f>
        <v>0</v>
      </c>
      <c r="AQ124" s="48" t="n">
        <f aca="false">(AQ59+AQ66+AQ91+AQ95+AQ96+AQ79)*(AQ$4&lt;=In_COD)</f>
        <v>0</v>
      </c>
      <c r="AR124" s="48" t="n">
        <f aca="false">(AR59+AR66+AR91+AR95+AR96+AR79)*(AR$4&lt;=In_COD)</f>
        <v>0</v>
      </c>
      <c r="AS124" s="48" t="n">
        <f aca="false">(AS59+AS66+AS91+AS95+AS96+AS79)*(AS$4&lt;=In_COD)</f>
        <v>0</v>
      </c>
      <c r="AT124" s="48" t="n">
        <f aca="false">(AT59+AT66+AT91+AT95+AT96+AT79)*(AT$4&lt;=In_COD)</f>
        <v>0</v>
      </c>
      <c r="AU124" s="48" t="n">
        <f aca="false">(AU59+AU66+AU91+AU95+AU96+AU79)*(AU$4&lt;=In_COD)</f>
        <v>0</v>
      </c>
      <c r="AV124" s="48" t="n">
        <f aca="false">(AV59+AV66+AV91+AV95+AV96+AV79)*(AV$4&lt;=In_COD)</f>
        <v>0</v>
      </c>
      <c r="AW124" s="48" t="n">
        <f aca="false">(AW59+AW66+AW91+AW95+AW96+AW79)*(AW$4&lt;=In_COD)</f>
        <v>0</v>
      </c>
      <c r="AX124" s="48" t="n">
        <f aca="false">(AX59+AX66+AX91+AX95+AX96+AX79)*(AX$4&lt;=In_COD)</f>
        <v>0</v>
      </c>
      <c r="AY124" s="48" t="n">
        <f aca="false">(AY59+AY66+AY91+AY95+AY96+AY79)*(AY$4&lt;=In_COD)</f>
        <v>0</v>
      </c>
      <c r="AZ124" s="48" t="n">
        <f aca="false">(AZ59+AZ66+AZ91+AZ95+AZ96+AZ79)*(AZ$4&lt;=In_COD)</f>
        <v>0</v>
      </c>
      <c r="BA124" s="48" t="n">
        <f aca="false">(BA59+BA66+BA91+BA95+BA96+BA79)*(BA$4&lt;=In_COD)</f>
        <v>0</v>
      </c>
      <c r="BB124" s="48" t="n">
        <f aca="false">(BB59+BB66+BB91+BB95+BB96+BB79)*(BB$4&lt;=In_COD)</f>
        <v>0</v>
      </c>
      <c r="BC124" s="48" t="n">
        <f aca="false">(BC59+BC66+BC91+BC95+BC96+BC79)*(BC$4&lt;=In_COD)</f>
        <v>0</v>
      </c>
      <c r="BD124" s="48" t="n">
        <f aca="false">(BD59+BD66+BD91+BD95+BD96+BD79)*(BD$4&lt;=In_COD)</f>
        <v>0</v>
      </c>
      <c r="BE124" s="48" t="n">
        <f aca="false">(BE59+BE66+BE91+BE95+BE96+BE79)*(BE$4&lt;=In_COD)</f>
        <v>0</v>
      </c>
      <c r="BF124" s="48" t="n">
        <f aca="false">(BF59+BF66+BF91+BF95+BF96+BF79)*(BF$4&lt;=In_COD)</f>
        <v>0</v>
      </c>
      <c r="BG124" s="48" t="n">
        <f aca="false">(BG59+BG66+BG91+BG95+BG96+BG79)*(BG$4&lt;=In_COD)</f>
        <v>0</v>
      </c>
      <c r="BH124" s="48" t="n">
        <f aca="false">(BH59+BH66+BH91+BH95+BH96+BH79)*(BH$4&lt;=In_COD)</f>
        <v>0</v>
      </c>
      <c r="BI124" s="48" t="n">
        <f aca="false">(BI59+BI66+BI91+BI95+BI96+BI79)*(BI$4&lt;=In_COD)</f>
        <v>0</v>
      </c>
      <c r="BJ124" s="48" t="n">
        <f aca="false">(BJ59+BJ66+BJ91+BJ95+BJ96+BJ79)*(BJ$4&lt;=In_COD)</f>
        <v>0</v>
      </c>
      <c r="BK124" s="48" t="n">
        <f aca="false">(BK59+BK66+BK91+BK95+BK96+BK79)*(BK$4&lt;=In_COD)</f>
        <v>0</v>
      </c>
      <c r="BL124" s="48" t="n">
        <f aca="false">(BL59+BL66+BL91+BL95+BL96+BL79)*(BL$4&lt;=In_COD)</f>
        <v>0</v>
      </c>
      <c r="BM124" s="48" t="n">
        <f aca="false">(BM59+BM66+BM91+BM95+BM96+BM79)*(BM$4&lt;=In_COD)</f>
        <v>0</v>
      </c>
      <c r="BN124" s="48" t="n">
        <f aca="false">(BN59+BN66+BN91+BN95+BN96+BN79)*(BN$4&lt;=In_COD)</f>
        <v>0</v>
      </c>
      <c r="BO124" s="48" t="n">
        <f aca="false">(BO59+BO66+BO91+BO95+BO96+BO79)*(BO$4&lt;=In_COD)</f>
        <v>0</v>
      </c>
      <c r="BP124" s="48" t="n">
        <f aca="false">(BP59+BP66+BP91+BP95+BP96+BP79)*(BP$4&lt;=In_COD)</f>
        <v>0</v>
      </c>
      <c r="BQ124" s="48" t="n">
        <f aca="false">(BQ59+BQ66+BQ91+BQ95+BQ96+BQ79)*(BQ$4&lt;=In_COD)</f>
        <v>0</v>
      </c>
      <c r="BR124" s="48" t="n">
        <f aca="false">(BR59+BR66+BR91+BR95+BR96+BR79)*(BR$4&lt;=In_COD)</f>
        <v>0</v>
      </c>
      <c r="BS124" s="48" t="n">
        <f aca="false">(BS59+BS66+BS91+BS95+BS96+BS79)*(BS$4&lt;=In_COD)</f>
        <v>0</v>
      </c>
      <c r="BT124" s="48" t="n">
        <f aca="false">(BT59+BT66+BT91+BT95+BT96+BT79)*(BT$4&lt;=In_COD)</f>
        <v>0</v>
      </c>
      <c r="BU124" s="48" t="n">
        <f aca="false">(BU59+BU66+BU91+BU95+BU96+BU79)*(BU$4&lt;=In_COD)</f>
        <v>0</v>
      </c>
      <c r="BV124" s="48" t="n">
        <f aca="false">(BV59+BV66+BV91+BV95+BV96+BV79)*(BV$4&lt;=In_COD)</f>
        <v>0</v>
      </c>
      <c r="BW124" s="48" t="n">
        <f aca="false">(BW59+BW66+BW91+BW95+BW96+BW79)*(BW$4&lt;=In_COD)</f>
        <v>0</v>
      </c>
      <c r="BX124" s="48" t="n">
        <f aca="false">(BX59+BX66+BX91+BX95+BX96+BX79)*(BX$4&lt;=In_COD)</f>
        <v>0</v>
      </c>
      <c r="BY124" s="48" t="n">
        <f aca="false">(BY59+BY66+BY91+BY95+BY96+BY79)*(BY$4&lt;=In_COD)</f>
        <v>0</v>
      </c>
      <c r="BZ124" s="48" t="n">
        <f aca="false">(BZ59+BZ66+BZ91+BZ95+BZ96+BZ79)*(BZ$4&lt;=In_COD)</f>
        <v>0</v>
      </c>
      <c r="CA124" s="48" t="n">
        <f aca="false">(CA59+CA66+CA91+CA95+CA96+CA79)*(CA$4&lt;=In_COD)</f>
        <v>0</v>
      </c>
      <c r="CB124" s="48" t="n">
        <f aca="false">(CB59+CB66+CB91+CB95+CB96+CB79)*(CB$4&lt;=In_COD)</f>
        <v>0</v>
      </c>
      <c r="CC124" s="48" t="n">
        <f aca="false">(CC59+CC66+CC91+CC95+CC96+CC79)*(CC$4&lt;=In_COD)</f>
        <v>0</v>
      </c>
      <c r="CD124" s="48" t="n">
        <f aca="false">(CD59+CD66+CD91+CD95+CD96+CD79)*(CD$4&lt;=In_COD)</f>
        <v>0</v>
      </c>
      <c r="CE124" s="48" t="n">
        <f aca="false">(CE59+CE66+CE91+CE95+CE96+CE79)*(CE$4&lt;=In_COD)</f>
        <v>0</v>
      </c>
      <c r="CF124" s="48" t="n">
        <f aca="false">(CF59+CF66+CF91+CF95+CF96+CF79)*(CF$4&lt;=In_COD)</f>
        <v>0</v>
      </c>
      <c r="CG124" s="48" t="n">
        <f aca="false">(CG59+CG66+CG91+CG95+CG96+CG79)*(CG$4&lt;=In_COD)</f>
        <v>0</v>
      </c>
      <c r="CH124" s="48" t="n">
        <f aca="false">(CH59+CH66+CH91+CH95+CH96+CH79)*(CH$4&lt;=In_COD)</f>
        <v>0</v>
      </c>
      <c r="CI124" s="48" t="n">
        <f aca="false">(CI59+CI66+CI91+CI95+CI96+CI79)*(CI$4&lt;=In_COD)</f>
        <v>0</v>
      </c>
      <c r="CJ124" s="48" t="n">
        <f aca="false">(CJ59+CJ66+CJ91+CJ95+CJ96+CJ79)*(CJ$4&lt;=In_COD)</f>
        <v>0</v>
      </c>
      <c r="CK124" s="48" t="n">
        <f aca="false">(CK59+CK66+CK91+CK95+CK96+CK79)*(CK$4&lt;=In_COD)</f>
        <v>0</v>
      </c>
      <c r="CL124" s="48" t="n">
        <f aca="false">(CL59+CL66+CL91+CL95+CL96+CL79)*(CL$4&lt;=In_COD)</f>
        <v>0</v>
      </c>
      <c r="CM124" s="48" t="n">
        <f aca="false">(CM59+CM66+CM91+CM95+CM96+CM79)*(CM$4&lt;=In_COD)</f>
        <v>0</v>
      </c>
      <c r="CN124" s="48" t="n">
        <f aca="false">(CN59+CN66+CN91+CN95+CN96+CN79)*(CN$4&lt;=In_COD)</f>
        <v>0</v>
      </c>
      <c r="CO124" s="48" t="n">
        <f aca="false">(CO59+CO66+CO91+CO95+CO96+CO79)*(CO$4&lt;=In_COD)</f>
        <v>0</v>
      </c>
      <c r="CP124" s="48" t="n">
        <f aca="false">(CP59+CP66+CP91+CP95+CP96+CP79)*(CP$4&lt;=In_COD)</f>
        <v>0</v>
      </c>
      <c r="CQ124" s="48" t="n">
        <f aca="false">(CQ59+CQ66+CQ91+CQ95+CQ96+CQ79)*(CQ$4&lt;=In_COD)</f>
        <v>0</v>
      </c>
      <c r="CR124" s="48" t="n">
        <f aca="false">(CR59+CR66+CR91+CR95+CR96+CR79)*(CR$4&lt;=In_COD)</f>
        <v>0</v>
      </c>
      <c r="CS124" s="48" t="n">
        <f aca="false">(CS59+CS66+CS91+CS95+CS96+CS79)*(CS$4&lt;=In_COD)</f>
        <v>0</v>
      </c>
      <c r="CT124" s="48" t="n">
        <f aca="false">(CT59+CT66+CT91+CT95+CT96+CT79)*(CT$4&lt;=In_COD)</f>
        <v>0</v>
      </c>
      <c r="CU124" s="48" t="n">
        <f aca="false">(CU59+CU66+CU91+CU95+CU96+CU79)*(CU$4&lt;=In_COD)</f>
        <v>0</v>
      </c>
      <c r="CV124" s="48" t="n">
        <f aca="false">(CV59+CV66+CV91+CV95+CV96+CV79)*(CV$4&lt;=In_COD)</f>
        <v>0</v>
      </c>
      <c r="CW124" s="48" t="n">
        <f aca="false">(CW59+CW66+CW91+CW95+CW96+CW79)*(CW$4&lt;=In_COD)</f>
        <v>0</v>
      </c>
      <c r="CX124" s="48" t="n">
        <f aca="false">(CX59+CX66+CX91+CX95+CX96+CX79)*(CX$4&lt;=In_COD)</f>
        <v>0</v>
      </c>
      <c r="CY124" s="48" t="n">
        <f aca="false">(CY59+CY66+CY91+CY95+CY96+CY79)*(CY$4&lt;=In_COD)</f>
        <v>0</v>
      </c>
      <c r="CZ124" s="48" t="n">
        <f aca="false">(CZ59+CZ66+CZ91+CZ95+CZ96+CZ79)*(CZ$4&lt;=In_COD)</f>
        <v>0</v>
      </c>
      <c r="DA124" s="48" t="n">
        <f aca="false">(DA59+DA66+DA91+DA95+DA96+DA79)*(DA$4&lt;=In_COD)</f>
        <v>0</v>
      </c>
      <c r="DB124" s="48" t="n">
        <f aca="false">(DB59+DB66+DB91+DB95+DB96+DB79)*(DB$4&lt;=In_COD)</f>
        <v>0</v>
      </c>
      <c r="DC124" s="48" t="n">
        <f aca="false">(DC59+DC66+DC91+DC95+DC96+DC79)*(DC$4&lt;=In_COD)</f>
        <v>0</v>
      </c>
      <c r="DD124" s="48" t="n">
        <f aca="false">(DD59+DD66+DD91+DD95+DD96+DD79)*(DD$4&lt;=In_COD)</f>
        <v>0</v>
      </c>
      <c r="DE124" s="48" t="n">
        <f aca="false">(DE59+DE66+DE91+DE95+DE96+DE79)*(DE$4&lt;=In_COD)</f>
        <v>0</v>
      </c>
      <c r="DF124" s="48" t="n">
        <f aca="false">(DF59+DF66+DF91+DF95+DF96+DF79)*(DF$4&lt;=In_COD)</f>
        <v>0</v>
      </c>
      <c r="DG124" s="48" t="n">
        <f aca="false">(DG59+DG66+DG91+DG95+DG96+DG79)*(DG$4&lt;=In_COD)</f>
        <v>0</v>
      </c>
      <c r="DH124" s="48" t="n">
        <f aca="false">(DH59+DH66+DH91+DH95+DH96+DH79)*(DH$4&lt;=In_COD)</f>
        <v>0</v>
      </c>
      <c r="DI124" s="48" t="n">
        <f aca="false">(DI59+DI66+DI91+DI95+DI96+DI79)*(DI$4&lt;=In_COD)</f>
        <v>0</v>
      </c>
      <c r="DJ124" s="48" t="n">
        <f aca="false">(DJ59+DJ66+DJ91+DJ95+DJ96+DJ79)*(DJ$4&lt;=In_COD)</f>
        <v>0</v>
      </c>
      <c r="DK124" s="48" t="n">
        <f aca="false">(DK59+DK66+DK91+DK95+DK96+DK79)*(DK$4&lt;=In_COD)</f>
        <v>0</v>
      </c>
      <c r="DL124" s="48" t="n">
        <f aca="false">(DL59+DL66+DL91+DL95+DL96+DL79)*(DL$4&lt;=In_COD)</f>
        <v>0</v>
      </c>
      <c r="DM124" s="48" t="n">
        <f aca="false">(DM59+DM66+DM91+DM95+DM96+DM79)*(DM$4&lt;=In_COD)</f>
        <v>0</v>
      </c>
      <c r="DN124" s="48" t="n">
        <f aca="false">(DN59+DN66+DN91+DN95+DN96+DN79)*(DN$4&lt;=In_COD)</f>
        <v>0</v>
      </c>
      <c r="DO124" s="48" t="n">
        <f aca="false">(DO59+DO66+DO91+DO95+DO96+DO79)*(DO$4&lt;=In_COD)</f>
        <v>0</v>
      </c>
      <c r="DP124" s="48" t="n">
        <f aca="false">(DP59+DP66+DP91+DP95+DP96+DP79)*(DP$4&lt;=In_COD)</f>
        <v>0</v>
      </c>
      <c r="DQ124" s="48" t="n">
        <f aca="false">(DQ59+DQ66+DQ91+DQ95+DQ96+DQ79)*(DQ$4&lt;=In_COD)</f>
        <v>0</v>
      </c>
      <c r="DR124" s="48" t="n">
        <f aca="false">(DR59+DR66+DR91+DR95+DR96+DR79)*(DR$4&lt;=In_COD)</f>
        <v>0</v>
      </c>
      <c r="DS124" s="48" t="n">
        <f aca="false">(DS59+DS66+DS91+DS95+DS96+DS79)*(DS$4&lt;=In_COD)</f>
        <v>0</v>
      </c>
      <c r="DT124" s="48" t="n">
        <f aca="false">(DT59+DT66+DT91+DT95+DT96+DT79)*(DT$4&lt;=In_COD)</f>
        <v>0</v>
      </c>
      <c r="DU124" s="48" t="n">
        <f aca="false">(DU59+DU66+DU91+DU95+DU96+DU79)*(DU$4&lt;=In_COD)</f>
        <v>0</v>
      </c>
      <c r="DV124" s="48" t="n">
        <f aca="false">(DV59+DV66+DV91+DV95+DV96+DV79)*(DV$4&lt;=In_COD)</f>
        <v>0</v>
      </c>
      <c r="DW124" s="48" t="n">
        <f aca="false">(DW59+DW66+DW91+DW95+DW96+DW79)*(DW$4&lt;=In_COD)</f>
        <v>0</v>
      </c>
      <c r="DX124" s="48" t="n">
        <f aca="false">(DX59+DX66+DX91+DX95+DX96+DX79)*(DX$4&lt;=In_COD)</f>
        <v>0</v>
      </c>
      <c r="DY124" s="48" t="n">
        <f aca="false">(DY59+DY66+DY91+DY95+DY96+DY79)*(DY$4&lt;=In_COD)</f>
        <v>0</v>
      </c>
      <c r="DZ124" s="48" t="n">
        <f aca="false">(DZ59+DZ66+DZ91+DZ95+DZ96+DZ79)*(DZ$4&lt;=In_COD)</f>
        <v>0</v>
      </c>
      <c r="EA124" s="48" t="n">
        <f aca="false">(EA59+EA66+EA91+EA95+EA96+EA79)*(EA$4&lt;=In_COD)</f>
        <v>0</v>
      </c>
      <c r="EB124" s="48" t="n">
        <f aca="false">(EB59+EB66+EB91+EB95+EB96+EB79)*(EB$4&lt;=In_COD)</f>
        <v>0</v>
      </c>
      <c r="EC124" s="48" t="n">
        <f aca="false">(EC59+EC66+EC91+EC95+EC96+EC79)*(EC$4&lt;=In_COD)</f>
        <v>0</v>
      </c>
      <c r="ED124" s="48" t="n">
        <f aca="false">(ED59+ED66+ED91+ED95+ED96+ED79)*(ED$4&lt;=In_COD)</f>
        <v>0</v>
      </c>
      <c r="EE124" s="48" t="n">
        <f aca="false">(EE59+EE66+EE91+EE95+EE96+EE79)*(EE$4&lt;=In_COD)</f>
        <v>0</v>
      </c>
      <c r="EF124" s="48" t="n">
        <f aca="false">(EF59+EF66+EF91+EF95+EF96+EF79)*(EF$4&lt;=In_COD)</f>
        <v>0</v>
      </c>
      <c r="EG124" s="48" t="n">
        <f aca="false">(EG59+EG66+EG91+EG95+EG96+EG79)*(EG$4&lt;=In_COD)</f>
        <v>0</v>
      </c>
      <c r="EH124" s="48" t="n">
        <f aca="false">(EH59+EH66+EH91+EH95+EH96+EH79)*(EH$4&lt;=In_COD)</f>
        <v>0</v>
      </c>
      <c r="EI124" s="48" t="n">
        <f aca="false">(EI59+EI66+EI91+EI95+EI96+EI79)*(EI$4&lt;=In_COD)</f>
        <v>0</v>
      </c>
      <c r="EJ124" s="48" t="n">
        <f aca="false">(EJ59+EJ66+EJ91+EJ95+EJ96+EJ79)*(EJ$4&lt;=In_COD)</f>
        <v>0</v>
      </c>
      <c r="EK124" s="48" t="n">
        <f aca="false">(EK59+EK66+EK91+EK95+EK96+EK79)*(EK$4&lt;=In_COD)</f>
        <v>0</v>
      </c>
      <c r="EL124" s="48" t="n">
        <f aca="false">(EL59+EL66+EL91+EL95+EL96+EL79)*(EL$4&lt;=In_COD)</f>
        <v>0</v>
      </c>
      <c r="EM124" s="48" t="n">
        <f aca="false">(EM59+EM66+EM91+EM95+EM96+EM79)*(EM$4&lt;=In_COD)</f>
        <v>0</v>
      </c>
      <c r="EN124" s="48" t="n">
        <f aca="false">(EN59+EN66+EN91+EN95+EN96+EN79)*(EN$4&lt;=In_COD)</f>
        <v>0</v>
      </c>
      <c r="EO124" s="48" t="n">
        <f aca="false">(EO59+EO66+EO91+EO95+EO96+EO79)*(EO$4&lt;=In_COD)</f>
        <v>0</v>
      </c>
    </row>
    <row r="125" customFormat="false" ht="15" hidden="false" customHeight="false" outlineLevel="0" collapsed="false">
      <c r="C125" s="1" t="s">
        <v>467</v>
      </c>
      <c r="D125" s="12" t="s">
        <v>33</v>
      </c>
      <c r="E125" s="48" t="n">
        <f aca="false">IF($E38=1,In_COD_Price,In_COD_Price_CN)*$F24*(1-$E27)</f>
        <v>134137.5</v>
      </c>
    </row>
    <row r="126" customFormat="false" ht="15" hidden="false" customHeight="false" outlineLevel="0" collapsed="false">
      <c r="C126" s="1" t="s">
        <v>468</v>
      </c>
      <c r="D126" s="12" t="s">
        <v>33</v>
      </c>
      <c r="E126" s="48" t="n">
        <f aca="false">$E125+$I58-$E94-In_Sale_Costs</f>
        <v>75501.4649766765</v>
      </c>
    </row>
    <row r="127" customFormat="false" ht="15" hidden="false" customHeight="false" outlineLevel="0" collapsed="false">
      <c r="C127" s="1" t="s">
        <v>123</v>
      </c>
      <c r="D127" s="12" t="s">
        <v>33</v>
      </c>
      <c r="E127" s="48" t="n">
        <f aca="false">-In_CIT*In_Sale_Gain_Taxed*MAX(0,$E126+$I124)</f>
        <v>-0</v>
      </c>
    </row>
    <row r="128" customFormat="false" ht="15" hidden="false" customHeight="false" outlineLevel="0" collapsed="false">
      <c r="C128" s="26" t="s">
        <v>469</v>
      </c>
      <c r="D128" s="12" t="s">
        <v>33</v>
      </c>
      <c r="I128" s="57" t="n">
        <f aca="false">SUM(J128:EO128)</f>
        <v>21872.5390544187</v>
      </c>
      <c r="J128" s="57" t="n">
        <f aca="false">J124+($E126+$E127)*J14</f>
        <v>-4662.80993807469</v>
      </c>
      <c r="K128" s="57" t="n">
        <f aca="false">K124+($E126+$E127)*K14</f>
        <v>-706.535577057768</v>
      </c>
      <c r="L128" s="57" t="n">
        <f aca="false">L124+($E126+$E127)*L14</f>
        <v>-104.360496659404</v>
      </c>
      <c r="M128" s="57" t="n">
        <f aca="false">M124+($E126+$E127)*M14</f>
        <v>-105.507315304013</v>
      </c>
      <c r="N128" s="57" t="n">
        <f aca="false">N124+($E126+$E127)*N14</f>
        <v>-105.507315304013</v>
      </c>
      <c r="O128" s="57" t="n">
        <f aca="false">O124+($E126+$E127)*O14</f>
        <v>-104.360496659404</v>
      </c>
      <c r="P128" s="57" t="n">
        <f aca="false">P124+($E126+$E127)*P14</f>
        <v>-104.360496659404</v>
      </c>
      <c r="Q128" s="57" t="n">
        <f aca="false">Q124+($E126+$E127)*Q14</f>
        <v>-105.507315304013</v>
      </c>
      <c r="R128" s="57" t="n">
        <f aca="false">R124+($E126+$E127)*R14</f>
        <v>-6343.24141455136</v>
      </c>
      <c r="S128" s="57" t="n">
        <f aca="false">S124+($E126+$E127)*S14</f>
        <v>-8866.86817882802</v>
      </c>
      <c r="T128" s="57" t="n">
        <f aca="false">T124+($E126+$E127)*T14</f>
        <v>-5231.13156786321</v>
      </c>
      <c r="U128" s="57" t="n">
        <f aca="false">U124+($E126+$E127)*U14</f>
        <v>-5274.56210977118</v>
      </c>
      <c r="V128" s="57" t="n">
        <f aca="false">V124+($E126+$E127)*V14</f>
        <v>-5260.35324521498</v>
      </c>
      <c r="W128" s="57" t="n">
        <f aca="false">W124+($E126+$E127)*W14</f>
        <v>-5133.13969486067</v>
      </c>
      <c r="X128" s="57" t="n">
        <f aca="false">X124+($E126+$E127)*X14</f>
        <v>-5176.42569086062</v>
      </c>
      <c r="Y128" s="57" t="n">
        <f aca="false">Y124+($E126+$E127)*Y14</f>
        <v>69157.2099073914</v>
      </c>
      <c r="Z128" s="57" t="n">
        <f aca="false">Z124+($E126+$E127)*Z14</f>
        <v>0</v>
      </c>
      <c r="AA128" s="57" t="n">
        <f aca="false">AA124+($E126+$E127)*AA14</f>
        <v>0</v>
      </c>
      <c r="AB128" s="57" t="n">
        <f aca="false">AB124+($E126+$E127)*AB14</f>
        <v>0</v>
      </c>
      <c r="AC128" s="57" t="n">
        <f aca="false">AC124+($E126+$E127)*AC14</f>
        <v>0</v>
      </c>
      <c r="AD128" s="57" t="n">
        <f aca="false">AD124+($E126+$E127)*AD14</f>
        <v>0</v>
      </c>
      <c r="AE128" s="57" t="n">
        <f aca="false">AE124+($E126+$E127)*AE14</f>
        <v>0</v>
      </c>
      <c r="AF128" s="57" t="n">
        <f aca="false">AF124+($E126+$E127)*AF14</f>
        <v>0</v>
      </c>
      <c r="AG128" s="57" t="n">
        <f aca="false">AG124+($E126+$E127)*AG14</f>
        <v>0</v>
      </c>
      <c r="AH128" s="57" t="n">
        <f aca="false">AH124+($E126+$E127)*AH14</f>
        <v>0</v>
      </c>
      <c r="AI128" s="57" t="n">
        <f aca="false">AI124+($E126+$E127)*AI14</f>
        <v>0</v>
      </c>
      <c r="AJ128" s="57" t="n">
        <f aca="false">AJ124+($E126+$E127)*AJ14</f>
        <v>0</v>
      </c>
      <c r="AK128" s="57" t="n">
        <f aca="false">AK124+($E126+$E127)*AK14</f>
        <v>0</v>
      </c>
      <c r="AL128" s="57" t="n">
        <f aca="false">AL124+($E126+$E127)*AL14</f>
        <v>0</v>
      </c>
      <c r="AM128" s="57" t="n">
        <f aca="false">AM124+($E126+$E127)*AM14</f>
        <v>0</v>
      </c>
      <c r="AN128" s="57" t="n">
        <f aca="false">AN124+($E126+$E127)*AN14</f>
        <v>0</v>
      </c>
      <c r="AO128" s="57" t="n">
        <f aca="false">AO124+($E126+$E127)*AO14</f>
        <v>0</v>
      </c>
      <c r="AP128" s="57" t="n">
        <f aca="false">AP124+($E126+$E127)*AP14</f>
        <v>0</v>
      </c>
      <c r="AQ128" s="57" t="n">
        <f aca="false">AQ124+($E126+$E127)*AQ14</f>
        <v>0</v>
      </c>
      <c r="AR128" s="57" t="n">
        <f aca="false">AR124+($E126+$E127)*AR14</f>
        <v>0</v>
      </c>
      <c r="AS128" s="57" t="n">
        <f aca="false">AS124+($E126+$E127)*AS14</f>
        <v>0</v>
      </c>
      <c r="AT128" s="57" t="n">
        <f aca="false">AT124+($E126+$E127)*AT14</f>
        <v>0</v>
      </c>
      <c r="AU128" s="57" t="n">
        <f aca="false">AU124+($E126+$E127)*AU14</f>
        <v>0</v>
      </c>
      <c r="AV128" s="57" t="n">
        <f aca="false">AV124+($E126+$E127)*AV14</f>
        <v>0</v>
      </c>
      <c r="AW128" s="57" t="n">
        <f aca="false">AW124+($E126+$E127)*AW14</f>
        <v>0</v>
      </c>
      <c r="AX128" s="57" t="n">
        <f aca="false">AX124+($E126+$E127)*AX14</f>
        <v>0</v>
      </c>
      <c r="AY128" s="57" t="n">
        <f aca="false">AY124+($E126+$E127)*AY14</f>
        <v>0</v>
      </c>
      <c r="AZ128" s="57" t="n">
        <f aca="false">AZ124+($E126+$E127)*AZ14</f>
        <v>0</v>
      </c>
      <c r="BA128" s="57" t="n">
        <f aca="false">BA124+($E126+$E127)*BA14</f>
        <v>0</v>
      </c>
      <c r="BB128" s="57" t="n">
        <f aca="false">BB124+($E126+$E127)*BB14</f>
        <v>0</v>
      </c>
      <c r="BC128" s="57" t="n">
        <f aca="false">BC124+($E126+$E127)*BC14</f>
        <v>0</v>
      </c>
      <c r="BD128" s="57" t="n">
        <f aca="false">BD124+($E126+$E127)*BD14</f>
        <v>0</v>
      </c>
      <c r="BE128" s="57" t="n">
        <f aca="false">BE124+($E126+$E127)*BE14</f>
        <v>0</v>
      </c>
      <c r="BF128" s="57" t="n">
        <f aca="false">BF124+($E126+$E127)*BF14</f>
        <v>0</v>
      </c>
      <c r="BG128" s="57" t="n">
        <f aca="false">BG124+($E126+$E127)*BG14</f>
        <v>0</v>
      </c>
      <c r="BH128" s="57" t="n">
        <f aca="false">BH124+($E126+$E127)*BH14</f>
        <v>0</v>
      </c>
      <c r="BI128" s="57" t="n">
        <f aca="false">BI124+($E126+$E127)*BI14</f>
        <v>0</v>
      </c>
      <c r="BJ128" s="57" t="n">
        <f aca="false">BJ124+($E126+$E127)*BJ14</f>
        <v>0</v>
      </c>
      <c r="BK128" s="57" t="n">
        <f aca="false">BK124+($E126+$E127)*BK14</f>
        <v>0</v>
      </c>
      <c r="BL128" s="57" t="n">
        <f aca="false">BL124+($E126+$E127)*BL14</f>
        <v>0</v>
      </c>
      <c r="BM128" s="57" t="n">
        <f aca="false">BM124+($E126+$E127)*BM14</f>
        <v>0</v>
      </c>
      <c r="BN128" s="57" t="n">
        <f aca="false">BN124+($E126+$E127)*BN14</f>
        <v>0</v>
      </c>
      <c r="BO128" s="57" t="n">
        <f aca="false">BO124+($E126+$E127)*BO14</f>
        <v>0</v>
      </c>
      <c r="BP128" s="57" t="n">
        <f aca="false">BP124+($E126+$E127)*BP14</f>
        <v>0</v>
      </c>
      <c r="BQ128" s="57" t="n">
        <f aca="false">BQ124+($E126+$E127)*BQ14</f>
        <v>0</v>
      </c>
      <c r="BR128" s="57" t="n">
        <f aca="false">BR124+($E126+$E127)*BR14</f>
        <v>0</v>
      </c>
      <c r="BS128" s="57" t="n">
        <f aca="false">BS124+($E126+$E127)*BS14</f>
        <v>0</v>
      </c>
      <c r="BT128" s="57" t="n">
        <f aca="false">BT124+($E126+$E127)*BT14</f>
        <v>0</v>
      </c>
      <c r="BU128" s="57" t="n">
        <f aca="false">BU124+($E126+$E127)*BU14</f>
        <v>0</v>
      </c>
      <c r="BV128" s="57" t="n">
        <f aca="false">BV124+($E126+$E127)*BV14</f>
        <v>0</v>
      </c>
      <c r="BW128" s="57" t="n">
        <f aca="false">BW124+($E126+$E127)*BW14</f>
        <v>0</v>
      </c>
      <c r="BX128" s="57" t="n">
        <f aca="false">BX124+($E126+$E127)*BX14</f>
        <v>0</v>
      </c>
      <c r="BY128" s="57" t="n">
        <f aca="false">BY124+($E126+$E127)*BY14</f>
        <v>0</v>
      </c>
      <c r="BZ128" s="57" t="n">
        <f aca="false">BZ124+($E126+$E127)*BZ14</f>
        <v>0</v>
      </c>
      <c r="CA128" s="57" t="n">
        <f aca="false">CA124+($E126+$E127)*CA14</f>
        <v>0</v>
      </c>
      <c r="CB128" s="57" t="n">
        <f aca="false">CB124+($E126+$E127)*CB14</f>
        <v>0</v>
      </c>
      <c r="CC128" s="57" t="n">
        <f aca="false">CC124+($E126+$E127)*CC14</f>
        <v>0</v>
      </c>
      <c r="CD128" s="57" t="n">
        <f aca="false">CD124+($E126+$E127)*CD14</f>
        <v>0</v>
      </c>
      <c r="CE128" s="57" t="n">
        <f aca="false">CE124+($E126+$E127)*CE14</f>
        <v>0</v>
      </c>
      <c r="CF128" s="57" t="n">
        <f aca="false">CF124+($E126+$E127)*CF14</f>
        <v>0</v>
      </c>
      <c r="CG128" s="57" t="n">
        <f aca="false">CG124+($E126+$E127)*CG14</f>
        <v>0</v>
      </c>
      <c r="CH128" s="57" t="n">
        <f aca="false">CH124+($E126+$E127)*CH14</f>
        <v>0</v>
      </c>
      <c r="CI128" s="57" t="n">
        <f aca="false">CI124+($E126+$E127)*CI14</f>
        <v>0</v>
      </c>
      <c r="CJ128" s="57" t="n">
        <f aca="false">CJ124+($E126+$E127)*CJ14</f>
        <v>0</v>
      </c>
      <c r="CK128" s="57" t="n">
        <f aca="false">CK124+($E126+$E127)*CK14</f>
        <v>0</v>
      </c>
      <c r="CL128" s="57" t="n">
        <f aca="false">CL124+($E126+$E127)*CL14</f>
        <v>0</v>
      </c>
      <c r="CM128" s="57" t="n">
        <f aca="false">CM124+($E126+$E127)*CM14</f>
        <v>0</v>
      </c>
      <c r="CN128" s="57" t="n">
        <f aca="false">CN124+($E126+$E127)*CN14</f>
        <v>0</v>
      </c>
      <c r="CO128" s="57" t="n">
        <f aca="false">CO124+($E126+$E127)*CO14</f>
        <v>0</v>
      </c>
      <c r="CP128" s="57" t="n">
        <f aca="false">CP124+($E126+$E127)*CP14</f>
        <v>0</v>
      </c>
      <c r="CQ128" s="57" t="n">
        <f aca="false">CQ124+($E126+$E127)*CQ14</f>
        <v>0</v>
      </c>
      <c r="CR128" s="57" t="n">
        <f aca="false">CR124+($E126+$E127)*CR14</f>
        <v>0</v>
      </c>
      <c r="CS128" s="57" t="n">
        <f aca="false">CS124+($E126+$E127)*CS14</f>
        <v>0</v>
      </c>
      <c r="CT128" s="57" t="n">
        <f aca="false">CT124+($E126+$E127)*CT14</f>
        <v>0</v>
      </c>
      <c r="CU128" s="57" t="n">
        <f aca="false">CU124+($E126+$E127)*CU14</f>
        <v>0</v>
      </c>
      <c r="CV128" s="57" t="n">
        <f aca="false">CV124+($E126+$E127)*CV14</f>
        <v>0</v>
      </c>
      <c r="CW128" s="57" t="n">
        <f aca="false">CW124+($E126+$E127)*CW14</f>
        <v>0</v>
      </c>
      <c r="CX128" s="57" t="n">
        <f aca="false">CX124+($E126+$E127)*CX14</f>
        <v>0</v>
      </c>
      <c r="CY128" s="57" t="n">
        <f aca="false">CY124+($E126+$E127)*CY14</f>
        <v>0</v>
      </c>
      <c r="CZ128" s="57" t="n">
        <f aca="false">CZ124+($E126+$E127)*CZ14</f>
        <v>0</v>
      </c>
      <c r="DA128" s="57" t="n">
        <f aca="false">DA124+($E126+$E127)*DA14</f>
        <v>0</v>
      </c>
      <c r="DB128" s="57" t="n">
        <f aca="false">DB124+($E126+$E127)*DB14</f>
        <v>0</v>
      </c>
      <c r="DC128" s="57" t="n">
        <f aca="false">DC124+($E126+$E127)*DC14</f>
        <v>0</v>
      </c>
      <c r="DD128" s="57" t="n">
        <f aca="false">DD124+($E126+$E127)*DD14</f>
        <v>0</v>
      </c>
      <c r="DE128" s="57" t="n">
        <f aca="false">DE124+($E126+$E127)*DE14</f>
        <v>0</v>
      </c>
      <c r="DF128" s="57" t="n">
        <f aca="false">DF124+($E126+$E127)*DF14</f>
        <v>0</v>
      </c>
      <c r="DG128" s="57" t="n">
        <f aca="false">DG124+($E126+$E127)*DG14</f>
        <v>0</v>
      </c>
      <c r="DH128" s="57" t="n">
        <f aca="false">DH124+($E126+$E127)*DH14</f>
        <v>0</v>
      </c>
      <c r="DI128" s="57" t="n">
        <f aca="false">DI124+($E126+$E127)*DI14</f>
        <v>0</v>
      </c>
      <c r="DJ128" s="57" t="n">
        <f aca="false">DJ124+($E126+$E127)*DJ14</f>
        <v>0</v>
      </c>
      <c r="DK128" s="57" t="n">
        <f aca="false">DK124+($E126+$E127)*DK14</f>
        <v>0</v>
      </c>
      <c r="DL128" s="57" t="n">
        <f aca="false">DL124+($E126+$E127)*DL14</f>
        <v>0</v>
      </c>
      <c r="DM128" s="57" t="n">
        <f aca="false">DM124+($E126+$E127)*DM14</f>
        <v>0</v>
      </c>
      <c r="DN128" s="57" t="n">
        <f aca="false">DN124+($E126+$E127)*DN14</f>
        <v>0</v>
      </c>
      <c r="DO128" s="57" t="n">
        <f aca="false">DO124+($E126+$E127)*DO14</f>
        <v>0</v>
      </c>
      <c r="DP128" s="57" t="n">
        <f aca="false">DP124+($E126+$E127)*DP14</f>
        <v>0</v>
      </c>
      <c r="DQ128" s="57" t="n">
        <f aca="false">DQ124+($E126+$E127)*DQ14</f>
        <v>0</v>
      </c>
      <c r="DR128" s="57" t="n">
        <f aca="false">DR124+($E126+$E127)*DR14</f>
        <v>0</v>
      </c>
      <c r="DS128" s="57" t="n">
        <f aca="false">DS124+($E126+$E127)*DS14</f>
        <v>0</v>
      </c>
      <c r="DT128" s="57" t="n">
        <f aca="false">DT124+($E126+$E127)*DT14</f>
        <v>0</v>
      </c>
      <c r="DU128" s="57" t="n">
        <f aca="false">DU124+($E126+$E127)*DU14</f>
        <v>0</v>
      </c>
      <c r="DV128" s="57" t="n">
        <f aca="false">DV124+($E126+$E127)*DV14</f>
        <v>0</v>
      </c>
      <c r="DW128" s="57" t="n">
        <f aca="false">DW124+($E126+$E127)*DW14</f>
        <v>0</v>
      </c>
      <c r="DX128" s="57" t="n">
        <f aca="false">DX124+($E126+$E127)*DX14</f>
        <v>0</v>
      </c>
      <c r="DY128" s="57" t="n">
        <f aca="false">DY124+($E126+$E127)*DY14</f>
        <v>0</v>
      </c>
      <c r="DZ128" s="57" t="n">
        <f aca="false">DZ124+($E126+$E127)*DZ14</f>
        <v>0</v>
      </c>
      <c r="EA128" s="57" t="n">
        <f aca="false">EA124+($E126+$E127)*EA14</f>
        <v>0</v>
      </c>
      <c r="EB128" s="57" t="n">
        <f aca="false">EB124+($E126+$E127)*EB14</f>
        <v>0</v>
      </c>
      <c r="EC128" s="57" t="n">
        <f aca="false">EC124+($E126+$E127)*EC14</f>
        <v>0</v>
      </c>
      <c r="ED128" s="57" t="n">
        <f aca="false">ED124+($E126+$E127)*ED14</f>
        <v>0</v>
      </c>
      <c r="EE128" s="57" t="n">
        <f aca="false">EE124+($E126+$E127)*EE14</f>
        <v>0</v>
      </c>
      <c r="EF128" s="57" t="n">
        <f aca="false">EF124+($E126+$E127)*EF14</f>
        <v>0</v>
      </c>
      <c r="EG128" s="57" t="n">
        <f aca="false">EG124+($E126+$E127)*EG14</f>
        <v>0</v>
      </c>
      <c r="EH128" s="57" t="n">
        <f aca="false">EH124+($E126+$E127)*EH14</f>
        <v>0</v>
      </c>
      <c r="EI128" s="57" t="n">
        <f aca="false">EI124+($E126+$E127)*EI14</f>
        <v>0</v>
      </c>
      <c r="EJ128" s="57" t="n">
        <f aca="false">EJ124+($E126+$E127)*EJ14</f>
        <v>0</v>
      </c>
      <c r="EK128" s="57" t="n">
        <f aca="false">EK124+($E126+$E127)*EK14</f>
        <v>0</v>
      </c>
      <c r="EL128" s="57" t="n">
        <f aca="false">EL124+($E126+$E127)*EL14</f>
        <v>0</v>
      </c>
      <c r="EM128" s="57" t="n">
        <f aca="false">EM124+($E126+$E127)*EM14</f>
        <v>0</v>
      </c>
      <c r="EN128" s="57" t="n">
        <f aca="false">EN124+($E126+$E127)*EN14</f>
        <v>0</v>
      </c>
      <c r="EO128" s="57" t="n">
        <f aca="false">EO124+($E126+$E127)*EO14</f>
        <v>0</v>
      </c>
    </row>
    <row r="129" customFormat="false" ht="15" hidden="false" customHeight="false" outlineLevel="0" collapsed="false">
      <c r="C129" s="26" t="s">
        <v>84</v>
      </c>
      <c r="D129" s="12" t="s">
        <v>27</v>
      </c>
      <c r="E129" s="34" t="n">
        <f aca="false">XIRR($J128:$EO128,$J$4:$EO$4)</f>
        <v>0.284084033636541</v>
      </c>
    </row>
    <row r="130" customFormat="false" ht="15" hidden="false" customHeight="false" outlineLevel="0" collapsed="false">
      <c r="C130" s="26" t="s">
        <v>85</v>
      </c>
      <c r="D130" s="12" t="s">
        <v>13</v>
      </c>
      <c r="E130" s="60" t="n">
        <f aca="false">($E126+$E127)/-$I124</f>
        <v>1.40784965721905</v>
      </c>
    </row>
    <row r="131" customFormat="false" ht="15" hidden="false" customHeight="false" outlineLevel="0" collapsed="false">
      <c r="C131" s="26" t="s">
        <v>86</v>
      </c>
      <c r="D131" s="12" t="s">
        <v>33</v>
      </c>
      <c r="E131" s="57" t="n">
        <f aca="false">XNPV(In_Discount_Rate,$J128:$EO128,$J$4:$EO$4)</f>
        <v>12277.8594824033</v>
      </c>
    </row>
    <row r="132" customFormat="false" ht="15" hidden="false" customHeight="false" outlineLevel="0" collapsed="false">
      <c r="A132" s="61"/>
      <c r="B132" s="61"/>
      <c r="C132" s="61" t="s">
        <v>470</v>
      </c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  <c r="BV132" s="61"/>
      <c r="BW132" s="61"/>
      <c r="BX132" s="61"/>
      <c r="BY132" s="61"/>
      <c r="BZ132" s="61"/>
      <c r="CA132" s="61"/>
      <c r="CB132" s="61"/>
      <c r="CC132" s="61"/>
      <c r="CD132" s="61"/>
      <c r="CE132" s="61"/>
      <c r="CF132" s="61"/>
      <c r="CG132" s="61"/>
      <c r="CH132" s="61"/>
      <c r="CI132" s="61"/>
      <c r="CJ132" s="61"/>
      <c r="CK132" s="61"/>
      <c r="CL132" s="61"/>
      <c r="CM132" s="61"/>
      <c r="CN132" s="61"/>
      <c r="CO132" s="61"/>
      <c r="CP132" s="61"/>
      <c r="CQ132" s="61"/>
      <c r="CR132" s="61"/>
      <c r="CS132" s="61"/>
      <c r="CT132" s="61"/>
      <c r="CU132" s="61"/>
      <c r="CV132" s="61"/>
      <c r="CW132" s="61"/>
      <c r="CX132" s="61"/>
      <c r="CY132" s="61"/>
      <c r="CZ132" s="61"/>
      <c r="DA132" s="61"/>
      <c r="DB132" s="61"/>
      <c r="DC132" s="61"/>
      <c r="DD132" s="61"/>
      <c r="DE132" s="61"/>
      <c r="DF132" s="61"/>
      <c r="DG132" s="61"/>
      <c r="DH132" s="61"/>
      <c r="DI132" s="61"/>
      <c r="DJ132" s="61"/>
      <c r="DK132" s="61"/>
      <c r="DL132" s="61"/>
      <c r="DM132" s="61"/>
      <c r="DN132" s="61"/>
      <c r="DO132" s="61"/>
      <c r="DP132" s="61"/>
      <c r="DQ132" s="61"/>
      <c r="DR132" s="61"/>
      <c r="DS132" s="61"/>
      <c r="DT132" s="61"/>
      <c r="DU132" s="61"/>
      <c r="DV132" s="61"/>
      <c r="DW132" s="61"/>
      <c r="DX132" s="61"/>
      <c r="DY132" s="61"/>
      <c r="DZ132" s="61"/>
      <c r="EA132" s="61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61"/>
      <c r="EO132" s="61"/>
    </row>
    <row r="133" customFormat="false" ht="15" hidden="false" customHeight="false" outlineLevel="0" collapsed="false">
      <c r="C133" s="1" t="s">
        <v>471</v>
      </c>
      <c r="D133" s="12" t="s">
        <v>33</v>
      </c>
      <c r="I133" s="48" t="n">
        <f aca="false">SUM(J133:EO133)</f>
        <v>138169.967029392</v>
      </c>
      <c r="J133" s="48" t="n">
        <f aca="false">(J79+J55+J58+J108)*(J$4&gt;In_COD)-$E125*J14</f>
        <v>-0</v>
      </c>
      <c r="K133" s="48" t="n">
        <f aca="false">(K79+K55+K58+K108)*(K$4&gt;In_COD)-$E125*K14</f>
        <v>-0</v>
      </c>
      <c r="L133" s="48" t="n">
        <f aca="false">(L79+L55+L58+L108)*(L$4&gt;In_COD)-$E125*L14</f>
        <v>-0</v>
      </c>
      <c r="M133" s="48" t="n">
        <f aca="false">(M79+M55+M58+M108)*(M$4&gt;In_COD)-$E125*M14</f>
        <v>-0</v>
      </c>
      <c r="N133" s="48" t="n">
        <f aca="false">(N79+N55+N58+N108)*(N$4&gt;In_COD)-$E125*N14</f>
        <v>-0</v>
      </c>
      <c r="O133" s="48" t="n">
        <f aca="false">(O79+O55+O58+O108)*(O$4&gt;In_COD)-$E125*O14</f>
        <v>-0</v>
      </c>
      <c r="P133" s="48" t="n">
        <f aca="false">(P79+P55+P58+P108)*(P$4&gt;In_COD)-$E125*P14</f>
        <v>-0</v>
      </c>
      <c r="Q133" s="48" t="n">
        <f aca="false">(Q79+Q55+Q58+Q108)*(Q$4&gt;In_COD)-$E125*Q14</f>
        <v>-0</v>
      </c>
      <c r="R133" s="48" t="n">
        <f aca="false">(R79+R55+R58+R108)*(R$4&gt;In_COD)-$E125*R14</f>
        <v>-0</v>
      </c>
      <c r="S133" s="48" t="n">
        <f aca="false">(S79+S55+S58+S108)*(S$4&gt;In_COD)-$E125*S14</f>
        <v>-0</v>
      </c>
      <c r="T133" s="48" t="n">
        <f aca="false">(T79+T55+T58+T108)*(T$4&gt;In_COD)-$E125*T14</f>
        <v>-0</v>
      </c>
      <c r="U133" s="48" t="n">
        <f aca="false">(U79+U55+U58+U108)*(U$4&gt;In_COD)-$E125*U14</f>
        <v>-0</v>
      </c>
      <c r="V133" s="48" t="n">
        <f aca="false">(V79+V55+V58+V108)*(V$4&gt;In_COD)-$E125*V14</f>
        <v>-0</v>
      </c>
      <c r="W133" s="48" t="n">
        <f aca="false">(W79+W55+W58+W108)*(W$4&gt;In_COD)-$E125*W14</f>
        <v>-0</v>
      </c>
      <c r="X133" s="48" t="n">
        <f aca="false">(X79+X55+X58+X108)*(X$4&gt;In_COD)-$E125*X14</f>
        <v>-0</v>
      </c>
      <c r="Y133" s="48" t="n">
        <f aca="false">(Y79+Y55+Y58+Y108)*(Y$4&gt;In_COD)-$E125*Y14</f>
        <v>-134137.5</v>
      </c>
      <c r="Z133" s="48" t="n">
        <f aca="false">(Z79+Z55+Z58+Z108)*(Z$4&gt;In_COD)-$E125*Z14</f>
        <v>2341.99775277371</v>
      </c>
      <c r="AA133" s="48" t="n">
        <f aca="false">(AA79+AA55+AA58+AA108)*(AA$4&gt;In_COD)-$E125*AA14</f>
        <v>2306.4414171799</v>
      </c>
      <c r="AB133" s="48" t="n">
        <f aca="false">(AB79+AB55+AB58+AB108)*(AB$4&gt;In_COD)-$E125*AB14</f>
        <v>2331.01051385238</v>
      </c>
      <c r="AC133" s="48" t="n">
        <f aca="false">(AC79+AC55+AC58+AC108)*(AC$4&gt;In_COD)-$E125*AC14</f>
        <v>2355.56181980506</v>
      </c>
      <c r="AD133" s="48" t="n">
        <f aca="false">(AD79+AD55+AD58+AD108)*(AD$4&gt;In_COD)-$E125*AD14</f>
        <v>2347.22985725597</v>
      </c>
      <c r="AE133" s="48" t="n">
        <f aca="false">(AE79+AE55+AE58+AE108)*(AE$4&gt;In_COD)-$E125*AE14</f>
        <v>2336.47011679567</v>
      </c>
      <c r="AF133" s="48" t="n">
        <f aca="false">(AF79+AF55+AF58+AF108)*(AF$4&gt;In_COD)-$E125*AF14</f>
        <v>2335.97367797752</v>
      </c>
      <c r="AG133" s="48" t="n">
        <f aca="false">(AG79+AG55+AG58+AG108)*(AG$4&gt;In_COD)-$E125*AG14</f>
        <v>2360.57412309878</v>
      </c>
      <c r="AH133" s="48" t="n">
        <f aca="false">(AH79+AH55+AH58+AH108)*(AH$4&gt;In_COD)-$E125*AH14</f>
        <v>2352.16515003278</v>
      </c>
      <c r="AI133" s="48" t="n">
        <f aca="false">(AI79+AI55+AI58+AI108)*(AI$4&gt;In_COD)-$E125*AI14</f>
        <v>2315.99247065638</v>
      </c>
      <c r="AJ133" s="48" t="n">
        <f aca="false">(AJ79+AJ55+AJ58+AJ108)*(AJ$4&gt;In_COD)-$E125*AJ14</f>
        <v>2371.32631847659</v>
      </c>
      <c r="AK133" s="48" t="n">
        <f aca="false">(AK79+AK55+AK58+AK108)*(AK$4&gt;In_COD)-$E125*AK14</f>
        <v>2396.29477664682</v>
      </c>
      <c r="AL133" s="48" t="n">
        <f aca="false">(AL79+AL55+AL58+AL108)*(AL$4&gt;In_COD)-$E125*AL14</f>
        <v>2358.23507375987</v>
      </c>
      <c r="AM133" s="48" t="n">
        <f aca="false">(AM79+AM55+AM58+AM108)*(AM$4&gt;In_COD)-$E125*AM14</f>
        <v>2321.06119368008</v>
      </c>
      <c r="AN133" s="48" t="n">
        <f aca="false">(AN79+AN55+AN58+AN108)*(AN$4&gt;In_COD)-$E125*AN14</f>
        <v>2344.70328279154</v>
      </c>
      <c r="AO133" s="48" t="n">
        <f aca="false">(AO79+AO55+AO58+AO108)*(AO$4&gt;In_COD)-$E125*AO14</f>
        <v>2368.30860304271</v>
      </c>
      <c r="AP133" s="48" t="n">
        <f aca="false">(AP79+AP55+AP58+AP108)*(AP$4&gt;In_COD)-$E125*AP14</f>
        <v>2359.81104411145</v>
      </c>
      <c r="AQ133" s="48" t="n">
        <f aca="false">(AQ79+AQ55+AQ58+AQ108)*(AQ$4&gt;In_COD)-$E125*AQ14</f>
        <v>2322.31553314369</v>
      </c>
      <c r="AR133" s="48" t="n">
        <f aca="false">(AR79+AR55+AR58+AR108)*(AR$4&gt;In_COD)-$E125*AR14</f>
        <v>2345.96404425671</v>
      </c>
      <c r="AS133" s="48" t="n">
        <f aca="false">(AS79+AS55+AS58+AS108)*(AS$4&gt;In_COD)-$E125*AS14</f>
        <v>2369.57505799332</v>
      </c>
      <c r="AT133" s="48" t="n">
        <f aca="false">(AT79+AT55+AT58+AT108)*(AT$4&gt;In_COD)-$E125*AT14</f>
        <v>2360.97213760383</v>
      </c>
      <c r="AU133" s="48" t="n">
        <f aca="false">(AU79+AU55+AU58+AU108)*(AU$4&gt;In_COD)-$E125*AU14</f>
        <v>2348.0017238272</v>
      </c>
      <c r="AV133" s="48" t="n">
        <f aca="false">(AV79+AV55+AV58+AV108)*(AV$4&gt;In_COD)-$E125*AV14</f>
        <v>2346.77604335604</v>
      </c>
      <c r="AW133" s="48" t="n">
        <f aca="false">(AW79+AW55+AW58+AW108)*(AW$4&gt;In_COD)-$E125*AW14</f>
        <v>2370.38786363904</v>
      </c>
      <c r="AX133" s="48" t="n">
        <f aca="false">(AX79+AX55+AX58+AX108)*(AX$4&gt;In_COD)-$E125*AX14</f>
        <v>2361.67656802488</v>
      </c>
      <c r="AY133" s="48" t="n">
        <f aca="false">(AY79+AY55+AY58+AY108)*(AY$4&gt;In_COD)-$E125*AY14</f>
        <v>2323.52269723436</v>
      </c>
      <c r="AZ133" s="48" t="n">
        <f aca="false">(AZ79+AZ55+AZ58+AZ108)*(AZ$4&gt;In_COD)-$E125*AZ14</f>
        <v>2347.16983962639</v>
      </c>
      <c r="BA133" s="48" t="n">
        <f aca="false">(BA79+BA55+BA58+BA108)*(BA$4&gt;In_COD)-$E125*BA14</f>
        <v>2370.77794165836</v>
      </c>
      <c r="BB133" s="48" t="n">
        <f aca="false">(BB79+BB55+BB58+BB108)*(BB$4&gt;In_COD)-$E125*BB14</f>
        <v>2361.95570094713</v>
      </c>
      <c r="BC133" s="48" t="n">
        <f aca="false">(BC79+BC55+BC58+BC108)*(BC$4&gt;In_COD)-$E125*BC14</f>
        <v>2323.46508575038</v>
      </c>
      <c r="BD133" s="48" t="n">
        <f aca="false">(BD79+BD55+BD58+BD108)*(BD$4&gt;In_COD)-$E125*BD14</f>
        <v>2347.1043359652</v>
      </c>
      <c r="BE133" s="48" t="n">
        <f aca="false">(BE79+BE55+BE58+BE108)*(BE$4&gt;In_COD)-$E125*BE14</f>
        <v>2370.70373205816</v>
      </c>
      <c r="BF133" s="48" t="n">
        <f aca="false">(BF79+BF55+BF58+BF108)*(BF$4&gt;In_COD)-$E125*BF14</f>
        <v>2361.76758783101</v>
      </c>
      <c r="BG133" s="48" t="n">
        <f aca="false">(BG79+BG55+BG58+BG108)*(BG$4&gt;In_COD)-$E125*BG14</f>
        <v>2322.93489497542</v>
      </c>
      <c r="BH133" s="48" t="n">
        <f aca="false">(BH79+BH55+BH58+BH108)*(BH$4&gt;In_COD)-$E125*BH14</f>
        <v>2346.56109464693</v>
      </c>
      <c r="BI133" s="48" t="n">
        <f aca="false">(BI79+BI55+BI58+BI108)*(BI$4&gt;In_COD)-$E125*BI14</f>
        <v>2370.14659547858</v>
      </c>
      <c r="BJ133" s="48" t="n">
        <f aca="false">(BJ79+BJ55+BJ58+BJ108)*(BJ$4&gt;In_COD)-$E125*BJ14</f>
        <v>2361.09346718179</v>
      </c>
      <c r="BK133" s="48" t="n">
        <f aca="false">(BK79+BK55+BK58+BK108)*(BK$4&gt;In_COD)-$E125*BK14</f>
        <v>2346.99142692256</v>
      </c>
      <c r="BL133" s="48" t="n">
        <f aca="false">(BL79+BL55+BL58+BL108)*(BL$4&gt;In_COD)-$E125*BL14</f>
        <v>2345.49634650676</v>
      </c>
      <c r="BM133" s="48" t="n">
        <f aca="false">(BM79+BM55+BM58+BM108)*(BM$4&gt;In_COD)-$E125*BM14</f>
        <v>2369.06226965089</v>
      </c>
      <c r="BN133" s="48" t="n">
        <f aca="false">(BN79+BN55+BN58+BN108)*(BN$4&gt;In_COD)-$E125*BN14</f>
        <v>2359.88866196916</v>
      </c>
      <c r="BO133" s="48" t="n">
        <f aca="false">(BO79+BO55+BO58+BO108)*(BO$4&gt;In_COD)-$E125*BO14</f>
        <v>2320.35487895223</v>
      </c>
      <c r="BP133" s="48" t="n">
        <f aca="false">(BP79+BP55+BP58+BP108)*(BP$4&gt;In_COD)-$E125*BP14</f>
        <v>2343.93836913528</v>
      </c>
      <c r="BQ133" s="48" t="n">
        <f aca="false">(BQ79+BQ55+BQ58+BQ108)*(BQ$4&gt;In_COD)-$E125*BQ14</f>
        <v>2367.47936914962</v>
      </c>
      <c r="BR133" s="48" t="n">
        <f aca="false">(BR79+BR55+BR58+BR108)*(BR$4&gt;In_COD)-$E125*BR14</f>
        <v>2358.18221390907</v>
      </c>
      <c r="BS133" s="48" t="n">
        <f aca="false">(BS79+BS55+BS58+BS108)*(BS$4&gt;In_COD)-$E125*BS14</f>
        <v>2318.28935664028</v>
      </c>
      <c r="BT133" s="48" t="n">
        <f aca="false">(BT79+BT55+BT58+BT108)*(BT$4&gt;In_COD)-$E125*BT14</f>
        <v>2341.84302790067</v>
      </c>
      <c r="BU133" s="48" t="n">
        <f aca="false">(BU79+BU55+BU58+BU108)*(BU$4&gt;In_COD)-$E125*BU14</f>
        <v>2365.35326262028</v>
      </c>
      <c r="BV133" s="48" t="n">
        <f aca="false">(BV79+BV55+BV58+BV108)*(BV$4&gt;In_COD)-$E125*BV14</f>
        <v>2355.92907779056</v>
      </c>
      <c r="BW133" s="48" t="n">
        <f aca="false">(BW79+BW55+BW58+BW108)*(BW$4&gt;In_COD)-$E125*BW14</f>
        <v>2315.67113479872</v>
      </c>
      <c r="BX133" s="48" t="n">
        <f aca="false">(BX79+BX55+BX58+BX108)*(BX$4&gt;In_COD)-$E125*BX14</f>
        <v>2339.18894762733</v>
      </c>
      <c r="BY133" s="48" t="n">
        <f aca="false">(BY79+BY55+BY58+BY108)*(BY$4&gt;In_COD)-$E125*BY14</f>
        <v>2362.66234060226</v>
      </c>
      <c r="BZ133" s="48" t="n">
        <f aca="false">(BZ79+BZ55+BZ58+BZ108)*(BZ$4&gt;In_COD)-$E125*BZ14</f>
        <v>2353.10749812524</v>
      </c>
      <c r="CA133" s="48" t="n">
        <f aca="false">(CA79+CA55+CA58+CA108)*(CA$4&gt;In_COD)-$E125*CA14</f>
        <v>2337.74403859901</v>
      </c>
      <c r="CB133" s="48" t="n">
        <f aca="false">(CB79+CB55+CB58+CB108)*(CB$4&gt;In_COD)-$E125*CB14</f>
        <v>2335.92912005564</v>
      </c>
      <c r="CC133" s="48" t="n">
        <f aca="false">(CC79+CC55+CC58+CC108)*(CC$4&gt;In_COD)-$E125*CC14</f>
        <v>2359.35906563663</v>
      </c>
      <c r="CD133" s="48" t="n">
        <f aca="false">(CD79+CD55+CD58+CD108)*(CD$4&gt;In_COD)-$E125*CD14</f>
        <v>2349.66949554286</v>
      </c>
      <c r="CE133" s="48" t="n">
        <f aca="false">(CE79+CE55+CE58+CE108)*(CE$4&gt;In_COD)-$E125*CE14</f>
        <v>2308.66229969314</v>
      </c>
      <c r="CF133" s="48" t="n">
        <f aca="false">(CF79+CF55+CF58+CF108)*(CF$4&gt;In_COD)-$E125*CF14</f>
        <v>2332.08900548421</v>
      </c>
      <c r="CG133" s="48" t="n">
        <f aca="false">(CG79+CG55+CG58+CG108)*(CG$4&gt;In_COD)-$E125*CG14</f>
        <v>2355.46920379877</v>
      </c>
      <c r="CH133" s="48" t="n">
        <f aca="false">(CH79+CH55+CH58+CH108)*(CH$4&gt;In_COD)-$E125*CH14</f>
        <v>2345.64124128825</v>
      </c>
      <c r="CI133" s="48" t="n">
        <f aca="false">(CI79+CI55+CI58+CI108)*(CI$4&gt;In_COD)-$E125*CI14</f>
        <v>2304.24976072477</v>
      </c>
      <c r="CJ133" s="48" t="n">
        <f aca="false">(CJ79+CJ55+CJ58+CJ108)*(CJ$4&gt;In_COD)-$E125*CJ14</f>
        <v>2327.62098847871</v>
      </c>
      <c r="CK133" s="48" t="n">
        <f aca="false">(CK79+CK55+CK58+CK108)*(CK$4&gt;In_COD)-$E125*CK14</f>
        <v>2350.94460411352</v>
      </c>
      <c r="CL133" s="48" t="n">
        <f aca="false">(CL79+CL55+CL58+CL108)*(CL$4&gt;In_COD)-$E125*CL14</f>
        <v>2340.97414109789</v>
      </c>
      <c r="CM133" s="48" t="n">
        <f aca="false">(CM79+CM55+CM58+CM108)*(CM$4&gt;In_COD)-$E125*CM14</f>
        <v>2299.19157021716</v>
      </c>
      <c r="CN133" s="48" t="n">
        <f aca="false">(CN79+CN55+CN58+CN108)*(CN$4&gt;In_COD)-$E125*CN14</f>
        <v>2322.50025606237</v>
      </c>
      <c r="CO133" s="48" t="n">
        <f aca="false">(CO79+CO55+CO58+CO108)*(CO$4&gt;In_COD)-$E125*CO14</f>
        <v>2345.76018102781</v>
      </c>
      <c r="CP133" s="48" t="n">
        <f aca="false">(CP79+CP55+CP58+CP108)*(CP$4&gt;In_COD)-$E125*CP14</f>
        <v>2335.64293473681</v>
      </c>
      <c r="CQ133" s="48" t="n">
        <f aca="false">(CQ79+CQ55+CQ58+CQ108)*(CQ$4&gt;In_COD)-$E125*CQ14</f>
        <v>2318.87087972521</v>
      </c>
      <c r="CR133" s="48" t="n">
        <f aca="false">(CR79+CR55+CR58+CR108)*(CR$4&gt;In_COD)-$E125*CR14</f>
        <v>2316.67608310698</v>
      </c>
      <c r="CS133" s="48" t="n">
        <f aca="false">(CS79+CS55+CS58+CS108)*(CS$4&gt;In_COD)-$E125*CS14</f>
        <v>2339.86463874121</v>
      </c>
      <c r="CT133" s="48" t="n">
        <f aca="false">(CT79+CT55+CT58+CT108)*(CT$4&gt;In_COD)-$E125*CT14</f>
        <v>2329.59585287149</v>
      </c>
      <c r="CU133" s="48" t="n">
        <f aca="false">(CU79+CU55+CU58+CU108)*(CU$4&gt;In_COD)-$E125*CU14</f>
        <v>2289.29840831076</v>
      </c>
      <c r="CV133" s="48" t="n">
        <f aca="false">(CV79+CV55+CV58+CV108)*(CV$4&gt;In_COD)-$E125*CV14</f>
        <v>2314.73505729199</v>
      </c>
      <c r="CW133" s="48" t="n">
        <f aca="false">(CW79+CW55+CW58+CW108)*(CW$4&gt;In_COD)-$E125*CW14</f>
        <v>2340.17170627322</v>
      </c>
      <c r="CX133" s="48" t="n">
        <f aca="false">(CX79+CX55+CX58+CX108)*(CX$4&gt;In_COD)-$E125*CX14</f>
        <v>2332.12566741845</v>
      </c>
      <c r="CY133" s="48" t="n">
        <f aca="false">(CY79+CY55+CY58+CY108)*(CY$4&gt;In_COD)-$E125*CY14</f>
        <v>2291.52460580205</v>
      </c>
      <c r="CZ133" s="48" t="n">
        <f aca="false">(CZ79+CZ55+CZ58+CZ108)*(CZ$4&gt;In_COD)-$E125*CZ14</f>
        <v>2316.98599031096</v>
      </c>
      <c r="DA133" s="48" t="n">
        <f aca="false">(DA79+DA55+DA58+DA108)*(DA$4&gt;In_COD)-$E125*DA14</f>
        <v>2342.44737481988</v>
      </c>
      <c r="DB133" s="48" t="n">
        <f aca="false">(DB79+DB55+DB58+DB108)*(DB$4&gt;In_COD)-$E125*DB14</f>
        <v>2127.75796595667</v>
      </c>
      <c r="DC133" s="48" t="n">
        <f aca="false">(DC79+DC55+DC58+DC108)*(DC$4&gt;In_COD)-$E125*DC14</f>
        <v>2091.34156892558</v>
      </c>
      <c r="DD133" s="48" t="n">
        <f aca="false">(DD79+DD55+DD58+DD108)*(DD$4&gt;In_COD)-$E125*DD14</f>
        <v>2114.5786974692</v>
      </c>
      <c r="DE133" s="48" t="n">
        <f aca="false">(DE79+DE55+DE58+DE108)*(DE$4&gt;In_COD)-$E125*DE14</f>
        <v>2137.81582601281</v>
      </c>
      <c r="DF133" s="48" t="n">
        <f aca="false">(DF79+DF55+DF58+DF108)*(DF$4&gt;In_COD)-$E125*DF14</f>
        <v>2129.67377475099</v>
      </c>
      <c r="DG133" s="48" t="n">
        <f aca="false">(DG79+DG55+DG58+DG108)*(DG$4&gt;In_COD)-$E125*DG14</f>
        <v>2116.20284972323</v>
      </c>
      <c r="DH133" s="48" t="n">
        <f aca="false">(DH79+DH55+DH58+DH108)*(DH$4&gt;In_COD)-$E125*DH14</f>
        <v>2116.20284972323</v>
      </c>
      <c r="DI133" s="48" t="n">
        <f aca="false">(DI79+DI55+DI58+DI108)*(DI$4&gt;In_COD)-$E125*DI14</f>
        <v>2139.45782609381</v>
      </c>
      <c r="DJ133" s="48" t="n">
        <f aca="false">(DJ79+DJ55+DJ58+DJ108)*(DJ$4&gt;In_COD)-$E125*DJ14</f>
        <v>2131.26763373715</v>
      </c>
      <c r="DK133" s="48" t="n">
        <f aca="false">(DK79+DK55+DK58+DK108)*(DK$4&gt;In_COD)-$E125*DK14</f>
        <v>2094.22922134031</v>
      </c>
      <c r="DL133" s="48" t="n">
        <f aca="false">(DL79+DL55+DL58+DL108)*(DL$4&gt;In_COD)-$E125*DL14</f>
        <v>2117.49843491076</v>
      </c>
      <c r="DM133" s="48" t="n">
        <f aca="false">(DM79+DM55+DM58+DM108)*(DM$4&gt;In_COD)-$E125*DM14</f>
        <v>2140.76764848121</v>
      </c>
      <c r="DN133" s="48" t="n">
        <f aca="false">(DN79+DN55+DN58+DN108)*(DN$4&gt;In_COD)-$E125*DN14</f>
        <v>2132.52923118543</v>
      </c>
      <c r="DO133" s="48" t="n">
        <f aca="false">(DO79+DO55+DO58+DO108)*(DO$4&gt;In_COD)-$E125*DO14</f>
        <v>2095.17525809415</v>
      </c>
      <c r="DP133" s="48" t="n">
        <f aca="false">(DP79+DP55+DP58+DP108)*(DP$4&gt;In_COD)-$E125*DP14</f>
        <v>2118.45498318408</v>
      </c>
      <c r="DQ133" s="48" t="n">
        <f aca="false">(DQ79+DQ55+DQ58+DQ108)*(DQ$4&gt;In_COD)-$E125*DQ14</f>
        <v>2141.73470827402</v>
      </c>
      <c r="DR133" s="48" t="n">
        <f aca="false">(DR79+DR55+DR58+DR108)*(DR$4&gt;In_COD)-$E125*DR14</f>
        <v>2133.4479869401</v>
      </c>
      <c r="DS133" s="48" t="n">
        <f aca="false">(DS79+DS55+DS58+DS108)*(DS$4&gt;In_COD)-$E125*DS14</f>
        <v>2095.77535956</v>
      </c>
      <c r="DT133" s="48" t="n">
        <f aca="false">(DT79+DT55+DT58+DT108)*(DT$4&gt;In_COD)-$E125*DT14</f>
        <v>2119.061752444</v>
      </c>
      <c r="DU133" s="48" t="n">
        <f aca="false">(DU79+DU55+DU58+DU108)*(DU$4&gt;In_COD)-$E125*DU14</f>
        <v>2142.348145328</v>
      </c>
      <c r="DV133" s="48" t="n">
        <f aca="false">(DV79+DV55+DV58+DV108)*(DV$4&gt;In_COD)-$E125*DV14</f>
        <v>2134.01304575269</v>
      </c>
      <c r="DW133" s="48" t="n">
        <f aca="false">(DW79+DW55+DW58+DW108)*(DW$4&gt;In_COD)-$E125*DW14</f>
        <v>2119.30772157993</v>
      </c>
      <c r="DX133" s="48" t="n">
        <f aca="false">(DX79+DX55+DX58+DX108)*(DX$4&gt;In_COD)-$E125*DX14</f>
        <v>2119.30772157993</v>
      </c>
      <c r="DY133" s="48" t="n">
        <f aca="false">(DY79+DY55+DY58+DY108)*(DY$4&gt;In_COD)-$E125*DY14</f>
        <v>2142.59681742147</v>
      </c>
      <c r="DZ133" s="48" t="n">
        <f aca="false">(DZ79+DZ55+DZ58+DZ108)*(DZ$4&gt;In_COD)-$E125*DZ14</f>
        <v>2134.2132704514</v>
      </c>
      <c r="EA133" s="48" t="n">
        <f aca="false">(EA79+EA55+EA58+EA108)*(EA$4&gt;In_COD)-$E125*EA14</f>
        <v>2095.89387383467</v>
      </c>
      <c r="EB133" s="48" t="n">
        <f aca="false">(EB79+EB55+EB58+EB108)*(EB$4&gt;In_COD)-$E125*EB14</f>
        <v>2119.18158354395</v>
      </c>
      <c r="EC133" s="48" t="n">
        <f aca="false">(EC79+EC55+EC58+EC108)*(EC$4&gt;In_COD)-$E125*EC14</f>
        <v>2142.46929325322</v>
      </c>
      <c r="ED133" s="48" t="n">
        <f aca="false">(ED79+ED55+ED58+ED108)*(ED$4&gt;In_COD)-$E125*ED14</f>
        <v>2134.03723494271</v>
      </c>
      <c r="EE133" s="48" t="n">
        <f aca="false">(EE79+EE55+EE58+EE108)*(EE$4&gt;In_COD)-$E125*EE14</f>
        <v>2095.38963124086</v>
      </c>
      <c r="EF133" s="48" t="n">
        <f aca="false">(EF79+EF55+EF58+EF108)*(EF$4&gt;In_COD)-$E125*EF14</f>
        <v>2118.67173825464</v>
      </c>
      <c r="EG133" s="48" t="n">
        <f aca="false">(EG79+EG55+EG58+EG108)*(EG$4&gt;In_COD)-$E125*EG14</f>
        <v>2141.95384526843</v>
      </c>
      <c r="EH133" s="48" t="n">
        <f aca="false">(EH79+EH55+EH58+EH108)*(EH$4&gt;In_COD)-$E125*EH14</f>
        <v>2133.47321704111</v>
      </c>
      <c r="EI133" s="48" t="n">
        <f aca="false">(EI79+EI55+EI58+EI108)*(EI$4&gt;In_COD)-$E125*EI14</f>
        <v>2094.49412834513</v>
      </c>
      <c r="EJ133" s="48" t="n">
        <f aca="false">(EJ79+EJ55+EJ58+EJ108)*(EJ$4&gt;In_COD)-$E125*EJ14</f>
        <v>2117.76628532674</v>
      </c>
      <c r="EK133" s="48" t="n">
        <f aca="false">(EK79+EK55+EK58+EK108)*(EK$4&gt;In_COD)-$E125*EK14</f>
        <v>2141.03844230835</v>
      </c>
      <c r="EL133" s="48" t="n">
        <f aca="false">(EL79+EL55+EL58+EL108)*(EL$4&gt;In_COD)-$E125*EL14</f>
        <v>2132.50919112262</v>
      </c>
      <c r="EM133" s="48" t="n">
        <f aca="false">(EM79+EM55+EM58+EM108)*(EM$4&gt;In_COD)-$E125*EM14</f>
        <v>2116.45301662203</v>
      </c>
      <c r="EN133" s="48" t="n">
        <f aca="false">(EN79+EN55+EN58+EN108)*(EN$4&gt;In_COD)-$E125*EN14</f>
        <v>2116.45301662203</v>
      </c>
      <c r="EO133" s="48" t="n">
        <f aca="false">(EO79+EO55+EO58+EO108)*(EO$4&gt;In_COD)-$E125*EO14</f>
        <v>2139.71074207941</v>
      </c>
    </row>
    <row r="134" customFormat="false" ht="15" hidden="false" customHeight="false" outlineLevel="0" collapsed="false">
      <c r="C134" s="26" t="s">
        <v>124</v>
      </c>
      <c r="D134" s="12" t="s">
        <v>27</v>
      </c>
      <c r="E134" s="34" t="n">
        <f aca="false">XIRR($J133:$EO133,$J$4:$EO$4)</f>
        <v>0.0568046288872877</v>
      </c>
    </row>
    <row r="135" customFormat="false" ht="15" hidden="false" customHeight="false" outlineLevel="0" collapsed="false">
      <c r="C135" s="1" t="s">
        <v>472</v>
      </c>
      <c r="D135" s="12" t="s">
        <v>33</v>
      </c>
      <c r="I135" s="48" t="n">
        <f aca="false">SUM(J135:EO135)</f>
        <v>107838.114185295</v>
      </c>
      <c r="J135" s="48" t="n">
        <f aca="false">J133+J89+J97+$E94*J14</f>
        <v>0</v>
      </c>
      <c r="K135" s="48" t="n">
        <f aca="false">K133+K89+K97+$E94*K14</f>
        <v>0</v>
      </c>
      <c r="L135" s="48" t="n">
        <f aca="false">L133+L89+L97+$E94*L14</f>
        <v>0</v>
      </c>
      <c r="M135" s="48" t="n">
        <f aca="false">M133+M89+M97+$E94*M14</f>
        <v>0</v>
      </c>
      <c r="N135" s="48" t="n">
        <f aca="false">N133+N89+N97+$E94*N14</f>
        <v>0</v>
      </c>
      <c r="O135" s="48" t="n">
        <f aca="false">O133+O89+O97+$E94*O14</f>
        <v>0</v>
      </c>
      <c r="P135" s="48" t="n">
        <f aca="false">P133+P89+P97+$E94*P14</f>
        <v>0</v>
      </c>
      <c r="Q135" s="48" t="n">
        <f aca="false">Q133+Q89+Q97+$E94*Q14</f>
        <v>0</v>
      </c>
      <c r="R135" s="48" t="n">
        <f aca="false">R133+R89+R97+$E94*R14</f>
        <v>0</v>
      </c>
      <c r="S135" s="48" t="n">
        <f aca="false">S133+S89+S97+$E94*S14</f>
        <v>0</v>
      </c>
      <c r="T135" s="48" t="n">
        <f aca="false">T133+T89+T97+$E94*T14</f>
        <v>0</v>
      </c>
      <c r="U135" s="48" t="n">
        <f aca="false">U133+U89+U97+$E94*U14</f>
        <v>0</v>
      </c>
      <c r="V135" s="48" t="n">
        <f aca="false">V133+V89+V97+$E94*V14</f>
        <v>0</v>
      </c>
      <c r="W135" s="48" t="n">
        <f aca="false">W133+W89+W97+$E94*W14</f>
        <v>0</v>
      </c>
      <c r="X135" s="48" t="n">
        <f aca="false">X133+X89+X97+$E94*X14</f>
        <v>0</v>
      </c>
      <c r="Y135" s="48" t="n">
        <f aca="false">Y133+Y89+Y97+$E94*Y14</f>
        <v>-77228.7119260793</v>
      </c>
      <c r="Z135" s="48" t="n">
        <f aca="false">Z133+Z89+Z97+$E94*Z14</f>
        <v>1114.75080337093</v>
      </c>
      <c r="AA135" s="48" t="n">
        <f aca="false">AA133+AA89+AA97+$E94*AA14</f>
        <v>1097.82659683783</v>
      </c>
      <c r="AB135" s="48" t="n">
        <f aca="false">AB133+AB89+AB97+$E94*AB14</f>
        <v>1109.52106589589</v>
      </c>
      <c r="AC135" s="48" t="n">
        <f aca="false">AC133+AC89+AC97+$E94*AC14</f>
        <v>1121.20706687614</v>
      </c>
      <c r="AD135" s="48" t="n">
        <f aca="false">AD133+AD89+AD97+$E94*AD14</f>
        <v>1117.24119545968</v>
      </c>
      <c r="AE135" s="48" t="n">
        <f aca="false">AE133+AE89+AE97+$E94*AE14</f>
        <v>1112.11974335416</v>
      </c>
      <c r="AF135" s="48" t="n">
        <f aca="false">AF133+AF89+AF97+$E94*AF14</f>
        <v>1111.88344698256</v>
      </c>
      <c r="AG135" s="48" t="n">
        <f aca="false">AG133+AG89+AG97+$E94*AG14</f>
        <v>1123.59283736512</v>
      </c>
      <c r="AH135" s="48" t="n">
        <f aca="false">AH133+AH89+AH97+$E94*AH14</f>
        <v>1119.59031026207</v>
      </c>
      <c r="AI135" s="48" t="n">
        <f aca="false">AI133+AI89+AI97+$E94*AI14</f>
        <v>1102.37273464865</v>
      </c>
      <c r="AJ135" s="48" t="n">
        <f aca="false">AJ133+AJ89+AJ97+$E94*AJ14</f>
        <v>1128.71069814081</v>
      </c>
      <c r="AK135" s="48" t="n">
        <f aca="false">AK133+AK89+AK97+$E94*AK14</f>
        <v>1140.59525642927</v>
      </c>
      <c r="AL135" s="48" t="n">
        <f aca="false">AL133+AL89+AL97+$E94*AL14</f>
        <v>1122.47948995689</v>
      </c>
      <c r="AM135" s="48" t="n">
        <f aca="false">AM133+AM89+AM97+$E94*AM14</f>
        <v>1104.78535996282</v>
      </c>
      <c r="AN135" s="48" t="n">
        <f aca="false">AN133+AN89+AN97+$E94*AN14</f>
        <v>1116.03858930477</v>
      </c>
      <c r="AO135" s="48" t="n">
        <f aca="false">AO133+AO89+AO97+$E94*AO14</f>
        <v>1127.2743172992</v>
      </c>
      <c r="AP135" s="48" t="n">
        <f aca="false">AP133+AP89+AP97+$E94*AP14</f>
        <v>1123.22962484199</v>
      </c>
      <c r="AQ135" s="48" t="n">
        <f aca="false">AQ133+AQ89+AQ97+$E94*AQ14</f>
        <v>1105.38240405591</v>
      </c>
      <c r="AR135" s="48" t="n">
        <f aca="false">AR133+AR89+AR97+$E94*AR14</f>
        <v>1116.63869016052</v>
      </c>
      <c r="AS135" s="48" t="n">
        <f aca="false">AS133+AS89+AS97+$E94*AS14</f>
        <v>1127.87712815642</v>
      </c>
      <c r="AT135" s="48" t="n">
        <f aca="false">AT133+AT89+AT97+$E94*AT14</f>
        <v>1123.78228545028</v>
      </c>
      <c r="AU135" s="48" t="n">
        <f aca="false">AU133+AU89+AU97+$E94*AU14</f>
        <v>1117.60859072292</v>
      </c>
      <c r="AV135" s="48" t="n">
        <f aca="false">AV133+AV89+AV97+$E94*AV14</f>
        <v>1117.0251878189</v>
      </c>
      <c r="AW135" s="48" t="n">
        <f aca="false">AW133+AW89+AW97+$E94*AW14</f>
        <v>1128.26400971703</v>
      </c>
      <c r="AX135" s="48" t="n">
        <f aca="false">AX133+AX89+AX97+$E94*AX14</f>
        <v>1124.11758226078</v>
      </c>
      <c r="AY135" s="48" t="n">
        <f aca="false">AY133+AY89+AY97+$E94*AY14</f>
        <v>1105.9569934791</v>
      </c>
      <c r="AZ135" s="48" t="n">
        <f aca="false">AZ133+AZ89+AZ97+$E94*AZ14</f>
        <v>1117.21262809592</v>
      </c>
      <c r="BA135" s="48" t="n">
        <f aca="false">BA133+BA89+BA97+$E94*BA14</f>
        <v>1128.44968017025</v>
      </c>
      <c r="BB135" s="48" t="n">
        <f aca="false">BB133+BB89+BB97+$E94*BB14</f>
        <v>1124.25044474868</v>
      </c>
      <c r="BC135" s="48" t="n">
        <f aca="false">BC133+BC89+BC97+$E94*BC14</f>
        <v>1105.92957139928</v>
      </c>
      <c r="BD135" s="48" t="n">
        <f aca="false">BD133+BD89+BD97+$E94*BD14</f>
        <v>1117.18144947496</v>
      </c>
      <c r="BE135" s="48" t="n">
        <f aca="false">BE133+BE89+BE97+$E94*BE14</f>
        <v>1128.41435767149</v>
      </c>
      <c r="BF135" s="48" t="n">
        <f aca="false">BF133+BF89+BF97+$E94*BF14</f>
        <v>1124.16090612792</v>
      </c>
      <c r="BG135" s="48" t="n">
        <f aca="false">BG133+BG89+BG97+$E94*BG14</f>
        <v>1105.67720967396</v>
      </c>
      <c r="BH135" s="48" t="n">
        <f aca="false">BH133+BH89+BH97+$E94*BH14</f>
        <v>1116.92287591464</v>
      </c>
      <c r="BI135" s="48" t="n">
        <f aca="false">BI133+BI89+BI97+$E94*BI14</f>
        <v>1128.14917020487</v>
      </c>
      <c r="BJ135" s="48" t="n">
        <f aca="false">BJ133+BJ89+BJ97+$E94*BJ14</f>
        <v>1123.84003624854</v>
      </c>
      <c r="BK135" s="48" t="n">
        <f aca="false">BK133+BK89+BK97+$E94*BK14</f>
        <v>1117.12770670433</v>
      </c>
      <c r="BL135" s="48" t="n">
        <f aca="false">BL133+BL89+BL97+$E94*BL14</f>
        <v>1116.41607404248</v>
      </c>
      <c r="BM135" s="48" t="n">
        <f aca="false">BM133+BM89+BM97+$E94*BM14</f>
        <v>1127.63304968892</v>
      </c>
      <c r="BN135" s="48" t="n">
        <f aca="false">BN133+BN89+BN97+$E94*BN14</f>
        <v>1123.26656960963</v>
      </c>
      <c r="BO135" s="48" t="n">
        <f aca="false">BO133+BO89+BO97+$E94*BO14</f>
        <v>1104.44916625115</v>
      </c>
      <c r="BP135" s="48" t="n">
        <f aca="false">BP133+BP89+BP97+$E94*BP14</f>
        <v>1115.67450350715</v>
      </c>
      <c r="BQ135" s="48" t="n">
        <f aca="false">BQ133+BQ89+BQ97+$E94*BQ14</f>
        <v>1126.87961617087</v>
      </c>
      <c r="BR135" s="48" t="n">
        <f aca="false">BR133+BR89+BR97+$E94*BR14</f>
        <v>1122.45432957044</v>
      </c>
      <c r="BS135" s="48" t="n">
        <f aca="false">BS133+BS89+BS97+$E94*BS14</f>
        <v>1103.46601302037</v>
      </c>
      <c r="BT135" s="48" t="n">
        <f aca="false">BT133+BT89+BT97+$E94*BT14</f>
        <v>1114.67715698013</v>
      </c>
      <c r="BU135" s="48" t="n">
        <f aca="false">BU133+BU89+BU97+$E94*BU14</f>
        <v>1125.86762589072</v>
      </c>
      <c r="BV135" s="48" t="n">
        <f aca="false">BV133+BV89+BV97+$E94*BV14</f>
        <v>1121.38187538237</v>
      </c>
      <c r="BW135" s="48" t="n">
        <f aca="false">BW133+BW89+BW97+$E94*BW14</f>
        <v>1102.21978428342</v>
      </c>
      <c r="BX135" s="48" t="n">
        <f aca="false">BX133+BX89+BX97+$E94*BX14</f>
        <v>1113.41386024409</v>
      </c>
      <c r="BY135" s="48" t="n">
        <f aca="false">BY133+BY89+BY97+$E94*BY14</f>
        <v>1124.58679311549</v>
      </c>
      <c r="BZ135" s="48" t="n">
        <f aca="false">BZ133+BZ89+BZ97+$E94*BZ14</f>
        <v>1120.03885180571</v>
      </c>
      <c r="CA135" s="48" t="n">
        <f aca="false">CA133+CA89+CA97+$E94*CA14</f>
        <v>1112.72610830329</v>
      </c>
      <c r="CB135" s="48" t="n">
        <f aca="false">CB133+CB89+CB97+$E94*CB14</f>
        <v>1111.86223817286</v>
      </c>
      <c r="CC135" s="48" t="n">
        <f aca="false">CC133+CC89+CC97+$E94*CC14</f>
        <v>1123.0144908292</v>
      </c>
      <c r="CD135" s="48" t="n">
        <f aca="false">CD133+CD89+CD97+$E94*CD14</f>
        <v>1118.40242148227</v>
      </c>
      <c r="CE135" s="48" t="n">
        <f aca="false">CE133+CE89+CE97+$E94*CE14</f>
        <v>1098.88369886048</v>
      </c>
      <c r="CF135" s="48" t="n">
        <f aca="false">CF133+CF89+CF97+$E94*CF14</f>
        <v>1110.03440943235</v>
      </c>
      <c r="CG135" s="48" t="n">
        <f aca="false">CG133+CG89+CG97+$E94*CG14</f>
        <v>1121.16298324225</v>
      </c>
      <c r="CH135" s="48" t="n">
        <f aca="false">CH133+CH89+CH97+$E94*CH14</f>
        <v>1116.48504147614</v>
      </c>
      <c r="CI135" s="48" t="n">
        <f aca="false">CI133+CI89+CI97+$E94*CI14</f>
        <v>1096.78340591482</v>
      </c>
      <c r="CJ135" s="48" t="n">
        <f aca="false">CJ133+CJ89+CJ97+$E94*CJ14</f>
        <v>1107.90770989159</v>
      </c>
      <c r="CK135" s="48" t="n">
        <f aca="false">CK133+CK89+CK97+$E94*CK14</f>
        <v>1119.00935131542</v>
      </c>
      <c r="CL135" s="48" t="n">
        <f aca="false">CL133+CL89+CL97+$E94*CL14</f>
        <v>1114.26358175045</v>
      </c>
      <c r="CM135" s="48" t="n">
        <f aca="false">CM133+CM89+CM97+$E94*CM14</f>
        <v>1094.37579389893</v>
      </c>
      <c r="CN135" s="48" t="n">
        <f aca="false">CN133+CN89+CN97+$E94*CN14</f>
        <v>1105.47032899872</v>
      </c>
      <c r="CO135" s="48" t="n">
        <f aca="false">CO133+CO89+CO97+$E94*CO14</f>
        <v>1116.54165475519</v>
      </c>
      <c r="CP135" s="48" t="n">
        <f aca="false">CP133+CP89+CP97+$E94*CP14</f>
        <v>1111.72601886607</v>
      </c>
      <c r="CQ135" s="48" t="n">
        <f aca="false">CQ133+CQ89+CQ97+$E94*CQ14</f>
        <v>1103.74280804705</v>
      </c>
      <c r="CR135" s="48" t="n">
        <f aca="false">CR133+CR89+CR97+$E94*CR14</f>
        <v>1102.69812246175</v>
      </c>
      <c r="CS135" s="48" t="n">
        <f aca="false">CS133+CS89+CS97+$E94*CS14</f>
        <v>2340.98242704214</v>
      </c>
      <c r="CT135" s="48" t="n">
        <f aca="false">CT133+CT89+CT97+$E94*CT14</f>
        <v>2329.59585287149</v>
      </c>
      <c r="CU135" s="48" t="n">
        <f aca="false">CU133+CU89+CU97+$E94*CU14</f>
        <v>2289.29840831076</v>
      </c>
      <c r="CV135" s="48" t="n">
        <f aca="false">CV133+CV89+CV97+$E94*CV14</f>
        <v>2314.73505729199</v>
      </c>
      <c r="CW135" s="48" t="n">
        <f aca="false">CW133+CW89+CW97+$E94*CW14</f>
        <v>2340.17170627322</v>
      </c>
      <c r="CX135" s="48" t="n">
        <f aca="false">CX133+CX89+CX97+$E94*CX14</f>
        <v>2332.12566741845</v>
      </c>
      <c r="CY135" s="48" t="n">
        <f aca="false">CY133+CY89+CY97+$E94*CY14</f>
        <v>2291.52460580205</v>
      </c>
      <c r="CZ135" s="48" t="n">
        <f aca="false">CZ133+CZ89+CZ97+$E94*CZ14</f>
        <v>2316.98599031096</v>
      </c>
      <c r="DA135" s="48" t="n">
        <f aca="false">DA133+DA89+DA97+$E94*DA14</f>
        <v>2342.44737481988</v>
      </c>
      <c r="DB135" s="48" t="n">
        <f aca="false">DB133+DB89+DB97+$E94*DB14</f>
        <v>2127.75796595667</v>
      </c>
      <c r="DC135" s="48" t="n">
        <f aca="false">DC133+DC89+DC97+$E94*DC14</f>
        <v>2091.34156892558</v>
      </c>
      <c r="DD135" s="48" t="n">
        <f aca="false">DD133+DD89+DD97+$E94*DD14</f>
        <v>2114.5786974692</v>
      </c>
      <c r="DE135" s="48" t="n">
        <f aca="false">DE133+DE89+DE97+$E94*DE14</f>
        <v>2137.81582601281</v>
      </c>
      <c r="DF135" s="48" t="n">
        <f aca="false">DF133+DF89+DF97+$E94*DF14</f>
        <v>2129.67377475099</v>
      </c>
      <c r="DG135" s="48" t="n">
        <f aca="false">DG133+DG89+DG97+$E94*DG14</f>
        <v>2116.20284972323</v>
      </c>
      <c r="DH135" s="48" t="n">
        <f aca="false">DH133+DH89+DH97+$E94*DH14</f>
        <v>2116.20284972323</v>
      </c>
      <c r="DI135" s="48" t="n">
        <f aca="false">DI133+DI89+DI97+$E94*DI14</f>
        <v>2139.45782609381</v>
      </c>
      <c r="DJ135" s="48" t="n">
        <f aca="false">DJ133+DJ89+DJ97+$E94*DJ14</f>
        <v>2131.26763373715</v>
      </c>
      <c r="DK135" s="48" t="n">
        <f aca="false">DK133+DK89+DK97+$E94*DK14</f>
        <v>2094.22922134031</v>
      </c>
      <c r="DL135" s="48" t="n">
        <f aca="false">DL133+DL89+DL97+$E94*DL14</f>
        <v>2117.49843491076</v>
      </c>
      <c r="DM135" s="48" t="n">
        <f aca="false">DM133+DM89+DM97+$E94*DM14</f>
        <v>2140.76764848121</v>
      </c>
      <c r="DN135" s="48" t="n">
        <f aca="false">DN133+DN89+DN97+$E94*DN14</f>
        <v>2132.52923118543</v>
      </c>
      <c r="DO135" s="48" t="n">
        <f aca="false">DO133+DO89+DO97+$E94*DO14</f>
        <v>2095.17525809415</v>
      </c>
      <c r="DP135" s="48" t="n">
        <f aca="false">DP133+DP89+DP97+$E94*DP14</f>
        <v>2118.45498318408</v>
      </c>
      <c r="DQ135" s="48" t="n">
        <f aca="false">DQ133+DQ89+DQ97+$E94*DQ14</f>
        <v>2141.73470827402</v>
      </c>
      <c r="DR135" s="48" t="n">
        <f aca="false">DR133+DR89+DR97+$E94*DR14</f>
        <v>2133.4479869401</v>
      </c>
      <c r="DS135" s="48" t="n">
        <f aca="false">DS133+DS89+DS97+$E94*DS14</f>
        <v>2095.77535956</v>
      </c>
      <c r="DT135" s="48" t="n">
        <f aca="false">DT133+DT89+DT97+$E94*DT14</f>
        <v>2119.061752444</v>
      </c>
      <c r="DU135" s="48" t="n">
        <f aca="false">DU133+DU89+DU97+$E94*DU14</f>
        <v>2142.348145328</v>
      </c>
      <c r="DV135" s="48" t="n">
        <f aca="false">DV133+DV89+DV97+$E94*DV14</f>
        <v>2134.01304575269</v>
      </c>
      <c r="DW135" s="48" t="n">
        <f aca="false">DW133+DW89+DW97+$E94*DW14</f>
        <v>2119.30772157993</v>
      </c>
      <c r="DX135" s="48" t="n">
        <f aca="false">DX133+DX89+DX97+$E94*DX14</f>
        <v>2119.30772157993</v>
      </c>
      <c r="DY135" s="48" t="n">
        <f aca="false">DY133+DY89+DY97+$E94*DY14</f>
        <v>2142.59681742147</v>
      </c>
      <c r="DZ135" s="48" t="n">
        <f aca="false">DZ133+DZ89+DZ97+$E94*DZ14</f>
        <v>2134.2132704514</v>
      </c>
      <c r="EA135" s="48" t="n">
        <f aca="false">EA133+EA89+EA97+$E94*EA14</f>
        <v>2095.89387383467</v>
      </c>
      <c r="EB135" s="48" t="n">
        <f aca="false">EB133+EB89+EB97+$E94*EB14</f>
        <v>2119.18158354395</v>
      </c>
      <c r="EC135" s="48" t="n">
        <f aca="false">EC133+EC89+EC97+$E94*EC14</f>
        <v>2142.46929325322</v>
      </c>
      <c r="ED135" s="48" t="n">
        <f aca="false">ED133+ED89+ED97+$E94*ED14</f>
        <v>2134.03723494271</v>
      </c>
      <c r="EE135" s="48" t="n">
        <f aca="false">EE133+EE89+EE97+$E94*EE14</f>
        <v>2095.38963124086</v>
      </c>
      <c r="EF135" s="48" t="n">
        <f aca="false">EF133+EF89+EF97+$E94*EF14</f>
        <v>2118.67173825464</v>
      </c>
      <c r="EG135" s="48" t="n">
        <f aca="false">EG133+EG89+EG97+$E94*EG14</f>
        <v>2141.95384526843</v>
      </c>
      <c r="EH135" s="48" t="n">
        <f aca="false">EH133+EH89+EH97+$E94*EH14</f>
        <v>2133.47321704111</v>
      </c>
      <c r="EI135" s="48" t="n">
        <f aca="false">EI133+EI89+EI97+$E94*EI14</f>
        <v>2094.49412834513</v>
      </c>
      <c r="EJ135" s="48" t="n">
        <f aca="false">EJ133+EJ89+EJ97+$E94*EJ14</f>
        <v>2117.76628532674</v>
      </c>
      <c r="EK135" s="48" t="n">
        <f aca="false">EK133+EK89+EK97+$E94*EK14</f>
        <v>2141.03844230835</v>
      </c>
      <c r="EL135" s="48" t="n">
        <f aca="false">EL133+EL89+EL97+$E94*EL14</f>
        <v>2132.50919112262</v>
      </c>
      <c r="EM135" s="48" t="n">
        <f aca="false">EM133+EM89+EM97+$E94*EM14</f>
        <v>2116.45301662203</v>
      </c>
      <c r="EN135" s="48" t="n">
        <f aca="false">EN133+EN89+EN97+$E94*EN14</f>
        <v>2116.45301662203</v>
      </c>
      <c r="EO135" s="48" t="n">
        <f aca="false">EO133+EO89+EO97+$E94*EO14</f>
        <v>2139.71074207941</v>
      </c>
    </row>
    <row r="136" customFormat="false" ht="15" hidden="false" customHeight="false" outlineLevel="0" collapsed="false">
      <c r="C136" s="26" t="s">
        <v>473</v>
      </c>
      <c r="D136" s="12" t="s">
        <v>27</v>
      </c>
      <c r="E136" s="34" t="n">
        <f aca="false">XIRR($J135:$EO135,$J$4:$EO$4)</f>
        <v>0.0585329319728951</v>
      </c>
    </row>
    <row r="138" customFormat="false" ht="15" hidden="false" customHeight="false" outlineLevel="0" collapsed="false">
      <c r="A138" s="10" t="s">
        <v>13</v>
      </c>
      <c r="B138" s="10"/>
      <c r="C138" s="10" t="s">
        <v>474</v>
      </c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  <c r="CK138" s="10"/>
      <c r="CL138" s="10"/>
      <c r="CM138" s="10"/>
      <c r="CN138" s="10"/>
      <c r="CO138" s="10"/>
      <c r="CP138" s="10"/>
      <c r="CQ138" s="10"/>
      <c r="CR138" s="10"/>
      <c r="CS138" s="10"/>
      <c r="CT138" s="10"/>
      <c r="CU138" s="10"/>
      <c r="CV138" s="10"/>
      <c r="CW138" s="10"/>
      <c r="CX138" s="10"/>
      <c r="CY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  <c r="DL138" s="10"/>
      <c r="DM138" s="10"/>
      <c r="DN138" s="10"/>
      <c r="DO138" s="10"/>
      <c r="DP138" s="10"/>
      <c r="DQ138" s="10"/>
      <c r="DR138" s="10"/>
      <c r="DS138" s="10"/>
      <c r="DT138" s="10"/>
      <c r="DU138" s="10"/>
      <c r="DV138" s="10"/>
      <c r="DW138" s="10"/>
      <c r="DX138" s="10"/>
      <c r="DY138" s="10"/>
      <c r="DZ138" s="10"/>
      <c r="EA138" s="10"/>
      <c r="EB138" s="10"/>
      <c r="EC138" s="10"/>
      <c r="ED138" s="10"/>
      <c r="EE138" s="10"/>
      <c r="EF138" s="10"/>
      <c r="EG138" s="10"/>
      <c r="EH138" s="10"/>
      <c r="EI138" s="10"/>
      <c r="EJ138" s="10"/>
      <c r="EK138" s="10"/>
      <c r="EL138" s="10"/>
      <c r="EM138" s="10"/>
      <c r="EN138" s="10"/>
      <c r="EO138" s="10"/>
    </row>
    <row r="139" customFormat="false" ht="15" hidden="false" customHeight="false" outlineLevel="0" collapsed="false">
      <c r="C139" s="1" t="s">
        <v>475</v>
      </c>
      <c r="D139" s="12" t="s">
        <v>33</v>
      </c>
      <c r="I139" s="48" t="n">
        <f aca="false">SUM(J139:EO139)</f>
        <v>164683.802127411</v>
      </c>
      <c r="J139" s="48" t="n">
        <f aca="false">J59+J66+J79+J58+J108</f>
        <v>-4662.80993807469</v>
      </c>
      <c r="K139" s="48" t="n">
        <f aca="false">K59+K66+K79+K58+K108</f>
        <v>-706.535577057768</v>
      </c>
      <c r="L139" s="48" t="n">
        <f aca="false">L59+L66+L79+L58+L108</f>
        <v>-104.360496659404</v>
      </c>
      <c r="M139" s="48" t="n">
        <f aca="false">M59+M66+M79+M58+M108</f>
        <v>-105.507315304013</v>
      </c>
      <c r="N139" s="48" t="n">
        <f aca="false">N59+N66+N79+N58+N108</f>
        <v>-105.507315304013</v>
      </c>
      <c r="O139" s="48" t="n">
        <f aca="false">O59+O66+O79+O58+O108</f>
        <v>-104.360496659404</v>
      </c>
      <c r="P139" s="48" t="n">
        <f aca="false">P59+P66+P79+P58+P108</f>
        <v>-104.360496659404</v>
      </c>
      <c r="Q139" s="48" t="n">
        <f aca="false">Q59+Q66+Q79+Q58+Q108</f>
        <v>-105.507315304013</v>
      </c>
      <c r="R139" s="48" t="n">
        <f aca="false">R59+R66+R79+R58+R108</f>
        <v>-11463.3923544848</v>
      </c>
      <c r="S139" s="48" t="n">
        <f aca="false">S59+S66+S79+S58+S108</f>
        <v>-19370.0278417678</v>
      </c>
      <c r="T139" s="48" t="n">
        <f aca="false">T59+T66+T79+T58+T108</f>
        <v>-11339.8180765393</v>
      </c>
      <c r="U139" s="48" t="n">
        <f aca="false">U59+U66+U79+U58+U108</f>
        <v>-11464.4314619958</v>
      </c>
      <c r="V139" s="48" t="n">
        <f aca="false">V59+V66+V79+V58+V108</f>
        <v>-11464.4314619958</v>
      </c>
      <c r="W139" s="48" t="n">
        <f aca="false">W59+W66+W79+W58+W108</f>
        <v>-11216.2466222556</v>
      </c>
      <c r="X139" s="48" t="n">
        <f aca="false">X59+X66+X79+X58+X108</f>
        <v>-11340.8715847251</v>
      </c>
      <c r="Y139" s="48" t="n">
        <f aca="false">Y59+Y66+Y79+Y58+Y108</f>
        <v>-13965.4965471946</v>
      </c>
      <c r="Z139" s="48" t="n">
        <f aca="false">Z59+Z66+Z79+Z58+Z108</f>
        <v>2341.99775277371</v>
      </c>
      <c r="AA139" s="48" t="n">
        <f aca="false">AA59+AA66+AA79+AA58+AA108</f>
        <v>2306.4414171799</v>
      </c>
      <c r="AB139" s="48" t="n">
        <f aca="false">AB59+AB66+AB79+AB58+AB108</f>
        <v>2331.01051385238</v>
      </c>
      <c r="AC139" s="48" t="n">
        <f aca="false">AC59+AC66+AC79+AC58+AC108</f>
        <v>2355.56181980506</v>
      </c>
      <c r="AD139" s="48" t="n">
        <f aca="false">AD59+AD66+AD79+AD58+AD108</f>
        <v>2347.22985725597</v>
      </c>
      <c r="AE139" s="48" t="n">
        <f aca="false">AE59+AE66+AE79+AE58+AE108</f>
        <v>2336.47011679567</v>
      </c>
      <c r="AF139" s="48" t="n">
        <f aca="false">AF59+AF66+AF79+AF58+AF108</f>
        <v>2335.97367797752</v>
      </c>
      <c r="AG139" s="48" t="n">
        <f aca="false">AG59+AG66+AG79+AG58+AG108</f>
        <v>2360.57412309878</v>
      </c>
      <c r="AH139" s="48" t="n">
        <f aca="false">AH59+AH66+AH79+AH58+AH108</f>
        <v>2352.16515003278</v>
      </c>
      <c r="AI139" s="48" t="n">
        <f aca="false">AI59+AI66+AI79+AI58+AI108</f>
        <v>2315.99247065638</v>
      </c>
      <c r="AJ139" s="48" t="n">
        <f aca="false">AJ59+AJ66+AJ79+AJ58+AJ108</f>
        <v>2371.32631847659</v>
      </c>
      <c r="AK139" s="48" t="n">
        <f aca="false">AK59+AK66+AK79+AK58+AK108</f>
        <v>2396.29477664682</v>
      </c>
      <c r="AL139" s="48" t="n">
        <f aca="false">AL59+AL66+AL79+AL58+AL108</f>
        <v>2358.23507375987</v>
      </c>
      <c r="AM139" s="48" t="n">
        <f aca="false">AM59+AM66+AM79+AM58+AM108</f>
        <v>2321.06119368008</v>
      </c>
      <c r="AN139" s="48" t="n">
        <f aca="false">AN59+AN66+AN79+AN58+AN108</f>
        <v>2344.70328279154</v>
      </c>
      <c r="AO139" s="48" t="n">
        <f aca="false">AO59+AO66+AO79+AO58+AO108</f>
        <v>2368.30860304271</v>
      </c>
      <c r="AP139" s="48" t="n">
        <f aca="false">AP59+AP66+AP79+AP58+AP108</f>
        <v>2359.81104411145</v>
      </c>
      <c r="AQ139" s="48" t="n">
        <f aca="false">AQ59+AQ66+AQ79+AQ58+AQ108</f>
        <v>2322.31553314369</v>
      </c>
      <c r="AR139" s="48" t="n">
        <f aca="false">AR59+AR66+AR79+AR58+AR108</f>
        <v>2345.96404425671</v>
      </c>
      <c r="AS139" s="48" t="n">
        <f aca="false">AS59+AS66+AS79+AS58+AS108</f>
        <v>2369.57505799332</v>
      </c>
      <c r="AT139" s="48" t="n">
        <f aca="false">AT59+AT66+AT79+AT58+AT108</f>
        <v>2360.97213760383</v>
      </c>
      <c r="AU139" s="48" t="n">
        <f aca="false">AU59+AU66+AU79+AU58+AU108</f>
        <v>2348.0017238272</v>
      </c>
      <c r="AV139" s="48" t="n">
        <f aca="false">AV59+AV66+AV79+AV58+AV108</f>
        <v>2346.77604335604</v>
      </c>
      <c r="AW139" s="48" t="n">
        <f aca="false">AW59+AW66+AW79+AW58+AW108</f>
        <v>2370.38786363904</v>
      </c>
      <c r="AX139" s="48" t="n">
        <f aca="false">AX59+AX66+AX79+AX58+AX108</f>
        <v>2361.67656802488</v>
      </c>
      <c r="AY139" s="48" t="n">
        <f aca="false">AY59+AY66+AY79+AY58+AY108</f>
        <v>2323.52269723436</v>
      </c>
      <c r="AZ139" s="48" t="n">
        <f aca="false">AZ59+AZ66+AZ79+AZ58+AZ108</f>
        <v>2347.16983962639</v>
      </c>
      <c r="BA139" s="48" t="n">
        <f aca="false">BA59+BA66+BA79+BA58+BA108</f>
        <v>2370.77794165836</v>
      </c>
      <c r="BB139" s="48" t="n">
        <f aca="false">BB59+BB66+BB79+BB58+BB108</f>
        <v>2361.95570094713</v>
      </c>
      <c r="BC139" s="48" t="n">
        <f aca="false">BC59+BC66+BC79+BC58+BC108</f>
        <v>2323.46508575038</v>
      </c>
      <c r="BD139" s="48" t="n">
        <f aca="false">BD59+BD66+BD79+BD58+BD108</f>
        <v>2347.1043359652</v>
      </c>
      <c r="BE139" s="48" t="n">
        <f aca="false">BE59+BE66+BE79+BE58+BE108</f>
        <v>2370.70373205816</v>
      </c>
      <c r="BF139" s="48" t="n">
        <f aca="false">BF59+BF66+BF79+BF58+BF108</f>
        <v>2361.76758783101</v>
      </c>
      <c r="BG139" s="48" t="n">
        <f aca="false">BG59+BG66+BG79+BG58+BG108</f>
        <v>2322.93489497542</v>
      </c>
      <c r="BH139" s="48" t="n">
        <f aca="false">BH59+BH66+BH79+BH58+BH108</f>
        <v>2346.56109464693</v>
      </c>
      <c r="BI139" s="48" t="n">
        <f aca="false">BI59+BI66+BI79+BI58+BI108</f>
        <v>2370.14659547858</v>
      </c>
      <c r="BJ139" s="48" t="n">
        <f aca="false">BJ59+BJ66+BJ79+BJ58+BJ108</f>
        <v>2361.09346718179</v>
      </c>
      <c r="BK139" s="48" t="n">
        <f aca="false">BK59+BK66+BK79+BK58+BK108</f>
        <v>2346.99142692256</v>
      </c>
      <c r="BL139" s="48" t="n">
        <f aca="false">BL59+BL66+BL79+BL58+BL108</f>
        <v>2345.49634650676</v>
      </c>
      <c r="BM139" s="48" t="n">
        <f aca="false">BM59+BM66+BM79+BM58+BM108</f>
        <v>2369.06226965089</v>
      </c>
      <c r="BN139" s="48" t="n">
        <f aca="false">BN59+BN66+BN79+BN58+BN108</f>
        <v>2359.88866196916</v>
      </c>
      <c r="BO139" s="48" t="n">
        <f aca="false">BO59+BO66+BO79+BO58+BO108</f>
        <v>2320.35487895223</v>
      </c>
      <c r="BP139" s="48" t="n">
        <f aca="false">BP59+BP66+BP79+BP58+BP108</f>
        <v>2343.93836913528</v>
      </c>
      <c r="BQ139" s="48" t="n">
        <f aca="false">BQ59+BQ66+BQ79+BQ58+BQ108</f>
        <v>2367.47936914962</v>
      </c>
      <c r="BR139" s="48" t="n">
        <f aca="false">BR59+BR66+BR79+BR58+BR108</f>
        <v>2358.18221390907</v>
      </c>
      <c r="BS139" s="48" t="n">
        <f aca="false">BS59+BS66+BS79+BS58+BS108</f>
        <v>2318.28935664028</v>
      </c>
      <c r="BT139" s="48" t="n">
        <f aca="false">BT59+BT66+BT79+BT58+BT108</f>
        <v>2341.84302790067</v>
      </c>
      <c r="BU139" s="48" t="n">
        <f aca="false">BU59+BU66+BU79+BU58+BU108</f>
        <v>2365.35326262028</v>
      </c>
      <c r="BV139" s="48" t="n">
        <f aca="false">BV59+BV66+BV79+BV58+BV108</f>
        <v>2355.92907779056</v>
      </c>
      <c r="BW139" s="48" t="n">
        <f aca="false">BW59+BW66+BW79+BW58+BW108</f>
        <v>2315.67113479872</v>
      </c>
      <c r="BX139" s="48" t="n">
        <f aca="false">BX59+BX66+BX79+BX58+BX108</f>
        <v>2339.18894762733</v>
      </c>
      <c r="BY139" s="48" t="n">
        <f aca="false">BY59+BY66+BY79+BY58+BY108</f>
        <v>2362.66234060226</v>
      </c>
      <c r="BZ139" s="48" t="n">
        <f aca="false">BZ59+BZ66+BZ79+BZ58+BZ108</f>
        <v>2353.10749812524</v>
      </c>
      <c r="CA139" s="48" t="n">
        <f aca="false">CA59+CA66+CA79+CA58+CA108</f>
        <v>2337.74403859901</v>
      </c>
      <c r="CB139" s="48" t="n">
        <f aca="false">CB59+CB66+CB79+CB58+CB108</f>
        <v>2335.92912005564</v>
      </c>
      <c r="CC139" s="48" t="n">
        <f aca="false">CC59+CC66+CC79+CC58+CC108</f>
        <v>2359.35906563663</v>
      </c>
      <c r="CD139" s="48" t="n">
        <f aca="false">CD59+CD66+CD79+CD58+CD108</f>
        <v>2349.66949554286</v>
      </c>
      <c r="CE139" s="48" t="n">
        <f aca="false">CE59+CE66+CE79+CE58+CE108</f>
        <v>2308.66229969314</v>
      </c>
      <c r="CF139" s="48" t="n">
        <f aca="false">CF59+CF66+CF79+CF58+CF108</f>
        <v>2332.08900548421</v>
      </c>
      <c r="CG139" s="48" t="n">
        <f aca="false">CG59+CG66+CG79+CG58+CG108</f>
        <v>2355.46920379877</v>
      </c>
      <c r="CH139" s="48" t="n">
        <f aca="false">CH59+CH66+CH79+CH58+CH108</f>
        <v>2345.64124128825</v>
      </c>
      <c r="CI139" s="48" t="n">
        <f aca="false">CI59+CI66+CI79+CI58+CI108</f>
        <v>2304.24976072477</v>
      </c>
      <c r="CJ139" s="48" t="n">
        <f aca="false">CJ59+CJ66+CJ79+CJ58+CJ108</f>
        <v>2327.62098847871</v>
      </c>
      <c r="CK139" s="48" t="n">
        <f aca="false">CK59+CK66+CK79+CK58+CK108</f>
        <v>2350.94460411352</v>
      </c>
      <c r="CL139" s="48" t="n">
        <f aca="false">CL59+CL66+CL79+CL58+CL108</f>
        <v>2340.97414109789</v>
      </c>
      <c r="CM139" s="48" t="n">
        <f aca="false">CM59+CM66+CM79+CM58+CM108</f>
        <v>2299.19157021716</v>
      </c>
      <c r="CN139" s="48" t="n">
        <f aca="false">CN59+CN66+CN79+CN58+CN108</f>
        <v>2322.50025606237</v>
      </c>
      <c r="CO139" s="48" t="n">
        <f aca="false">CO59+CO66+CO79+CO58+CO108</f>
        <v>2345.76018102781</v>
      </c>
      <c r="CP139" s="48" t="n">
        <f aca="false">CP59+CP66+CP79+CP58+CP108</f>
        <v>2335.64293473681</v>
      </c>
      <c r="CQ139" s="48" t="n">
        <f aca="false">CQ59+CQ66+CQ79+CQ58+CQ108</f>
        <v>2318.87087972521</v>
      </c>
      <c r="CR139" s="48" t="n">
        <f aca="false">CR59+CR66+CR79+CR58+CR108</f>
        <v>2316.67608310698</v>
      </c>
      <c r="CS139" s="48" t="n">
        <f aca="false">CS59+CS66+CS79+CS58+CS108</f>
        <v>2339.86463874121</v>
      </c>
      <c r="CT139" s="48" t="n">
        <f aca="false">CT59+CT66+CT79+CT58+CT108</f>
        <v>2329.59585287149</v>
      </c>
      <c r="CU139" s="48" t="n">
        <f aca="false">CU59+CU66+CU79+CU58+CU108</f>
        <v>2289.29840831076</v>
      </c>
      <c r="CV139" s="48" t="n">
        <f aca="false">CV59+CV66+CV79+CV58+CV108</f>
        <v>2314.73505729199</v>
      </c>
      <c r="CW139" s="48" t="n">
        <f aca="false">CW59+CW66+CW79+CW58+CW108</f>
        <v>2340.17170627322</v>
      </c>
      <c r="CX139" s="48" t="n">
        <f aca="false">CX59+CX66+CX79+CX58+CX108</f>
        <v>2332.12566741845</v>
      </c>
      <c r="CY139" s="48" t="n">
        <f aca="false">CY59+CY66+CY79+CY58+CY108</f>
        <v>2291.52460580205</v>
      </c>
      <c r="CZ139" s="48" t="n">
        <f aca="false">CZ59+CZ66+CZ79+CZ58+CZ108</f>
        <v>2316.98599031096</v>
      </c>
      <c r="DA139" s="48" t="n">
        <f aca="false">DA59+DA66+DA79+DA58+DA108</f>
        <v>2342.44737481988</v>
      </c>
      <c r="DB139" s="48" t="n">
        <f aca="false">DB59+DB66+DB79+DB58+DB108</f>
        <v>2127.75796595667</v>
      </c>
      <c r="DC139" s="48" t="n">
        <f aca="false">DC59+DC66+DC79+DC58+DC108</f>
        <v>2091.34156892558</v>
      </c>
      <c r="DD139" s="48" t="n">
        <f aca="false">DD59+DD66+DD79+DD58+DD108</f>
        <v>2114.5786974692</v>
      </c>
      <c r="DE139" s="48" t="n">
        <f aca="false">DE59+DE66+DE79+DE58+DE108</f>
        <v>2137.81582601281</v>
      </c>
      <c r="DF139" s="48" t="n">
        <f aca="false">DF59+DF66+DF79+DF58+DF108</f>
        <v>2129.67377475099</v>
      </c>
      <c r="DG139" s="48" t="n">
        <f aca="false">DG59+DG66+DG79+DG58+DG108</f>
        <v>2116.20284972323</v>
      </c>
      <c r="DH139" s="48" t="n">
        <f aca="false">DH59+DH66+DH79+DH58+DH108</f>
        <v>2116.20284972323</v>
      </c>
      <c r="DI139" s="48" t="n">
        <f aca="false">DI59+DI66+DI79+DI58+DI108</f>
        <v>2139.45782609381</v>
      </c>
      <c r="DJ139" s="48" t="n">
        <f aca="false">DJ59+DJ66+DJ79+DJ58+DJ108</f>
        <v>2131.26763373715</v>
      </c>
      <c r="DK139" s="48" t="n">
        <f aca="false">DK59+DK66+DK79+DK58+DK108</f>
        <v>2094.22922134031</v>
      </c>
      <c r="DL139" s="48" t="n">
        <f aca="false">DL59+DL66+DL79+DL58+DL108</f>
        <v>2117.49843491076</v>
      </c>
      <c r="DM139" s="48" t="n">
        <f aca="false">DM59+DM66+DM79+DM58+DM108</f>
        <v>2140.76764848121</v>
      </c>
      <c r="DN139" s="48" t="n">
        <f aca="false">DN59+DN66+DN79+DN58+DN108</f>
        <v>2132.52923118543</v>
      </c>
      <c r="DO139" s="48" t="n">
        <f aca="false">DO59+DO66+DO79+DO58+DO108</f>
        <v>2095.17525809415</v>
      </c>
      <c r="DP139" s="48" t="n">
        <f aca="false">DP59+DP66+DP79+DP58+DP108</f>
        <v>2118.45498318408</v>
      </c>
      <c r="DQ139" s="48" t="n">
        <f aca="false">DQ59+DQ66+DQ79+DQ58+DQ108</f>
        <v>2141.73470827402</v>
      </c>
      <c r="DR139" s="48" t="n">
        <f aca="false">DR59+DR66+DR79+DR58+DR108</f>
        <v>2133.4479869401</v>
      </c>
      <c r="DS139" s="48" t="n">
        <f aca="false">DS59+DS66+DS79+DS58+DS108</f>
        <v>2095.77535956</v>
      </c>
      <c r="DT139" s="48" t="n">
        <f aca="false">DT59+DT66+DT79+DT58+DT108</f>
        <v>2119.061752444</v>
      </c>
      <c r="DU139" s="48" t="n">
        <f aca="false">DU59+DU66+DU79+DU58+DU108</f>
        <v>2142.348145328</v>
      </c>
      <c r="DV139" s="48" t="n">
        <f aca="false">DV59+DV66+DV79+DV58+DV108</f>
        <v>2134.01304575269</v>
      </c>
      <c r="DW139" s="48" t="n">
        <f aca="false">DW59+DW66+DW79+DW58+DW108</f>
        <v>2119.30772157993</v>
      </c>
      <c r="DX139" s="48" t="n">
        <f aca="false">DX59+DX66+DX79+DX58+DX108</f>
        <v>2119.30772157993</v>
      </c>
      <c r="DY139" s="48" t="n">
        <f aca="false">DY59+DY66+DY79+DY58+DY108</f>
        <v>2142.59681742147</v>
      </c>
      <c r="DZ139" s="48" t="n">
        <f aca="false">DZ59+DZ66+DZ79+DZ58+DZ108</f>
        <v>2134.2132704514</v>
      </c>
      <c r="EA139" s="48" t="n">
        <f aca="false">EA59+EA66+EA79+EA58+EA108</f>
        <v>2095.89387383467</v>
      </c>
      <c r="EB139" s="48" t="n">
        <f aca="false">EB59+EB66+EB79+EB58+EB108</f>
        <v>2119.18158354395</v>
      </c>
      <c r="EC139" s="48" t="n">
        <f aca="false">EC59+EC66+EC79+EC58+EC108</f>
        <v>2142.46929325322</v>
      </c>
      <c r="ED139" s="48" t="n">
        <f aca="false">ED59+ED66+ED79+ED58+ED108</f>
        <v>2134.03723494271</v>
      </c>
      <c r="EE139" s="48" t="n">
        <f aca="false">EE59+EE66+EE79+EE58+EE108</f>
        <v>2095.38963124086</v>
      </c>
      <c r="EF139" s="48" t="n">
        <f aca="false">EF59+EF66+EF79+EF58+EF108</f>
        <v>2118.67173825464</v>
      </c>
      <c r="EG139" s="48" t="n">
        <f aca="false">EG59+EG66+EG79+EG58+EG108</f>
        <v>2141.95384526843</v>
      </c>
      <c r="EH139" s="48" t="n">
        <f aca="false">EH59+EH66+EH79+EH58+EH108</f>
        <v>2133.47321704111</v>
      </c>
      <c r="EI139" s="48" t="n">
        <f aca="false">EI59+EI66+EI79+EI58+EI108</f>
        <v>2094.49412834513</v>
      </c>
      <c r="EJ139" s="48" t="n">
        <f aca="false">EJ59+EJ66+EJ79+EJ58+EJ108</f>
        <v>2117.76628532674</v>
      </c>
      <c r="EK139" s="48" t="n">
        <f aca="false">EK59+EK66+EK79+EK58+EK108</f>
        <v>2141.03844230835</v>
      </c>
      <c r="EL139" s="48" t="n">
        <f aca="false">EL59+EL66+EL79+EL58+EL108</f>
        <v>2132.50919112262</v>
      </c>
      <c r="EM139" s="48" t="n">
        <f aca="false">EM59+EM66+EM79+EM58+EM108</f>
        <v>2116.45301662203</v>
      </c>
      <c r="EN139" s="48" t="n">
        <f aca="false">EN59+EN66+EN79+EN58+EN108</f>
        <v>2116.45301662203</v>
      </c>
      <c r="EO139" s="48" t="n">
        <f aca="false">EO59+EO66+EO79+EO58+EO108</f>
        <v>2139.71074207941</v>
      </c>
    </row>
    <row r="140" customFormat="false" ht="15" hidden="false" customHeight="false" outlineLevel="0" collapsed="false">
      <c r="C140" s="26" t="s">
        <v>91</v>
      </c>
      <c r="D140" s="12" t="s">
        <v>27</v>
      </c>
      <c r="E140" s="34" t="n">
        <f aca="false">XIRR($J139:$EO139,$J$4:$EO$4)</f>
        <v>0.071565353731744</v>
      </c>
    </row>
    <row r="141" customFormat="false" ht="15" hidden="false" customHeight="false" outlineLevel="0" collapsed="false">
      <c r="C141" s="26" t="s">
        <v>476</v>
      </c>
      <c r="D141" s="12" t="s">
        <v>33</v>
      </c>
      <c r="I141" s="57" t="n">
        <f aca="false">SUM(J141:EO141)</f>
        <v>130210.653239714</v>
      </c>
      <c r="J141" s="57" t="n">
        <f aca="false">J59+J66+J91+J95+J96+J79+J89+J97+J58+J108</f>
        <v>-4662.80993807469</v>
      </c>
      <c r="K141" s="57" t="n">
        <f aca="false">K59+K66+K91+K95+K96+K79+K89+K97+K58+K108</f>
        <v>-706.535577057768</v>
      </c>
      <c r="L141" s="57" t="n">
        <f aca="false">L59+L66+L91+L95+L96+L79+L89+L97+L58+L108</f>
        <v>-104.360496659404</v>
      </c>
      <c r="M141" s="57" t="n">
        <f aca="false">M59+M66+M91+M95+M96+M79+M89+M97+M58+M108</f>
        <v>-105.507315304013</v>
      </c>
      <c r="N141" s="57" t="n">
        <f aca="false">N59+N66+N91+N95+N96+N79+N89+N97+N58+N108</f>
        <v>-105.507315304013</v>
      </c>
      <c r="O141" s="57" t="n">
        <f aca="false">O59+O66+O91+O95+O96+O79+O89+O97+O58+O108</f>
        <v>-104.360496659404</v>
      </c>
      <c r="P141" s="57" t="n">
        <f aca="false">P59+P66+P91+P95+P96+P79+P89+P97+P58+P108</f>
        <v>-104.360496659404</v>
      </c>
      <c r="Q141" s="57" t="n">
        <f aca="false">Q59+Q66+Q91+Q95+Q96+Q79+Q89+Q97+Q58+Q108</f>
        <v>-105.507315304013</v>
      </c>
      <c r="R141" s="57" t="n">
        <f aca="false">R59+R66+R91+R95+R96+R79+R89+R97+R58+R108</f>
        <v>-6343.24141455136</v>
      </c>
      <c r="S141" s="57" t="n">
        <f aca="false">S59+S66+S91+S95+S96+S79+S89+S97+S58+S108</f>
        <v>-8866.86817882802</v>
      </c>
      <c r="T141" s="57" t="n">
        <f aca="false">T59+T66+T91+T95+T96+T79+T89+T97+T58+T108</f>
        <v>-5231.13156786321</v>
      </c>
      <c r="U141" s="57" t="n">
        <f aca="false">U59+U66+U91+U95+U96+U79+U89+U97+U58+U108</f>
        <v>-5274.56210977118</v>
      </c>
      <c r="V141" s="57" t="n">
        <f aca="false">V59+V66+V91+V95+V96+V79+V89+V97+V58+V108</f>
        <v>-5260.35324521498</v>
      </c>
      <c r="W141" s="57" t="n">
        <f aca="false">W59+W66+W91+W95+W96+W79+W89+W97+W58+W108</f>
        <v>-5133.13969486067</v>
      </c>
      <c r="X141" s="57" t="n">
        <f aca="false">X59+X66+X91+X95+X96+X79+X89+X97+X58+X108</f>
        <v>-5176.42569086062</v>
      </c>
      <c r="Y141" s="57" t="n">
        <f aca="false">Y59+Y66+Y91+Y95+Y96+Y79+Y89+Y97+Y58+Y108</f>
        <v>-7571.50201868782</v>
      </c>
      <c r="Z141" s="57" t="n">
        <f aca="false">Z59+Z66+Z91+Z95+Z96+Z79+Z89+Z97+Z58+Z108</f>
        <v>1114.75080337093</v>
      </c>
      <c r="AA141" s="57" t="n">
        <f aca="false">AA59+AA66+AA91+AA95+AA96+AA79+AA89+AA97+AA58+AA108</f>
        <v>1097.82659683783</v>
      </c>
      <c r="AB141" s="57" t="n">
        <f aca="false">AB59+AB66+AB91+AB95+AB96+AB79+AB89+AB97+AB58+AB108</f>
        <v>1109.52106589589</v>
      </c>
      <c r="AC141" s="57" t="n">
        <f aca="false">AC59+AC66+AC91+AC95+AC96+AC79+AC89+AC97+AC58+AC108</f>
        <v>1121.20706687615</v>
      </c>
      <c r="AD141" s="57" t="n">
        <f aca="false">AD59+AD66+AD91+AD95+AD96+AD79+AD89+AD97+AD58+AD108</f>
        <v>1117.24119545968</v>
      </c>
      <c r="AE141" s="57" t="n">
        <f aca="false">AE59+AE66+AE91+AE95+AE96+AE79+AE89+AE97+AE58+AE108</f>
        <v>1112.11974335416</v>
      </c>
      <c r="AF141" s="57" t="n">
        <f aca="false">AF59+AF66+AF91+AF95+AF96+AF79+AF89+AF97+AF58+AF108</f>
        <v>1111.88344698256</v>
      </c>
      <c r="AG141" s="57" t="n">
        <f aca="false">AG59+AG66+AG91+AG95+AG96+AG79+AG89+AG97+AG58+AG108</f>
        <v>1123.59283736512</v>
      </c>
      <c r="AH141" s="57" t="n">
        <f aca="false">AH59+AH66+AH91+AH95+AH96+AH79+AH89+AH97+AH58+AH108</f>
        <v>1119.59031026207</v>
      </c>
      <c r="AI141" s="57" t="n">
        <f aca="false">AI59+AI66+AI91+AI95+AI96+AI79+AI89+AI97+AI58+AI108</f>
        <v>1102.37273464865</v>
      </c>
      <c r="AJ141" s="57" t="n">
        <f aca="false">AJ59+AJ66+AJ91+AJ95+AJ96+AJ79+AJ89+AJ97+AJ58+AJ108</f>
        <v>1128.71069814081</v>
      </c>
      <c r="AK141" s="57" t="n">
        <f aca="false">AK59+AK66+AK91+AK95+AK96+AK79+AK89+AK97+AK58+AK108</f>
        <v>1140.59525642927</v>
      </c>
      <c r="AL141" s="57" t="n">
        <f aca="false">AL59+AL66+AL91+AL95+AL96+AL79+AL89+AL97+AL58+AL108</f>
        <v>1122.47948995689</v>
      </c>
      <c r="AM141" s="57" t="n">
        <f aca="false">AM59+AM66+AM91+AM95+AM96+AM79+AM89+AM97+AM58+AM108</f>
        <v>1104.78535996282</v>
      </c>
      <c r="AN141" s="57" t="n">
        <f aca="false">AN59+AN66+AN91+AN95+AN96+AN79+AN89+AN97+AN58+AN108</f>
        <v>1116.03858930477</v>
      </c>
      <c r="AO141" s="57" t="n">
        <f aca="false">AO59+AO66+AO91+AO95+AO96+AO79+AO89+AO97+AO58+AO108</f>
        <v>1127.2743172992</v>
      </c>
      <c r="AP141" s="57" t="n">
        <f aca="false">AP59+AP66+AP91+AP95+AP96+AP79+AP89+AP97+AP58+AP108</f>
        <v>1123.22962484199</v>
      </c>
      <c r="AQ141" s="57" t="n">
        <f aca="false">AQ59+AQ66+AQ91+AQ95+AQ96+AQ79+AQ89+AQ97+AQ58+AQ108</f>
        <v>1105.38240405591</v>
      </c>
      <c r="AR141" s="57" t="n">
        <f aca="false">AR59+AR66+AR91+AR95+AR96+AR79+AR89+AR97+AR58+AR108</f>
        <v>1116.63869016052</v>
      </c>
      <c r="AS141" s="57" t="n">
        <f aca="false">AS59+AS66+AS91+AS95+AS96+AS79+AS89+AS97+AS58+AS108</f>
        <v>1127.87712815642</v>
      </c>
      <c r="AT141" s="57" t="n">
        <f aca="false">AT59+AT66+AT91+AT95+AT96+AT79+AT89+AT97+AT58+AT108</f>
        <v>1123.78228545028</v>
      </c>
      <c r="AU141" s="57" t="n">
        <f aca="false">AU59+AU66+AU91+AU95+AU96+AU79+AU89+AU97+AU58+AU108</f>
        <v>1117.60859072292</v>
      </c>
      <c r="AV141" s="57" t="n">
        <f aca="false">AV59+AV66+AV91+AV95+AV96+AV79+AV89+AV97+AV58+AV108</f>
        <v>1117.0251878189</v>
      </c>
      <c r="AW141" s="57" t="n">
        <f aca="false">AW59+AW66+AW91+AW95+AW96+AW79+AW89+AW97+AW58+AW108</f>
        <v>1128.26400971703</v>
      </c>
      <c r="AX141" s="57" t="n">
        <f aca="false">AX59+AX66+AX91+AX95+AX96+AX79+AX89+AX97+AX58+AX108</f>
        <v>1124.11758226078</v>
      </c>
      <c r="AY141" s="57" t="n">
        <f aca="false">AY59+AY66+AY91+AY95+AY96+AY79+AY89+AY97+AY58+AY108</f>
        <v>1105.9569934791</v>
      </c>
      <c r="AZ141" s="57" t="n">
        <f aca="false">AZ59+AZ66+AZ91+AZ95+AZ96+AZ79+AZ89+AZ97+AZ58+AZ108</f>
        <v>1117.21262809592</v>
      </c>
      <c r="BA141" s="57" t="n">
        <f aca="false">BA59+BA66+BA91+BA95+BA96+BA79+BA89+BA97+BA58+BA108</f>
        <v>1128.44968017025</v>
      </c>
      <c r="BB141" s="57" t="n">
        <f aca="false">BB59+BB66+BB91+BB95+BB96+BB79+BB89+BB97+BB58+BB108</f>
        <v>1124.25044474868</v>
      </c>
      <c r="BC141" s="57" t="n">
        <f aca="false">BC59+BC66+BC91+BC95+BC96+BC79+BC89+BC97+BC58+BC108</f>
        <v>1105.92957139928</v>
      </c>
      <c r="BD141" s="57" t="n">
        <f aca="false">BD59+BD66+BD91+BD95+BD96+BD79+BD89+BD97+BD58+BD108</f>
        <v>1117.18144947496</v>
      </c>
      <c r="BE141" s="57" t="n">
        <f aca="false">BE59+BE66+BE91+BE95+BE96+BE79+BE89+BE97+BE58+BE108</f>
        <v>1128.41435767149</v>
      </c>
      <c r="BF141" s="57" t="n">
        <f aca="false">BF59+BF66+BF91+BF95+BF96+BF79+BF89+BF97+BF58+BF108</f>
        <v>1124.16090612792</v>
      </c>
      <c r="BG141" s="57" t="n">
        <f aca="false">BG59+BG66+BG91+BG95+BG96+BG79+BG89+BG97+BG58+BG108</f>
        <v>1105.67720967396</v>
      </c>
      <c r="BH141" s="57" t="n">
        <f aca="false">BH59+BH66+BH91+BH95+BH96+BH79+BH89+BH97+BH58+BH108</f>
        <v>1116.92287591464</v>
      </c>
      <c r="BI141" s="57" t="n">
        <f aca="false">BI59+BI66+BI91+BI95+BI96+BI79+BI89+BI97+BI58+BI108</f>
        <v>1128.14917020487</v>
      </c>
      <c r="BJ141" s="57" t="n">
        <f aca="false">BJ59+BJ66+BJ91+BJ95+BJ96+BJ79+BJ89+BJ97+BJ58+BJ108</f>
        <v>1123.84003624854</v>
      </c>
      <c r="BK141" s="57" t="n">
        <f aca="false">BK59+BK66+BK91+BK95+BK96+BK79+BK89+BK97+BK58+BK108</f>
        <v>1117.12770670433</v>
      </c>
      <c r="BL141" s="57" t="n">
        <f aca="false">BL59+BL66+BL91+BL95+BL96+BL79+BL89+BL97+BL58+BL108</f>
        <v>1116.41607404248</v>
      </c>
      <c r="BM141" s="57" t="n">
        <f aca="false">BM59+BM66+BM91+BM95+BM96+BM79+BM89+BM97+BM58+BM108</f>
        <v>1127.63304968892</v>
      </c>
      <c r="BN141" s="57" t="n">
        <f aca="false">BN59+BN66+BN91+BN95+BN96+BN79+BN89+BN97+BN58+BN108</f>
        <v>1123.26656960963</v>
      </c>
      <c r="BO141" s="57" t="n">
        <f aca="false">BO59+BO66+BO91+BO95+BO96+BO79+BO89+BO97+BO58+BO108</f>
        <v>1104.44916625115</v>
      </c>
      <c r="BP141" s="57" t="n">
        <f aca="false">BP59+BP66+BP91+BP95+BP96+BP79+BP89+BP97+BP58+BP108</f>
        <v>1115.67450350715</v>
      </c>
      <c r="BQ141" s="57" t="n">
        <f aca="false">BQ59+BQ66+BQ91+BQ95+BQ96+BQ79+BQ89+BQ97+BQ58+BQ108</f>
        <v>1126.87961617087</v>
      </c>
      <c r="BR141" s="57" t="n">
        <f aca="false">BR59+BR66+BR91+BR95+BR96+BR79+BR89+BR97+BR58+BR108</f>
        <v>1122.45432957044</v>
      </c>
      <c r="BS141" s="57" t="n">
        <f aca="false">BS59+BS66+BS91+BS95+BS96+BS79+BS89+BS97+BS58+BS108</f>
        <v>1103.46601302037</v>
      </c>
      <c r="BT141" s="57" t="n">
        <f aca="false">BT59+BT66+BT91+BT95+BT96+BT79+BT89+BT97+BT58+BT108</f>
        <v>1114.67715698013</v>
      </c>
      <c r="BU141" s="57" t="n">
        <f aca="false">BU59+BU66+BU91+BU95+BU96+BU79+BU89+BU97+BU58+BU108</f>
        <v>1125.86762589072</v>
      </c>
      <c r="BV141" s="57" t="n">
        <f aca="false">BV59+BV66+BV91+BV95+BV96+BV79+BV89+BV97+BV58+BV108</f>
        <v>1121.38187538237</v>
      </c>
      <c r="BW141" s="57" t="n">
        <f aca="false">BW59+BW66+BW91+BW95+BW96+BW79+BW89+BW97+BW58+BW108</f>
        <v>1102.21978428342</v>
      </c>
      <c r="BX141" s="57" t="n">
        <f aca="false">BX59+BX66+BX91+BX95+BX96+BX79+BX89+BX97+BX58+BX108</f>
        <v>1113.41386024409</v>
      </c>
      <c r="BY141" s="57" t="n">
        <f aca="false">BY59+BY66+BY91+BY95+BY96+BY79+BY89+BY97+BY58+BY108</f>
        <v>1124.58679311549</v>
      </c>
      <c r="BZ141" s="57" t="n">
        <f aca="false">BZ59+BZ66+BZ91+BZ95+BZ96+BZ79+BZ89+BZ97+BZ58+BZ108</f>
        <v>1120.03885180571</v>
      </c>
      <c r="CA141" s="57" t="n">
        <f aca="false">CA59+CA66+CA91+CA95+CA96+CA79+CA89+CA97+CA58+CA108</f>
        <v>1112.72610830329</v>
      </c>
      <c r="CB141" s="57" t="n">
        <f aca="false">CB59+CB66+CB91+CB95+CB96+CB79+CB89+CB97+CB58+CB108</f>
        <v>1111.86223817286</v>
      </c>
      <c r="CC141" s="57" t="n">
        <f aca="false">CC59+CC66+CC91+CC95+CC96+CC79+CC89+CC97+CC58+CC108</f>
        <v>1123.0144908292</v>
      </c>
      <c r="CD141" s="57" t="n">
        <f aca="false">CD59+CD66+CD91+CD95+CD96+CD79+CD89+CD97+CD58+CD108</f>
        <v>1118.40242148227</v>
      </c>
      <c r="CE141" s="57" t="n">
        <f aca="false">CE59+CE66+CE91+CE95+CE96+CE79+CE89+CE97+CE58+CE108</f>
        <v>1098.88369886048</v>
      </c>
      <c r="CF141" s="57" t="n">
        <f aca="false">CF59+CF66+CF91+CF95+CF96+CF79+CF89+CF97+CF58+CF108</f>
        <v>1110.03440943235</v>
      </c>
      <c r="CG141" s="57" t="n">
        <f aca="false">CG59+CG66+CG91+CG95+CG96+CG79+CG89+CG97+CG58+CG108</f>
        <v>1121.16298324225</v>
      </c>
      <c r="CH141" s="57" t="n">
        <f aca="false">CH59+CH66+CH91+CH95+CH96+CH79+CH89+CH97+CH58+CH108</f>
        <v>1116.48504147614</v>
      </c>
      <c r="CI141" s="57" t="n">
        <f aca="false">CI59+CI66+CI91+CI95+CI96+CI79+CI89+CI97+CI58+CI108</f>
        <v>1096.78340591482</v>
      </c>
      <c r="CJ141" s="57" t="n">
        <f aca="false">CJ59+CJ66+CJ91+CJ95+CJ96+CJ79+CJ89+CJ97+CJ58+CJ108</f>
        <v>1107.90770989159</v>
      </c>
      <c r="CK141" s="57" t="n">
        <f aca="false">CK59+CK66+CK91+CK95+CK96+CK79+CK89+CK97+CK58+CK108</f>
        <v>1119.00935131542</v>
      </c>
      <c r="CL141" s="57" t="n">
        <f aca="false">CL59+CL66+CL91+CL95+CL96+CL79+CL89+CL97+CL58+CL108</f>
        <v>1114.26358175045</v>
      </c>
      <c r="CM141" s="57" t="n">
        <f aca="false">CM59+CM66+CM91+CM95+CM96+CM79+CM89+CM97+CM58+CM108</f>
        <v>1094.37579389893</v>
      </c>
      <c r="CN141" s="57" t="n">
        <f aca="false">CN59+CN66+CN91+CN95+CN96+CN79+CN89+CN97+CN58+CN108</f>
        <v>1105.47032899872</v>
      </c>
      <c r="CO141" s="57" t="n">
        <f aca="false">CO59+CO66+CO91+CO95+CO96+CO79+CO89+CO97+CO58+CO108</f>
        <v>1116.54165475519</v>
      </c>
      <c r="CP141" s="57" t="n">
        <f aca="false">CP59+CP66+CP91+CP95+CP96+CP79+CP89+CP97+CP58+CP108</f>
        <v>1111.72601886607</v>
      </c>
      <c r="CQ141" s="57" t="n">
        <f aca="false">CQ59+CQ66+CQ91+CQ95+CQ96+CQ79+CQ89+CQ97+CQ58+CQ108</f>
        <v>1103.74280804705</v>
      </c>
      <c r="CR141" s="57" t="n">
        <f aca="false">CR59+CR66+CR91+CR95+CR96+CR79+CR89+CR97+CR58+CR108</f>
        <v>1102.69812246175</v>
      </c>
      <c r="CS141" s="57" t="n">
        <f aca="false">CS59+CS66+CS91+CS95+CS96+CS79+CS89+CS97+CS58+CS108</f>
        <v>2340.98242704214</v>
      </c>
      <c r="CT141" s="57" t="n">
        <f aca="false">CT59+CT66+CT91+CT95+CT96+CT79+CT89+CT97+CT58+CT108</f>
        <v>2329.59585287149</v>
      </c>
      <c r="CU141" s="57" t="n">
        <f aca="false">CU59+CU66+CU91+CU95+CU96+CU79+CU89+CU97+CU58+CU108</f>
        <v>2289.29840831076</v>
      </c>
      <c r="CV141" s="57" t="n">
        <f aca="false">CV59+CV66+CV91+CV95+CV96+CV79+CV89+CV97+CV58+CV108</f>
        <v>2314.73505729199</v>
      </c>
      <c r="CW141" s="57" t="n">
        <f aca="false">CW59+CW66+CW91+CW95+CW96+CW79+CW89+CW97+CW58+CW108</f>
        <v>2340.17170627322</v>
      </c>
      <c r="CX141" s="57" t="n">
        <f aca="false">CX59+CX66+CX91+CX95+CX96+CX79+CX89+CX97+CX58+CX108</f>
        <v>2332.12566741845</v>
      </c>
      <c r="CY141" s="57" t="n">
        <f aca="false">CY59+CY66+CY91+CY95+CY96+CY79+CY89+CY97+CY58+CY108</f>
        <v>2291.52460580205</v>
      </c>
      <c r="CZ141" s="57" t="n">
        <f aca="false">CZ59+CZ66+CZ91+CZ95+CZ96+CZ79+CZ89+CZ97+CZ58+CZ108</f>
        <v>2316.98599031096</v>
      </c>
      <c r="DA141" s="57" t="n">
        <f aca="false">DA59+DA66+DA91+DA95+DA96+DA79+DA89+DA97+DA58+DA108</f>
        <v>2342.44737481988</v>
      </c>
      <c r="DB141" s="57" t="n">
        <f aca="false">DB59+DB66+DB91+DB95+DB96+DB79+DB89+DB97+DB58+DB108</f>
        <v>2127.75796595667</v>
      </c>
      <c r="DC141" s="57" t="n">
        <f aca="false">DC59+DC66+DC91+DC95+DC96+DC79+DC89+DC97+DC58+DC108</f>
        <v>2091.34156892558</v>
      </c>
      <c r="DD141" s="57" t="n">
        <f aca="false">DD59+DD66+DD91+DD95+DD96+DD79+DD89+DD97+DD58+DD108</f>
        <v>2114.5786974692</v>
      </c>
      <c r="DE141" s="57" t="n">
        <f aca="false">DE59+DE66+DE91+DE95+DE96+DE79+DE89+DE97+DE58+DE108</f>
        <v>2137.81582601281</v>
      </c>
      <c r="DF141" s="57" t="n">
        <f aca="false">DF59+DF66+DF91+DF95+DF96+DF79+DF89+DF97+DF58+DF108</f>
        <v>2129.67377475099</v>
      </c>
      <c r="DG141" s="57" t="n">
        <f aca="false">DG59+DG66+DG91+DG95+DG96+DG79+DG89+DG97+DG58+DG108</f>
        <v>2116.20284972323</v>
      </c>
      <c r="DH141" s="57" t="n">
        <f aca="false">DH59+DH66+DH91+DH95+DH96+DH79+DH89+DH97+DH58+DH108</f>
        <v>2116.20284972323</v>
      </c>
      <c r="DI141" s="57" t="n">
        <f aca="false">DI59+DI66+DI91+DI95+DI96+DI79+DI89+DI97+DI58+DI108</f>
        <v>2139.45782609381</v>
      </c>
      <c r="DJ141" s="57" t="n">
        <f aca="false">DJ59+DJ66+DJ91+DJ95+DJ96+DJ79+DJ89+DJ97+DJ58+DJ108</f>
        <v>2131.26763373715</v>
      </c>
      <c r="DK141" s="57" t="n">
        <f aca="false">DK59+DK66+DK91+DK95+DK96+DK79+DK89+DK97+DK58+DK108</f>
        <v>2094.22922134031</v>
      </c>
      <c r="DL141" s="57" t="n">
        <f aca="false">DL59+DL66+DL91+DL95+DL96+DL79+DL89+DL97+DL58+DL108</f>
        <v>2117.49843491076</v>
      </c>
      <c r="DM141" s="57" t="n">
        <f aca="false">DM59+DM66+DM91+DM95+DM96+DM79+DM89+DM97+DM58+DM108</f>
        <v>2140.76764848121</v>
      </c>
      <c r="DN141" s="57" t="n">
        <f aca="false">DN59+DN66+DN91+DN95+DN96+DN79+DN89+DN97+DN58+DN108</f>
        <v>2132.52923118543</v>
      </c>
      <c r="DO141" s="57" t="n">
        <f aca="false">DO59+DO66+DO91+DO95+DO96+DO79+DO89+DO97+DO58+DO108</f>
        <v>2095.17525809415</v>
      </c>
      <c r="DP141" s="57" t="n">
        <f aca="false">DP59+DP66+DP91+DP95+DP96+DP79+DP89+DP97+DP58+DP108</f>
        <v>2118.45498318408</v>
      </c>
      <c r="DQ141" s="57" t="n">
        <f aca="false">DQ59+DQ66+DQ91+DQ95+DQ96+DQ79+DQ89+DQ97+DQ58+DQ108</f>
        <v>2141.73470827402</v>
      </c>
      <c r="DR141" s="57" t="n">
        <f aca="false">DR59+DR66+DR91+DR95+DR96+DR79+DR89+DR97+DR58+DR108</f>
        <v>2133.4479869401</v>
      </c>
      <c r="DS141" s="57" t="n">
        <f aca="false">DS59+DS66+DS91+DS95+DS96+DS79+DS89+DS97+DS58+DS108</f>
        <v>2095.77535956</v>
      </c>
      <c r="DT141" s="57" t="n">
        <f aca="false">DT59+DT66+DT91+DT95+DT96+DT79+DT89+DT97+DT58+DT108</f>
        <v>2119.061752444</v>
      </c>
      <c r="DU141" s="57" t="n">
        <f aca="false">DU59+DU66+DU91+DU95+DU96+DU79+DU89+DU97+DU58+DU108</f>
        <v>2142.348145328</v>
      </c>
      <c r="DV141" s="57" t="n">
        <f aca="false">DV59+DV66+DV91+DV95+DV96+DV79+DV89+DV97+DV58+DV108</f>
        <v>2134.01304575269</v>
      </c>
      <c r="DW141" s="57" t="n">
        <f aca="false">DW59+DW66+DW91+DW95+DW96+DW79+DW89+DW97+DW58+DW108</f>
        <v>2119.30772157993</v>
      </c>
      <c r="DX141" s="57" t="n">
        <f aca="false">DX59+DX66+DX91+DX95+DX96+DX79+DX89+DX97+DX58+DX108</f>
        <v>2119.30772157993</v>
      </c>
      <c r="DY141" s="57" t="n">
        <f aca="false">DY59+DY66+DY91+DY95+DY96+DY79+DY89+DY97+DY58+DY108</f>
        <v>2142.59681742147</v>
      </c>
      <c r="DZ141" s="57" t="n">
        <f aca="false">DZ59+DZ66+DZ91+DZ95+DZ96+DZ79+DZ89+DZ97+DZ58+DZ108</f>
        <v>2134.2132704514</v>
      </c>
      <c r="EA141" s="57" t="n">
        <f aca="false">EA59+EA66+EA91+EA95+EA96+EA79+EA89+EA97+EA58+EA108</f>
        <v>2095.89387383467</v>
      </c>
      <c r="EB141" s="57" t="n">
        <f aca="false">EB59+EB66+EB91+EB95+EB96+EB79+EB89+EB97+EB58+EB108</f>
        <v>2119.18158354395</v>
      </c>
      <c r="EC141" s="57" t="n">
        <f aca="false">EC59+EC66+EC91+EC95+EC96+EC79+EC89+EC97+EC58+EC108</f>
        <v>2142.46929325322</v>
      </c>
      <c r="ED141" s="57" t="n">
        <f aca="false">ED59+ED66+ED91+ED95+ED96+ED79+ED89+ED97+ED58+ED108</f>
        <v>2134.03723494271</v>
      </c>
      <c r="EE141" s="57" t="n">
        <f aca="false">EE59+EE66+EE91+EE95+EE96+EE79+EE89+EE97+EE58+EE108</f>
        <v>2095.38963124086</v>
      </c>
      <c r="EF141" s="57" t="n">
        <f aca="false">EF59+EF66+EF91+EF95+EF96+EF79+EF89+EF97+EF58+EF108</f>
        <v>2118.67173825464</v>
      </c>
      <c r="EG141" s="57" t="n">
        <f aca="false">EG59+EG66+EG91+EG95+EG96+EG79+EG89+EG97+EG58+EG108</f>
        <v>2141.95384526843</v>
      </c>
      <c r="EH141" s="57" t="n">
        <f aca="false">EH59+EH66+EH91+EH95+EH96+EH79+EH89+EH97+EH58+EH108</f>
        <v>2133.47321704111</v>
      </c>
      <c r="EI141" s="57" t="n">
        <f aca="false">EI59+EI66+EI91+EI95+EI96+EI79+EI89+EI97+EI58+EI108</f>
        <v>2094.49412834513</v>
      </c>
      <c r="EJ141" s="57" t="n">
        <f aca="false">EJ59+EJ66+EJ91+EJ95+EJ96+EJ79+EJ89+EJ97+EJ58+EJ108</f>
        <v>2117.76628532674</v>
      </c>
      <c r="EK141" s="57" t="n">
        <f aca="false">EK59+EK66+EK91+EK95+EK96+EK79+EK89+EK97+EK58+EK108</f>
        <v>2141.03844230835</v>
      </c>
      <c r="EL141" s="57" t="n">
        <f aca="false">EL59+EL66+EL91+EL95+EL96+EL79+EL89+EL97+EL58+EL108</f>
        <v>2132.50919112262</v>
      </c>
      <c r="EM141" s="57" t="n">
        <f aca="false">EM59+EM66+EM91+EM95+EM96+EM79+EM89+EM97+EM58+EM108</f>
        <v>2116.45301662203</v>
      </c>
      <c r="EN141" s="57" t="n">
        <f aca="false">EN59+EN66+EN91+EN95+EN96+EN79+EN89+EN97+EN58+EN108</f>
        <v>2116.45301662203</v>
      </c>
      <c r="EO141" s="57" t="n">
        <f aca="false">EO59+EO66+EO91+EO95+EO96+EO79+EO89+EO97+EO58+EO108</f>
        <v>2139.71074207941</v>
      </c>
    </row>
    <row r="142" customFormat="false" ht="15" hidden="false" customHeight="false" outlineLevel="0" collapsed="false">
      <c r="C142" s="26" t="s">
        <v>88</v>
      </c>
      <c r="D142" s="12" t="s">
        <v>27</v>
      </c>
      <c r="E142" s="34" t="n">
        <f aca="false">XIRR($J141:$EO141,$J$4:$EO$4)</f>
        <v>0.0798286717747364</v>
      </c>
    </row>
    <row r="143" customFormat="false" ht="15" hidden="false" customHeight="false" outlineLevel="0" collapsed="false">
      <c r="C143" s="26" t="s">
        <v>89</v>
      </c>
      <c r="D143" s="12" t="s">
        <v>13</v>
      </c>
      <c r="E143" s="60" t="n">
        <f aca="false">SUMIF($J141:$EO141,"&gt;0")/-SUMIF($J141:$EO141,"&lt;0")</f>
        <v>3.37367367104427</v>
      </c>
    </row>
    <row r="144" customFormat="false" ht="15" hidden="false" customHeight="false" outlineLevel="0" collapsed="false">
      <c r="C144" s="26" t="s">
        <v>90</v>
      </c>
      <c r="D144" s="12" t="s">
        <v>33</v>
      </c>
      <c r="E144" s="57" t="n">
        <f aca="false">XNPV(In_Discount_Rate,$J141:$EO141,$J$4:$EO$4)</f>
        <v>-92.6704544981952</v>
      </c>
    </row>
    <row r="146" customFormat="false" ht="15" hidden="false" customHeight="false" outlineLevel="0" collapsed="false">
      <c r="C146" s="4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373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374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375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376</v>
      </c>
      <c r="D5" s="12" t="s">
        <v>184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377</v>
      </c>
      <c r="D6" s="12" t="s">
        <v>378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379</v>
      </c>
      <c r="D7" s="12" t="s">
        <v>380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381</v>
      </c>
      <c r="D8" s="12" t="s">
        <v>141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382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383</v>
      </c>
      <c r="D12" s="12" t="s">
        <v>378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384</v>
      </c>
      <c r="D13" s="12" t="s">
        <v>378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303</v>
      </c>
      <c r="D15" s="12" t="s">
        <v>43</v>
      </c>
      <c r="E15" s="46" t="n">
        <f aca="false">In_COD+1</f>
        <v>47757</v>
      </c>
      <c r="F15" s="46" t="n">
        <f aca="false">EDATE(In_COD,In_Life*Months_In_Year)</f>
        <v>58714</v>
      </c>
      <c r="J15" s="55" t="n">
        <f aca="false">MAX(0,(MIN($F15,J$4)-MAX($E15,J$3)+1)/J$5)</f>
        <v>0</v>
      </c>
      <c r="K15" s="55" t="n">
        <f aca="false">MAX(0,(MIN($F15,K$4)-MAX($E15,K$3)+1)/K$5)</f>
        <v>0</v>
      </c>
      <c r="L15" s="55" t="n">
        <f aca="false">MAX(0,(MIN($F15,L$4)-MAX($E15,L$3)+1)/L$5)</f>
        <v>0</v>
      </c>
      <c r="M15" s="55" t="n">
        <f aca="false">MAX(0,(MIN($F15,M$4)-MAX($E15,M$3)+1)/M$5)</f>
        <v>0</v>
      </c>
      <c r="N15" s="55" t="n">
        <f aca="false">MAX(0,(MIN($F15,N$4)-MAX($E15,N$3)+1)/N$5)</f>
        <v>0</v>
      </c>
      <c r="O15" s="55" t="n">
        <f aca="false">MAX(0,(MIN($F15,O$4)-MAX($E15,O$3)+1)/O$5)</f>
        <v>0</v>
      </c>
      <c r="P15" s="55" t="n">
        <f aca="false">MAX(0,(MIN($F15,P$4)-MAX($E15,P$3)+1)/P$5)</f>
        <v>0</v>
      </c>
      <c r="Q15" s="55" t="n">
        <f aca="false">MAX(0,(MIN($F15,Q$4)-MAX($E15,Q$3)+1)/Q$5)</f>
        <v>0</v>
      </c>
      <c r="R15" s="55" t="n">
        <f aca="false">MAX(0,(MIN($F15,R$4)-MAX($E15,R$3)+1)/R$5)</f>
        <v>0</v>
      </c>
      <c r="S15" s="55" t="n">
        <f aca="false">MAX(0,(MIN($F15,S$4)-MAX($E15,S$3)+1)/S$5)</f>
        <v>0</v>
      </c>
      <c r="T15" s="55" t="n">
        <f aca="false">MAX(0,(MIN($F15,T$4)-MAX($E15,T$3)+1)/T$5)</f>
        <v>0</v>
      </c>
      <c r="U15" s="55" t="n">
        <f aca="false">MAX(0,(MIN($F15,U$4)-MAX($E15,U$3)+1)/U$5)</f>
        <v>0</v>
      </c>
      <c r="V15" s="55" t="n">
        <f aca="false">MAX(0,(MIN($F15,V$4)-MAX($E15,V$3)+1)/V$5)</f>
        <v>0</v>
      </c>
      <c r="W15" s="55" t="n">
        <f aca="false">MAX(0,(MIN($F15,W$4)-MAX($E15,W$3)+1)/W$5)</f>
        <v>0</v>
      </c>
      <c r="X15" s="55" t="n">
        <f aca="false">MAX(0,(MIN($F15,X$4)-MAX($E15,X$3)+1)/X$5)</f>
        <v>0</v>
      </c>
      <c r="Y15" s="55" t="n">
        <f aca="false">MAX(0,(MIN($F15,Y$4)-MAX($E15,Y$3)+1)/Y$5)</f>
        <v>0</v>
      </c>
      <c r="Z15" s="55" t="n">
        <f aca="false">MAX(0,(MIN($F15,Z$4)-MAX($E15,Z$3)+1)/Z$5)</f>
        <v>1</v>
      </c>
      <c r="AA15" s="55" t="n">
        <f aca="false">MAX(0,(MIN($F15,AA$4)-MAX($E15,AA$3)+1)/AA$5)</f>
        <v>1</v>
      </c>
      <c r="AB15" s="55" t="n">
        <f aca="false">MAX(0,(MIN($F15,AB$4)-MAX($E15,AB$3)+1)/AB$5)</f>
        <v>1</v>
      </c>
      <c r="AC15" s="55" t="n">
        <f aca="false">MAX(0,(MIN($F15,AC$4)-MAX($E15,AC$3)+1)/AC$5)</f>
        <v>1</v>
      </c>
      <c r="AD15" s="55" t="n">
        <f aca="false">MAX(0,(MIN($F15,AD$4)-MAX($E15,AD$3)+1)/AD$5)</f>
        <v>1</v>
      </c>
      <c r="AE15" s="55" t="n">
        <f aca="false">MAX(0,(MIN($F15,AE$4)-MAX($E15,AE$3)+1)/AE$5)</f>
        <v>1</v>
      </c>
      <c r="AF15" s="55" t="n">
        <f aca="false">MAX(0,(MIN($F15,AF$4)-MAX($E15,AF$3)+1)/AF$5)</f>
        <v>1</v>
      </c>
      <c r="AG15" s="55" t="n">
        <f aca="false">MAX(0,(MIN($F15,AG$4)-MAX($E15,AG$3)+1)/AG$5)</f>
        <v>1</v>
      </c>
      <c r="AH15" s="55" t="n">
        <f aca="false">MAX(0,(MIN($F15,AH$4)-MAX($E15,AH$3)+1)/AH$5)</f>
        <v>1</v>
      </c>
      <c r="AI15" s="55" t="n">
        <f aca="false">MAX(0,(MIN($F15,AI$4)-MAX($E15,AI$3)+1)/AI$5)</f>
        <v>1</v>
      </c>
      <c r="AJ15" s="55" t="n">
        <f aca="false">MAX(0,(MIN($F15,AJ$4)-MAX($E15,AJ$3)+1)/AJ$5)</f>
        <v>1</v>
      </c>
      <c r="AK15" s="55" t="n">
        <f aca="false">MAX(0,(MIN($F15,AK$4)-MAX($E15,AK$3)+1)/AK$5)</f>
        <v>1</v>
      </c>
      <c r="AL15" s="55" t="n">
        <f aca="false">MAX(0,(MIN($F15,AL$4)-MAX($E15,AL$3)+1)/AL$5)</f>
        <v>1</v>
      </c>
      <c r="AM15" s="55" t="n">
        <f aca="false">MAX(0,(MIN($F15,AM$4)-MAX($E15,AM$3)+1)/AM$5)</f>
        <v>1</v>
      </c>
      <c r="AN15" s="55" t="n">
        <f aca="false">MAX(0,(MIN($F15,AN$4)-MAX($E15,AN$3)+1)/AN$5)</f>
        <v>1</v>
      </c>
      <c r="AO15" s="55" t="n">
        <f aca="false">MAX(0,(MIN($F15,AO$4)-MAX($E15,AO$3)+1)/AO$5)</f>
        <v>1</v>
      </c>
      <c r="AP15" s="55" t="n">
        <f aca="false">MAX(0,(MIN($F15,AP$4)-MAX($E15,AP$3)+1)/AP$5)</f>
        <v>1</v>
      </c>
      <c r="AQ15" s="55" t="n">
        <f aca="false">MAX(0,(MIN($F15,AQ$4)-MAX($E15,AQ$3)+1)/AQ$5)</f>
        <v>1</v>
      </c>
      <c r="AR15" s="55" t="n">
        <f aca="false">MAX(0,(MIN($F15,AR$4)-MAX($E15,AR$3)+1)/AR$5)</f>
        <v>1</v>
      </c>
      <c r="AS15" s="55" t="n">
        <f aca="false">MAX(0,(MIN($F15,AS$4)-MAX($E15,AS$3)+1)/AS$5)</f>
        <v>1</v>
      </c>
      <c r="AT15" s="55" t="n">
        <f aca="false">MAX(0,(MIN($F15,AT$4)-MAX($E15,AT$3)+1)/AT$5)</f>
        <v>1</v>
      </c>
      <c r="AU15" s="55" t="n">
        <f aca="false">MAX(0,(MIN($F15,AU$4)-MAX($E15,AU$3)+1)/AU$5)</f>
        <v>1</v>
      </c>
      <c r="AV15" s="55" t="n">
        <f aca="false">MAX(0,(MIN($F15,AV$4)-MAX($E15,AV$3)+1)/AV$5)</f>
        <v>1</v>
      </c>
      <c r="AW15" s="55" t="n">
        <f aca="false">MAX(0,(MIN($F15,AW$4)-MAX($E15,AW$3)+1)/AW$5)</f>
        <v>1</v>
      </c>
      <c r="AX15" s="55" t="n">
        <f aca="false">MAX(0,(MIN($F15,AX$4)-MAX($E15,AX$3)+1)/AX$5)</f>
        <v>1</v>
      </c>
      <c r="AY15" s="55" t="n">
        <f aca="false">MAX(0,(MIN($F15,AY$4)-MAX($E15,AY$3)+1)/AY$5)</f>
        <v>1</v>
      </c>
      <c r="AZ15" s="55" t="n">
        <f aca="false">MAX(0,(MIN($F15,AZ$4)-MAX($E15,AZ$3)+1)/AZ$5)</f>
        <v>1</v>
      </c>
      <c r="BA15" s="55" t="n">
        <f aca="false">MAX(0,(MIN($F15,BA$4)-MAX($E15,BA$3)+1)/BA$5)</f>
        <v>1</v>
      </c>
      <c r="BB15" s="55" t="n">
        <f aca="false">MAX(0,(MIN($F15,BB$4)-MAX($E15,BB$3)+1)/BB$5)</f>
        <v>1</v>
      </c>
      <c r="BC15" s="55" t="n">
        <f aca="false">MAX(0,(MIN($F15,BC$4)-MAX($E15,BC$3)+1)/BC$5)</f>
        <v>1</v>
      </c>
      <c r="BD15" s="55" t="n">
        <f aca="false">MAX(0,(MIN($F15,BD$4)-MAX($E15,BD$3)+1)/BD$5)</f>
        <v>1</v>
      </c>
      <c r="BE15" s="55" t="n">
        <f aca="false">MAX(0,(MIN($F15,BE$4)-MAX($E15,BE$3)+1)/BE$5)</f>
        <v>1</v>
      </c>
      <c r="BF15" s="55" t="n">
        <f aca="false">MAX(0,(MIN($F15,BF$4)-MAX($E15,BF$3)+1)/BF$5)</f>
        <v>1</v>
      </c>
      <c r="BG15" s="55" t="n">
        <f aca="false">MAX(0,(MIN($F15,BG$4)-MAX($E15,BG$3)+1)/BG$5)</f>
        <v>1</v>
      </c>
      <c r="BH15" s="55" t="n">
        <f aca="false">MAX(0,(MIN($F15,BH$4)-MAX($E15,BH$3)+1)/BH$5)</f>
        <v>1</v>
      </c>
      <c r="BI15" s="55" t="n">
        <f aca="false">MAX(0,(MIN($F15,BI$4)-MAX($E15,BI$3)+1)/BI$5)</f>
        <v>1</v>
      </c>
      <c r="BJ15" s="55" t="n">
        <f aca="false">MAX(0,(MIN($F15,BJ$4)-MAX($E15,BJ$3)+1)/BJ$5)</f>
        <v>1</v>
      </c>
      <c r="BK15" s="55" t="n">
        <f aca="false">MAX(0,(MIN($F15,BK$4)-MAX($E15,BK$3)+1)/BK$5)</f>
        <v>1</v>
      </c>
      <c r="BL15" s="55" t="n">
        <f aca="false">MAX(0,(MIN($F15,BL$4)-MAX($E15,BL$3)+1)/BL$5)</f>
        <v>1</v>
      </c>
      <c r="BM15" s="55" t="n">
        <f aca="false">MAX(0,(MIN($F15,BM$4)-MAX($E15,BM$3)+1)/BM$5)</f>
        <v>1</v>
      </c>
      <c r="BN15" s="55" t="n">
        <f aca="false">MAX(0,(MIN($F15,BN$4)-MAX($E15,BN$3)+1)/BN$5)</f>
        <v>1</v>
      </c>
      <c r="BO15" s="55" t="n">
        <f aca="false">MAX(0,(MIN($F15,BO$4)-MAX($E15,BO$3)+1)/BO$5)</f>
        <v>1</v>
      </c>
      <c r="BP15" s="55" t="n">
        <f aca="false">MAX(0,(MIN($F15,BP$4)-MAX($E15,BP$3)+1)/BP$5)</f>
        <v>1</v>
      </c>
      <c r="BQ15" s="55" t="n">
        <f aca="false">MAX(0,(MIN($F15,BQ$4)-MAX($E15,BQ$3)+1)/BQ$5)</f>
        <v>1</v>
      </c>
      <c r="BR15" s="55" t="n">
        <f aca="false">MAX(0,(MIN($F15,BR$4)-MAX($E15,BR$3)+1)/BR$5)</f>
        <v>1</v>
      </c>
      <c r="BS15" s="55" t="n">
        <f aca="false">MAX(0,(MIN($F15,BS$4)-MAX($E15,BS$3)+1)/BS$5)</f>
        <v>1</v>
      </c>
      <c r="BT15" s="55" t="n">
        <f aca="false">MAX(0,(MIN($F15,BT$4)-MAX($E15,BT$3)+1)/BT$5)</f>
        <v>1</v>
      </c>
      <c r="BU15" s="55" t="n">
        <f aca="false">MAX(0,(MIN($F15,BU$4)-MAX($E15,BU$3)+1)/BU$5)</f>
        <v>1</v>
      </c>
      <c r="BV15" s="55" t="n">
        <f aca="false">MAX(0,(MIN($F15,BV$4)-MAX($E15,BV$3)+1)/BV$5)</f>
        <v>1</v>
      </c>
      <c r="BW15" s="55" t="n">
        <f aca="false">MAX(0,(MIN($F15,BW$4)-MAX($E15,BW$3)+1)/BW$5)</f>
        <v>1</v>
      </c>
      <c r="BX15" s="55" t="n">
        <f aca="false">MAX(0,(MIN($F15,BX$4)-MAX($E15,BX$3)+1)/BX$5)</f>
        <v>1</v>
      </c>
      <c r="BY15" s="55" t="n">
        <f aca="false">MAX(0,(MIN($F15,BY$4)-MAX($E15,BY$3)+1)/BY$5)</f>
        <v>1</v>
      </c>
      <c r="BZ15" s="55" t="n">
        <f aca="false">MAX(0,(MIN($F15,BZ$4)-MAX($E15,BZ$3)+1)/BZ$5)</f>
        <v>1</v>
      </c>
      <c r="CA15" s="55" t="n">
        <f aca="false">MAX(0,(MIN($F15,CA$4)-MAX($E15,CA$3)+1)/CA$5)</f>
        <v>1</v>
      </c>
      <c r="CB15" s="55" t="n">
        <f aca="false">MAX(0,(MIN($F15,CB$4)-MAX($E15,CB$3)+1)/CB$5)</f>
        <v>1</v>
      </c>
      <c r="CC15" s="55" t="n">
        <f aca="false">MAX(0,(MIN($F15,CC$4)-MAX($E15,CC$3)+1)/CC$5)</f>
        <v>1</v>
      </c>
      <c r="CD15" s="55" t="n">
        <f aca="false">MAX(0,(MIN($F15,CD$4)-MAX($E15,CD$3)+1)/CD$5)</f>
        <v>1</v>
      </c>
      <c r="CE15" s="55" t="n">
        <f aca="false">MAX(0,(MIN($F15,CE$4)-MAX($E15,CE$3)+1)/CE$5)</f>
        <v>1</v>
      </c>
      <c r="CF15" s="55" t="n">
        <f aca="false">MAX(0,(MIN($F15,CF$4)-MAX($E15,CF$3)+1)/CF$5)</f>
        <v>1</v>
      </c>
      <c r="CG15" s="55" t="n">
        <f aca="false">MAX(0,(MIN($F15,CG$4)-MAX($E15,CG$3)+1)/CG$5)</f>
        <v>1</v>
      </c>
      <c r="CH15" s="55" t="n">
        <f aca="false">MAX(0,(MIN($F15,CH$4)-MAX($E15,CH$3)+1)/CH$5)</f>
        <v>1</v>
      </c>
      <c r="CI15" s="55" t="n">
        <f aca="false">MAX(0,(MIN($F15,CI$4)-MAX($E15,CI$3)+1)/CI$5)</f>
        <v>1</v>
      </c>
      <c r="CJ15" s="55" t="n">
        <f aca="false">MAX(0,(MIN($F15,CJ$4)-MAX($E15,CJ$3)+1)/CJ$5)</f>
        <v>1</v>
      </c>
      <c r="CK15" s="55" t="n">
        <f aca="false">MAX(0,(MIN($F15,CK$4)-MAX($E15,CK$3)+1)/CK$5)</f>
        <v>1</v>
      </c>
      <c r="CL15" s="55" t="n">
        <f aca="false">MAX(0,(MIN($F15,CL$4)-MAX($E15,CL$3)+1)/CL$5)</f>
        <v>1</v>
      </c>
      <c r="CM15" s="55" t="n">
        <f aca="false">MAX(0,(MIN($F15,CM$4)-MAX($E15,CM$3)+1)/CM$5)</f>
        <v>1</v>
      </c>
      <c r="CN15" s="55" t="n">
        <f aca="false">MAX(0,(MIN($F15,CN$4)-MAX($E15,CN$3)+1)/CN$5)</f>
        <v>1</v>
      </c>
      <c r="CO15" s="55" t="n">
        <f aca="false">MAX(0,(MIN($F15,CO$4)-MAX($E15,CO$3)+1)/CO$5)</f>
        <v>1</v>
      </c>
      <c r="CP15" s="55" t="n">
        <f aca="false">MAX(0,(MIN($F15,CP$4)-MAX($E15,CP$3)+1)/CP$5)</f>
        <v>1</v>
      </c>
      <c r="CQ15" s="55" t="n">
        <f aca="false">MAX(0,(MIN($F15,CQ$4)-MAX($E15,CQ$3)+1)/CQ$5)</f>
        <v>1</v>
      </c>
      <c r="CR15" s="55" t="n">
        <f aca="false">MAX(0,(MIN($F15,CR$4)-MAX($E15,CR$3)+1)/CR$5)</f>
        <v>1</v>
      </c>
      <c r="CS15" s="55" t="n">
        <f aca="false">MAX(0,(MIN($F15,CS$4)-MAX($E15,CS$3)+1)/CS$5)</f>
        <v>1</v>
      </c>
      <c r="CT15" s="55" t="n">
        <f aca="false">MAX(0,(MIN($F15,CT$4)-MAX($E15,CT$3)+1)/CT$5)</f>
        <v>1</v>
      </c>
      <c r="CU15" s="55" t="n">
        <f aca="false">MAX(0,(MIN($F15,CU$4)-MAX($E15,CU$3)+1)/CU$5)</f>
        <v>1</v>
      </c>
      <c r="CV15" s="55" t="n">
        <f aca="false">MAX(0,(MIN($F15,CV$4)-MAX($E15,CV$3)+1)/CV$5)</f>
        <v>1</v>
      </c>
      <c r="CW15" s="55" t="n">
        <f aca="false">MAX(0,(MIN($F15,CW$4)-MAX($E15,CW$3)+1)/CW$5)</f>
        <v>1</v>
      </c>
      <c r="CX15" s="55" t="n">
        <f aca="false">MAX(0,(MIN($F15,CX$4)-MAX($E15,CX$3)+1)/CX$5)</f>
        <v>1</v>
      </c>
      <c r="CY15" s="55" t="n">
        <f aca="false">MAX(0,(MIN($F15,CY$4)-MAX($E15,CY$3)+1)/CY$5)</f>
        <v>1</v>
      </c>
      <c r="CZ15" s="55" t="n">
        <f aca="false">MAX(0,(MIN($F15,CZ$4)-MAX($E15,CZ$3)+1)/CZ$5)</f>
        <v>1</v>
      </c>
      <c r="DA15" s="55" t="n">
        <f aca="false">MAX(0,(MIN($F15,DA$4)-MAX($E15,DA$3)+1)/DA$5)</f>
        <v>1</v>
      </c>
      <c r="DB15" s="55" t="n">
        <f aca="false">MAX(0,(MIN($F15,DB$4)-MAX($E15,DB$3)+1)/DB$5)</f>
        <v>1</v>
      </c>
      <c r="DC15" s="55" t="n">
        <f aca="false">MAX(0,(MIN($F15,DC$4)-MAX($E15,DC$3)+1)/DC$5)</f>
        <v>1</v>
      </c>
      <c r="DD15" s="55" t="n">
        <f aca="false">MAX(0,(MIN($F15,DD$4)-MAX($E15,DD$3)+1)/DD$5)</f>
        <v>1</v>
      </c>
      <c r="DE15" s="55" t="n">
        <f aca="false">MAX(0,(MIN($F15,DE$4)-MAX($E15,DE$3)+1)/DE$5)</f>
        <v>1</v>
      </c>
      <c r="DF15" s="55" t="n">
        <f aca="false">MAX(0,(MIN($F15,DF$4)-MAX($E15,DF$3)+1)/DF$5)</f>
        <v>1</v>
      </c>
      <c r="DG15" s="55" t="n">
        <f aca="false">MAX(0,(MIN($F15,DG$4)-MAX($E15,DG$3)+1)/DG$5)</f>
        <v>1</v>
      </c>
      <c r="DH15" s="55" t="n">
        <f aca="false">MAX(0,(MIN($F15,DH$4)-MAX($E15,DH$3)+1)/DH$5)</f>
        <v>1</v>
      </c>
      <c r="DI15" s="55" t="n">
        <f aca="false">MAX(0,(MIN($F15,DI$4)-MAX($E15,DI$3)+1)/DI$5)</f>
        <v>1</v>
      </c>
      <c r="DJ15" s="55" t="n">
        <f aca="false">MAX(0,(MIN($F15,DJ$4)-MAX($E15,DJ$3)+1)/DJ$5)</f>
        <v>1</v>
      </c>
      <c r="DK15" s="55" t="n">
        <f aca="false">MAX(0,(MIN($F15,DK$4)-MAX($E15,DK$3)+1)/DK$5)</f>
        <v>1</v>
      </c>
      <c r="DL15" s="55" t="n">
        <f aca="false">MAX(0,(MIN($F15,DL$4)-MAX($E15,DL$3)+1)/DL$5)</f>
        <v>1</v>
      </c>
      <c r="DM15" s="55" t="n">
        <f aca="false">MAX(0,(MIN($F15,DM$4)-MAX($E15,DM$3)+1)/DM$5)</f>
        <v>1</v>
      </c>
      <c r="DN15" s="55" t="n">
        <f aca="false">MAX(0,(MIN($F15,DN$4)-MAX($E15,DN$3)+1)/DN$5)</f>
        <v>1</v>
      </c>
      <c r="DO15" s="55" t="n">
        <f aca="false">MAX(0,(MIN($F15,DO$4)-MAX($E15,DO$3)+1)/DO$5)</f>
        <v>1</v>
      </c>
      <c r="DP15" s="55" t="n">
        <f aca="false">MAX(0,(MIN($F15,DP$4)-MAX($E15,DP$3)+1)/DP$5)</f>
        <v>1</v>
      </c>
      <c r="DQ15" s="55" t="n">
        <f aca="false">MAX(0,(MIN($F15,DQ$4)-MAX($E15,DQ$3)+1)/DQ$5)</f>
        <v>1</v>
      </c>
      <c r="DR15" s="55" t="n">
        <f aca="false">MAX(0,(MIN($F15,DR$4)-MAX($E15,DR$3)+1)/DR$5)</f>
        <v>1</v>
      </c>
      <c r="DS15" s="55" t="n">
        <f aca="false">MAX(0,(MIN($F15,DS$4)-MAX($E15,DS$3)+1)/DS$5)</f>
        <v>1</v>
      </c>
      <c r="DT15" s="55" t="n">
        <f aca="false">MAX(0,(MIN($F15,DT$4)-MAX($E15,DT$3)+1)/DT$5)</f>
        <v>1</v>
      </c>
      <c r="DU15" s="55" t="n">
        <f aca="false">MAX(0,(MIN($F15,DU$4)-MAX($E15,DU$3)+1)/DU$5)</f>
        <v>1</v>
      </c>
      <c r="DV15" s="55" t="n">
        <f aca="false">MAX(0,(MIN($F15,DV$4)-MAX($E15,DV$3)+1)/DV$5)</f>
        <v>1</v>
      </c>
      <c r="DW15" s="55" t="n">
        <f aca="false">MAX(0,(MIN($F15,DW$4)-MAX($E15,DW$3)+1)/DW$5)</f>
        <v>1</v>
      </c>
      <c r="DX15" s="55" t="n">
        <f aca="false">MAX(0,(MIN($F15,DX$4)-MAX($E15,DX$3)+1)/DX$5)</f>
        <v>1</v>
      </c>
      <c r="DY15" s="55" t="n">
        <f aca="false">MAX(0,(MIN($F15,DY$4)-MAX($E15,DY$3)+1)/DY$5)</f>
        <v>1</v>
      </c>
      <c r="DZ15" s="55" t="n">
        <f aca="false">MAX(0,(MIN($F15,DZ$4)-MAX($E15,DZ$3)+1)/DZ$5)</f>
        <v>1</v>
      </c>
      <c r="EA15" s="55" t="n">
        <f aca="false">MAX(0,(MIN($F15,EA$4)-MAX($E15,EA$3)+1)/EA$5)</f>
        <v>1</v>
      </c>
      <c r="EB15" s="55" t="n">
        <f aca="false">MAX(0,(MIN($F15,EB$4)-MAX($E15,EB$3)+1)/EB$5)</f>
        <v>1</v>
      </c>
      <c r="EC15" s="55" t="n">
        <f aca="false">MAX(0,(MIN($F15,EC$4)-MAX($E15,EC$3)+1)/EC$5)</f>
        <v>1</v>
      </c>
      <c r="ED15" s="55" t="n">
        <f aca="false">MAX(0,(MIN($F15,ED$4)-MAX($E15,ED$3)+1)/ED$5)</f>
        <v>1</v>
      </c>
      <c r="EE15" s="55" t="n">
        <f aca="false">MAX(0,(MIN($F15,EE$4)-MAX($E15,EE$3)+1)/EE$5)</f>
        <v>1</v>
      </c>
      <c r="EF15" s="55" t="n">
        <f aca="false">MAX(0,(MIN($F15,EF$4)-MAX($E15,EF$3)+1)/EF$5)</f>
        <v>1</v>
      </c>
      <c r="EG15" s="55" t="n">
        <f aca="false">MAX(0,(MIN($F15,EG$4)-MAX($E15,EG$3)+1)/EG$5)</f>
        <v>1</v>
      </c>
      <c r="EH15" s="55" t="n">
        <f aca="false">MAX(0,(MIN($F15,EH$4)-MAX($E15,EH$3)+1)/EH$5)</f>
        <v>1</v>
      </c>
      <c r="EI15" s="55" t="n">
        <f aca="false">MAX(0,(MIN($F15,EI$4)-MAX($E15,EI$3)+1)/EI$5)</f>
        <v>1</v>
      </c>
      <c r="EJ15" s="55" t="n">
        <f aca="false">MAX(0,(MIN($F15,EJ$4)-MAX($E15,EJ$3)+1)/EJ$5)</f>
        <v>1</v>
      </c>
      <c r="EK15" s="55" t="n">
        <f aca="false">MAX(0,(MIN($F15,EK$4)-MAX($E15,EK$3)+1)/EK$5)</f>
        <v>1</v>
      </c>
      <c r="EL15" s="55" t="n">
        <f aca="false">MAX(0,(MIN($F15,EL$4)-MAX($E15,EL$3)+1)/EL$5)</f>
        <v>1</v>
      </c>
      <c r="EM15" s="55" t="n">
        <f aca="false">MAX(0,(MIN($F15,EM$4)-MAX($E15,EM$3)+1)/EM$5)</f>
        <v>1</v>
      </c>
      <c r="EN15" s="55" t="n">
        <f aca="false">MAX(0,(MIN($F15,EN$4)-MAX($E15,EN$3)+1)/EN$5)</f>
        <v>1</v>
      </c>
      <c r="EO15" s="55" t="n">
        <f aca="false">MAX(0,(MIN($F15,EO$4)-MAX($E15,EO$3)+1)/EO$5)</f>
        <v>1</v>
      </c>
    </row>
    <row r="16" customFormat="false" ht="15" hidden="false" customHeight="false" outlineLevel="0" collapsed="false">
      <c r="C16" s="1" t="s">
        <v>385</v>
      </c>
      <c r="D16" s="12" t="s">
        <v>43</v>
      </c>
      <c r="E16" s="46" t="n">
        <f aca="false">In_NTP+1</f>
        <v>47027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1</v>
      </c>
      <c r="S16" s="55" t="n">
        <f aca="false">MAX(0,(MIN($F16,S$4)-MAX($E16,S$3)+1)/S$5)</f>
        <v>1</v>
      </c>
      <c r="T16" s="55" t="n">
        <f aca="false">MAX(0,(MIN($F16,T$4)-MAX($E16,T$3)+1)/T$5)</f>
        <v>1</v>
      </c>
      <c r="U16" s="55" t="n">
        <f aca="false">MAX(0,(MIN($F16,U$4)-MAX($E16,U$3)+1)/U$5)</f>
        <v>1</v>
      </c>
      <c r="V16" s="55" t="n">
        <f aca="false">MAX(0,(MIN($F16,V$4)-MAX($E16,V$3)+1)/V$5)</f>
        <v>1</v>
      </c>
      <c r="W16" s="55" t="n">
        <f aca="false">MAX(0,(MIN($F16,W$4)-MAX($E16,W$3)+1)/W$5)</f>
        <v>1</v>
      </c>
      <c r="X16" s="55" t="n">
        <f aca="false">MAX(0,(MIN($F16,X$4)-MAX($E16,X$3)+1)/X$5)</f>
        <v>1</v>
      </c>
      <c r="Y16" s="55" t="n">
        <f aca="false">MAX(0,(MIN($F16,Y$4)-MAX($E16,Y$3)+1)/Y$5)</f>
        <v>1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386</v>
      </c>
      <c r="D17" s="12" t="s">
        <v>43</v>
      </c>
      <c r="E17" s="46" t="n">
        <f aca="false">In_COD+1</f>
        <v>47757</v>
      </c>
      <c r="F17" s="46" t="n">
        <f aca="false">EDATE(In_COD,In_Debt_Tenor*Months_In_Year)</f>
        <v>54331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0</v>
      </c>
      <c r="S17" s="55" t="n">
        <f aca="false">MAX(0,(MIN($F17,S$4)-MAX($E17,S$3)+1)/S$5)</f>
        <v>0</v>
      </c>
      <c r="T17" s="55" t="n">
        <f aca="false">MAX(0,(MIN($F17,T$4)-MAX($E17,T$3)+1)/T$5)</f>
        <v>0</v>
      </c>
      <c r="U17" s="55" t="n">
        <f aca="false">MAX(0,(MIN($F17,U$4)-MAX($E17,U$3)+1)/U$5)</f>
        <v>0</v>
      </c>
      <c r="V17" s="55" t="n">
        <f aca="false">MAX(0,(MIN($F17,V$4)-MAX($E17,V$3)+1)/V$5)</f>
        <v>0</v>
      </c>
      <c r="W17" s="55" t="n">
        <f aca="false">MAX(0,(MIN($F17,W$4)-MAX($E17,W$3)+1)/W$5)</f>
        <v>0</v>
      </c>
      <c r="X17" s="55" t="n">
        <f aca="false">MAX(0,(MIN($F17,X$4)-MAX($E17,X$3)+1)/X$5)</f>
        <v>0</v>
      </c>
      <c r="Y17" s="55" t="n">
        <f aca="false">MAX(0,(MIN($F17,Y$4)-MAX($E17,Y$3)+1)/Y$5)</f>
        <v>0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0</v>
      </c>
      <c r="CU17" s="55" t="n">
        <f aca="false">MAX(0,(MIN($F17,CU$4)-MAX($E17,CU$3)+1)/CU$5)</f>
        <v>0</v>
      </c>
      <c r="CV17" s="55" t="n">
        <f aca="false">MAX(0,(MIN($F17,CV$4)-MAX($E17,CV$3)+1)/CV$5)</f>
        <v>0</v>
      </c>
      <c r="CW17" s="55" t="n">
        <f aca="false">MAX(0,(MIN($F17,CW$4)-MAX($E17,CW$3)+1)/CW$5)</f>
        <v>0</v>
      </c>
      <c r="CX17" s="55" t="n">
        <f aca="false">MAX(0,(MIN($F17,CX$4)-MAX($E17,CX$3)+1)/CX$5)</f>
        <v>0</v>
      </c>
      <c r="CY17" s="55" t="n">
        <f aca="false">MAX(0,(MIN($F17,CY$4)-MAX($E17,CY$3)+1)/CY$5)</f>
        <v>0</v>
      </c>
      <c r="CZ17" s="55" t="n">
        <f aca="false">MAX(0,(MIN($F17,CZ$4)-MAX($E17,CZ$3)+1)/CZ$5)</f>
        <v>0</v>
      </c>
      <c r="DA17" s="55" t="n">
        <f aca="false">MAX(0,(MIN($F17,DA$4)-MAX($E17,DA$3)+1)/DA$5)</f>
        <v>0</v>
      </c>
      <c r="DB17" s="55" t="n">
        <f aca="false">MAX(0,(MIN($F17,DB$4)-MAX($E17,DB$3)+1)/DB$5)</f>
        <v>0</v>
      </c>
      <c r="DC17" s="55" t="n">
        <f aca="false">MAX(0,(MIN($F17,DC$4)-MAX($E17,DC$3)+1)/DC$5)</f>
        <v>0</v>
      </c>
      <c r="DD17" s="55" t="n">
        <f aca="false">MAX(0,(MIN($F17,DD$4)-MAX($E17,DD$3)+1)/DD$5)</f>
        <v>0</v>
      </c>
      <c r="DE17" s="55" t="n">
        <f aca="false">MAX(0,(MIN($F17,DE$4)-MAX($E17,DE$3)+1)/DE$5)</f>
        <v>0</v>
      </c>
      <c r="DF17" s="55" t="n">
        <f aca="false">MAX(0,(MIN($F17,DF$4)-MAX($E17,DF$3)+1)/DF$5)</f>
        <v>0</v>
      </c>
      <c r="DG17" s="55" t="n">
        <f aca="false">MAX(0,(MIN($F17,DG$4)-MAX($E17,DG$3)+1)/DG$5)</f>
        <v>0</v>
      </c>
      <c r="DH17" s="55" t="n">
        <f aca="false">MAX(0,(MIN($F17,DH$4)-MAX($E17,DH$3)+1)/DH$5)</f>
        <v>0</v>
      </c>
      <c r="DI17" s="55" t="n">
        <f aca="false">MAX(0,(MIN($F17,DI$4)-MAX($E17,DI$3)+1)/DI$5)</f>
        <v>0</v>
      </c>
      <c r="DJ17" s="55" t="n">
        <f aca="false">MAX(0,(MIN($F17,DJ$4)-MAX($E17,DJ$3)+1)/DJ$5)</f>
        <v>0</v>
      </c>
      <c r="DK17" s="55" t="n">
        <f aca="false">MAX(0,(MIN($F17,DK$4)-MAX($E17,DK$3)+1)/DK$5)</f>
        <v>0</v>
      </c>
      <c r="DL17" s="55" t="n">
        <f aca="false">MAX(0,(MIN($F17,DL$4)-MAX($E17,DL$3)+1)/DL$5)</f>
        <v>0</v>
      </c>
      <c r="DM17" s="55" t="n">
        <f aca="false">MAX(0,(MIN($F17,DM$4)-MAX($E17,DM$3)+1)/DM$5)</f>
        <v>0</v>
      </c>
      <c r="DN17" s="55" t="n">
        <f aca="false">MAX(0,(MIN($F17,DN$4)-MAX($E17,DN$3)+1)/DN$5)</f>
        <v>0</v>
      </c>
      <c r="DO17" s="55" t="n">
        <f aca="false">MAX(0,(MIN($F17,DO$4)-MAX($E17,DO$3)+1)/DO$5)</f>
        <v>0</v>
      </c>
      <c r="DP17" s="55" t="n">
        <f aca="false">MAX(0,(MIN($F17,DP$4)-MAX($E17,DP$3)+1)/DP$5)</f>
        <v>0</v>
      </c>
      <c r="DQ17" s="55" t="n">
        <f aca="false">MAX(0,(MIN($F17,DQ$4)-MAX($E17,DQ$3)+1)/DQ$5)</f>
        <v>0</v>
      </c>
      <c r="DR17" s="55" t="n">
        <f aca="false">MAX(0,(MIN($F17,DR$4)-MAX($E17,DR$3)+1)/DR$5)</f>
        <v>0</v>
      </c>
      <c r="DS17" s="55" t="n">
        <f aca="false">MAX(0,(MIN($F17,DS$4)-MAX($E17,DS$3)+1)/DS$5)</f>
        <v>0</v>
      </c>
      <c r="DT17" s="55" t="n">
        <f aca="false">MAX(0,(MIN($F17,DT$4)-MAX($E17,DT$3)+1)/DT$5)</f>
        <v>0</v>
      </c>
      <c r="DU17" s="55" t="n">
        <f aca="false">MAX(0,(MIN($F17,DU$4)-MAX($E17,DU$3)+1)/DU$5)</f>
        <v>0</v>
      </c>
      <c r="DV17" s="55" t="n">
        <f aca="false">MAX(0,(MIN($F17,DV$4)-MAX($E17,DV$3)+1)/DV$5)</f>
        <v>0</v>
      </c>
      <c r="DW17" s="55" t="n">
        <f aca="false">MAX(0,(MIN($F17,DW$4)-MAX($E17,DW$3)+1)/DW$5)</f>
        <v>0</v>
      </c>
      <c r="DX17" s="55" t="n">
        <f aca="false">MAX(0,(MIN($F17,DX$4)-MAX($E17,DX$3)+1)/DX$5)</f>
        <v>0</v>
      </c>
      <c r="DY17" s="55" t="n">
        <f aca="false">MAX(0,(MIN($F17,DY$4)-MAX($E17,DY$3)+1)/DY$5)</f>
        <v>0</v>
      </c>
      <c r="DZ17" s="55" t="n">
        <f aca="false">MAX(0,(MIN($F17,DZ$4)-MAX($E17,DZ$3)+1)/DZ$5)</f>
        <v>0</v>
      </c>
      <c r="EA17" s="55" t="n">
        <f aca="false">MAX(0,(MIN($F17,EA$4)-MAX($E17,EA$3)+1)/EA$5)</f>
        <v>0</v>
      </c>
      <c r="EB17" s="55" t="n">
        <f aca="false">MAX(0,(MIN($F17,EB$4)-MAX($E17,EB$3)+1)/EB$5)</f>
        <v>0</v>
      </c>
      <c r="EC17" s="55" t="n">
        <f aca="false">MAX(0,(MIN($F17,EC$4)-MAX($E17,EC$3)+1)/EC$5)</f>
        <v>0</v>
      </c>
      <c r="ED17" s="55" t="n">
        <f aca="false">MAX(0,(MIN($F17,ED$4)-MAX($E17,ED$3)+1)/ED$5)</f>
        <v>0</v>
      </c>
      <c r="EE17" s="55" t="n">
        <f aca="false">MAX(0,(MIN($F17,EE$4)-MAX($E17,EE$3)+1)/EE$5)</f>
        <v>0</v>
      </c>
      <c r="EF17" s="55" t="n">
        <f aca="false">MAX(0,(MIN($F17,EF$4)-MAX($E17,EF$3)+1)/EF$5)</f>
        <v>0</v>
      </c>
      <c r="EG17" s="55" t="n">
        <f aca="false">MAX(0,(MIN($F17,EG$4)-MAX($E17,EG$3)+1)/EG$5)</f>
        <v>0</v>
      </c>
      <c r="EH17" s="55" t="n">
        <f aca="false">MAX(0,(MIN($F17,EH$4)-MAX($E17,EH$3)+1)/EH$5)</f>
        <v>0</v>
      </c>
      <c r="EI17" s="55" t="n">
        <f aca="false">MAX(0,(MIN($F17,EI$4)-MAX($E17,EI$3)+1)/EI$5)</f>
        <v>0</v>
      </c>
      <c r="EJ17" s="55" t="n">
        <f aca="false">MAX(0,(MIN($F17,EJ$4)-MAX($E17,EJ$3)+1)/EJ$5)</f>
        <v>0</v>
      </c>
      <c r="EK17" s="55" t="n">
        <f aca="false">MAX(0,(MIN($F17,EK$4)-MAX($E17,EK$3)+1)/EK$5)</f>
        <v>0</v>
      </c>
      <c r="EL17" s="55" t="n">
        <f aca="false">MAX(0,(MIN($F17,EL$4)-MAX($E17,EL$3)+1)/EL$5)</f>
        <v>0</v>
      </c>
      <c r="EM17" s="55" t="n">
        <f aca="false">MAX(0,(MIN($F17,EM$4)-MAX($E17,EM$3)+1)/EM$5)</f>
        <v>0</v>
      </c>
      <c r="EN17" s="55" t="n">
        <f aca="false">MAX(0,(MIN($F17,EN$4)-MAX($E17,EN$3)+1)/EN$5)</f>
        <v>0</v>
      </c>
      <c r="EO17" s="55" t="n">
        <f aca="false">MAX(0,(MIN($F17,EO$4)-MAX($E17,EO$3)+1)/EO$5)</f>
        <v>0</v>
      </c>
    </row>
    <row r="18" customFormat="false" ht="15" hidden="false" customHeight="false" outlineLevel="0" collapsed="false">
      <c r="C18" s="1" t="s">
        <v>387</v>
      </c>
      <c r="D18" s="12" t="s">
        <v>43</v>
      </c>
      <c r="E18" s="46" t="n">
        <f aca="false">EDATE(In_COD,In_Debt_Tenor*Months_In_Year)</f>
        <v>54331</v>
      </c>
      <c r="I18" s="50" t="n">
        <f aca="false">SUM(J18:EO18)</f>
        <v>1</v>
      </c>
      <c r="J18" s="50" t="n">
        <f aca="false">N(AND(J$3&lt;=$E18,J$4&gt;=$E18))</f>
        <v>0</v>
      </c>
      <c r="K18" s="50" t="n">
        <f aca="false">N(AND(K$3&lt;=$E18,K$4&gt;=$E18))</f>
        <v>0</v>
      </c>
      <c r="L18" s="50" t="n">
        <f aca="false">N(AND(L$3&lt;=$E18,L$4&gt;=$E18))</f>
        <v>0</v>
      </c>
      <c r="M18" s="50" t="n">
        <f aca="false">N(AND(M$3&lt;=$E18,M$4&gt;=$E18))</f>
        <v>0</v>
      </c>
      <c r="N18" s="50" t="n">
        <f aca="false">N(AND(N$3&lt;=$E18,N$4&gt;=$E18))</f>
        <v>0</v>
      </c>
      <c r="O18" s="50" t="n">
        <f aca="false">N(AND(O$3&lt;=$E18,O$4&gt;=$E18))</f>
        <v>0</v>
      </c>
      <c r="P18" s="50" t="n">
        <f aca="false">N(AND(P$3&lt;=$E18,P$4&gt;=$E18))</f>
        <v>0</v>
      </c>
      <c r="Q18" s="50" t="n">
        <f aca="false">N(AND(Q$3&lt;=$E18,Q$4&gt;=$E18))</f>
        <v>0</v>
      </c>
      <c r="R18" s="50" t="n">
        <f aca="false">N(AND(R$3&lt;=$E18,R$4&gt;=$E18))</f>
        <v>0</v>
      </c>
      <c r="S18" s="50" t="n">
        <f aca="false">N(AND(S$3&lt;=$E18,S$4&gt;=$E18))</f>
        <v>0</v>
      </c>
      <c r="T18" s="50" t="n">
        <f aca="false">N(AND(T$3&lt;=$E18,T$4&gt;=$E18))</f>
        <v>0</v>
      </c>
      <c r="U18" s="50" t="n">
        <f aca="false">N(AND(U$3&lt;=$E18,U$4&gt;=$E18))</f>
        <v>0</v>
      </c>
      <c r="V18" s="50" t="n">
        <f aca="false">N(AND(V$3&lt;=$E18,V$4&gt;=$E18))</f>
        <v>0</v>
      </c>
      <c r="W18" s="50" t="n">
        <f aca="false">N(AND(W$3&lt;=$E18,W$4&gt;=$E18))</f>
        <v>0</v>
      </c>
      <c r="X18" s="50" t="n">
        <f aca="false">N(AND(X$3&lt;=$E18,X$4&gt;=$E18))</f>
        <v>0</v>
      </c>
      <c r="Y18" s="50" t="n">
        <f aca="false">N(AND(Y$3&lt;=$E18,Y$4&gt;=$E18))</f>
        <v>0</v>
      </c>
      <c r="Z18" s="50" t="n">
        <f aca="false">N(AND(Z$3&lt;=$E18,Z$4&gt;=$E18))</f>
        <v>0</v>
      </c>
      <c r="AA18" s="50" t="n">
        <f aca="false">N(AND(AA$3&lt;=$E18,AA$4&gt;=$E18))</f>
        <v>0</v>
      </c>
      <c r="AB18" s="50" t="n">
        <f aca="false">N(AND(AB$3&lt;=$E18,AB$4&gt;=$E18))</f>
        <v>0</v>
      </c>
      <c r="AC18" s="50" t="n">
        <f aca="false">N(AND(AC$3&lt;=$E18,AC$4&gt;=$E18))</f>
        <v>0</v>
      </c>
      <c r="AD18" s="50" t="n">
        <f aca="false">N(AND(AD$3&lt;=$E18,AD$4&gt;=$E18))</f>
        <v>0</v>
      </c>
      <c r="AE18" s="50" t="n">
        <f aca="false">N(AND(AE$3&lt;=$E18,AE$4&gt;=$E18))</f>
        <v>0</v>
      </c>
      <c r="AF18" s="50" t="n">
        <f aca="false">N(AND(AF$3&lt;=$E18,AF$4&gt;=$E18))</f>
        <v>0</v>
      </c>
      <c r="AG18" s="50" t="n">
        <f aca="false">N(AND(AG$3&lt;=$E18,AG$4&gt;=$E18))</f>
        <v>0</v>
      </c>
      <c r="AH18" s="50" t="n">
        <f aca="false">N(AND(AH$3&lt;=$E18,AH$4&gt;=$E18))</f>
        <v>0</v>
      </c>
      <c r="AI18" s="50" t="n">
        <f aca="false">N(AND(AI$3&lt;=$E18,AI$4&gt;=$E18))</f>
        <v>0</v>
      </c>
      <c r="AJ18" s="50" t="n">
        <f aca="false">N(AND(AJ$3&lt;=$E18,AJ$4&gt;=$E18))</f>
        <v>0</v>
      </c>
      <c r="AK18" s="50" t="n">
        <f aca="false">N(AND(AK$3&lt;=$E18,AK$4&gt;=$E18))</f>
        <v>0</v>
      </c>
      <c r="AL18" s="50" t="n">
        <f aca="false">N(AND(AL$3&lt;=$E18,AL$4&gt;=$E18))</f>
        <v>0</v>
      </c>
      <c r="AM18" s="50" t="n">
        <f aca="false">N(AND(AM$3&lt;=$E18,AM$4&gt;=$E18))</f>
        <v>0</v>
      </c>
      <c r="AN18" s="50" t="n">
        <f aca="false">N(AND(AN$3&lt;=$E18,AN$4&gt;=$E18))</f>
        <v>0</v>
      </c>
      <c r="AO18" s="50" t="n">
        <f aca="false">N(AND(AO$3&lt;=$E18,AO$4&gt;=$E18))</f>
        <v>0</v>
      </c>
      <c r="AP18" s="50" t="n">
        <f aca="false">N(AND(AP$3&lt;=$E18,AP$4&gt;=$E18))</f>
        <v>0</v>
      </c>
      <c r="AQ18" s="50" t="n">
        <f aca="false">N(AND(AQ$3&lt;=$E18,AQ$4&gt;=$E18))</f>
        <v>0</v>
      </c>
      <c r="AR18" s="50" t="n">
        <f aca="false">N(AND(AR$3&lt;=$E18,AR$4&gt;=$E18))</f>
        <v>0</v>
      </c>
      <c r="AS18" s="50" t="n">
        <f aca="false">N(AND(AS$3&lt;=$E18,AS$4&gt;=$E18))</f>
        <v>0</v>
      </c>
      <c r="AT18" s="50" t="n">
        <f aca="false">N(AND(AT$3&lt;=$E18,AT$4&gt;=$E18))</f>
        <v>0</v>
      </c>
      <c r="AU18" s="50" t="n">
        <f aca="false">N(AND(AU$3&lt;=$E18,AU$4&gt;=$E18))</f>
        <v>0</v>
      </c>
      <c r="AV18" s="50" t="n">
        <f aca="false">N(AND(AV$3&lt;=$E18,AV$4&gt;=$E18))</f>
        <v>0</v>
      </c>
      <c r="AW18" s="50" t="n">
        <f aca="false">N(AND(AW$3&lt;=$E18,AW$4&gt;=$E18))</f>
        <v>0</v>
      </c>
      <c r="AX18" s="50" t="n">
        <f aca="false">N(AND(AX$3&lt;=$E18,AX$4&gt;=$E18))</f>
        <v>0</v>
      </c>
      <c r="AY18" s="50" t="n">
        <f aca="false">N(AND(AY$3&lt;=$E18,AY$4&gt;=$E18))</f>
        <v>0</v>
      </c>
      <c r="AZ18" s="50" t="n">
        <f aca="false">N(AND(AZ$3&lt;=$E18,AZ$4&gt;=$E18))</f>
        <v>0</v>
      </c>
      <c r="BA18" s="50" t="n">
        <f aca="false">N(AND(BA$3&lt;=$E18,BA$4&gt;=$E18))</f>
        <v>0</v>
      </c>
      <c r="BB18" s="50" t="n">
        <f aca="false">N(AND(BB$3&lt;=$E18,BB$4&gt;=$E18))</f>
        <v>0</v>
      </c>
      <c r="BC18" s="50" t="n">
        <f aca="false">N(AND(BC$3&lt;=$E18,BC$4&gt;=$E18))</f>
        <v>0</v>
      </c>
      <c r="BD18" s="50" t="n">
        <f aca="false">N(AND(BD$3&lt;=$E18,BD$4&gt;=$E18))</f>
        <v>0</v>
      </c>
      <c r="BE18" s="50" t="n">
        <f aca="false">N(AND(BE$3&lt;=$E18,BE$4&gt;=$E18))</f>
        <v>0</v>
      </c>
      <c r="BF18" s="50" t="n">
        <f aca="false">N(AND(BF$3&lt;=$E18,BF$4&gt;=$E18))</f>
        <v>0</v>
      </c>
      <c r="BG18" s="50" t="n">
        <f aca="false">N(AND(BG$3&lt;=$E18,BG$4&gt;=$E18))</f>
        <v>0</v>
      </c>
      <c r="BH18" s="50" t="n">
        <f aca="false">N(AND(BH$3&lt;=$E18,BH$4&gt;=$E18))</f>
        <v>0</v>
      </c>
      <c r="BI18" s="50" t="n">
        <f aca="false">N(AND(BI$3&lt;=$E18,BI$4&gt;=$E18))</f>
        <v>0</v>
      </c>
      <c r="BJ18" s="50" t="n">
        <f aca="false">N(AND(BJ$3&lt;=$E18,BJ$4&gt;=$E18))</f>
        <v>0</v>
      </c>
      <c r="BK18" s="50" t="n">
        <f aca="false">N(AND(BK$3&lt;=$E18,BK$4&gt;=$E18))</f>
        <v>0</v>
      </c>
      <c r="BL18" s="50" t="n">
        <f aca="false">N(AND(BL$3&lt;=$E18,BL$4&gt;=$E18))</f>
        <v>0</v>
      </c>
      <c r="BM18" s="50" t="n">
        <f aca="false">N(AND(BM$3&lt;=$E18,BM$4&gt;=$E18))</f>
        <v>0</v>
      </c>
      <c r="BN18" s="50" t="n">
        <f aca="false">N(AND(BN$3&lt;=$E18,BN$4&gt;=$E18))</f>
        <v>0</v>
      </c>
      <c r="BO18" s="50" t="n">
        <f aca="false">N(AND(BO$3&lt;=$E18,BO$4&gt;=$E18))</f>
        <v>0</v>
      </c>
      <c r="BP18" s="50" t="n">
        <f aca="false">N(AND(BP$3&lt;=$E18,BP$4&gt;=$E18))</f>
        <v>0</v>
      </c>
      <c r="BQ18" s="50" t="n">
        <f aca="false">N(AND(BQ$3&lt;=$E18,BQ$4&gt;=$E18))</f>
        <v>0</v>
      </c>
      <c r="BR18" s="50" t="n">
        <f aca="false">N(AND(BR$3&lt;=$E18,BR$4&gt;=$E18))</f>
        <v>0</v>
      </c>
      <c r="BS18" s="50" t="n">
        <f aca="false">N(AND(BS$3&lt;=$E18,BS$4&gt;=$E18))</f>
        <v>0</v>
      </c>
      <c r="BT18" s="50" t="n">
        <f aca="false">N(AND(BT$3&lt;=$E18,BT$4&gt;=$E18))</f>
        <v>0</v>
      </c>
      <c r="BU18" s="50" t="n">
        <f aca="false">N(AND(BU$3&lt;=$E18,BU$4&gt;=$E18))</f>
        <v>0</v>
      </c>
      <c r="BV18" s="50" t="n">
        <f aca="false">N(AND(BV$3&lt;=$E18,BV$4&gt;=$E18))</f>
        <v>0</v>
      </c>
      <c r="BW18" s="50" t="n">
        <f aca="false">N(AND(BW$3&lt;=$E18,BW$4&gt;=$E18))</f>
        <v>0</v>
      </c>
      <c r="BX18" s="50" t="n">
        <f aca="false">N(AND(BX$3&lt;=$E18,BX$4&gt;=$E18))</f>
        <v>0</v>
      </c>
      <c r="BY18" s="50" t="n">
        <f aca="false">N(AND(BY$3&lt;=$E18,BY$4&gt;=$E18))</f>
        <v>0</v>
      </c>
      <c r="BZ18" s="50" t="n">
        <f aca="false">N(AND(BZ$3&lt;=$E18,BZ$4&gt;=$E18))</f>
        <v>0</v>
      </c>
      <c r="CA18" s="50" t="n">
        <f aca="false">N(AND(CA$3&lt;=$E18,CA$4&gt;=$E18))</f>
        <v>0</v>
      </c>
      <c r="CB18" s="50" t="n">
        <f aca="false">N(AND(CB$3&lt;=$E18,CB$4&gt;=$E18))</f>
        <v>0</v>
      </c>
      <c r="CC18" s="50" t="n">
        <f aca="false">N(AND(CC$3&lt;=$E18,CC$4&gt;=$E18))</f>
        <v>0</v>
      </c>
      <c r="CD18" s="50" t="n">
        <f aca="false">N(AND(CD$3&lt;=$E18,CD$4&gt;=$E18))</f>
        <v>0</v>
      </c>
      <c r="CE18" s="50" t="n">
        <f aca="false">N(AND(CE$3&lt;=$E18,CE$4&gt;=$E18))</f>
        <v>0</v>
      </c>
      <c r="CF18" s="50" t="n">
        <f aca="false">N(AND(CF$3&lt;=$E18,CF$4&gt;=$E18))</f>
        <v>0</v>
      </c>
      <c r="CG18" s="50" t="n">
        <f aca="false">N(AND(CG$3&lt;=$E18,CG$4&gt;=$E18))</f>
        <v>0</v>
      </c>
      <c r="CH18" s="50" t="n">
        <f aca="false">N(AND(CH$3&lt;=$E18,CH$4&gt;=$E18))</f>
        <v>0</v>
      </c>
      <c r="CI18" s="50" t="n">
        <f aca="false">N(AND(CI$3&lt;=$E18,CI$4&gt;=$E18))</f>
        <v>0</v>
      </c>
      <c r="CJ18" s="50" t="n">
        <f aca="false">N(AND(CJ$3&lt;=$E18,CJ$4&gt;=$E18))</f>
        <v>0</v>
      </c>
      <c r="CK18" s="50" t="n">
        <f aca="false">N(AND(CK$3&lt;=$E18,CK$4&gt;=$E18))</f>
        <v>0</v>
      </c>
      <c r="CL18" s="50" t="n">
        <f aca="false">N(AND(CL$3&lt;=$E18,CL$4&gt;=$E18))</f>
        <v>0</v>
      </c>
      <c r="CM18" s="50" t="n">
        <f aca="false">N(AND(CM$3&lt;=$E18,CM$4&gt;=$E18))</f>
        <v>0</v>
      </c>
      <c r="CN18" s="50" t="n">
        <f aca="false">N(AND(CN$3&lt;=$E18,CN$4&gt;=$E18))</f>
        <v>0</v>
      </c>
      <c r="CO18" s="50" t="n">
        <f aca="false">N(AND(CO$3&lt;=$E18,CO$4&gt;=$E18))</f>
        <v>0</v>
      </c>
      <c r="CP18" s="50" t="n">
        <f aca="false">N(AND(CP$3&lt;=$E18,CP$4&gt;=$E18))</f>
        <v>0</v>
      </c>
      <c r="CQ18" s="50" t="n">
        <f aca="false">N(AND(CQ$3&lt;=$E18,CQ$4&gt;=$E18))</f>
        <v>0</v>
      </c>
      <c r="CR18" s="50" t="n">
        <f aca="false">N(AND(CR$3&lt;=$E18,CR$4&gt;=$E18))</f>
        <v>0</v>
      </c>
      <c r="CS18" s="50" t="n">
        <f aca="false">N(AND(CS$3&lt;=$E18,CS$4&gt;=$E18))</f>
        <v>1</v>
      </c>
      <c r="CT18" s="50" t="n">
        <f aca="false">N(AND(CT$3&lt;=$E18,CT$4&gt;=$E18))</f>
        <v>0</v>
      </c>
      <c r="CU18" s="50" t="n">
        <f aca="false">N(AND(CU$3&lt;=$E18,CU$4&gt;=$E18))</f>
        <v>0</v>
      </c>
      <c r="CV18" s="50" t="n">
        <f aca="false">N(AND(CV$3&lt;=$E18,CV$4&gt;=$E18))</f>
        <v>0</v>
      </c>
      <c r="CW18" s="50" t="n">
        <f aca="false">N(AND(CW$3&lt;=$E18,CW$4&gt;=$E18))</f>
        <v>0</v>
      </c>
      <c r="CX18" s="50" t="n">
        <f aca="false">N(AND(CX$3&lt;=$E18,CX$4&gt;=$E18))</f>
        <v>0</v>
      </c>
      <c r="CY18" s="50" t="n">
        <f aca="false">N(AND(CY$3&lt;=$E18,CY$4&gt;=$E18))</f>
        <v>0</v>
      </c>
      <c r="CZ18" s="50" t="n">
        <f aca="false">N(AND(CZ$3&lt;=$E18,CZ$4&gt;=$E18))</f>
        <v>0</v>
      </c>
      <c r="DA18" s="50" t="n">
        <f aca="false">N(AND(DA$3&lt;=$E18,DA$4&gt;=$E18))</f>
        <v>0</v>
      </c>
      <c r="DB18" s="50" t="n">
        <f aca="false">N(AND(DB$3&lt;=$E18,DB$4&gt;=$E18))</f>
        <v>0</v>
      </c>
      <c r="DC18" s="50" t="n">
        <f aca="false">N(AND(DC$3&lt;=$E18,DC$4&gt;=$E18))</f>
        <v>0</v>
      </c>
      <c r="DD18" s="50" t="n">
        <f aca="false">N(AND(DD$3&lt;=$E18,DD$4&gt;=$E18))</f>
        <v>0</v>
      </c>
      <c r="DE18" s="50" t="n">
        <f aca="false">N(AND(DE$3&lt;=$E18,DE$4&gt;=$E18))</f>
        <v>0</v>
      </c>
      <c r="DF18" s="50" t="n">
        <f aca="false">N(AND(DF$3&lt;=$E18,DF$4&gt;=$E18))</f>
        <v>0</v>
      </c>
      <c r="DG18" s="50" t="n">
        <f aca="false">N(AND(DG$3&lt;=$E18,DG$4&gt;=$E18))</f>
        <v>0</v>
      </c>
      <c r="DH18" s="50" t="n">
        <f aca="false">N(AND(DH$3&lt;=$E18,DH$4&gt;=$E18))</f>
        <v>0</v>
      </c>
      <c r="DI18" s="50" t="n">
        <f aca="false">N(AND(DI$3&lt;=$E18,DI$4&gt;=$E18))</f>
        <v>0</v>
      </c>
      <c r="DJ18" s="50" t="n">
        <f aca="false">N(AND(DJ$3&lt;=$E18,DJ$4&gt;=$E18))</f>
        <v>0</v>
      </c>
      <c r="DK18" s="50" t="n">
        <f aca="false">N(AND(DK$3&lt;=$E18,DK$4&gt;=$E18))</f>
        <v>0</v>
      </c>
      <c r="DL18" s="50" t="n">
        <f aca="false">N(AND(DL$3&lt;=$E18,DL$4&gt;=$E18))</f>
        <v>0</v>
      </c>
      <c r="DM18" s="50" t="n">
        <f aca="false">N(AND(DM$3&lt;=$E18,DM$4&gt;=$E18))</f>
        <v>0</v>
      </c>
      <c r="DN18" s="50" t="n">
        <f aca="false">N(AND(DN$3&lt;=$E18,DN$4&gt;=$E18))</f>
        <v>0</v>
      </c>
      <c r="DO18" s="50" t="n">
        <f aca="false">N(AND(DO$3&lt;=$E18,DO$4&gt;=$E18))</f>
        <v>0</v>
      </c>
      <c r="DP18" s="50" t="n">
        <f aca="false">N(AND(DP$3&lt;=$E18,DP$4&gt;=$E18))</f>
        <v>0</v>
      </c>
      <c r="DQ18" s="50" t="n">
        <f aca="false">N(AND(DQ$3&lt;=$E18,DQ$4&gt;=$E18))</f>
        <v>0</v>
      </c>
      <c r="DR18" s="50" t="n">
        <f aca="false">N(AND(DR$3&lt;=$E18,DR$4&gt;=$E18))</f>
        <v>0</v>
      </c>
      <c r="DS18" s="50" t="n">
        <f aca="false">N(AND(DS$3&lt;=$E18,DS$4&gt;=$E18))</f>
        <v>0</v>
      </c>
      <c r="DT18" s="50" t="n">
        <f aca="false">N(AND(DT$3&lt;=$E18,DT$4&gt;=$E18))</f>
        <v>0</v>
      </c>
      <c r="DU18" s="50" t="n">
        <f aca="false">N(AND(DU$3&lt;=$E18,DU$4&gt;=$E18))</f>
        <v>0</v>
      </c>
      <c r="DV18" s="50" t="n">
        <f aca="false">N(AND(DV$3&lt;=$E18,DV$4&gt;=$E18))</f>
        <v>0</v>
      </c>
      <c r="DW18" s="50" t="n">
        <f aca="false">N(AND(DW$3&lt;=$E18,DW$4&gt;=$E18))</f>
        <v>0</v>
      </c>
      <c r="DX18" s="50" t="n">
        <f aca="false">N(AND(DX$3&lt;=$E18,DX$4&gt;=$E18))</f>
        <v>0</v>
      </c>
      <c r="DY18" s="50" t="n">
        <f aca="false">N(AND(DY$3&lt;=$E18,DY$4&gt;=$E18))</f>
        <v>0</v>
      </c>
      <c r="DZ18" s="50" t="n">
        <f aca="false">N(AND(DZ$3&lt;=$E18,DZ$4&gt;=$E18))</f>
        <v>0</v>
      </c>
      <c r="EA18" s="50" t="n">
        <f aca="false">N(AND(EA$3&lt;=$E18,EA$4&gt;=$E18))</f>
        <v>0</v>
      </c>
      <c r="EB18" s="50" t="n">
        <f aca="false">N(AND(EB$3&lt;=$E18,EB$4&gt;=$E18))</f>
        <v>0</v>
      </c>
      <c r="EC18" s="50" t="n">
        <f aca="false">N(AND(EC$3&lt;=$E18,EC$4&gt;=$E18))</f>
        <v>0</v>
      </c>
      <c r="ED18" s="50" t="n">
        <f aca="false">N(AND(ED$3&lt;=$E18,ED$4&gt;=$E18))</f>
        <v>0</v>
      </c>
      <c r="EE18" s="50" t="n">
        <f aca="false">N(AND(EE$3&lt;=$E18,EE$4&gt;=$E18))</f>
        <v>0</v>
      </c>
      <c r="EF18" s="50" t="n">
        <f aca="false">N(AND(EF$3&lt;=$E18,EF$4&gt;=$E18))</f>
        <v>0</v>
      </c>
      <c r="EG18" s="50" t="n">
        <f aca="false">N(AND(EG$3&lt;=$E18,EG$4&gt;=$E18))</f>
        <v>0</v>
      </c>
      <c r="EH18" s="50" t="n">
        <f aca="false">N(AND(EH$3&lt;=$E18,EH$4&gt;=$E18))</f>
        <v>0</v>
      </c>
      <c r="EI18" s="50" t="n">
        <f aca="false">N(AND(EI$3&lt;=$E18,EI$4&gt;=$E18))</f>
        <v>0</v>
      </c>
      <c r="EJ18" s="50" t="n">
        <f aca="false">N(AND(EJ$3&lt;=$E18,EJ$4&gt;=$E18))</f>
        <v>0</v>
      </c>
      <c r="EK18" s="50" t="n">
        <f aca="false">N(AND(EK$3&lt;=$E18,EK$4&gt;=$E18))</f>
        <v>0</v>
      </c>
      <c r="EL18" s="50" t="n">
        <f aca="false">N(AND(EL$3&lt;=$E18,EL$4&gt;=$E18))</f>
        <v>0</v>
      </c>
      <c r="EM18" s="50" t="n">
        <f aca="false">N(AND(EM$3&lt;=$E18,EM$4&gt;=$E18))</f>
        <v>0</v>
      </c>
      <c r="EN18" s="50" t="n">
        <f aca="false">N(AND(EN$3&lt;=$E18,EN$4&gt;=$E18))</f>
        <v>0</v>
      </c>
      <c r="EO18" s="50" t="n">
        <f aca="false">N(AND(EO$3&lt;=$E18,EO$4&gt;=$E18))</f>
        <v>0</v>
      </c>
    </row>
    <row r="19" customFormat="false" ht="15" hidden="false" customHeight="false" outlineLevel="0" collapsed="false">
      <c r="C19" s="1" t="s">
        <v>388</v>
      </c>
      <c r="D19" s="12" t="s">
        <v>378</v>
      </c>
      <c r="E19" s="46" t="n">
        <f aca="false">In_COD+1</f>
        <v>47757</v>
      </c>
      <c r="F19" s="46" t="n">
        <f aca="false">EDATE(In_COD,In_Dep_Years*Months_In_Year)</f>
        <v>55061</v>
      </c>
      <c r="I19" s="55" t="n">
        <f aca="false">SUM(J19:EO19)</f>
        <v>1</v>
      </c>
      <c r="J19" s="55" t="n">
        <f aca="false">MAX(0,MIN($F19,J$4)-MAX($E19,J$3)+1)/($F19-$E19+1)</f>
        <v>0</v>
      </c>
      <c r="K19" s="55" t="n">
        <f aca="false">MAX(0,MIN($F19,K$4)-MAX($E19,K$3)+1)/($F19-$E19+1)</f>
        <v>0</v>
      </c>
      <c r="L19" s="55" t="n">
        <f aca="false">MAX(0,MIN($F19,L$4)-MAX($E19,L$3)+1)/($F19-$E19+1)</f>
        <v>0</v>
      </c>
      <c r="M19" s="55" t="n">
        <f aca="false">MAX(0,MIN($F19,M$4)-MAX($E19,M$3)+1)/($F19-$E19+1)</f>
        <v>0</v>
      </c>
      <c r="N19" s="55" t="n">
        <f aca="false">MAX(0,MIN($F19,N$4)-MAX($E19,N$3)+1)/($F19-$E19+1)</f>
        <v>0</v>
      </c>
      <c r="O19" s="55" t="n">
        <f aca="false">MAX(0,MIN($F19,O$4)-MAX($E19,O$3)+1)/($F19-$E19+1)</f>
        <v>0</v>
      </c>
      <c r="P19" s="55" t="n">
        <f aca="false">MAX(0,MIN($F19,P$4)-MAX($E19,P$3)+1)/($F19-$E19+1)</f>
        <v>0</v>
      </c>
      <c r="Q19" s="55" t="n">
        <f aca="false">MAX(0,MIN($F19,Q$4)-MAX($E19,Q$3)+1)/($F19-$E19+1)</f>
        <v>0</v>
      </c>
      <c r="R19" s="55" t="n">
        <f aca="false">MAX(0,MIN($F19,R$4)-MAX($E19,R$3)+1)/($F19-$E19+1)</f>
        <v>0</v>
      </c>
      <c r="S19" s="55" t="n">
        <f aca="false">MAX(0,MIN($F19,S$4)-MAX($E19,S$3)+1)/($F19-$E19+1)</f>
        <v>0</v>
      </c>
      <c r="T19" s="55" t="n">
        <f aca="false">MAX(0,MIN($F19,T$4)-MAX($E19,T$3)+1)/($F19-$E19+1)</f>
        <v>0</v>
      </c>
      <c r="U19" s="55" t="n">
        <f aca="false">MAX(0,MIN($F19,U$4)-MAX($E19,U$3)+1)/($F19-$E19+1)</f>
        <v>0</v>
      </c>
      <c r="V19" s="55" t="n">
        <f aca="false">MAX(0,MIN($F19,V$4)-MAX($E19,V$3)+1)/($F19-$E19+1)</f>
        <v>0</v>
      </c>
      <c r="W19" s="55" t="n">
        <f aca="false">MAX(0,MIN($F19,W$4)-MAX($E19,W$3)+1)/($F19-$E19+1)</f>
        <v>0</v>
      </c>
      <c r="X19" s="55" t="n">
        <f aca="false">MAX(0,MIN($F19,X$4)-MAX($E19,X$3)+1)/($F19-$E19+1)</f>
        <v>0</v>
      </c>
      <c r="Y19" s="55" t="n">
        <f aca="false">MAX(0,MIN($F19,Y$4)-MAX($E19,Y$3)+1)/($F19-$E19+1)</f>
        <v>0</v>
      </c>
      <c r="Z19" s="55" t="n">
        <f aca="false">MAX(0,MIN($F19,Z$4)-MAX($E19,Z$3)+1)/($F19-$E19+1)</f>
        <v>0.0125941136208077</v>
      </c>
      <c r="AA19" s="55" t="n">
        <f aca="false">MAX(0,MIN($F19,AA$4)-MAX($E19,AA$3)+1)/($F19-$E19+1)</f>
        <v>0.0123203285420945</v>
      </c>
      <c r="AB19" s="55" t="n">
        <f aca="false">MAX(0,MIN($F19,AB$4)-MAX($E19,AB$3)+1)/($F19-$E19+1)</f>
        <v>0.0124572210814511</v>
      </c>
      <c r="AC19" s="55" t="n">
        <f aca="false">MAX(0,MIN($F19,AC$4)-MAX($E19,AC$3)+1)/($F19-$E19+1)</f>
        <v>0.0125941136208077</v>
      </c>
      <c r="AD19" s="55" t="n">
        <f aca="false">MAX(0,MIN($F19,AD$4)-MAX($E19,AD$3)+1)/($F19-$E19+1)</f>
        <v>0.0125941136208077</v>
      </c>
      <c r="AE19" s="55" t="n">
        <f aca="false">MAX(0,MIN($F19,AE$4)-MAX($E19,AE$3)+1)/($F19-$E19+1)</f>
        <v>0.0124572210814511</v>
      </c>
      <c r="AF19" s="55" t="n">
        <f aca="false">MAX(0,MIN($F19,AF$4)-MAX($E19,AF$3)+1)/($F19-$E19+1)</f>
        <v>0.0124572210814511</v>
      </c>
      <c r="AG19" s="55" t="n">
        <f aca="false">MAX(0,MIN($F19,AG$4)-MAX($E19,AG$3)+1)/($F19-$E19+1)</f>
        <v>0.0125941136208077</v>
      </c>
      <c r="AH19" s="55" t="n">
        <f aca="false">MAX(0,MIN($F19,AH$4)-MAX($E19,AH$3)+1)/($F19-$E19+1)</f>
        <v>0.0125941136208077</v>
      </c>
      <c r="AI19" s="55" t="n">
        <f aca="false">MAX(0,MIN($F19,AI$4)-MAX($E19,AI$3)+1)/($F19-$E19+1)</f>
        <v>0.0123203285420945</v>
      </c>
      <c r="AJ19" s="55" t="n">
        <f aca="false">MAX(0,MIN($F19,AJ$4)-MAX($E19,AJ$3)+1)/($F19-$E19+1)</f>
        <v>0.0124572210814511</v>
      </c>
      <c r="AK19" s="55" t="n">
        <f aca="false">MAX(0,MIN($F19,AK$4)-MAX($E19,AK$3)+1)/($F19-$E19+1)</f>
        <v>0.0125941136208077</v>
      </c>
      <c r="AL19" s="55" t="n">
        <f aca="false">MAX(0,MIN($F19,AL$4)-MAX($E19,AL$3)+1)/($F19-$E19+1)</f>
        <v>0.0125941136208077</v>
      </c>
      <c r="AM19" s="55" t="n">
        <f aca="false">MAX(0,MIN($F19,AM$4)-MAX($E19,AM$3)+1)/($F19-$E19+1)</f>
        <v>0.0123203285420945</v>
      </c>
      <c r="AN19" s="55" t="n">
        <f aca="false">MAX(0,MIN($F19,AN$4)-MAX($E19,AN$3)+1)/($F19-$E19+1)</f>
        <v>0.0124572210814511</v>
      </c>
      <c r="AO19" s="55" t="n">
        <f aca="false">MAX(0,MIN($F19,AO$4)-MAX($E19,AO$3)+1)/($F19-$E19+1)</f>
        <v>0.0125941136208077</v>
      </c>
      <c r="AP19" s="55" t="n">
        <f aca="false">MAX(0,MIN($F19,AP$4)-MAX($E19,AP$3)+1)/($F19-$E19+1)</f>
        <v>0.0125941136208077</v>
      </c>
      <c r="AQ19" s="55" t="n">
        <f aca="false">MAX(0,MIN($F19,AQ$4)-MAX($E19,AQ$3)+1)/($F19-$E19+1)</f>
        <v>0.0123203285420945</v>
      </c>
      <c r="AR19" s="55" t="n">
        <f aca="false">MAX(0,MIN($F19,AR$4)-MAX($E19,AR$3)+1)/($F19-$E19+1)</f>
        <v>0.0124572210814511</v>
      </c>
      <c r="AS19" s="55" t="n">
        <f aca="false">MAX(0,MIN($F19,AS$4)-MAX($E19,AS$3)+1)/($F19-$E19+1)</f>
        <v>0.0125941136208077</v>
      </c>
      <c r="AT19" s="55" t="n">
        <f aca="false">MAX(0,MIN($F19,AT$4)-MAX($E19,AT$3)+1)/($F19-$E19+1)</f>
        <v>0.0125941136208077</v>
      </c>
      <c r="AU19" s="55" t="n">
        <f aca="false">MAX(0,MIN($F19,AU$4)-MAX($E19,AU$3)+1)/($F19-$E19+1)</f>
        <v>0.0124572210814511</v>
      </c>
      <c r="AV19" s="55" t="n">
        <f aca="false">MAX(0,MIN($F19,AV$4)-MAX($E19,AV$3)+1)/($F19-$E19+1)</f>
        <v>0.0124572210814511</v>
      </c>
      <c r="AW19" s="55" t="n">
        <f aca="false">MAX(0,MIN($F19,AW$4)-MAX($E19,AW$3)+1)/($F19-$E19+1)</f>
        <v>0.0125941136208077</v>
      </c>
      <c r="AX19" s="55" t="n">
        <f aca="false">MAX(0,MIN($F19,AX$4)-MAX($E19,AX$3)+1)/($F19-$E19+1)</f>
        <v>0.0125941136208077</v>
      </c>
      <c r="AY19" s="55" t="n">
        <f aca="false">MAX(0,MIN($F19,AY$4)-MAX($E19,AY$3)+1)/($F19-$E19+1)</f>
        <v>0.0123203285420945</v>
      </c>
      <c r="AZ19" s="55" t="n">
        <f aca="false">MAX(0,MIN($F19,AZ$4)-MAX($E19,AZ$3)+1)/($F19-$E19+1)</f>
        <v>0.0124572210814511</v>
      </c>
      <c r="BA19" s="55" t="n">
        <f aca="false">MAX(0,MIN($F19,BA$4)-MAX($E19,BA$3)+1)/($F19-$E19+1)</f>
        <v>0.0125941136208077</v>
      </c>
      <c r="BB19" s="55" t="n">
        <f aca="false">MAX(0,MIN($F19,BB$4)-MAX($E19,BB$3)+1)/($F19-$E19+1)</f>
        <v>0.0125941136208077</v>
      </c>
      <c r="BC19" s="55" t="n">
        <f aca="false">MAX(0,MIN($F19,BC$4)-MAX($E19,BC$3)+1)/($F19-$E19+1)</f>
        <v>0.0123203285420945</v>
      </c>
      <c r="BD19" s="55" t="n">
        <f aca="false">MAX(0,MIN($F19,BD$4)-MAX($E19,BD$3)+1)/($F19-$E19+1)</f>
        <v>0.0124572210814511</v>
      </c>
      <c r="BE19" s="55" t="n">
        <f aca="false">MAX(0,MIN($F19,BE$4)-MAX($E19,BE$3)+1)/($F19-$E19+1)</f>
        <v>0.0125941136208077</v>
      </c>
      <c r="BF19" s="55" t="n">
        <f aca="false">MAX(0,MIN($F19,BF$4)-MAX($E19,BF$3)+1)/($F19-$E19+1)</f>
        <v>0.0125941136208077</v>
      </c>
      <c r="BG19" s="55" t="n">
        <f aca="false">MAX(0,MIN($F19,BG$4)-MAX($E19,BG$3)+1)/($F19-$E19+1)</f>
        <v>0.0123203285420945</v>
      </c>
      <c r="BH19" s="55" t="n">
        <f aca="false">MAX(0,MIN($F19,BH$4)-MAX($E19,BH$3)+1)/($F19-$E19+1)</f>
        <v>0.0124572210814511</v>
      </c>
      <c r="BI19" s="55" t="n">
        <f aca="false">MAX(0,MIN($F19,BI$4)-MAX($E19,BI$3)+1)/($F19-$E19+1)</f>
        <v>0.0125941136208077</v>
      </c>
      <c r="BJ19" s="55" t="n">
        <f aca="false">MAX(0,MIN($F19,BJ$4)-MAX($E19,BJ$3)+1)/($F19-$E19+1)</f>
        <v>0.0125941136208077</v>
      </c>
      <c r="BK19" s="55" t="n">
        <f aca="false">MAX(0,MIN($F19,BK$4)-MAX($E19,BK$3)+1)/($F19-$E19+1)</f>
        <v>0.0124572210814511</v>
      </c>
      <c r="BL19" s="55" t="n">
        <f aca="false">MAX(0,MIN($F19,BL$4)-MAX($E19,BL$3)+1)/($F19-$E19+1)</f>
        <v>0.0124572210814511</v>
      </c>
      <c r="BM19" s="55" t="n">
        <f aca="false">MAX(0,MIN($F19,BM$4)-MAX($E19,BM$3)+1)/($F19-$E19+1)</f>
        <v>0.0125941136208077</v>
      </c>
      <c r="BN19" s="55" t="n">
        <f aca="false">MAX(0,MIN($F19,BN$4)-MAX($E19,BN$3)+1)/($F19-$E19+1)</f>
        <v>0.0125941136208077</v>
      </c>
      <c r="BO19" s="55" t="n">
        <f aca="false">MAX(0,MIN($F19,BO$4)-MAX($E19,BO$3)+1)/($F19-$E19+1)</f>
        <v>0.0123203285420945</v>
      </c>
      <c r="BP19" s="55" t="n">
        <f aca="false">MAX(0,MIN($F19,BP$4)-MAX($E19,BP$3)+1)/($F19-$E19+1)</f>
        <v>0.0124572210814511</v>
      </c>
      <c r="BQ19" s="55" t="n">
        <f aca="false">MAX(0,MIN($F19,BQ$4)-MAX($E19,BQ$3)+1)/($F19-$E19+1)</f>
        <v>0.0125941136208077</v>
      </c>
      <c r="BR19" s="55" t="n">
        <f aca="false">MAX(0,MIN($F19,BR$4)-MAX($E19,BR$3)+1)/($F19-$E19+1)</f>
        <v>0.0125941136208077</v>
      </c>
      <c r="BS19" s="55" t="n">
        <f aca="false">MAX(0,MIN($F19,BS$4)-MAX($E19,BS$3)+1)/($F19-$E19+1)</f>
        <v>0.0123203285420945</v>
      </c>
      <c r="BT19" s="55" t="n">
        <f aca="false">MAX(0,MIN($F19,BT$4)-MAX($E19,BT$3)+1)/($F19-$E19+1)</f>
        <v>0.0124572210814511</v>
      </c>
      <c r="BU19" s="55" t="n">
        <f aca="false">MAX(0,MIN($F19,BU$4)-MAX($E19,BU$3)+1)/($F19-$E19+1)</f>
        <v>0.0125941136208077</v>
      </c>
      <c r="BV19" s="55" t="n">
        <f aca="false">MAX(0,MIN($F19,BV$4)-MAX($E19,BV$3)+1)/($F19-$E19+1)</f>
        <v>0.0125941136208077</v>
      </c>
      <c r="BW19" s="55" t="n">
        <f aca="false">MAX(0,MIN($F19,BW$4)-MAX($E19,BW$3)+1)/($F19-$E19+1)</f>
        <v>0.0123203285420945</v>
      </c>
      <c r="BX19" s="55" t="n">
        <f aca="false">MAX(0,MIN($F19,BX$4)-MAX($E19,BX$3)+1)/($F19-$E19+1)</f>
        <v>0.0124572210814511</v>
      </c>
      <c r="BY19" s="55" t="n">
        <f aca="false">MAX(0,MIN($F19,BY$4)-MAX($E19,BY$3)+1)/($F19-$E19+1)</f>
        <v>0.0125941136208077</v>
      </c>
      <c r="BZ19" s="55" t="n">
        <f aca="false">MAX(0,MIN($F19,BZ$4)-MAX($E19,BZ$3)+1)/($F19-$E19+1)</f>
        <v>0.0125941136208077</v>
      </c>
      <c r="CA19" s="55" t="n">
        <f aca="false">MAX(0,MIN($F19,CA$4)-MAX($E19,CA$3)+1)/($F19-$E19+1)</f>
        <v>0.0124572210814511</v>
      </c>
      <c r="CB19" s="55" t="n">
        <f aca="false">MAX(0,MIN($F19,CB$4)-MAX($E19,CB$3)+1)/($F19-$E19+1)</f>
        <v>0.0124572210814511</v>
      </c>
      <c r="CC19" s="55" t="n">
        <f aca="false">MAX(0,MIN($F19,CC$4)-MAX($E19,CC$3)+1)/($F19-$E19+1)</f>
        <v>0.0125941136208077</v>
      </c>
      <c r="CD19" s="55" t="n">
        <f aca="false">MAX(0,MIN($F19,CD$4)-MAX($E19,CD$3)+1)/($F19-$E19+1)</f>
        <v>0.0125941136208077</v>
      </c>
      <c r="CE19" s="55" t="n">
        <f aca="false">MAX(0,MIN($F19,CE$4)-MAX($E19,CE$3)+1)/($F19-$E19+1)</f>
        <v>0.0123203285420945</v>
      </c>
      <c r="CF19" s="55" t="n">
        <f aca="false">MAX(0,MIN($F19,CF$4)-MAX($E19,CF$3)+1)/($F19-$E19+1)</f>
        <v>0.0124572210814511</v>
      </c>
      <c r="CG19" s="55" t="n">
        <f aca="false">MAX(0,MIN($F19,CG$4)-MAX($E19,CG$3)+1)/($F19-$E19+1)</f>
        <v>0.0125941136208077</v>
      </c>
      <c r="CH19" s="55" t="n">
        <f aca="false">MAX(0,MIN($F19,CH$4)-MAX($E19,CH$3)+1)/($F19-$E19+1)</f>
        <v>0.0125941136208077</v>
      </c>
      <c r="CI19" s="55" t="n">
        <f aca="false">MAX(0,MIN($F19,CI$4)-MAX($E19,CI$3)+1)/($F19-$E19+1)</f>
        <v>0.0123203285420945</v>
      </c>
      <c r="CJ19" s="55" t="n">
        <f aca="false">MAX(0,MIN($F19,CJ$4)-MAX($E19,CJ$3)+1)/($F19-$E19+1)</f>
        <v>0.0124572210814511</v>
      </c>
      <c r="CK19" s="55" t="n">
        <f aca="false">MAX(0,MIN($F19,CK$4)-MAX($E19,CK$3)+1)/($F19-$E19+1)</f>
        <v>0.0125941136208077</v>
      </c>
      <c r="CL19" s="55" t="n">
        <f aca="false">MAX(0,MIN($F19,CL$4)-MAX($E19,CL$3)+1)/($F19-$E19+1)</f>
        <v>0.0125941136208077</v>
      </c>
      <c r="CM19" s="55" t="n">
        <f aca="false">MAX(0,MIN($F19,CM$4)-MAX($E19,CM$3)+1)/($F19-$E19+1)</f>
        <v>0.0123203285420945</v>
      </c>
      <c r="CN19" s="55" t="n">
        <f aca="false">MAX(0,MIN($F19,CN$4)-MAX($E19,CN$3)+1)/($F19-$E19+1)</f>
        <v>0.0124572210814511</v>
      </c>
      <c r="CO19" s="55" t="n">
        <f aca="false">MAX(0,MIN($F19,CO$4)-MAX($E19,CO$3)+1)/($F19-$E19+1)</f>
        <v>0.0125941136208077</v>
      </c>
      <c r="CP19" s="55" t="n">
        <f aca="false">MAX(0,MIN($F19,CP$4)-MAX($E19,CP$3)+1)/($F19-$E19+1)</f>
        <v>0.0125941136208077</v>
      </c>
      <c r="CQ19" s="55" t="n">
        <f aca="false">MAX(0,MIN($F19,CQ$4)-MAX($E19,CQ$3)+1)/($F19-$E19+1)</f>
        <v>0.0124572210814511</v>
      </c>
      <c r="CR19" s="55" t="n">
        <f aca="false">MAX(0,MIN($F19,CR$4)-MAX($E19,CR$3)+1)/($F19-$E19+1)</f>
        <v>0.0124572210814511</v>
      </c>
      <c r="CS19" s="55" t="n">
        <f aca="false">MAX(0,MIN($F19,CS$4)-MAX($E19,CS$3)+1)/($F19-$E19+1)</f>
        <v>0.0125941136208077</v>
      </c>
      <c r="CT19" s="55" t="n">
        <f aca="false">MAX(0,MIN($F19,CT$4)-MAX($E19,CT$3)+1)/($F19-$E19+1)</f>
        <v>0.0125941136208077</v>
      </c>
      <c r="CU19" s="55" t="n">
        <f aca="false">MAX(0,MIN($F19,CU$4)-MAX($E19,CU$3)+1)/($F19-$E19+1)</f>
        <v>0.0123203285420945</v>
      </c>
      <c r="CV19" s="55" t="n">
        <f aca="false">MAX(0,MIN($F19,CV$4)-MAX($E19,CV$3)+1)/($F19-$E19+1)</f>
        <v>0.0124572210814511</v>
      </c>
      <c r="CW19" s="55" t="n">
        <f aca="false">MAX(0,MIN($F19,CW$4)-MAX($E19,CW$3)+1)/($F19-$E19+1)</f>
        <v>0.0125941136208077</v>
      </c>
      <c r="CX19" s="55" t="n">
        <f aca="false">MAX(0,MIN($F19,CX$4)-MAX($E19,CX$3)+1)/($F19-$E19+1)</f>
        <v>0.0125941136208077</v>
      </c>
      <c r="CY19" s="55" t="n">
        <f aca="false">MAX(0,MIN($F19,CY$4)-MAX($E19,CY$3)+1)/($F19-$E19+1)</f>
        <v>0.0123203285420945</v>
      </c>
      <c r="CZ19" s="55" t="n">
        <f aca="false">MAX(0,MIN($F19,CZ$4)-MAX($E19,CZ$3)+1)/($F19-$E19+1)</f>
        <v>0.0124572210814511</v>
      </c>
      <c r="DA19" s="55" t="n">
        <f aca="false">MAX(0,MIN($F19,DA$4)-MAX($E19,DA$3)+1)/($F19-$E19+1)</f>
        <v>0.0125941136208077</v>
      </c>
      <c r="DB19" s="55" t="n">
        <f aca="false">MAX(0,MIN($F19,DB$4)-MAX($E19,DB$3)+1)/($F19-$E19+1)</f>
        <v>0</v>
      </c>
      <c r="DC19" s="55" t="n">
        <f aca="false">MAX(0,MIN($F19,DC$4)-MAX($E19,DC$3)+1)/($F19-$E19+1)</f>
        <v>0</v>
      </c>
      <c r="DD19" s="55" t="n">
        <f aca="false">MAX(0,MIN($F19,DD$4)-MAX($E19,DD$3)+1)/($F19-$E19+1)</f>
        <v>0</v>
      </c>
      <c r="DE19" s="55" t="n">
        <f aca="false">MAX(0,MIN($F19,DE$4)-MAX($E19,DE$3)+1)/($F19-$E19+1)</f>
        <v>0</v>
      </c>
      <c r="DF19" s="55" t="n">
        <f aca="false">MAX(0,MIN($F19,DF$4)-MAX($E19,DF$3)+1)/($F19-$E19+1)</f>
        <v>0</v>
      </c>
      <c r="DG19" s="55" t="n">
        <f aca="false">MAX(0,MIN($F19,DG$4)-MAX($E19,DG$3)+1)/($F19-$E19+1)</f>
        <v>0</v>
      </c>
      <c r="DH19" s="55" t="n">
        <f aca="false">MAX(0,MIN($F19,DH$4)-MAX($E19,DH$3)+1)/($F19-$E19+1)</f>
        <v>0</v>
      </c>
      <c r="DI19" s="55" t="n">
        <f aca="false">MAX(0,MIN($F19,DI$4)-MAX($E19,DI$3)+1)/($F19-$E19+1)</f>
        <v>0</v>
      </c>
      <c r="DJ19" s="55" t="n">
        <f aca="false">MAX(0,MIN($F19,DJ$4)-MAX($E19,DJ$3)+1)/($F19-$E19+1)</f>
        <v>0</v>
      </c>
      <c r="DK19" s="55" t="n">
        <f aca="false">MAX(0,MIN($F19,DK$4)-MAX($E19,DK$3)+1)/($F19-$E19+1)</f>
        <v>0</v>
      </c>
      <c r="DL19" s="55" t="n">
        <f aca="false">MAX(0,MIN($F19,DL$4)-MAX($E19,DL$3)+1)/($F19-$E19+1)</f>
        <v>0</v>
      </c>
      <c r="DM19" s="55" t="n">
        <f aca="false">MAX(0,MIN($F19,DM$4)-MAX($E19,DM$3)+1)/($F19-$E19+1)</f>
        <v>0</v>
      </c>
      <c r="DN19" s="55" t="n">
        <f aca="false">MAX(0,MIN($F19,DN$4)-MAX($E19,DN$3)+1)/($F19-$E19+1)</f>
        <v>0</v>
      </c>
      <c r="DO19" s="55" t="n">
        <f aca="false">MAX(0,MIN($F19,DO$4)-MAX($E19,DO$3)+1)/($F19-$E19+1)</f>
        <v>0</v>
      </c>
      <c r="DP19" s="55" t="n">
        <f aca="false">MAX(0,MIN($F19,DP$4)-MAX($E19,DP$3)+1)/($F19-$E19+1)</f>
        <v>0</v>
      </c>
      <c r="DQ19" s="55" t="n">
        <f aca="false">MAX(0,MIN($F19,DQ$4)-MAX($E19,DQ$3)+1)/($F19-$E19+1)</f>
        <v>0</v>
      </c>
      <c r="DR19" s="55" t="n">
        <f aca="false">MAX(0,MIN($F19,DR$4)-MAX($E19,DR$3)+1)/($F19-$E19+1)</f>
        <v>0</v>
      </c>
      <c r="DS19" s="55" t="n">
        <f aca="false">MAX(0,MIN($F19,DS$4)-MAX($E19,DS$3)+1)/($F19-$E19+1)</f>
        <v>0</v>
      </c>
      <c r="DT19" s="55" t="n">
        <f aca="false">MAX(0,MIN($F19,DT$4)-MAX($E19,DT$3)+1)/($F19-$E19+1)</f>
        <v>0</v>
      </c>
      <c r="DU19" s="55" t="n">
        <f aca="false">MAX(0,MIN($F19,DU$4)-MAX($E19,DU$3)+1)/($F19-$E19+1)</f>
        <v>0</v>
      </c>
      <c r="DV19" s="55" t="n">
        <f aca="false">MAX(0,MIN($F19,DV$4)-MAX($E19,DV$3)+1)/($F19-$E19+1)</f>
        <v>0</v>
      </c>
      <c r="DW19" s="55" t="n">
        <f aca="false">MAX(0,MIN($F19,DW$4)-MAX($E19,DW$3)+1)/($F19-$E19+1)</f>
        <v>0</v>
      </c>
      <c r="DX19" s="55" t="n">
        <f aca="false">MAX(0,MIN($F19,DX$4)-MAX($E19,DX$3)+1)/($F19-$E19+1)</f>
        <v>0</v>
      </c>
      <c r="DY19" s="55" t="n">
        <f aca="false">MAX(0,MIN($F19,DY$4)-MAX($E19,DY$3)+1)/($F19-$E19+1)</f>
        <v>0</v>
      </c>
      <c r="DZ19" s="55" t="n">
        <f aca="false">MAX(0,MIN($F19,DZ$4)-MAX($E19,DZ$3)+1)/($F19-$E19+1)</f>
        <v>0</v>
      </c>
      <c r="EA19" s="55" t="n">
        <f aca="false">MAX(0,MIN($F19,EA$4)-MAX($E19,EA$3)+1)/($F19-$E19+1)</f>
        <v>0</v>
      </c>
      <c r="EB19" s="55" t="n">
        <f aca="false">MAX(0,MIN($F19,EB$4)-MAX($E19,EB$3)+1)/($F19-$E19+1)</f>
        <v>0</v>
      </c>
      <c r="EC19" s="55" t="n">
        <f aca="false">MAX(0,MIN($F19,EC$4)-MAX($E19,EC$3)+1)/($F19-$E19+1)</f>
        <v>0</v>
      </c>
      <c r="ED19" s="55" t="n">
        <f aca="false">MAX(0,MIN($F19,ED$4)-MAX($E19,ED$3)+1)/($F19-$E19+1)</f>
        <v>0</v>
      </c>
      <c r="EE19" s="55" t="n">
        <f aca="false">MAX(0,MIN($F19,EE$4)-MAX($E19,EE$3)+1)/($F19-$E19+1)</f>
        <v>0</v>
      </c>
      <c r="EF19" s="55" t="n">
        <f aca="false">MAX(0,MIN($F19,EF$4)-MAX($E19,EF$3)+1)/($F19-$E19+1)</f>
        <v>0</v>
      </c>
      <c r="EG19" s="55" t="n">
        <f aca="false">MAX(0,MIN($F19,EG$4)-MAX($E19,EG$3)+1)/($F19-$E19+1)</f>
        <v>0</v>
      </c>
      <c r="EH19" s="55" t="n">
        <f aca="false">MAX(0,MIN($F19,EH$4)-MAX($E19,EH$3)+1)/($F19-$E19+1)</f>
        <v>0</v>
      </c>
      <c r="EI19" s="55" t="n">
        <f aca="false">MAX(0,MIN($F19,EI$4)-MAX($E19,EI$3)+1)/($F19-$E19+1)</f>
        <v>0</v>
      </c>
      <c r="EJ19" s="55" t="n">
        <f aca="false">MAX(0,MIN($F19,EJ$4)-MAX($E19,EJ$3)+1)/($F19-$E19+1)</f>
        <v>0</v>
      </c>
      <c r="EK19" s="55" t="n">
        <f aca="false">MAX(0,MIN($F19,EK$4)-MAX($E19,EK$3)+1)/($F19-$E19+1)</f>
        <v>0</v>
      </c>
      <c r="EL19" s="55" t="n">
        <f aca="false">MAX(0,MIN($F19,EL$4)-MAX($E19,EL$3)+1)/($F19-$E19+1)</f>
        <v>0</v>
      </c>
      <c r="EM19" s="55" t="n">
        <f aca="false">MAX(0,MIN($F19,EM$4)-MAX($E19,EM$3)+1)/($F19-$E19+1)</f>
        <v>0</v>
      </c>
      <c r="EN19" s="55" t="n">
        <f aca="false">MAX(0,MIN($F19,EN$4)-MAX($E19,EN$3)+1)/($F19-$E19+1)</f>
        <v>0</v>
      </c>
      <c r="EO19" s="55" t="n">
        <f aca="false">MAX(0,MIN($F19,EO$4)-MAX($E19,EO$3)+1)/($F19-$E19+1)</f>
        <v>0</v>
      </c>
    </row>
    <row r="20" customFormat="false" ht="15" hidden="false" customHeight="false" outlineLevel="0" collapsed="false">
      <c r="C20" s="1" t="s">
        <v>389</v>
      </c>
      <c r="D20" s="12" t="s">
        <v>141</v>
      </c>
      <c r="J20" s="44" t="n">
        <f aca="false">ROUNDUP(YEARFRAC(In_COD,J$4),0)*(J$4&gt;In_COD)</f>
        <v>0</v>
      </c>
      <c r="K20" s="44" t="n">
        <f aca="false">ROUNDUP(YEARFRAC(In_COD,K$4),0)*(K$4&gt;In_COD)</f>
        <v>0</v>
      </c>
      <c r="L20" s="44" t="n">
        <f aca="false">ROUNDUP(YEARFRAC(In_COD,L$4),0)*(L$4&gt;In_COD)</f>
        <v>0</v>
      </c>
      <c r="M20" s="44" t="n">
        <f aca="false">ROUNDUP(YEARFRAC(In_COD,M$4),0)*(M$4&gt;In_COD)</f>
        <v>0</v>
      </c>
      <c r="N20" s="44" t="n">
        <f aca="false">ROUNDUP(YEARFRAC(In_COD,N$4),0)*(N$4&gt;In_COD)</f>
        <v>0</v>
      </c>
      <c r="O20" s="44" t="n">
        <f aca="false">ROUNDUP(YEARFRAC(In_COD,O$4),0)*(O$4&gt;In_COD)</f>
        <v>0</v>
      </c>
      <c r="P20" s="44" t="n">
        <f aca="false">ROUNDUP(YEARFRAC(In_COD,P$4),0)*(P$4&gt;In_COD)</f>
        <v>0</v>
      </c>
      <c r="Q20" s="44" t="n">
        <f aca="false">ROUNDUP(YEARFRAC(In_COD,Q$4),0)*(Q$4&gt;In_COD)</f>
        <v>0</v>
      </c>
      <c r="R20" s="44" t="n">
        <f aca="false">ROUNDUP(YEARFRAC(In_COD,R$4),0)*(R$4&gt;In_COD)</f>
        <v>0</v>
      </c>
      <c r="S20" s="44" t="n">
        <f aca="false">ROUNDUP(YEARFRAC(In_COD,S$4),0)*(S$4&gt;In_COD)</f>
        <v>0</v>
      </c>
      <c r="T20" s="44" t="n">
        <f aca="false">ROUNDUP(YEARFRAC(In_COD,T$4),0)*(T$4&gt;In_COD)</f>
        <v>0</v>
      </c>
      <c r="U20" s="44" t="n">
        <f aca="false">ROUNDUP(YEARFRAC(In_COD,U$4),0)*(U$4&gt;In_COD)</f>
        <v>0</v>
      </c>
      <c r="V20" s="44" t="n">
        <f aca="false">ROUNDUP(YEARFRAC(In_COD,V$4),0)*(V$4&gt;In_COD)</f>
        <v>0</v>
      </c>
      <c r="W20" s="44" t="n">
        <f aca="false">ROUNDUP(YEARFRAC(In_COD,W$4),0)*(W$4&gt;In_COD)</f>
        <v>0</v>
      </c>
      <c r="X20" s="44" t="n">
        <f aca="false">ROUNDUP(YEARFRAC(In_COD,X$4),0)*(X$4&gt;In_COD)</f>
        <v>0</v>
      </c>
      <c r="Y20" s="44" t="n">
        <f aca="false">ROUNDUP(YEARFRAC(In_COD,Y$4),0)*(Y$4&gt;In_COD)</f>
        <v>0</v>
      </c>
      <c r="Z20" s="44" t="n">
        <f aca="false">ROUNDUP(YEARFRAC(In_COD,Z$4),0)*(Z$4&gt;In_COD)</f>
        <v>1</v>
      </c>
      <c r="AA20" s="44" t="n">
        <f aca="false">ROUNDUP(YEARFRAC(In_COD,AA$4),0)*(AA$4&gt;In_COD)</f>
        <v>1</v>
      </c>
      <c r="AB20" s="44" t="n">
        <f aca="false">ROUNDUP(YEARFRAC(In_COD,AB$4),0)*(AB$4&gt;In_COD)</f>
        <v>1</v>
      </c>
      <c r="AC20" s="44" t="n">
        <f aca="false">ROUNDUP(YEARFRAC(In_COD,AC$4),0)*(AC$4&gt;In_COD)</f>
        <v>1</v>
      </c>
      <c r="AD20" s="44" t="n">
        <f aca="false">ROUNDUP(YEARFRAC(In_COD,AD$4),0)*(AD$4&gt;In_COD)</f>
        <v>2</v>
      </c>
      <c r="AE20" s="44" t="n">
        <f aca="false">ROUNDUP(YEARFRAC(In_COD,AE$4),0)*(AE$4&gt;In_COD)</f>
        <v>2</v>
      </c>
      <c r="AF20" s="44" t="n">
        <f aca="false">ROUNDUP(YEARFRAC(In_COD,AF$4),0)*(AF$4&gt;In_COD)</f>
        <v>2</v>
      </c>
      <c r="AG20" s="44" t="n">
        <f aca="false">ROUNDUP(YEARFRAC(In_COD,AG$4),0)*(AG$4&gt;In_COD)</f>
        <v>2</v>
      </c>
      <c r="AH20" s="44" t="n">
        <f aca="false">ROUNDUP(YEARFRAC(In_COD,AH$4),0)*(AH$4&gt;In_COD)</f>
        <v>3</v>
      </c>
      <c r="AI20" s="44" t="n">
        <f aca="false">ROUNDUP(YEARFRAC(In_COD,AI$4),0)*(AI$4&gt;In_COD)</f>
        <v>3</v>
      </c>
      <c r="AJ20" s="44" t="n">
        <f aca="false">ROUNDUP(YEARFRAC(In_COD,AJ$4),0)*(AJ$4&gt;In_COD)</f>
        <v>3</v>
      </c>
      <c r="AK20" s="44" t="n">
        <f aca="false">ROUNDUP(YEARFRAC(In_COD,AK$4),0)*(AK$4&gt;In_COD)</f>
        <v>3</v>
      </c>
      <c r="AL20" s="44" t="n">
        <f aca="false">ROUNDUP(YEARFRAC(In_COD,AL$4),0)*(AL$4&gt;In_COD)</f>
        <v>4</v>
      </c>
      <c r="AM20" s="44" t="n">
        <f aca="false">ROUNDUP(YEARFRAC(In_COD,AM$4),0)*(AM$4&gt;In_COD)</f>
        <v>4</v>
      </c>
      <c r="AN20" s="44" t="n">
        <f aca="false">ROUNDUP(YEARFRAC(In_COD,AN$4),0)*(AN$4&gt;In_COD)</f>
        <v>4</v>
      </c>
      <c r="AO20" s="44" t="n">
        <f aca="false">ROUNDUP(YEARFRAC(In_COD,AO$4),0)*(AO$4&gt;In_COD)</f>
        <v>4</v>
      </c>
      <c r="AP20" s="44" t="n">
        <f aca="false">ROUNDUP(YEARFRAC(In_COD,AP$4),0)*(AP$4&gt;In_COD)</f>
        <v>5</v>
      </c>
      <c r="AQ20" s="44" t="n">
        <f aca="false">ROUNDUP(YEARFRAC(In_COD,AQ$4),0)*(AQ$4&gt;In_COD)</f>
        <v>5</v>
      </c>
      <c r="AR20" s="44" t="n">
        <f aca="false">ROUNDUP(YEARFRAC(In_COD,AR$4),0)*(AR$4&gt;In_COD)</f>
        <v>5</v>
      </c>
      <c r="AS20" s="44" t="n">
        <f aca="false">ROUNDUP(YEARFRAC(In_COD,AS$4),0)*(AS$4&gt;In_COD)</f>
        <v>5</v>
      </c>
      <c r="AT20" s="44" t="n">
        <f aca="false">ROUNDUP(YEARFRAC(In_COD,AT$4),0)*(AT$4&gt;In_COD)</f>
        <v>6</v>
      </c>
      <c r="AU20" s="44" t="n">
        <f aca="false">ROUNDUP(YEARFRAC(In_COD,AU$4),0)*(AU$4&gt;In_COD)</f>
        <v>6</v>
      </c>
      <c r="AV20" s="44" t="n">
        <f aca="false">ROUNDUP(YEARFRAC(In_COD,AV$4),0)*(AV$4&gt;In_COD)</f>
        <v>6</v>
      </c>
      <c r="AW20" s="44" t="n">
        <f aca="false">ROUNDUP(YEARFRAC(In_COD,AW$4),0)*(AW$4&gt;In_COD)</f>
        <v>6</v>
      </c>
      <c r="AX20" s="44" t="n">
        <f aca="false">ROUNDUP(YEARFRAC(In_COD,AX$4),0)*(AX$4&gt;In_COD)</f>
        <v>7</v>
      </c>
      <c r="AY20" s="44" t="n">
        <f aca="false">ROUNDUP(YEARFRAC(In_COD,AY$4),0)*(AY$4&gt;In_COD)</f>
        <v>7</v>
      </c>
      <c r="AZ20" s="44" t="n">
        <f aca="false">ROUNDUP(YEARFRAC(In_COD,AZ$4),0)*(AZ$4&gt;In_COD)</f>
        <v>7</v>
      </c>
      <c r="BA20" s="44" t="n">
        <f aca="false">ROUNDUP(YEARFRAC(In_COD,BA$4),0)*(BA$4&gt;In_COD)</f>
        <v>7</v>
      </c>
      <c r="BB20" s="44" t="n">
        <f aca="false">ROUNDUP(YEARFRAC(In_COD,BB$4),0)*(BB$4&gt;In_COD)</f>
        <v>8</v>
      </c>
      <c r="BC20" s="44" t="n">
        <f aca="false">ROUNDUP(YEARFRAC(In_COD,BC$4),0)*(BC$4&gt;In_COD)</f>
        <v>8</v>
      </c>
      <c r="BD20" s="44" t="n">
        <f aca="false">ROUNDUP(YEARFRAC(In_COD,BD$4),0)*(BD$4&gt;In_COD)</f>
        <v>8</v>
      </c>
      <c r="BE20" s="44" t="n">
        <f aca="false">ROUNDUP(YEARFRAC(In_COD,BE$4),0)*(BE$4&gt;In_COD)</f>
        <v>8</v>
      </c>
      <c r="BF20" s="44" t="n">
        <f aca="false">ROUNDUP(YEARFRAC(In_COD,BF$4),0)*(BF$4&gt;In_COD)</f>
        <v>9</v>
      </c>
      <c r="BG20" s="44" t="n">
        <f aca="false">ROUNDUP(YEARFRAC(In_COD,BG$4),0)*(BG$4&gt;In_COD)</f>
        <v>9</v>
      </c>
      <c r="BH20" s="44" t="n">
        <f aca="false">ROUNDUP(YEARFRAC(In_COD,BH$4),0)*(BH$4&gt;In_COD)</f>
        <v>9</v>
      </c>
      <c r="BI20" s="44" t="n">
        <f aca="false">ROUNDUP(YEARFRAC(In_COD,BI$4),0)*(BI$4&gt;In_COD)</f>
        <v>9</v>
      </c>
      <c r="BJ20" s="44" t="n">
        <f aca="false">ROUNDUP(YEARFRAC(In_COD,BJ$4),0)*(BJ$4&gt;In_COD)</f>
        <v>10</v>
      </c>
      <c r="BK20" s="44" t="n">
        <f aca="false">ROUNDUP(YEARFRAC(In_COD,BK$4),0)*(BK$4&gt;In_COD)</f>
        <v>10</v>
      </c>
      <c r="BL20" s="44" t="n">
        <f aca="false">ROUNDUP(YEARFRAC(In_COD,BL$4),0)*(BL$4&gt;In_COD)</f>
        <v>10</v>
      </c>
      <c r="BM20" s="44" t="n">
        <f aca="false">ROUNDUP(YEARFRAC(In_COD,BM$4),0)*(BM$4&gt;In_COD)</f>
        <v>10</v>
      </c>
      <c r="BN20" s="44" t="n">
        <f aca="false">ROUNDUP(YEARFRAC(In_COD,BN$4),0)*(BN$4&gt;In_COD)</f>
        <v>11</v>
      </c>
      <c r="BO20" s="44" t="n">
        <f aca="false">ROUNDUP(YEARFRAC(In_COD,BO$4),0)*(BO$4&gt;In_COD)</f>
        <v>11</v>
      </c>
      <c r="BP20" s="44" t="n">
        <f aca="false">ROUNDUP(YEARFRAC(In_COD,BP$4),0)*(BP$4&gt;In_COD)</f>
        <v>11</v>
      </c>
      <c r="BQ20" s="44" t="n">
        <f aca="false">ROUNDUP(YEARFRAC(In_COD,BQ$4),0)*(BQ$4&gt;In_COD)</f>
        <v>11</v>
      </c>
      <c r="BR20" s="44" t="n">
        <f aca="false">ROUNDUP(YEARFRAC(In_COD,BR$4),0)*(BR$4&gt;In_COD)</f>
        <v>12</v>
      </c>
      <c r="BS20" s="44" t="n">
        <f aca="false">ROUNDUP(YEARFRAC(In_COD,BS$4),0)*(BS$4&gt;In_COD)</f>
        <v>12</v>
      </c>
      <c r="BT20" s="44" t="n">
        <f aca="false">ROUNDUP(YEARFRAC(In_COD,BT$4),0)*(BT$4&gt;In_COD)</f>
        <v>12</v>
      </c>
      <c r="BU20" s="44" t="n">
        <f aca="false">ROUNDUP(YEARFRAC(In_COD,BU$4),0)*(BU$4&gt;In_COD)</f>
        <v>12</v>
      </c>
      <c r="BV20" s="44" t="n">
        <f aca="false">ROUNDUP(YEARFRAC(In_COD,BV$4),0)*(BV$4&gt;In_COD)</f>
        <v>13</v>
      </c>
      <c r="BW20" s="44" t="n">
        <f aca="false">ROUNDUP(YEARFRAC(In_COD,BW$4),0)*(BW$4&gt;In_COD)</f>
        <v>13</v>
      </c>
      <c r="BX20" s="44" t="n">
        <f aca="false">ROUNDUP(YEARFRAC(In_COD,BX$4),0)*(BX$4&gt;In_COD)</f>
        <v>13</v>
      </c>
      <c r="BY20" s="44" t="n">
        <f aca="false">ROUNDUP(YEARFRAC(In_COD,BY$4),0)*(BY$4&gt;In_COD)</f>
        <v>13</v>
      </c>
      <c r="BZ20" s="44" t="n">
        <f aca="false">ROUNDUP(YEARFRAC(In_COD,BZ$4),0)*(BZ$4&gt;In_COD)</f>
        <v>14</v>
      </c>
      <c r="CA20" s="44" t="n">
        <f aca="false">ROUNDUP(YEARFRAC(In_COD,CA$4),0)*(CA$4&gt;In_COD)</f>
        <v>14</v>
      </c>
      <c r="CB20" s="44" t="n">
        <f aca="false">ROUNDUP(YEARFRAC(In_COD,CB$4),0)*(CB$4&gt;In_COD)</f>
        <v>14</v>
      </c>
      <c r="CC20" s="44" t="n">
        <f aca="false">ROUNDUP(YEARFRAC(In_COD,CC$4),0)*(CC$4&gt;In_COD)</f>
        <v>14</v>
      </c>
      <c r="CD20" s="44" t="n">
        <f aca="false">ROUNDUP(YEARFRAC(In_COD,CD$4),0)*(CD$4&gt;In_COD)</f>
        <v>15</v>
      </c>
      <c r="CE20" s="44" t="n">
        <f aca="false">ROUNDUP(YEARFRAC(In_COD,CE$4),0)*(CE$4&gt;In_COD)</f>
        <v>15</v>
      </c>
      <c r="CF20" s="44" t="n">
        <f aca="false">ROUNDUP(YEARFRAC(In_COD,CF$4),0)*(CF$4&gt;In_COD)</f>
        <v>15</v>
      </c>
      <c r="CG20" s="44" t="n">
        <f aca="false">ROUNDUP(YEARFRAC(In_COD,CG$4),0)*(CG$4&gt;In_COD)</f>
        <v>15</v>
      </c>
      <c r="CH20" s="44" t="n">
        <f aca="false">ROUNDUP(YEARFRAC(In_COD,CH$4),0)*(CH$4&gt;In_COD)</f>
        <v>16</v>
      </c>
      <c r="CI20" s="44" t="n">
        <f aca="false">ROUNDUP(YEARFRAC(In_COD,CI$4),0)*(CI$4&gt;In_COD)</f>
        <v>16</v>
      </c>
      <c r="CJ20" s="44" t="n">
        <f aca="false">ROUNDUP(YEARFRAC(In_COD,CJ$4),0)*(CJ$4&gt;In_COD)</f>
        <v>16</v>
      </c>
      <c r="CK20" s="44" t="n">
        <f aca="false">ROUNDUP(YEARFRAC(In_COD,CK$4),0)*(CK$4&gt;In_COD)</f>
        <v>16</v>
      </c>
      <c r="CL20" s="44" t="n">
        <f aca="false">ROUNDUP(YEARFRAC(In_COD,CL$4),0)*(CL$4&gt;In_COD)</f>
        <v>17</v>
      </c>
      <c r="CM20" s="44" t="n">
        <f aca="false">ROUNDUP(YEARFRAC(In_COD,CM$4),0)*(CM$4&gt;In_COD)</f>
        <v>17</v>
      </c>
      <c r="CN20" s="44" t="n">
        <f aca="false">ROUNDUP(YEARFRAC(In_COD,CN$4),0)*(CN$4&gt;In_COD)</f>
        <v>17</v>
      </c>
      <c r="CO20" s="44" t="n">
        <f aca="false">ROUNDUP(YEARFRAC(In_COD,CO$4),0)*(CO$4&gt;In_COD)</f>
        <v>17</v>
      </c>
      <c r="CP20" s="44" t="n">
        <f aca="false">ROUNDUP(YEARFRAC(In_COD,CP$4),0)*(CP$4&gt;In_COD)</f>
        <v>18</v>
      </c>
      <c r="CQ20" s="44" t="n">
        <f aca="false">ROUNDUP(YEARFRAC(In_COD,CQ$4),0)*(CQ$4&gt;In_COD)</f>
        <v>18</v>
      </c>
      <c r="CR20" s="44" t="n">
        <f aca="false">ROUNDUP(YEARFRAC(In_COD,CR$4),0)*(CR$4&gt;In_COD)</f>
        <v>18</v>
      </c>
      <c r="CS20" s="44" t="n">
        <f aca="false">ROUNDUP(YEARFRAC(In_COD,CS$4),0)*(CS$4&gt;In_COD)</f>
        <v>18</v>
      </c>
      <c r="CT20" s="44" t="n">
        <f aca="false">ROUNDUP(YEARFRAC(In_COD,CT$4),0)*(CT$4&gt;In_COD)</f>
        <v>19</v>
      </c>
      <c r="CU20" s="44" t="n">
        <f aca="false">ROUNDUP(YEARFRAC(In_COD,CU$4),0)*(CU$4&gt;In_COD)</f>
        <v>19</v>
      </c>
      <c r="CV20" s="44" t="n">
        <f aca="false">ROUNDUP(YEARFRAC(In_COD,CV$4),0)*(CV$4&gt;In_COD)</f>
        <v>19</v>
      </c>
      <c r="CW20" s="44" t="n">
        <f aca="false">ROUNDUP(YEARFRAC(In_COD,CW$4),0)*(CW$4&gt;In_COD)</f>
        <v>19</v>
      </c>
      <c r="CX20" s="44" t="n">
        <f aca="false">ROUNDUP(YEARFRAC(In_COD,CX$4),0)*(CX$4&gt;In_COD)</f>
        <v>20</v>
      </c>
      <c r="CY20" s="44" t="n">
        <f aca="false">ROUNDUP(YEARFRAC(In_COD,CY$4),0)*(CY$4&gt;In_COD)</f>
        <v>20</v>
      </c>
      <c r="CZ20" s="44" t="n">
        <f aca="false">ROUNDUP(YEARFRAC(In_COD,CZ$4),0)*(CZ$4&gt;In_COD)</f>
        <v>20</v>
      </c>
      <c r="DA20" s="44" t="n">
        <f aca="false">ROUNDUP(YEARFRAC(In_COD,DA$4),0)*(DA$4&gt;In_COD)</f>
        <v>20</v>
      </c>
      <c r="DB20" s="44" t="n">
        <f aca="false">ROUNDUP(YEARFRAC(In_COD,DB$4),0)*(DB$4&gt;In_COD)</f>
        <v>21</v>
      </c>
      <c r="DC20" s="44" t="n">
        <f aca="false">ROUNDUP(YEARFRAC(In_COD,DC$4),0)*(DC$4&gt;In_COD)</f>
        <v>21</v>
      </c>
      <c r="DD20" s="44" t="n">
        <f aca="false">ROUNDUP(YEARFRAC(In_COD,DD$4),0)*(DD$4&gt;In_COD)</f>
        <v>21</v>
      </c>
      <c r="DE20" s="44" t="n">
        <f aca="false">ROUNDUP(YEARFRAC(In_COD,DE$4),0)*(DE$4&gt;In_COD)</f>
        <v>21</v>
      </c>
      <c r="DF20" s="44" t="n">
        <f aca="false">ROUNDUP(YEARFRAC(In_COD,DF$4),0)*(DF$4&gt;In_COD)</f>
        <v>22</v>
      </c>
      <c r="DG20" s="44" t="n">
        <f aca="false">ROUNDUP(YEARFRAC(In_COD,DG$4),0)*(DG$4&gt;In_COD)</f>
        <v>22</v>
      </c>
      <c r="DH20" s="44" t="n">
        <f aca="false">ROUNDUP(YEARFRAC(In_COD,DH$4),0)*(DH$4&gt;In_COD)</f>
        <v>22</v>
      </c>
      <c r="DI20" s="44" t="n">
        <f aca="false">ROUNDUP(YEARFRAC(In_COD,DI$4),0)*(DI$4&gt;In_COD)</f>
        <v>22</v>
      </c>
      <c r="DJ20" s="44" t="n">
        <f aca="false">ROUNDUP(YEARFRAC(In_COD,DJ$4),0)*(DJ$4&gt;In_COD)</f>
        <v>23</v>
      </c>
      <c r="DK20" s="44" t="n">
        <f aca="false">ROUNDUP(YEARFRAC(In_COD,DK$4),0)*(DK$4&gt;In_COD)</f>
        <v>23</v>
      </c>
      <c r="DL20" s="44" t="n">
        <f aca="false">ROUNDUP(YEARFRAC(In_COD,DL$4),0)*(DL$4&gt;In_COD)</f>
        <v>23</v>
      </c>
      <c r="DM20" s="44" t="n">
        <f aca="false">ROUNDUP(YEARFRAC(In_COD,DM$4),0)*(DM$4&gt;In_COD)</f>
        <v>23</v>
      </c>
      <c r="DN20" s="44" t="n">
        <f aca="false">ROUNDUP(YEARFRAC(In_COD,DN$4),0)*(DN$4&gt;In_COD)</f>
        <v>24</v>
      </c>
      <c r="DO20" s="44" t="n">
        <f aca="false">ROUNDUP(YEARFRAC(In_COD,DO$4),0)*(DO$4&gt;In_COD)</f>
        <v>24</v>
      </c>
      <c r="DP20" s="44" t="n">
        <f aca="false">ROUNDUP(YEARFRAC(In_COD,DP$4),0)*(DP$4&gt;In_COD)</f>
        <v>24</v>
      </c>
      <c r="DQ20" s="44" t="n">
        <f aca="false">ROUNDUP(YEARFRAC(In_COD,DQ$4),0)*(DQ$4&gt;In_COD)</f>
        <v>24</v>
      </c>
      <c r="DR20" s="44" t="n">
        <f aca="false">ROUNDUP(YEARFRAC(In_COD,DR$4),0)*(DR$4&gt;In_COD)</f>
        <v>25</v>
      </c>
      <c r="DS20" s="44" t="n">
        <f aca="false">ROUNDUP(YEARFRAC(In_COD,DS$4),0)*(DS$4&gt;In_COD)</f>
        <v>25</v>
      </c>
      <c r="DT20" s="44" t="n">
        <f aca="false">ROUNDUP(YEARFRAC(In_COD,DT$4),0)*(DT$4&gt;In_COD)</f>
        <v>25</v>
      </c>
      <c r="DU20" s="44" t="n">
        <f aca="false">ROUNDUP(YEARFRAC(In_COD,DU$4),0)*(DU$4&gt;In_COD)</f>
        <v>25</v>
      </c>
      <c r="DV20" s="44" t="n">
        <f aca="false">ROUNDUP(YEARFRAC(In_COD,DV$4),0)*(DV$4&gt;In_COD)</f>
        <v>26</v>
      </c>
      <c r="DW20" s="44" t="n">
        <f aca="false">ROUNDUP(YEARFRAC(In_COD,DW$4),0)*(DW$4&gt;In_COD)</f>
        <v>26</v>
      </c>
      <c r="DX20" s="44" t="n">
        <f aca="false">ROUNDUP(YEARFRAC(In_COD,DX$4),0)*(DX$4&gt;In_COD)</f>
        <v>26</v>
      </c>
      <c r="DY20" s="44" t="n">
        <f aca="false">ROUNDUP(YEARFRAC(In_COD,DY$4),0)*(DY$4&gt;In_COD)</f>
        <v>26</v>
      </c>
      <c r="DZ20" s="44" t="n">
        <f aca="false">ROUNDUP(YEARFRAC(In_COD,DZ$4),0)*(DZ$4&gt;In_COD)</f>
        <v>27</v>
      </c>
      <c r="EA20" s="44" t="n">
        <f aca="false">ROUNDUP(YEARFRAC(In_COD,EA$4),0)*(EA$4&gt;In_COD)</f>
        <v>27</v>
      </c>
      <c r="EB20" s="44" t="n">
        <f aca="false">ROUNDUP(YEARFRAC(In_COD,EB$4),0)*(EB$4&gt;In_COD)</f>
        <v>27</v>
      </c>
      <c r="EC20" s="44" t="n">
        <f aca="false">ROUNDUP(YEARFRAC(In_COD,EC$4),0)*(EC$4&gt;In_COD)</f>
        <v>27</v>
      </c>
      <c r="ED20" s="44" t="n">
        <f aca="false">ROUNDUP(YEARFRAC(In_COD,ED$4),0)*(ED$4&gt;In_COD)</f>
        <v>28</v>
      </c>
      <c r="EE20" s="44" t="n">
        <f aca="false">ROUNDUP(YEARFRAC(In_COD,EE$4),0)*(EE$4&gt;In_COD)</f>
        <v>28</v>
      </c>
      <c r="EF20" s="44" t="n">
        <f aca="false">ROUNDUP(YEARFRAC(In_COD,EF$4),0)*(EF$4&gt;In_COD)</f>
        <v>28</v>
      </c>
      <c r="EG20" s="44" t="n">
        <f aca="false">ROUNDUP(YEARFRAC(In_COD,EG$4),0)*(EG$4&gt;In_COD)</f>
        <v>28</v>
      </c>
      <c r="EH20" s="44" t="n">
        <f aca="false">ROUNDUP(YEARFRAC(In_COD,EH$4),0)*(EH$4&gt;In_COD)</f>
        <v>29</v>
      </c>
      <c r="EI20" s="44" t="n">
        <f aca="false">ROUNDUP(YEARFRAC(In_COD,EI$4),0)*(EI$4&gt;In_COD)</f>
        <v>29</v>
      </c>
      <c r="EJ20" s="44" t="n">
        <f aca="false">ROUNDUP(YEARFRAC(In_COD,EJ$4),0)*(EJ$4&gt;In_COD)</f>
        <v>29</v>
      </c>
      <c r="EK20" s="44" t="n">
        <f aca="false">ROUNDUP(YEARFRAC(In_COD,EK$4),0)*(EK$4&gt;In_COD)</f>
        <v>29</v>
      </c>
      <c r="EL20" s="44" t="n">
        <f aca="false">ROUNDUP(YEARFRAC(In_COD,EL$4),0)*(EL$4&gt;In_COD)</f>
        <v>30</v>
      </c>
      <c r="EM20" s="44" t="n">
        <f aca="false">ROUNDUP(YEARFRAC(In_COD,EM$4),0)*(EM$4&gt;In_COD)</f>
        <v>30</v>
      </c>
      <c r="EN20" s="44" t="n">
        <f aca="false">ROUNDUP(YEARFRAC(In_COD,EN$4),0)*(EN$4&gt;In_COD)</f>
        <v>30</v>
      </c>
      <c r="EO20" s="44" t="n">
        <f aca="false">ROUNDUP(YEARFRAC(In_COD,EO$4),0)*(EO$4&gt;In_COD)</f>
        <v>30</v>
      </c>
    </row>
    <row r="21" customFormat="false" ht="15" hidden="false" customHeight="false" outlineLevel="0" collapsed="false">
      <c r="C21" s="1" t="s">
        <v>390</v>
      </c>
      <c r="D21" s="12" t="s">
        <v>378</v>
      </c>
      <c r="E21" s="55" t="n">
        <f aca="false">SUMIF($J$4:$EO$4,In_COD,$J21:$EO21)</f>
        <v>1.21988954770292</v>
      </c>
      <c r="F21" s="56" t="n">
        <f aca="false">In_Debt_Rate*Months_Per_Period/Months_In_Year</f>
        <v>0.0125</v>
      </c>
      <c r="J21" s="55" t="n">
        <f aca="false">(1+$F21)^J$8</f>
        <v>1.0125</v>
      </c>
      <c r="K21" s="55" t="n">
        <f aca="false">(1+$F21)^K$8</f>
        <v>1.02515625</v>
      </c>
      <c r="L21" s="55" t="n">
        <f aca="false">(1+$F21)^L$8</f>
        <v>1.037970703125</v>
      </c>
      <c r="M21" s="55" t="n">
        <f aca="false">(1+$F21)^M$8</f>
        <v>1.05094533691406</v>
      </c>
      <c r="N21" s="55" t="n">
        <f aca="false">(1+$F21)^N$8</f>
        <v>1.06408215362549</v>
      </c>
      <c r="O21" s="55" t="n">
        <f aca="false">(1+$F21)^O$8</f>
        <v>1.07738318054581</v>
      </c>
      <c r="P21" s="55" t="n">
        <f aca="false">(1+$F21)^P$8</f>
        <v>1.09085047030263</v>
      </c>
      <c r="Q21" s="55" t="n">
        <f aca="false">(1+$F21)^Q$8</f>
        <v>1.10448610118141</v>
      </c>
      <c r="R21" s="55" t="n">
        <f aca="false">(1+$F21)^R$8</f>
        <v>1.11829217744618</v>
      </c>
      <c r="S21" s="55" t="n">
        <f aca="false">(1+$F21)^S$8</f>
        <v>1.13227082966426</v>
      </c>
      <c r="T21" s="55" t="n">
        <f aca="false">(1+$F21)^T$8</f>
        <v>1.14642421503506</v>
      </c>
      <c r="U21" s="55" t="n">
        <f aca="false">(1+$F21)^U$8</f>
        <v>1.160754517723</v>
      </c>
      <c r="V21" s="55" t="n">
        <f aca="false">(1+$F21)^V$8</f>
        <v>1.17526394919454</v>
      </c>
      <c r="W21" s="55" t="n">
        <f aca="false">(1+$F21)^W$8</f>
        <v>1.18995474855947</v>
      </c>
      <c r="X21" s="55" t="n">
        <f aca="false">(1+$F21)^X$8</f>
        <v>1.20482918291646</v>
      </c>
      <c r="Y21" s="55" t="n">
        <f aca="false">(1+$F21)^Y$8</f>
        <v>1.21988954770292</v>
      </c>
      <c r="Z21" s="55" t="n">
        <f aca="false">(1+$F21)^Z$8</f>
        <v>1.2351381670492</v>
      </c>
      <c r="AA21" s="55" t="n">
        <f aca="false">(1+$F21)^AA$8</f>
        <v>1.25057739413732</v>
      </c>
      <c r="AB21" s="55" t="n">
        <f aca="false">(1+$F21)^AB$8</f>
        <v>1.26620961156403</v>
      </c>
      <c r="AC21" s="55" t="n">
        <f aca="false">(1+$F21)^AC$8</f>
        <v>1.28203723170858</v>
      </c>
      <c r="AD21" s="55" t="n">
        <f aca="false">(1+$F21)^AD$8</f>
        <v>1.29806269710494</v>
      </c>
      <c r="AE21" s="55" t="n">
        <f aca="false">(1+$F21)^AE$8</f>
        <v>1.31428848081875</v>
      </c>
      <c r="AF21" s="55" t="n">
        <f aca="false">(1+$F21)^AF$8</f>
        <v>1.33071708682899</v>
      </c>
      <c r="AG21" s="55" t="n">
        <f aca="false">(1+$F21)^AG$8</f>
        <v>1.34735105041435</v>
      </c>
      <c r="AH21" s="55" t="n">
        <f aca="false">(1+$F21)^AH$8</f>
        <v>1.36419293854453</v>
      </c>
      <c r="AI21" s="55" t="n">
        <f aca="false">(1+$F21)^AI$8</f>
        <v>1.38124535027634</v>
      </c>
      <c r="AJ21" s="55" t="n">
        <f aca="false">(1+$F21)^AJ$8</f>
        <v>1.39851091715479</v>
      </c>
      <c r="AK21" s="55" t="n">
        <f aca="false">(1+$F21)^AK$8</f>
        <v>1.41599230361922</v>
      </c>
      <c r="AL21" s="55" t="n">
        <f aca="false">(1+$F21)^AL$8</f>
        <v>1.43369220741447</v>
      </c>
      <c r="AM21" s="55" t="n">
        <f aca="false">(1+$F21)^AM$8</f>
        <v>1.45161336000715</v>
      </c>
      <c r="AN21" s="55" t="n">
        <f aca="false">(1+$F21)^AN$8</f>
        <v>1.46975852700724</v>
      </c>
      <c r="AO21" s="55" t="n">
        <f aca="false">(1+$F21)^AO$8</f>
        <v>1.48813050859483</v>
      </c>
      <c r="AP21" s="55" t="n">
        <f aca="false">(1+$F21)^AP$8</f>
        <v>1.50673213995226</v>
      </c>
      <c r="AQ21" s="55" t="n">
        <f aca="false">(1+$F21)^AQ$8</f>
        <v>1.52556629170166</v>
      </c>
      <c r="AR21" s="55" t="n">
        <f aca="false">(1+$F21)^AR$8</f>
        <v>1.54463587034793</v>
      </c>
      <c r="AS21" s="55" t="n">
        <f aca="false">(1+$F21)^AS$8</f>
        <v>1.56394381872728</v>
      </c>
      <c r="AT21" s="55" t="n">
        <f aca="false">(1+$F21)^AT$8</f>
        <v>1.58349311646137</v>
      </c>
      <c r="AU21" s="55" t="n">
        <f aca="false">(1+$F21)^AU$8</f>
        <v>1.60328678041714</v>
      </c>
      <c r="AV21" s="55" t="n">
        <f aca="false">(1+$F21)^AV$8</f>
        <v>1.62332786517236</v>
      </c>
      <c r="AW21" s="55" t="n">
        <f aca="false">(1+$F21)^AW$8</f>
        <v>1.64361946348701</v>
      </c>
      <c r="AX21" s="55" t="n">
        <f aca="false">(1+$F21)^AX$8</f>
        <v>1.6641647067806</v>
      </c>
      <c r="AY21" s="55" t="n">
        <f aca="false">(1+$F21)^AY$8</f>
        <v>1.68496676561536</v>
      </c>
      <c r="AZ21" s="55" t="n">
        <f aca="false">(1+$F21)^AZ$8</f>
        <v>1.70602885018555</v>
      </c>
      <c r="BA21" s="55" t="n">
        <f aca="false">(1+$F21)^BA$8</f>
        <v>1.72735421081287</v>
      </c>
      <c r="BB21" s="55" t="n">
        <f aca="false">(1+$F21)^BB$8</f>
        <v>1.74894613844803</v>
      </c>
      <c r="BC21" s="55" t="n">
        <f aca="false">(1+$F21)^BC$8</f>
        <v>1.77080796517863</v>
      </c>
      <c r="BD21" s="55" t="n">
        <f aca="false">(1+$F21)^BD$8</f>
        <v>1.79294306474336</v>
      </c>
      <c r="BE21" s="55" t="n">
        <f aca="false">(1+$F21)^BE$8</f>
        <v>1.81535485305265</v>
      </c>
      <c r="BF21" s="55" t="n">
        <f aca="false">(1+$F21)^BF$8</f>
        <v>1.83804678871581</v>
      </c>
      <c r="BG21" s="55" t="n">
        <f aca="false">(1+$F21)^BG$8</f>
        <v>1.86102237357476</v>
      </c>
      <c r="BH21" s="55" t="n">
        <f aca="false">(1+$F21)^BH$8</f>
        <v>1.88428515324444</v>
      </c>
      <c r="BI21" s="55" t="n">
        <f aca="false">(1+$F21)^BI$8</f>
        <v>1.90783871766</v>
      </c>
      <c r="BJ21" s="55" t="n">
        <f aca="false">(1+$F21)^BJ$8</f>
        <v>1.93168670163075</v>
      </c>
      <c r="BK21" s="55" t="n">
        <f aca="false">(1+$F21)^BK$8</f>
        <v>1.95583278540113</v>
      </c>
      <c r="BL21" s="55" t="n">
        <f aca="false">(1+$F21)^BL$8</f>
        <v>1.98028069521865</v>
      </c>
      <c r="BM21" s="55" t="n">
        <f aca="false">(1+$F21)^BM$8</f>
        <v>2.00503420390888</v>
      </c>
      <c r="BN21" s="55" t="n">
        <f aca="false">(1+$F21)^BN$8</f>
        <v>2.03009713145774</v>
      </c>
      <c r="BO21" s="55" t="n">
        <f aca="false">(1+$F21)^BO$8</f>
        <v>2.05547334560096</v>
      </c>
      <c r="BP21" s="55" t="n">
        <f aca="false">(1+$F21)^BP$8</f>
        <v>2.08116676242097</v>
      </c>
      <c r="BQ21" s="55" t="n">
        <f aca="false">(1+$F21)^BQ$8</f>
        <v>2.10718134695124</v>
      </c>
      <c r="BR21" s="55" t="n">
        <f aca="false">(1+$F21)^BR$8</f>
        <v>2.13352111378813</v>
      </c>
      <c r="BS21" s="55" t="n">
        <f aca="false">(1+$F21)^BS$8</f>
        <v>2.16019012771048</v>
      </c>
      <c r="BT21" s="55" t="n">
        <f aca="false">(1+$F21)^BT$8</f>
        <v>2.18719250430686</v>
      </c>
      <c r="BU21" s="55" t="n">
        <f aca="false">(1+$F21)^BU$8</f>
        <v>2.21453241061069</v>
      </c>
      <c r="BV21" s="55" t="n">
        <f aca="false">(1+$F21)^BV$8</f>
        <v>2.24221406574333</v>
      </c>
      <c r="BW21" s="55" t="n">
        <f aca="false">(1+$F21)^BW$8</f>
        <v>2.27024174156512</v>
      </c>
      <c r="BX21" s="55" t="n">
        <f aca="false">(1+$F21)^BX$8</f>
        <v>2.29861976333468</v>
      </c>
      <c r="BY21" s="55" t="n">
        <f aca="false">(1+$F21)^BY$8</f>
        <v>2.32735251037637</v>
      </c>
      <c r="BZ21" s="55" t="n">
        <f aca="false">(1+$F21)^BZ$8</f>
        <v>2.35644441675607</v>
      </c>
      <c r="CA21" s="55" t="n">
        <f aca="false">(1+$F21)^CA$8</f>
        <v>2.38589997196552</v>
      </c>
      <c r="CB21" s="55" t="n">
        <f aca="false">(1+$F21)^CB$8</f>
        <v>2.41572372161509</v>
      </c>
      <c r="CC21" s="55" t="n">
        <f aca="false">(1+$F21)^CC$8</f>
        <v>2.44592026813528</v>
      </c>
      <c r="CD21" s="55" t="n">
        <f aca="false">(1+$F21)^CD$8</f>
        <v>2.47649427148697</v>
      </c>
      <c r="CE21" s="55" t="n">
        <f aca="false">(1+$F21)^CE$8</f>
        <v>2.50745044988056</v>
      </c>
      <c r="CF21" s="55" t="n">
        <f aca="false">(1+$F21)^CF$8</f>
        <v>2.53879358050406</v>
      </c>
      <c r="CG21" s="55" t="n">
        <f aca="false">(1+$F21)^CG$8</f>
        <v>2.57052850026036</v>
      </c>
      <c r="CH21" s="55" t="n">
        <f aca="false">(1+$F21)^CH$8</f>
        <v>2.60266010651362</v>
      </c>
      <c r="CI21" s="55" t="n">
        <f aca="false">(1+$F21)^CI$8</f>
        <v>2.63519335784504</v>
      </c>
      <c r="CJ21" s="55" t="n">
        <f aca="false">(1+$F21)^CJ$8</f>
        <v>2.6681332748181</v>
      </c>
      <c r="CK21" s="55" t="n">
        <f aca="false">(1+$F21)^CK$8</f>
        <v>2.70148494075333</v>
      </c>
      <c r="CL21" s="55" t="n">
        <f aca="false">(1+$F21)^CL$8</f>
        <v>2.73525350251274</v>
      </c>
      <c r="CM21" s="55" t="n">
        <f aca="false">(1+$F21)^CM$8</f>
        <v>2.76944417129415</v>
      </c>
      <c r="CN21" s="55" t="n">
        <f aca="false">(1+$F21)^CN$8</f>
        <v>2.80406222343533</v>
      </c>
      <c r="CO21" s="55" t="n">
        <f aca="false">(1+$F21)^CO$8</f>
        <v>2.83911300122827</v>
      </c>
      <c r="CP21" s="55" t="n">
        <f aca="false">(1+$F21)^CP$8</f>
        <v>2.87460191374363</v>
      </c>
      <c r="CQ21" s="55" t="n">
        <f aca="false">(1+$F21)^CQ$8</f>
        <v>2.91053443766542</v>
      </c>
      <c r="CR21" s="55" t="n">
        <f aca="false">(1+$F21)^CR$8</f>
        <v>2.94691611813624</v>
      </c>
      <c r="CS21" s="55" t="n">
        <f aca="false">(1+$F21)^CS$8</f>
        <v>2.98375256961294</v>
      </c>
      <c r="CT21" s="55" t="n">
        <f aca="false">(1+$F21)^CT$8</f>
        <v>3.0210494767331</v>
      </c>
      <c r="CU21" s="55" t="n">
        <f aca="false">(1+$F21)^CU$8</f>
        <v>3.05881259519227</v>
      </c>
      <c r="CV21" s="55" t="n">
        <f aca="false">(1+$F21)^CV$8</f>
        <v>3.09704775263217</v>
      </c>
      <c r="CW21" s="55" t="n">
        <f aca="false">(1+$F21)^CW$8</f>
        <v>3.13576084954007</v>
      </c>
      <c r="CX21" s="55" t="n">
        <f aca="false">(1+$F21)^CX$8</f>
        <v>3.17495786015932</v>
      </c>
      <c r="CY21" s="55" t="n">
        <f aca="false">(1+$F21)^CY$8</f>
        <v>3.21464483341131</v>
      </c>
      <c r="CZ21" s="55" t="n">
        <f aca="false">(1+$F21)^CZ$8</f>
        <v>3.25482789382895</v>
      </c>
      <c r="DA21" s="55" t="n">
        <f aca="false">(1+$F21)^DA$8</f>
        <v>3.29551324250182</v>
      </c>
      <c r="DB21" s="55" t="n">
        <f aca="false">(1+$F21)^DB$8</f>
        <v>3.33670715803309</v>
      </c>
      <c r="DC21" s="55" t="n">
        <f aca="false">(1+$F21)^DC$8</f>
        <v>3.3784159975085</v>
      </c>
      <c r="DD21" s="55" t="n">
        <f aca="false">(1+$F21)^DD$8</f>
        <v>3.42064619747736</v>
      </c>
      <c r="DE21" s="55" t="n">
        <f aca="false">(1+$F21)^DE$8</f>
        <v>3.46340427494583</v>
      </c>
      <c r="DF21" s="55" t="n">
        <f aca="false">(1+$F21)^DF$8</f>
        <v>3.50669682838265</v>
      </c>
      <c r="DG21" s="55" t="n">
        <f aca="false">(1+$F21)^DG$8</f>
        <v>3.55053053873743</v>
      </c>
      <c r="DH21" s="55" t="n">
        <f aca="false">(1+$F21)^DH$8</f>
        <v>3.59491217047165</v>
      </c>
      <c r="DI21" s="55" t="n">
        <f aca="false">(1+$F21)^DI$8</f>
        <v>3.63984857260254</v>
      </c>
      <c r="DJ21" s="55" t="n">
        <f aca="false">(1+$F21)^DJ$8</f>
        <v>3.68534667976008</v>
      </c>
      <c r="DK21" s="55" t="n">
        <f aca="false">(1+$F21)^DK$8</f>
        <v>3.73141351325708</v>
      </c>
      <c r="DL21" s="55" t="n">
        <f aca="false">(1+$F21)^DL$8</f>
        <v>3.77805618217279</v>
      </c>
      <c r="DM21" s="55" t="n">
        <f aca="false">(1+$F21)^DM$8</f>
        <v>3.82528188444995</v>
      </c>
      <c r="DN21" s="55" t="n">
        <f aca="false">(1+$F21)^DN$8</f>
        <v>3.87309790800557</v>
      </c>
      <c r="DO21" s="55" t="n">
        <f aca="false">(1+$F21)^DO$8</f>
        <v>3.92151163185564</v>
      </c>
      <c r="DP21" s="55" t="n">
        <f aca="false">(1+$F21)^DP$8</f>
        <v>3.97053052725384</v>
      </c>
      <c r="DQ21" s="55" t="n">
        <f aca="false">(1+$F21)^DQ$8</f>
        <v>4.02016215884451</v>
      </c>
      <c r="DR21" s="55" t="n">
        <f aca="false">(1+$F21)^DR$8</f>
        <v>4.07041418583007</v>
      </c>
      <c r="DS21" s="55" t="n">
        <f aca="false">(1+$F21)^DS$8</f>
        <v>4.12129436315294</v>
      </c>
      <c r="DT21" s="55" t="n">
        <f aca="false">(1+$F21)^DT$8</f>
        <v>4.17281054269235</v>
      </c>
      <c r="DU21" s="55" t="n">
        <f aca="false">(1+$F21)^DU$8</f>
        <v>4.22497067447601</v>
      </c>
      <c r="DV21" s="55" t="n">
        <f aca="false">(1+$F21)^DV$8</f>
        <v>4.27778280790696</v>
      </c>
      <c r="DW21" s="55" t="n">
        <f aca="false">(1+$F21)^DW$8</f>
        <v>4.3312550930058</v>
      </c>
      <c r="DX21" s="55" t="n">
        <f aca="false">(1+$F21)^DX$8</f>
        <v>4.38539578166837</v>
      </c>
      <c r="DY21" s="55" t="n">
        <f aca="false">(1+$F21)^DY$8</f>
        <v>4.44021322893922</v>
      </c>
      <c r="DZ21" s="55" t="n">
        <f aca="false">(1+$F21)^DZ$8</f>
        <v>4.49571589430096</v>
      </c>
      <c r="EA21" s="55" t="n">
        <f aca="false">(1+$F21)^EA$8</f>
        <v>4.55191234297972</v>
      </c>
      <c r="EB21" s="55" t="n">
        <f aca="false">(1+$F21)^EB$8</f>
        <v>4.60881124726697</v>
      </c>
      <c r="EC21" s="55" t="n">
        <f aca="false">(1+$F21)^EC$8</f>
        <v>4.66642138785781</v>
      </c>
      <c r="ED21" s="55" t="n">
        <f aca="false">(1+$F21)^ED$8</f>
        <v>4.72475165520603</v>
      </c>
      <c r="EE21" s="55" t="n">
        <f aca="false">(1+$F21)^EE$8</f>
        <v>4.78381105089611</v>
      </c>
      <c r="EF21" s="55" t="n">
        <f aca="false">(1+$F21)^EF$8</f>
        <v>4.84360868903231</v>
      </c>
      <c r="EG21" s="55" t="n">
        <f aca="false">(1+$F21)^EG$8</f>
        <v>4.90415379764521</v>
      </c>
      <c r="EH21" s="55" t="n">
        <f aca="false">(1+$F21)^EH$8</f>
        <v>4.96545572011577</v>
      </c>
      <c r="EI21" s="55" t="n">
        <f aca="false">(1+$F21)^EI$8</f>
        <v>5.02752391661722</v>
      </c>
      <c r="EJ21" s="55" t="n">
        <f aca="false">(1+$F21)^EJ$8</f>
        <v>5.09036796557494</v>
      </c>
      <c r="EK21" s="55" t="n">
        <f aca="false">(1+$F21)^EK$8</f>
        <v>5.15399756514462</v>
      </c>
      <c r="EL21" s="55" t="n">
        <f aca="false">(1+$F21)^EL$8</f>
        <v>5.21842253470893</v>
      </c>
      <c r="EM21" s="55" t="n">
        <f aca="false">(1+$F21)^EM$8</f>
        <v>5.28365281639279</v>
      </c>
      <c r="EN21" s="55" t="n">
        <f aca="false">(1+$F21)^EN$8</f>
        <v>5.3496984765977</v>
      </c>
      <c r="EO21" s="55" t="n">
        <f aca="false">(1+$F21)^EO$8</f>
        <v>5.41656970755517</v>
      </c>
    </row>
    <row r="23" customFormat="false" ht="15" hidden="false" customHeight="false" outlineLevel="0" collapsed="false">
      <c r="A23" s="10" t="s">
        <v>13</v>
      </c>
      <c r="B23" s="10"/>
      <c r="C23" s="10" t="s">
        <v>391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customFormat="false" ht="15" hidden="false" customHeight="false" outlineLevel="0" collapsed="false">
      <c r="C24" s="1" t="s">
        <v>392</v>
      </c>
      <c r="D24" s="12" t="s">
        <v>62</v>
      </c>
      <c r="E24" s="37" t="n">
        <f aca="false">In_MVA*(1+INDEX(Dash_Overbuild,1,$A$1))</f>
        <v>60</v>
      </c>
      <c r="F24" s="37" t="n">
        <f aca="false">In_MVA*(1+In_Overbuild_Built)</f>
        <v>55</v>
      </c>
    </row>
    <row r="25" customFormat="false" ht="15" hidden="false" customHeight="false" outlineLevel="0" collapsed="false">
      <c r="C25" s="1" t="s">
        <v>393</v>
      </c>
      <c r="D25" s="12" t="s">
        <v>62</v>
      </c>
      <c r="E25" s="37" t="n">
        <f aca="false">INDEX(Dash_BESS,1,$A$1)*In_MVA</f>
        <v>10</v>
      </c>
      <c r="F25" s="37" t="n">
        <f aca="false">$E25*In_BESS_Built</f>
        <v>10</v>
      </c>
    </row>
    <row r="26" customFormat="false" ht="15" hidden="false" customHeight="false" outlineLevel="0" collapsed="false">
      <c r="C26" s="1" t="s">
        <v>394</v>
      </c>
      <c r="D26" s="12" t="s">
        <v>70</v>
      </c>
      <c r="E26" s="37" t="n">
        <f aca="false">$E25*INDEX(Dash_BESS_Hours,1,$A$1)</f>
        <v>40</v>
      </c>
    </row>
    <row r="27" customFormat="false" ht="15" hidden="false" customHeight="false" outlineLevel="0" collapsed="false">
      <c r="C27" s="1" t="s">
        <v>395</v>
      </c>
      <c r="D27" s="12" t="s">
        <v>27</v>
      </c>
      <c r="E27" s="56" t="n">
        <f aca="false">($F24-In_MVA)/$F24*In_Bottleneck_Loss</f>
        <v>0.00454545454545455</v>
      </c>
    </row>
    <row r="28" customFormat="false" ht="15" hidden="false" customHeight="false" outlineLevel="0" collapsed="false">
      <c r="C28" s="1" t="s">
        <v>396</v>
      </c>
      <c r="D28" s="12" t="s">
        <v>27</v>
      </c>
      <c r="E28" s="49" t="n">
        <f aca="false">MAX(0,1-$F24/$E24)</f>
        <v>0.0833333333333333</v>
      </c>
      <c r="F28" s="49" t="n">
        <f aca="false">(1-In_BESS_Built)*($E25&gt;0)</f>
        <v>0</v>
      </c>
    </row>
    <row r="30" customFormat="false" ht="15" hidden="false" customHeight="false" outlineLevel="0" collapsed="false">
      <c r="A30" s="10" t="s">
        <v>13</v>
      </c>
      <c r="B30" s="10"/>
      <c r="C30" s="10" t="s">
        <v>397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customFormat="false" ht="15" hidden="false" customHeight="false" outlineLevel="0" collapsed="false">
      <c r="C31" s="1" t="s">
        <v>398</v>
      </c>
      <c r="D31" s="12" t="s">
        <v>19</v>
      </c>
      <c r="E31" s="33" t="n">
        <f aca="false">INDEX(Dash_Municipal,1,$A$1)</f>
        <v>50</v>
      </c>
      <c r="F31" s="33" t="n">
        <f aca="false">INDEX(Osz1_Pts,1+SUMPRODUCT((Osz1_LB&lt;$E31)+(Osz1_LB=$E31)*Osz1_Incl))*Osz1_W</f>
        <v>20</v>
      </c>
    </row>
    <row r="32" customFormat="false" ht="15" hidden="false" customHeight="false" outlineLevel="0" collapsed="false">
      <c r="C32" s="1" t="s">
        <v>399</v>
      </c>
      <c r="D32" s="12" t="s">
        <v>24</v>
      </c>
      <c r="E32" s="33" t="n">
        <f aca="false">INDEX(Dash_Community,1,$A$1)</f>
        <v>3</v>
      </c>
      <c r="F32" s="33" t="n">
        <f aca="false">INDEX(Osz2_Pts,1+SUMPRODUCT((Osz2_LB&lt;$E32)+(Osz2_LB=$E32)*Osz2_Incl))*Osz2_W</f>
        <v>15</v>
      </c>
    </row>
    <row r="33" customFormat="false" ht="15" hidden="false" customHeight="false" outlineLevel="0" collapsed="false">
      <c r="C33" s="1" t="s">
        <v>400</v>
      </c>
      <c r="D33" s="12" t="s">
        <v>27</v>
      </c>
      <c r="E33" s="49" t="n">
        <f aca="false">INDEX(Dash_Overbuild,1,$A$1)</f>
        <v>0.2</v>
      </c>
      <c r="F33" s="33" t="n">
        <f aca="false">INDEX(Osz3_Pts,1+SUMPRODUCT((Osz3_LB&lt;$E33)+(Osz3_LB=$E33)*Osz3_Incl))*Osz3_W</f>
        <v>5</v>
      </c>
    </row>
    <row r="34" customFormat="false" ht="15" hidden="false" customHeight="false" outlineLevel="0" collapsed="false">
      <c r="C34" s="1" t="s">
        <v>401</v>
      </c>
      <c r="D34" s="12" t="s">
        <v>27</v>
      </c>
      <c r="E34" s="49" t="n">
        <f aca="false">INDEX(Dash_BESS,1,$A$1)</f>
        <v>0.2</v>
      </c>
      <c r="F34" s="33" t="n">
        <f aca="false">INDEX(Osz4_Pts,1+SUMPRODUCT((Osz4_LB&lt;$E34)+(Osz4_LB=$E34)*Osz4_Incl))*Osz4_W*($E34&gt;=Osz4_Min)</f>
        <v>7.5</v>
      </c>
    </row>
    <row r="35" customFormat="false" ht="15" hidden="false" customHeight="false" outlineLevel="0" collapsed="false">
      <c r="C35" s="1" t="s">
        <v>402</v>
      </c>
      <c r="D35" s="12" t="s">
        <v>43</v>
      </c>
      <c r="E35" s="50" t="n">
        <f aca="false">INDEX(Dash_Partial,1,$A$1)</f>
        <v>0</v>
      </c>
      <c r="F35" s="33" t="n">
        <f aca="false">$E35*Osz5_Pts*Osz5_W</f>
        <v>0</v>
      </c>
    </row>
    <row r="36" customFormat="false" ht="15" hidden="false" customHeight="false" outlineLevel="0" collapsed="false">
      <c r="C36" s="1" t="s">
        <v>403</v>
      </c>
      <c r="D36" s="12" t="s">
        <v>13</v>
      </c>
      <c r="E36" s="53" t="n">
        <f aca="false">INDEX(Dash_PB_Mult,1,$A$1)</f>
        <v>1</v>
      </c>
      <c r="F36" s="33" t="n">
        <f aca="false">INDEX(Osz6_Pts,1+SUMPRODUCT((Osz6_LB&lt;$E36)+(Osz6_LB=$E36)*Osz6_Incl))*Osz6_W</f>
        <v>0</v>
      </c>
    </row>
    <row r="37" customFormat="false" ht="15" hidden="false" customHeight="false" outlineLevel="0" collapsed="false">
      <c r="C37" s="1" t="s">
        <v>404</v>
      </c>
      <c r="D37" s="12" t="s">
        <v>43</v>
      </c>
      <c r="E37" s="50" t="n">
        <f aca="false">INDEX(Dash_Shared,1,$A$1)</f>
        <v>0</v>
      </c>
      <c r="F37" s="33" t="n">
        <f aca="false">$E37*Osz8_Pts*Osz8_W</f>
        <v>0</v>
      </c>
    </row>
    <row r="38" customFormat="false" ht="15" hidden="false" customHeight="false" outlineLevel="0" collapsed="false">
      <c r="C38" s="1" t="s">
        <v>405</v>
      </c>
      <c r="D38" s="12" t="s">
        <v>43</v>
      </c>
      <c r="E38" s="50" t="n">
        <f aca="false">INDEX(Dash_EU_Turbine,1,$A$1)</f>
        <v>0</v>
      </c>
      <c r="F38" s="33" t="n">
        <f aca="false">$E38*Osz9a_Pts*Osz9_W</f>
        <v>0</v>
      </c>
    </row>
    <row r="39" customFormat="false" ht="15" hidden="false" customHeight="false" outlineLevel="0" collapsed="false">
      <c r="C39" s="1" t="s">
        <v>406</v>
      </c>
      <c r="D39" s="12" t="s">
        <v>43</v>
      </c>
      <c r="E39" s="50" t="n">
        <f aca="false">INDEX(Dash_EU_Transformer,1,$A$1)</f>
        <v>0</v>
      </c>
      <c r="F39" s="33" t="n">
        <f aca="false">$E39*Osz9b_Pts*Osz9_W</f>
        <v>0</v>
      </c>
    </row>
    <row r="40" customFormat="false" ht="15" hidden="false" customHeight="false" outlineLevel="0" collapsed="false">
      <c r="C40" s="26" t="s">
        <v>52</v>
      </c>
      <c r="D40" s="12" t="s">
        <v>53</v>
      </c>
      <c r="E40" s="27" t="n">
        <f aca="false">ROUND(SUM($F31:$F39),Points_Decimals)</f>
        <v>47.5</v>
      </c>
    </row>
    <row r="41" customFormat="false" ht="15" hidden="false" customHeight="false" outlineLevel="0" collapsed="false">
      <c r="C41" s="1" t="s">
        <v>407</v>
      </c>
      <c r="D41" s="12" t="s">
        <v>141</v>
      </c>
      <c r="E41" s="44" t="n">
        <f aca="false">($E31&lt;&gt;0)*($E31&lt;Osz1_Min)+($E31&gt;Osz1_Max)+($E32&lt;&gt;0)*($E32&lt;Osz2_Min)+($E32&gt;Osz2_Max)</f>
        <v>0</v>
      </c>
      <c r="F41" s="44" t="n">
        <f aca="false">N($E36&lt;1)+N($E25&gt;$E24)+N($E26&lt;$E25*In_Min_Hours)</f>
        <v>0</v>
      </c>
    </row>
    <row r="43" customFormat="false" ht="15" hidden="false" customHeight="false" outlineLevel="0" collapsed="false">
      <c r="A43" s="10" t="s">
        <v>13</v>
      </c>
      <c r="B43" s="10"/>
      <c r="C43" s="10" t="s">
        <v>408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customFormat="false" ht="15" hidden="false" customHeight="false" outlineLevel="0" collapsed="false">
      <c r="C44" s="1" t="s">
        <v>32</v>
      </c>
      <c r="D44" s="12" t="s">
        <v>33</v>
      </c>
      <c r="E44" s="19" t="n">
        <f aca="false">In_Purchase_Price</f>
        <v>4500</v>
      </c>
      <c r="F44" s="21" t="n">
        <f aca="false">In_Closing</f>
        <v>46387</v>
      </c>
      <c r="I44" s="48" t="n">
        <f aca="false">SUM(J44:EO44)</f>
        <v>-4500</v>
      </c>
      <c r="J44" s="48" t="n">
        <f aca="false">-$E44*N(AND(J$3&lt;=$F44,J$4&gt;=$F44))</f>
        <v>-4500</v>
      </c>
      <c r="K44" s="48" t="n">
        <f aca="false">-$E44*N(AND(K$3&lt;=$F44,K$4&gt;=$F44))</f>
        <v>-0</v>
      </c>
      <c r="L44" s="48" t="n">
        <f aca="false">-$E44*N(AND(L$3&lt;=$F44,L$4&gt;=$F44))</f>
        <v>-0</v>
      </c>
      <c r="M44" s="48" t="n">
        <f aca="false">-$E44*N(AND(M$3&lt;=$F44,M$4&gt;=$F44))</f>
        <v>-0</v>
      </c>
      <c r="N44" s="48" t="n">
        <f aca="false">-$E44*N(AND(N$3&lt;=$F44,N$4&gt;=$F44))</f>
        <v>-0</v>
      </c>
      <c r="O44" s="48" t="n">
        <f aca="false">-$E44*N(AND(O$3&lt;=$F44,O$4&gt;=$F44))</f>
        <v>-0</v>
      </c>
      <c r="P44" s="48" t="n">
        <f aca="false">-$E44*N(AND(P$3&lt;=$F44,P$4&gt;=$F44))</f>
        <v>-0</v>
      </c>
      <c r="Q44" s="48" t="n">
        <f aca="false">-$E44*N(AND(Q$3&lt;=$F44,Q$4&gt;=$F44))</f>
        <v>-0</v>
      </c>
      <c r="R44" s="48" t="n">
        <f aca="false">-$E44*N(AND(R$3&lt;=$F44,R$4&gt;=$F44))</f>
        <v>-0</v>
      </c>
      <c r="S44" s="48" t="n">
        <f aca="false">-$E44*N(AND(S$3&lt;=$F44,S$4&gt;=$F44))</f>
        <v>-0</v>
      </c>
      <c r="T44" s="48" t="n">
        <f aca="false">-$E44*N(AND(T$3&lt;=$F44,T$4&gt;=$F44))</f>
        <v>-0</v>
      </c>
      <c r="U44" s="48" t="n">
        <f aca="false">-$E44*N(AND(U$3&lt;=$F44,U$4&gt;=$F44))</f>
        <v>-0</v>
      </c>
      <c r="V44" s="48" t="n">
        <f aca="false">-$E44*N(AND(V$3&lt;=$F44,V$4&gt;=$F44))</f>
        <v>-0</v>
      </c>
      <c r="W44" s="48" t="n">
        <f aca="false">-$E44*N(AND(W$3&lt;=$F44,W$4&gt;=$F44))</f>
        <v>-0</v>
      </c>
      <c r="X44" s="48" t="n">
        <f aca="false">-$E44*N(AND(X$3&lt;=$F44,X$4&gt;=$F44))</f>
        <v>-0</v>
      </c>
      <c r="Y44" s="48" t="n">
        <f aca="false">-$E44*N(AND(Y$3&lt;=$F44,Y$4&gt;=$F44))</f>
        <v>-0</v>
      </c>
      <c r="Z44" s="48" t="n">
        <f aca="false">-$E44*N(AND(Z$3&lt;=$F44,Z$4&gt;=$F44))</f>
        <v>-0</v>
      </c>
      <c r="AA44" s="48" t="n">
        <f aca="false">-$E44*N(AND(AA$3&lt;=$F44,AA$4&gt;=$F44))</f>
        <v>-0</v>
      </c>
      <c r="AB44" s="48" t="n">
        <f aca="false">-$E44*N(AND(AB$3&lt;=$F44,AB$4&gt;=$F44))</f>
        <v>-0</v>
      </c>
      <c r="AC44" s="48" t="n">
        <f aca="false">-$E44*N(AND(AC$3&lt;=$F44,AC$4&gt;=$F44))</f>
        <v>-0</v>
      </c>
      <c r="AD44" s="48" t="n">
        <f aca="false">-$E44*N(AND(AD$3&lt;=$F44,AD$4&gt;=$F44))</f>
        <v>-0</v>
      </c>
      <c r="AE44" s="48" t="n">
        <f aca="false">-$E44*N(AND(AE$3&lt;=$F44,AE$4&gt;=$F44))</f>
        <v>-0</v>
      </c>
      <c r="AF44" s="48" t="n">
        <f aca="false">-$E44*N(AND(AF$3&lt;=$F44,AF$4&gt;=$F44))</f>
        <v>-0</v>
      </c>
      <c r="AG44" s="48" t="n">
        <f aca="false">-$E44*N(AND(AG$3&lt;=$F44,AG$4&gt;=$F44))</f>
        <v>-0</v>
      </c>
      <c r="AH44" s="48" t="n">
        <f aca="false">-$E44*N(AND(AH$3&lt;=$F44,AH$4&gt;=$F44))</f>
        <v>-0</v>
      </c>
      <c r="AI44" s="48" t="n">
        <f aca="false">-$E44*N(AND(AI$3&lt;=$F44,AI$4&gt;=$F44))</f>
        <v>-0</v>
      </c>
      <c r="AJ44" s="48" t="n">
        <f aca="false">-$E44*N(AND(AJ$3&lt;=$F44,AJ$4&gt;=$F44))</f>
        <v>-0</v>
      </c>
      <c r="AK44" s="48" t="n">
        <f aca="false">-$E44*N(AND(AK$3&lt;=$F44,AK$4&gt;=$F44))</f>
        <v>-0</v>
      </c>
      <c r="AL44" s="48" t="n">
        <f aca="false">-$E44*N(AND(AL$3&lt;=$F44,AL$4&gt;=$F44))</f>
        <v>-0</v>
      </c>
      <c r="AM44" s="48" t="n">
        <f aca="false">-$E44*N(AND(AM$3&lt;=$F44,AM$4&gt;=$F44))</f>
        <v>-0</v>
      </c>
      <c r="AN44" s="48" t="n">
        <f aca="false">-$E44*N(AND(AN$3&lt;=$F44,AN$4&gt;=$F44))</f>
        <v>-0</v>
      </c>
      <c r="AO44" s="48" t="n">
        <f aca="false">-$E44*N(AND(AO$3&lt;=$F44,AO$4&gt;=$F44))</f>
        <v>-0</v>
      </c>
      <c r="AP44" s="48" t="n">
        <f aca="false">-$E44*N(AND(AP$3&lt;=$F44,AP$4&gt;=$F44))</f>
        <v>-0</v>
      </c>
      <c r="AQ44" s="48" t="n">
        <f aca="false">-$E44*N(AND(AQ$3&lt;=$F44,AQ$4&gt;=$F44))</f>
        <v>-0</v>
      </c>
      <c r="AR44" s="48" t="n">
        <f aca="false">-$E44*N(AND(AR$3&lt;=$F44,AR$4&gt;=$F44))</f>
        <v>-0</v>
      </c>
      <c r="AS44" s="48" t="n">
        <f aca="false">-$E44*N(AND(AS$3&lt;=$F44,AS$4&gt;=$F44))</f>
        <v>-0</v>
      </c>
      <c r="AT44" s="48" t="n">
        <f aca="false">-$E44*N(AND(AT$3&lt;=$F44,AT$4&gt;=$F44))</f>
        <v>-0</v>
      </c>
      <c r="AU44" s="48" t="n">
        <f aca="false">-$E44*N(AND(AU$3&lt;=$F44,AU$4&gt;=$F44))</f>
        <v>-0</v>
      </c>
      <c r="AV44" s="48" t="n">
        <f aca="false">-$E44*N(AND(AV$3&lt;=$F44,AV$4&gt;=$F44))</f>
        <v>-0</v>
      </c>
      <c r="AW44" s="48" t="n">
        <f aca="false">-$E44*N(AND(AW$3&lt;=$F44,AW$4&gt;=$F44))</f>
        <v>-0</v>
      </c>
      <c r="AX44" s="48" t="n">
        <f aca="false">-$E44*N(AND(AX$3&lt;=$F44,AX$4&gt;=$F44))</f>
        <v>-0</v>
      </c>
      <c r="AY44" s="48" t="n">
        <f aca="false">-$E44*N(AND(AY$3&lt;=$F44,AY$4&gt;=$F44))</f>
        <v>-0</v>
      </c>
      <c r="AZ44" s="48" t="n">
        <f aca="false">-$E44*N(AND(AZ$3&lt;=$F44,AZ$4&gt;=$F44))</f>
        <v>-0</v>
      </c>
      <c r="BA44" s="48" t="n">
        <f aca="false">-$E44*N(AND(BA$3&lt;=$F44,BA$4&gt;=$F44))</f>
        <v>-0</v>
      </c>
      <c r="BB44" s="48" t="n">
        <f aca="false">-$E44*N(AND(BB$3&lt;=$F44,BB$4&gt;=$F44))</f>
        <v>-0</v>
      </c>
      <c r="BC44" s="48" t="n">
        <f aca="false">-$E44*N(AND(BC$3&lt;=$F44,BC$4&gt;=$F44))</f>
        <v>-0</v>
      </c>
      <c r="BD44" s="48" t="n">
        <f aca="false">-$E44*N(AND(BD$3&lt;=$F44,BD$4&gt;=$F44))</f>
        <v>-0</v>
      </c>
      <c r="BE44" s="48" t="n">
        <f aca="false">-$E44*N(AND(BE$3&lt;=$F44,BE$4&gt;=$F44))</f>
        <v>-0</v>
      </c>
      <c r="BF44" s="48" t="n">
        <f aca="false">-$E44*N(AND(BF$3&lt;=$F44,BF$4&gt;=$F44))</f>
        <v>-0</v>
      </c>
      <c r="BG44" s="48" t="n">
        <f aca="false">-$E44*N(AND(BG$3&lt;=$F44,BG$4&gt;=$F44))</f>
        <v>-0</v>
      </c>
      <c r="BH44" s="48" t="n">
        <f aca="false">-$E44*N(AND(BH$3&lt;=$F44,BH$4&gt;=$F44))</f>
        <v>-0</v>
      </c>
      <c r="BI44" s="48" t="n">
        <f aca="false">-$E44*N(AND(BI$3&lt;=$F44,BI$4&gt;=$F44))</f>
        <v>-0</v>
      </c>
      <c r="BJ44" s="48" t="n">
        <f aca="false">-$E44*N(AND(BJ$3&lt;=$F44,BJ$4&gt;=$F44))</f>
        <v>-0</v>
      </c>
      <c r="BK44" s="48" t="n">
        <f aca="false">-$E44*N(AND(BK$3&lt;=$F44,BK$4&gt;=$F44))</f>
        <v>-0</v>
      </c>
      <c r="BL44" s="48" t="n">
        <f aca="false">-$E44*N(AND(BL$3&lt;=$F44,BL$4&gt;=$F44))</f>
        <v>-0</v>
      </c>
      <c r="BM44" s="48" t="n">
        <f aca="false">-$E44*N(AND(BM$3&lt;=$F44,BM$4&gt;=$F44))</f>
        <v>-0</v>
      </c>
      <c r="BN44" s="48" t="n">
        <f aca="false">-$E44*N(AND(BN$3&lt;=$F44,BN$4&gt;=$F44))</f>
        <v>-0</v>
      </c>
      <c r="BO44" s="48" t="n">
        <f aca="false">-$E44*N(AND(BO$3&lt;=$F44,BO$4&gt;=$F44))</f>
        <v>-0</v>
      </c>
      <c r="BP44" s="48" t="n">
        <f aca="false">-$E44*N(AND(BP$3&lt;=$F44,BP$4&gt;=$F44))</f>
        <v>-0</v>
      </c>
      <c r="BQ44" s="48" t="n">
        <f aca="false">-$E44*N(AND(BQ$3&lt;=$F44,BQ$4&gt;=$F44))</f>
        <v>-0</v>
      </c>
      <c r="BR44" s="48" t="n">
        <f aca="false">-$E44*N(AND(BR$3&lt;=$F44,BR$4&gt;=$F44))</f>
        <v>-0</v>
      </c>
      <c r="BS44" s="48" t="n">
        <f aca="false">-$E44*N(AND(BS$3&lt;=$F44,BS$4&gt;=$F44))</f>
        <v>-0</v>
      </c>
      <c r="BT44" s="48" t="n">
        <f aca="false">-$E44*N(AND(BT$3&lt;=$F44,BT$4&gt;=$F44))</f>
        <v>-0</v>
      </c>
      <c r="BU44" s="48" t="n">
        <f aca="false">-$E44*N(AND(BU$3&lt;=$F44,BU$4&gt;=$F44))</f>
        <v>-0</v>
      </c>
      <c r="BV44" s="48" t="n">
        <f aca="false">-$E44*N(AND(BV$3&lt;=$F44,BV$4&gt;=$F44))</f>
        <v>-0</v>
      </c>
      <c r="BW44" s="48" t="n">
        <f aca="false">-$E44*N(AND(BW$3&lt;=$F44,BW$4&gt;=$F44))</f>
        <v>-0</v>
      </c>
      <c r="BX44" s="48" t="n">
        <f aca="false">-$E44*N(AND(BX$3&lt;=$F44,BX$4&gt;=$F44))</f>
        <v>-0</v>
      </c>
      <c r="BY44" s="48" t="n">
        <f aca="false">-$E44*N(AND(BY$3&lt;=$F44,BY$4&gt;=$F44))</f>
        <v>-0</v>
      </c>
      <c r="BZ44" s="48" t="n">
        <f aca="false">-$E44*N(AND(BZ$3&lt;=$F44,BZ$4&gt;=$F44))</f>
        <v>-0</v>
      </c>
      <c r="CA44" s="48" t="n">
        <f aca="false">-$E44*N(AND(CA$3&lt;=$F44,CA$4&gt;=$F44))</f>
        <v>-0</v>
      </c>
      <c r="CB44" s="48" t="n">
        <f aca="false">-$E44*N(AND(CB$3&lt;=$F44,CB$4&gt;=$F44))</f>
        <v>-0</v>
      </c>
      <c r="CC44" s="48" t="n">
        <f aca="false">-$E44*N(AND(CC$3&lt;=$F44,CC$4&gt;=$F44))</f>
        <v>-0</v>
      </c>
      <c r="CD44" s="48" t="n">
        <f aca="false">-$E44*N(AND(CD$3&lt;=$F44,CD$4&gt;=$F44))</f>
        <v>-0</v>
      </c>
      <c r="CE44" s="48" t="n">
        <f aca="false">-$E44*N(AND(CE$3&lt;=$F44,CE$4&gt;=$F44))</f>
        <v>-0</v>
      </c>
      <c r="CF44" s="48" t="n">
        <f aca="false">-$E44*N(AND(CF$3&lt;=$F44,CF$4&gt;=$F44))</f>
        <v>-0</v>
      </c>
      <c r="CG44" s="48" t="n">
        <f aca="false">-$E44*N(AND(CG$3&lt;=$F44,CG$4&gt;=$F44))</f>
        <v>-0</v>
      </c>
      <c r="CH44" s="48" t="n">
        <f aca="false">-$E44*N(AND(CH$3&lt;=$F44,CH$4&gt;=$F44))</f>
        <v>-0</v>
      </c>
      <c r="CI44" s="48" t="n">
        <f aca="false">-$E44*N(AND(CI$3&lt;=$F44,CI$4&gt;=$F44))</f>
        <v>-0</v>
      </c>
      <c r="CJ44" s="48" t="n">
        <f aca="false">-$E44*N(AND(CJ$3&lt;=$F44,CJ$4&gt;=$F44))</f>
        <v>-0</v>
      </c>
      <c r="CK44" s="48" t="n">
        <f aca="false">-$E44*N(AND(CK$3&lt;=$F44,CK$4&gt;=$F44))</f>
        <v>-0</v>
      </c>
      <c r="CL44" s="48" t="n">
        <f aca="false">-$E44*N(AND(CL$3&lt;=$F44,CL$4&gt;=$F44))</f>
        <v>-0</v>
      </c>
      <c r="CM44" s="48" t="n">
        <f aca="false">-$E44*N(AND(CM$3&lt;=$F44,CM$4&gt;=$F44))</f>
        <v>-0</v>
      </c>
      <c r="CN44" s="48" t="n">
        <f aca="false">-$E44*N(AND(CN$3&lt;=$F44,CN$4&gt;=$F44))</f>
        <v>-0</v>
      </c>
      <c r="CO44" s="48" t="n">
        <f aca="false">-$E44*N(AND(CO$3&lt;=$F44,CO$4&gt;=$F44))</f>
        <v>-0</v>
      </c>
      <c r="CP44" s="48" t="n">
        <f aca="false">-$E44*N(AND(CP$3&lt;=$F44,CP$4&gt;=$F44))</f>
        <v>-0</v>
      </c>
      <c r="CQ44" s="48" t="n">
        <f aca="false">-$E44*N(AND(CQ$3&lt;=$F44,CQ$4&gt;=$F44))</f>
        <v>-0</v>
      </c>
      <c r="CR44" s="48" t="n">
        <f aca="false">-$E44*N(AND(CR$3&lt;=$F44,CR$4&gt;=$F44))</f>
        <v>-0</v>
      </c>
      <c r="CS44" s="48" t="n">
        <f aca="false">-$E44*N(AND(CS$3&lt;=$F44,CS$4&gt;=$F44))</f>
        <v>-0</v>
      </c>
      <c r="CT44" s="48" t="n">
        <f aca="false">-$E44*N(AND(CT$3&lt;=$F44,CT$4&gt;=$F44))</f>
        <v>-0</v>
      </c>
      <c r="CU44" s="48" t="n">
        <f aca="false">-$E44*N(AND(CU$3&lt;=$F44,CU$4&gt;=$F44))</f>
        <v>-0</v>
      </c>
      <c r="CV44" s="48" t="n">
        <f aca="false">-$E44*N(AND(CV$3&lt;=$F44,CV$4&gt;=$F44))</f>
        <v>-0</v>
      </c>
      <c r="CW44" s="48" t="n">
        <f aca="false">-$E44*N(AND(CW$3&lt;=$F44,CW$4&gt;=$F44))</f>
        <v>-0</v>
      </c>
      <c r="CX44" s="48" t="n">
        <f aca="false">-$E44*N(AND(CX$3&lt;=$F44,CX$4&gt;=$F44))</f>
        <v>-0</v>
      </c>
      <c r="CY44" s="48" t="n">
        <f aca="false">-$E44*N(AND(CY$3&lt;=$F44,CY$4&gt;=$F44))</f>
        <v>-0</v>
      </c>
      <c r="CZ44" s="48" t="n">
        <f aca="false">-$E44*N(AND(CZ$3&lt;=$F44,CZ$4&gt;=$F44))</f>
        <v>-0</v>
      </c>
      <c r="DA44" s="48" t="n">
        <f aca="false">-$E44*N(AND(DA$3&lt;=$F44,DA$4&gt;=$F44))</f>
        <v>-0</v>
      </c>
      <c r="DB44" s="48" t="n">
        <f aca="false">-$E44*N(AND(DB$3&lt;=$F44,DB$4&gt;=$F44))</f>
        <v>-0</v>
      </c>
      <c r="DC44" s="48" t="n">
        <f aca="false">-$E44*N(AND(DC$3&lt;=$F44,DC$4&gt;=$F44))</f>
        <v>-0</v>
      </c>
      <c r="DD44" s="48" t="n">
        <f aca="false">-$E44*N(AND(DD$3&lt;=$F44,DD$4&gt;=$F44))</f>
        <v>-0</v>
      </c>
      <c r="DE44" s="48" t="n">
        <f aca="false">-$E44*N(AND(DE$3&lt;=$F44,DE$4&gt;=$F44))</f>
        <v>-0</v>
      </c>
      <c r="DF44" s="48" t="n">
        <f aca="false">-$E44*N(AND(DF$3&lt;=$F44,DF$4&gt;=$F44))</f>
        <v>-0</v>
      </c>
      <c r="DG44" s="48" t="n">
        <f aca="false">-$E44*N(AND(DG$3&lt;=$F44,DG$4&gt;=$F44))</f>
        <v>-0</v>
      </c>
      <c r="DH44" s="48" t="n">
        <f aca="false">-$E44*N(AND(DH$3&lt;=$F44,DH$4&gt;=$F44))</f>
        <v>-0</v>
      </c>
      <c r="DI44" s="48" t="n">
        <f aca="false">-$E44*N(AND(DI$3&lt;=$F44,DI$4&gt;=$F44))</f>
        <v>-0</v>
      </c>
      <c r="DJ44" s="48" t="n">
        <f aca="false">-$E44*N(AND(DJ$3&lt;=$F44,DJ$4&gt;=$F44))</f>
        <v>-0</v>
      </c>
      <c r="DK44" s="48" t="n">
        <f aca="false">-$E44*N(AND(DK$3&lt;=$F44,DK$4&gt;=$F44))</f>
        <v>-0</v>
      </c>
      <c r="DL44" s="48" t="n">
        <f aca="false">-$E44*N(AND(DL$3&lt;=$F44,DL$4&gt;=$F44))</f>
        <v>-0</v>
      </c>
      <c r="DM44" s="48" t="n">
        <f aca="false">-$E44*N(AND(DM$3&lt;=$F44,DM$4&gt;=$F44))</f>
        <v>-0</v>
      </c>
      <c r="DN44" s="48" t="n">
        <f aca="false">-$E44*N(AND(DN$3&lt;=$F44,DN$4&gt;=$F44))</f>
        <v>-0</v>
      </c>
      <c r="DO44" s="48" t="n">
        <f aca="false">-$E44*N(AND(DO$3&lt;=$F44,DO$4&gt;=$F44))</f>
        <v>-0</v>
      </c>
      <c r="DP44" s="48" t="n">
        <f aca="false">-$E44*N(AND(DP$3&lt;=$F44,DP$4&gt;=$F44))</f>
        <v>-0</v>
      </c>
      <c r="DQ44" s="48" t="n">
        <f aca="false">-$E44*N(AND(DQ$3&lt;=$F44,DQ$4&gt;=$F44))</f>
        <v>-0</v>
      </c>
      <c r="DR44" s="48" t="n">
        <f aca="false">-$E44*N(AND(DR$3&lt;=$F44,DR$4&gt;=$F44))</f>
        <v>-0</v>
      </c>
      <c r="DS44" s="48" t="n">
        <f aca="false">-$E44*N(AND(DS$3&lt;=$F44,DS$4&gt;=$F44))</f>
        <v>-0</v>
      </c>
      <c r="DT44" s="48" t="n">
        <f aca="false">-$E44*N(AND(DT$3&lt;=$F44,DT$4&gt;=$F44))</f>
        <v>-0</v>
      </c>
      <c r="DU44" s="48" t="n">
        <f aca="false">-$E44*N(AND(DU$3&lt;=$F44,DU$4&gt;=$F44))</f>
        <v>-0</v>
      </c>
      <c r="DV44" s="48" t="n">
        <f aca="false">-$E44*N(AND(DV$3&lt;=$F44,DV$4&gt;=$F44))</f>
        <v>-0</v>
      </c>
      <c r="DW44" s="48" t="n">
        <f aca="false">-$E44*N(AND(DW$3&lt;=$F44,DW$4&gt;=$F44))</f>
        <v>-0</v>
      </c>
      <c r="DX44" s="48" t="n">
        <f aca="false">-$E44*N(AND(DX$3&lt;=$F44,DX$4&gt;=$F44))</f>
        <v>-0</v>
      </c>
      <c r="DY44" s="48" t="n">
        <f aca="false">-$E44*N(AND(DY$3&lt;=$F44,DY$4&gt;=$F44))</f>
        <v>-0</v>
      </c>
      <c r="DZ44" s="48" t="n">
        <f aca="false">-$E44*N(AND(DZ$3&lt;=$F44,DZ$4&gt;=$F44))</f>
        <v>-0</v>
      </c>
      <c r="EA44" s="48" t="n">
        <f aca="false">-$E44*N(AND(EA$3&lt;=$F44,EA$4&gt;=$F44))</f>
        <v>-0</v>
      </c>
      <c r="EB44" s="48" t="n">
        <f aca="false">-$E44*N(AND(EB$3&lt;=$F44,EB$4&gt;=$F44))</f>
        <v>-0</v>
      </c>
      <c r="EC44" s="48" t="n">
        <f aca="false">-$E44*N(AND(EC$3&lt;=$F44,EC$4&gt;=$F44))</f>
        <v>-0</v>
      </c>
      <c r="ED44" s="48" t="n">
        <f aca="false">-$E44*N(AND(ED$3&lt;=$F44,ED$4&gt;=$F44))</f>
        <v>-0</v>
      </c>
      <c r="EE44" s="48" t="n">
        <f aca="false">-$E44*N(AND(EE$3&lt;=$F44,EE$4&gt;=$F44))</f>
        <v>-0</v>
      </c>
      <c r="EF44" s="48" t="n">
        <f aca="false">-$E44*N(AND(EF$3&lt;=$F44,EF$4&gt;=$F44))</f>
        <v>-0</v>
      </c>
      <c r="EG44" s="48" t="n">
        <f aca="false">-$E44*N(AND(EG$3&lt;=$F44,EG$4&gt;=$F44))</f>
        <v>-0</v>
      </c>
      <c r="EH44" s="48" t="n">
        <f aca="false">-$E44*N(AND(EH$3&lt;=$F44,EH$4&gt;=$F44))</f>
        <v>-0</v>
      </c>
      <c r="EI44" s="48" t="n">
        <f aca="false">-$E44*N(AND(EI$3&lt;=$F44,EI$4&gt;=$F44))</f>
        <v>-0</v>
      </c>
      <c r="EJ44" s="48" t="n">
        <f aca="false">-$E44*N(AND(EJ$3&lt;=$F44,EJ$4&gt;=$F44))</f>
        <v>-0</v>
      </c>
      <c r="EK44" s="48" t="n">
        <f aca="false">-$E44*N(AND(EK$3&lt;=$F44,EK$4&gt;=$F44))</f>
        <v>-0</v>
      </c>
      <c r="EL44" s="48" t="n">
        <f aca="false">-$E44*N(AND(EL$3&lt;=$F44,EL$4&gt;=$F44))</f>
        <v>-0</v>
      </c>
      <c r="EM44" s="48" t="n">
        <f aca="false">-$E44*N(AND(EM$3&lt;=$F44,EM$4&gt;=$F44))</f>
        <v>-0</v>
      </c>
      <c r="EN44" s="48" t="n">
        <f aca="false">-$E44*N(AND(EN$3&lt;=$F44,EN$4&gt;=$F44))</f>
        <v>-0</v>
      </c>
      <c r="EO44" s="48" t="n">
        <f aca="false">-$E44*N(AND(EO$3&lt;=$F44,EO$4&gt;=$F44))</f>
        <v>-0</v>
      </c>
    </row>
    <row r="45" customFormat="false" ht="15" hidden="false" customHeight="false" outlineLevel="0" collapsed="false">
      <c r="C45" s="1" t="s">
        <v>222</v>
      </c>
      <c r="D45" s="12" t="s">
        <v>33</v>
      </c>
      <c r="E45" s="19" t="n">
        <f aca="false">In_DD</f>
        <v>150</v>
      </c>
      <c r="F45" s="21" t="n">
        <f aca="false">In_Bid_Date</f>
        <v>46325</v>
      </c>
      <c r="I45" s="48" t="n">
        <f aca="false">SUM(J45:EO45)</f>
        <v>-150</v>
      </c>
      <c r="J45" s="48" t="n">
        <f aca="false">-$E45*N(AND(J$3&lt;=$F45,J$4&gt;=$F45))</f>
        <v>-150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409</v>
      </c>
      <c r="D46" s="12" t="s">
        <v>33</v>
      </c>
      <c r="I46" s="48" t="n">
        <f aca="false">SUM(J46:EO46)</f>
        <v>-500</v>
      </c>
      <c r="J46" s="48" t="n">
        <f aca="false">-In_Devex*J13</f>
        <v>-0</v>
      </c>
      <c r="K46" s="48" t="n">
        <f aca="false">-In_Devex*K13</f>
        <v>-70.4225352112676</v>
      </c>
      <c r="L46" s="48" t="n">
        <f aca="false">-In_Devex*L13</f>
        <v>-71.2050078247261</v>
      </c>
      <c r="M46" s="48" t="n">
        <f aca="false">-In_Devex*M13</f>
        <v>-71.9874804381847</v>
      </c>
      <c r="N46" s="48" t="n">
        <f aca="false">-In_Devex*N13</f>
        <v>-71.9874804381847</v>
      </c>
      <c r="O46" s="48" t="n">
        <f aca="false">-In_Devex*O13</f>
        <v>-71.2050078247261</v>
      </c>
      <c r="P46" s="48" t="n">
        <f aca="false">-In_Devex*P13</f>
        <v>-71.2050078247261</v>
      </c>
      <c r="Q46" s="48" t="n">
        <f aca="false">-In_Devex*Q13</f>
        <v>-71.9874804381847</v>
      </c>
      <c r="R46" s="48" t="n">
        <f aca="false">-In_Devex*R13</f>
        <v>-0</v>
      </c>
      <c r="S46" s="48" t="n">
        <f aca="false">-In_Devex*S13</f>
        <v>-0</v>
      </c>
      <c r="T46" s="48" t="n">
        <f aca="false">-In_Devex*T13</f>
        <v>-0</v>
      </c>
      <c r="U46" s="48" t="n">
        <f aca="false">-In_Devex*U13</f>
        <v>-0</v>
      </c>
      <c r="V46" s="48" t="n">
        <f aca="false">-In_Devex*V13</f>
        <v>-0</v>
      </c>
      <c r="W46" s="48" t="n">
        <f aca="false">-In_Devex*W13</f>
        <v>-0</v>
      </c>
      <c r="X46" s="48" t="n">
        <f aca="false">-In_Devex*X13</f>
        <v>-0</v>
      </c>
      <c r="Y46" s="48" t="n">
        <f aca="false">-In_Devex*Y13</f>
        <v>-0</v>
      </c>
      <c r="Z46" s="48" t="n">
        <f aca="false">-In_Devex*Z13</f>
        <v>-0</v>
      </c>
      <c r="AA46" s="48" t="n">
        <f aca="false">-In_Devex*AA13</f>
        <v>-0</v>
      </c>
      <c r="AB46" s="48" t="n">
        <f aca="false">-In_Devex*AB13</f>
        <v>-0</v>
      </c>
      <c r="AC46" s="48" t="n">
        <f aca="false">-In_Devex*AC13</f>
        <v>-0</v>
      </c>
      <c r="AD46" s="48" t="n">
        <f aca="false">-In_Devex*AD13</f>
        <v>-0</v>
      </c>
      <c r="AE46" s="48" t="n">
        <f aca="false">-In_Devex*AE13</f>
        <v>-0</v>
      </c>
      <c r="AF46" s="48" t="n">
        <f aca="false">-In_Devex*AF13</f>
        <v>-0</v>
      </c>
      <c r="AG46" s="48" t="n">
        <f aca="false">-In_Devex*AG13</f>
        <v>-0</v>
      </c>
      <c r="AH46" s="48" t="n">
        <f aca="false">-In_Devex*AH13</f>
        <v>-0</v>
      </c>
      <c r="AI46" s="48" t="n">
        <f aca="false">-In_Devex*AI13</f>
        <v>-0</v>
      </c>
      <c r="AJ46" s="48" t="n">
        <f aca="false">-In_Devex*AJ13</f>
        <v>-0</v>
      </c>
      <c r="AK46" s="48" t="n">
        <f aca="false">-In_Devex*AK13</f>
        <v>-0</v>
      </c>
      <c r="AL46" s="48" t="n">
        <f aca="false">-In_Devex*AL13</f>
        <v>-0</v>
      </c>
      <c r="AM46" s="48" t="n">
        <f aca="false">-In_Devex*AM13</f>
        <v>-0</v>
      </c>
      <c r="AN46" s="48" t="n">
        <f aca="false">-In_Devex*AN13</f>
        <v>-0</v>
      </c>
      <c r="AO46" s="48" t="n">
        <f aca="false">-In_Devex*AO13</f>
        <v>-0</v>
      </c>
      <c r="AP46" s="48" t="n">
        <f aca="false">-In_Devex*AP13</f>
        <v>-0</v>
      </c>
      <c r="AQ46" s="48" t="n">
        <f aca="false">-In_Devex*AQ13</f>
        <v>-0</v>
      </c>
      <c r="AR46" s="48" t="n">
        <f aca="false">-In_Devex*AR13</f>
        <v>-0</v>
      </c>
      <c r="AS46" s="48" t="n">
        <f aca="false">-In_Devex*AS13</f>
        <v>-0</v>
      </c>
      <c r="AT46" s="48" t="n">
        <f aca="false">-In_Devex*AT13</f>
        <v>-0</v>
      </c>
      <c r="AU46" s="48" t="n">
        <f aca="false">-In_Devex*AU13</f>
        <v>-0</v>
      </c>
      <c r="AV46" s="48" t="n">
        <f aca="false">-In_Devex*AV13</f>
        <v>-0</v>
      </c>
      <c r="AW46" s="48" t="n">
        <f aca="false">-In_Devex*AW13</f>
        <v>-0</v>
      </c>
      <c r="AX46" s="48" t="n">
        <f aca="false">-In_Devex*AX13</f>
        <v>-0</v>
      </c>
      <c r="AY46" s="48" t="n">
        <f aca="false">-In_Devex*AY13</f>
        <v>-0</v>
      </c>
      <c r="AZ46" s="48" t="n">
        <f aca="false">-In_Devex*AZ13</f>
        <v>-0</v>
      </c>
      <c r="BA46" s="48" t="n">
        <f aca="false">-In_Devex*BA13</f>
        <v>-0</v>
      </c>
      <c r="BB46" s="48" t="n">
        <f aca="false">-In_Devex*BB13</f>
        <v>-0</v>
      </c>
      <c r="BC46" s="48" t="n">
        <f aca="false">-In_Devex*BC13</f>
        <v>-0</v>
      </c>
      <c r="BD46" s="48" t="n">
        <f aca="false">-In_Devex*BD13</f>
        <v>-0</v>
      </c>
      <c r="BE46" s="48" t="n">
        <f aca="false">-In_Devex*BE13</f>
        <v>-0</v>
      </c>
      <c r="BF46" s="48" t="n">
        <f aca="false">-In_Devex*BF13</f>
        <v>-0</v>
      </c>
      <c r="BG46" s="48" t="n">
        <f aca="false">-In_Devex*BG13</f>
        <v>-0</v>
      </c>
      <c r="BH46" s="48" t="n">
        <f aca="false">-In_Devex*BH13</f>
        <v>-0</v>
      </c>
      <c r="BI46" s="48" t="n">
        <f aca="false">-In_Devex*BI13</f>
        <v>-0</v>
      </c>
      <c r="BJ46" s="48" t="n">
        <f aca="false">-In_Devex*BJ13</f>
        <v>-0</v>
      </c>
      <c r="BK46" s="48" t="n">
        <f aca="false">-In_Devex*BK13</f>
        <v>-0</v>
      </c>
      <c r="BL46" s="48" t="n">
        <f aca="false">-In_Devex*BL13</f>
        <v>-0</v>
      </c>
      <c r="BM46" s="48" t="n">
        <f aca="false">-In_Devex*BM13</f>
        <v>-0</v>
      </c>
      <c r="BN46" s="48" t="n">
        <f aca="false">-In_Devex*BN13</f>
        <v>-0</v>
      </c>
      <c r="BO46" s="48" t="n">
        <f aca="false">-In_Devex*BO13</f>
        <v>-0</v>
      </c>
      <c r="BP46" s="48" t="n">
        <f aca="false">-In_Devex*BP13</f>
        <v>-0</v>
      </c>
      <c r="BQ46" s="48" t="n">
        <f aca="false">-In_Devex*BQ13</f>
        <v>-0</v>
      </c>
      <c r="BR46" s="48" t="n">
        <f aca="false">-In_Devex*BR13</f>
        <v>-0</v>
      </c>
      <c r="BS46" s="48" t="n">
        <f aca="false">-In_Devex*BS13</f>
        <v>-0</v>
      </c>
      <c r="BT46" s="48" t="n">
        <f aca="false">-In_Devex*BT13</f>
        <v>-0</v>
      </c>
      <c r="BU46" s="48" t="n">
        <f aca="false">-In_Devex*BU13</f>
        <v>-0</v>
      </c>
      <c r="BV46" s="48" t="n">
        <f aca="false">-In_Devex*BV13</f>
        <v>-0</v>
      </c>
      <c r="BW46" s="48" t="n">
        <f aca="false">-In_Devex*BW13</f>
        <v>-0</v>
      </c>
      <c r="BX46" s="48" t="n">
        <f aca="false">-In_Devex*BX13</f>
        <v>-0</v>
      </c>
      <c r="BY46" s="48" t="n">
        <f aca="false">-In_Devex*BY13</f>
        <v>-0</v>
      </c>
      <c r="BZ46" s="48" t="n">
        <f aca="false">-In_Devex*BZ13</f>
        <v>-0</v>
      </c>
      <c r="CA46" s="48" t="n">
        <f aca="false">-In_Devex*CA13</f>
        <v>-0</v>
      </c>
      <c r="CB46" s="48" t="n">
        <f aca="false">-In_Devex*CB13</f>
        <v>-0</v>
      </c>
      <c r="CC46" s="48" t="n">
        <f aca="false">-In_Devex*CC13</f>
        <v>-0</v>
      </c>
      <c r="CD46" s="48" t="n">
        <f aca="false">-In_Devex*CD13</f>
        <v>-0</v>
      </c>
      <c r="CE46" s="48" t="n">
        <f aca="false">-In_Devex*CE13</f>
        <v>-0</v>
      </c>
      <c r="CF46" s="48" t="n">
        <f aca="false">-In_Devex*CF13</f>
        <v>-0</v>
      </c>
      <c r="CG46" s="48" t="n">
        <f aca="false">-In_Devex*CG13</f>
        <v>-0</v>
      </c>
      <c r="CH46" s="48" t="n">
        <f aca="false">-In_Devex*CH13</f>
        <v>-0</v>
      </c>
      <c r="CI46" s="48" t="n">
        <f aca="false">-In_Devex*CI13</f>
        <v>-0</v>
      </c>
      <c r="CJ46" s="48" t="n">
        <f aca="false">-In_Devex*CJ13</f>
        <v>-0</v>
      </c>
      <c r="CK46" s="48" t="n">
        <f aca="false">-In_Devex*CK13</f>
        <v>-0</v>
      </c>
      <c r="CL46" s="48" t="n">
        <f aca="false">-In_Devex*CL13</f>
        <v>-0</v>
      </c>
      <c r="CM46" s="48" t="n">
        <f aca="false">-In_Devex*CM13</f>
        <v>-0</v>
      </c>
      <c r="CN46" s="48" t="n">
        <f aca="false">-In_Devex*CN13</f>
        <v>-0</v>
      </c>
      <c r="CO46" s="48" t="n">
        <f aca="false">-In_Devex*CO13</f>
        <v>-0</v>
      </c>
      <c r="CP46" s="48" t="n">
        <f aca="false">-In_Devex*CP13</f>
        <v>-0</v>
      </c>
      <c r="CQ46" s="48" t="n">
        <f aca="false">-In_Devex*CQ13</f>
        <v>-0</v>
      </c>
      <c r="CR46" s="48" t="n">
        <f aca="false">-In_Devex*CR13</f>
        <v>-0</v>
      </c>
      <c r="CS46" s="48" t="n">
        <f aca="false">-In_Devex*CS13</f>
        <v>-0</v>
      </c>
      <c r="CT46" s="48" t="n">
        <f aca="false">-In_Devex*CT13</f>
        <v>-0</v>
      </c>
      <c r="CU46" s="48" t="n">
        <f aca="false">-In_Devex*CU13</f>
        <v>-0</v>
      </c>
      <c r="CV46" s="48" t="n">
        <f aca="false">-In_Devex*CV13</f>
        <v>-0</v>
      </c>
      <c r="CW46" s="48" t="n">
        <f aca="false">-In_Devex*CW13</f>
        <v>-0</v>
      </c>
      <c r="CX46" s="48" t="n">
        <f aca="false">-In_Devex*CX13</f>
        <v>-0</v>
      </c>
      <c r="CY46" s="48" t="n">
        <f aca="false">-In_Devex*CY13</f>
        <v>-0</v>
      </c>
      <c r="CZ46" s="48" t="n">
        <f aca="false">-In_Devex*CZ13</f>
        <v>-0</v>
      </c>
      <c r="DA46" s="48" t="n">
        <f aca="false">-In_Devex*DA13</f>
        <v>-0</v>
      </c>
      <c r="DB46" s="48" t="n">
        <f aca="false">-In_Devex*DB13</f>
        <v>-0</v>
      </c>
      <c r="DC46" s="48" t="n">
        <f aca="false">-In_Devex*DC13</f>
        <v>-0</v>
      </c>
      <c r="DD46" s="48" t="n">
        <f aca="false">-In_Devex*DD13</f>
        <v>-0</v>
      </c>
      <c r="DE46" s="48" t="n">
        <f aca="false">-In_Devex*DE13</f>
        <v>-0</v>
      </c>
      <c r="DF46" s="48" t="n">
        <f aca="false">-In_Devex*DF13</f>
        <v>-0</v>
      </c>
      <c r="DG46" s="48" t="n">
        <f aca="false">-In_Devex*DG13</f>
        <v>-0</v>
      </c>
      <c r="DH46" s="48" t="n">
        <f aca="false">-In_Devex*DH13</f>
        <v>-0</v>
      </c>
      <c r="DI46" s="48" t="n">
        <f aca="false">-In_Devex*DI13</f>
        <v>-0</v>
      </c>
      <c r="DJ46" s="48" t="n">
        <f aca="false">-In_Devex*DJ13</f>
        <v>-0</v>
      </c>
      <c r="DK46" s="48" t="n">
        <f aca="false">-In_Devex*DK13</f>
        <v>-0</v>
      </c>
      <c r="DL46" s="48" t="n">
        <f aca="false">-In_Devex*DL13</f>
        <v>-0</v>
      </c>
      <c r="DM46" s="48" t="n">
        <f aca="false">-In_Devex*DM13</f>
        <v>-0</v>
      </c>
      <c r="DN46" s="48" t="n">
        <f aca="false">-In_Devex*DN13</f>
        <v>-0</v>
      </c>
      <c r="DO46" s="48" t="n">
        <f aca="false">-In_Devex*DO13</f>
        <v>-0</v>
      </c>
      <c r="DP46" s="48" t="n">
        <f aca="false">-In_Devex*DP13</f>
        <v>-0</v>
      </c>
      <c r="DQ46" s="48" t="n">
        <f aca="false">-In_Devex*DQ13</f>
        <v>-0</v>
      </c>
      <c r="DR46" s="48" t="n">
        <f aca="false">-In_Devex*DR13</f>
        <v>-0</v>
      </c>
      <c r="DS46" s="48" t="n">
        <f aca="false">-In_Devex*DS13</f>
        <v>-0</v>
      </c>
      <c r="DT46" s="48" t="n">
        <f aca="false">-In_Devex*DT13</f>
        <v>-0</v>
      </c>
      <c r="DU46" s="48" t="n">
        <f aca="false">-In_Devex*DU13</f>
        <v>-0</v>
      </c>
      <c r="DV46" s="48" t="n">
        <f aca="false">-In_Devex*DV13</f>
        <v>-0</v>
      </c>
      <c r="DW46" s="48" t="n">
        <f aca="false">-In_Devex*DW13</f>
        <v>-0</v>
      </c>
      <c r="DX46" s="48" t="n">
        <f aca="false">-In_Devex*DX13</f>
        <v>-0</v>
      </c>
      <c r="DY46" s="48" t="n">
        <f aca="false">-In_Devex*DY13</f>
        <v>-0</v>
      </c>
      <c r="DZ46" s="48" t="n">
        <f aca="false">-In_Devex*DZ13</f>
        <v>-0</v>
      </c>
      <c r="EA46" s="48" t="n">
        <f aca="false">-In_Devex*EA13</f>
        <v>-0</v>
      </c>
      <c r="EB46" s="48" t="n">
        <f aca="false">-In_Devex*EB13</f>
        <v>-0</v>
      </c>
      <c r="EC46" s="48" t="n">
        <f aca="false">-In_Devex*EC13</f>
        <v>-0</v>
      </c>
      <c r="ED46" s="48" t="n">
        <f aca="false">-In_Devex*ED13</f>
        <v>-0</v>
      </c>
      <c r="EE46" s="48" t="n">
        <f aca="false">-In_Devex*EE13</f>
        <v>-0</v>
      </c>
      <c r="EF46" s="48" t="n">
        <f aca="false">-In_Devex*EF13</f>
        <v>-0</v>
      </c>
      <c r="EG46" s="48" t="n">
        <f aca="false">-In_Devex*EG13</f>
        <v>-0</v>
      </c>
      <c r="EH46" s="48" t="n">
        <f aca="false">-In_Devex*EH13</f>
        <v>-0</v>
      </c>
      <c r="EI46" s="48" t="n">
        <f aca="false">-In_Devex*EI13</f>
        <v>-0</v>
      </c>
      <c r="EJ46" s="48" t="n">
        <f aca="false">-In_Devex*EJ13</f>
        <v>-0</v>
      </c>
      <c r="EK46" s="48" t="n">
        <f aca="false">-In_Devex*EK13</f>
        <v>-0</v>
      </c>
      <c r="EL46" s="48" t="n">
        <f aca="false">-In_Devex*EL13</f>
        <v>-0</v>
      </c>
      <c r="EM46" s="48" t="n">
        <f aca="false">-In_Devex*EM13</f>
        <v>-0</v>
      </c>
      <c r="EN46" s="48" t="n">
        <f aca="false">-In_Devex*EN13</f>
        <v>-0</v>
      </c>
      <c r="EO46" s="48" t="n">
        <f aca="false">-In_Devex*EO13</f>
        <v>-0</v>
      </c>
    </row>
    <row r="47" customFormat="false" ht="15" hidden="false" customHeight="false" outlineLevel="0" collapsed="false">
      <c r="C47" s="1" t="s">
        <v>410</v>
      </c>
      <c r="D47" s="12" t="s">
        <v>273</v>
      </c>
      <c r="E47" s="48" t="n">
        <f aca="false">$E24*In_Bench_Wind+$E26*In_Bench_BESS</f>
        <v>32360</v>
      </c>
    </row>
    <row r="48" customFormat="false" ht="15" hidden="false" customHeight="false" outlineLevel="0" collapsed="false">
      <c r="C48" s="1" t="s">
        <v>411</v>
      </c>
      <c r="D48" s="12" t="s">
        <v>33</v>
      </c>
      <c r="E48" s="48" t="n">
        <f aca="false">In_Part_Fee*Thousand/In_FX</f>
        <v>8.21917808219178</v>
      </c>
      <c r="F48" s="21" t="n">
        <f aca="false">In_Bid_Date</f>
        <v>46325</v>
      </c>
      <c r="I48" s="48" t="n">
        <f aca="false">SUM(J48:EO48)</f>
        <v>-8.21917808219178</v>
      </c>
      <c r="J48" s="48" t="n">
        <f aca="false">-$E48*N(AND(J$3&lt;=$F48,J$4&gt;=$F48))</f>
        <v>-8.21917808219178</v>
      </c>
      <c r="K48" s="48" t="n">
        <f aca="false">-$E48*N(AND(K$3&lt;=$F48,K$4&gt;=$F48))</f>
        <v>-0</v>
      </c>
      <c r="L48" s="48" t="n">
        <f aca="false">-$E48*N(AND(L$3&lt;=$F48,L$4&gt;=$F48))</f>
        <v>-0</v>
      </c>
      <c r="M48" s="48" t="n">
        <f aca="false">-$E48*N(AND(M$3&lt;=$F48,M$4&gt;=$F48))</f>
        <v>-0</v>
      </c>
      <c r="N48" s="48" t="n">
        <f aca="false">-$E48*N(AND(N$3&lt;=$F48,N$4&gt;=$F48))</f>
        <v>-0</v>
      </c>
      <c r="O48" s="48" t="n">
        <f aca="false">-$E48*N(AND(O$3&lt;=$F48,O$4&gt;=$F48))</f>
        <v>-0</v>
      </c>
      <c r="P48" s="48" t="n">
        <f aca="false">-$E48*N(AND(P$3&lt;=$F48,P$4&gt;=$F48))</f>
        <v>-0</v>
      </c>
      <c r="Q48" s="48" t="n">
        <f aca="false">-$E48*N(AND(Q$3&lt;=$F48,Q$4&gt;=$F48))</f>
        <v>-0</v>
      </c>
      <c r="R48" s="48" t="n">
        <f aca="false">-$E48*N(AND(R$3&lt;=$F48,R$4&gt;=$F48))</f>
        <v>-0</v>
      </c>
      <c r="S48" s="48" t="n">
        <f aca="false">-$E48*N(AND(S$3&lt;=$F48,S$4&gt;=$F48))</f>
        <v>-0</v>
      </c>
      <c r="T48" s="48" t="n">
        <f aca="false">-$E48*N(AND(T$3&lt;=$F48,T$4&gt;=$F48))</f>
        <v>-0</v>
      </c>
      <c r="U48" s="48" t="n">
        <f aca="false">-$E48*N(AND(U$3&lt;=$F48,U$4&gt;=$F48))</f>
        <v>-0</v>
      </c>
      <c r="V48" s="48" t="n">
        <f aca="false">-$E48*N(AND(V$3&lt;=$F48,V$4&gt;=$F48))</f>
        <v>-0</v>
      </c>
      <c r="W48" s="48" t="n">
        <f aca="false">-$E48*N(AND(W$3&lt;=$F48,W$4&gt;=$F48))</f>
        <v>-0</v>
      </c>
      <c r="X48" s="48" t="n">
        <f aca="false">-$E48*N(AND(X$3&lt;=$F48,X$4&gt;=$F48))</f>
        <v>-0</v>
      </c>
      <c r="Y48" s="48" t="n">
        <f aca="false">-$E48*N(AND(Y$3&lt;=$F48,Y$4&gt;=$F48))</f>
        <v>-0</v>
      </c>
      <c r="Z48" s="48" t="n">
        <f aca="false">-$E48*N(AND(Z$3&lt;=$F48,Z$4&gt;=$F48))</f>
        <v>-0</v>
      </c>
      <c r="AA48" s="48" t="n">
        <f aca="false">-$E48*N(AND(AA$3&lt;=$F48,AA$4&gt;=$F48))</f>
        <v>-0</v>
      </c>
      <c r="AB48" s="48" t="n">
        <f aca="false">-$E48*N(AND(AB$3&lt;=$F48,AB$4&gt;=$F48))</f>
        <v>-0</v>
      </c>
      <c r="AC48" s="48" t="n">
        <f aca="false">-$E48*N(AND(AC$3&lt;=$F48,AC$4&gt;=$F48))</f>
        <v>-0</v>
      </c>
      <c r="AD48" s="48" t="n">
        <f aca="false">-$E48*N(AND(AD$3&lt;=$F48,AD$4&gt;=$F48))</f>
        <v>-0</v>
      </c>
      <c r="AE48" s="48" t="n">
        <f aca="false">-$E48*N(AND(AE$3&lt;=$F48,AE$4&gt;=$F48))</f>
        <v>-0</v>
      </c>
      <c r="AF48" s="48" t="n">
        <f aca="false">-$E48*N(AND(AF$3&lt;=$F48,AF$4&gt;=$F48))</f>
        <v>-0</v>
      </c>
      <c r="AG48" s="48" t="n">
        <f aca="false">-$E48*N(AND(AG$3&lt;=$F48,AG$4&gt;=$F48))</f>
        <v>-0</v>
      </c>
      <c r="AH48" s="48" t="n">
        <f aca="false">-$E48*N(AND(AH$3&lt;=$F48,AH$4&gt;=$F48))</f>
        <v>-0</v>
      </c>
      <c r="AI48" s="48" t="n">
        <f aca="false">-$E48*N(AND(AI$3&lt;=$F48,AI$4&gt;=$F48))</f>
        <v>-0</v>
      </c>
      <c r="AJ48" s="48" t="n">
        <f aca="false">-$E48*N(AND(AJ$3&lt;=$F48,AJ$4&gt;=$F48))</f>
        <v>-0</v>
      </c>
      <c r="AK48" s="48" t="n">
        <f aca="false">-$E48*N(AND(AK$3&lt;=$F48,AK$4&gt;=$F48))</f>
        <v>-0</v>
      </c>
      <c r="AL48" s="48" t="n">
        <f aca="false">-$E48*N(AND(AL$3&lt;=$F48,AL$4&gt;=$F48))</f>
        <v>-0</v>
      </c>
      <c r="AM48" s="48" t="n">
        <f aca="false">-$E48*N(AND(AM$3&lt;=$F48,AM$4&gt;=$F48))</f>
        <v>-0</v>
      </c>
      <c r="AN48" s="48" t="n">
        <f aca="false">-$E48*N(AND(AN$3&lt;=$F48,AN$4&gt;=$F48))</f>
        <v>-0</v>
      </c>
      <c r="AO48" s="48" t="n">
        <f aca="false">-$E48*N(AND(AO$3&lt;=$F48,AO$4&gt;=$F48))</f>
        <v>-0</v>
      </c>
      <c r="AP48" s="48" t="n">
        <f aca="false">-$E48*N(AND(AP$3&lt;=$F48,AP$4&gt;=$F48))</f>
        <v>-0</v>
      </c>
      <c r="AQ48" s="48" t="n">
        <f aca="false">-$E48*N(AND(AQ$3&lt;=$F48,AQ$4&gt;=$F48))</f>
        <v>-0</v>
      </c>
      <c r="AR48" s="48" t="n">
        <f aca="false">-$E48*N(AND(AR$3&lt;=$F48,AR$4&gt;=$F48))</f>
        <v>-0</v>
      </c>
      <c r="AS48" s="48" t="n">
        <f aca="false">-$E48*N(AND(AS$3&lt;=$F48,AS$4&gt;=$F48))</f>
        <v>-0</v>
      </c>
      <c r="AT48" s="48" t="n">
        <f aca="false">-$E48*N(AND(AT$3&lt;=$F48,AT$4&gt;=$F48))</f>
        <v>-0</v>
      </c>
      <c r="AU48" s="48" t="n">
        <f aca="false">-$E48*N(AND(AU$3&lt;=$F48,AU$4&gt;=$F48))</f>
        <v>-0</v>
      </c>
      <c r="AV48" s="48" t="n">
        <f aca="false">-$E48*N(AND(AV$3&lt;=$F48,AV$4&gt;=$F48))</f>
        <v>-0</v>
      </c>
      <c r="AW48" s="48" t="n">
        <f aca="false">-$E48*N(AND(AW$3&lt;=$F48,AW$4&gt;=$F48))</f>
        <v>-0</v>
      </c>
      <c r="AX48" s="48" t="n">
        <f aca="false">-$E48*N(AND(AX$3&lt;=$F48,AX$4&gt;=$F48))</f>
        <v>-0</v>
      </c>
      <c r="AY48" s="48" t="n">
        <f aca="false">-$E48*N(AND(AY$3&lt;=$F48,AY$4&gt;=$F48))</f>
        <v>-0</v>
      </c>
      <c r="AZ48" s="48" t="n">
        <f aca="false">-$E48*N(AND(AZ$3&lt;=$F48,AZ$4&gt;=$F48))</f>
        <v>-0</v>
      </c>
      <c r="BA48" s="48" t="n">
        <f aca="false">-$E48*N(AND(BA$3&lt;=$F48,BA$4&gt;=$F48))</f>
        <v>-0</v>
      </c>
      <c r="BB48" s="48" t="n">
        <f aca="false">-$E48*N(AND(BB$3&lt;=$F48,BB$4&gt;=$F48))</f>
        <v>-0</v>
      </c>
      <c r="BC48" s="48" t="n">
        <f aca="false">-$E48*N(AND(BC$3&lt;=$F48,BC$4&gt;=$F48))</f>
        <v>-0</v>
      </c>
      <c r="BD48" s="48" t="n">
        <f aca="false">-$E48*N(AND(BD$3&lt;=$F48,BD$4&gt;=$F48))</f>
        <v>-0</v>
      </c>
      <c r="BE48" s="48" t="n">
        <f aca="false">-$E48*N(AND(BE$3&lt;=$F48,BE$4&gt;=$F48))</f>
        <v>-0</v>
      </c>
      <c r="BF48" s="48" t="n">
        <f aca="false">-$E48*N(AND(BF$3&lt;=$F48,BF$4&gt;=$F48))</f>
        <v>-0</v>
      </c>
      <c r="BG48" s="48" t="n">
        <f aca="false">-$E48*N(AND(BG$3&lt;=$F48,BG$4&gt;=$F48))</f>
        <v>-0</v>
      </c>
      <c r="BH48" s="48" t="n">
        <f aca="false">-$E48*N(AND(BH$3&lt;=$F48,BH$4&gt;=$F48))</f>
        <v>-0</v>
      </c>
      <c r="BI48" s="48" t="n">
        <f aca="false">-$E48*N(AND(BI$3&lt;=$F48,BI$4&gt;=$F48))</f>
        <v>-0</v>
      </c>
      <c r="BJ48" s="48" t="n">
        <f aca="false">-$E48*N(AND(BJ$3&lt;=$F48,BJ$4&gt;=$F48))</f>
        <v>-0</v>
      </c>
      <c r="BK48" s="48" t="n">
        <f aca="false">-$E48*N(AND(BK$3&lt;=$F48,BK$4&gt;=$F48))</f>
        <v>-0</v>
      </c>
      <c r="BL48" s="48" t="n">
        <f aca="false">-$E48*N(AND(BL$3&lt;=$F48,BL$4&gt;=$F48))</f>
        <v>-0</v>
      </c>
      <c r="BM48" s="48" t="n">
        <f aca="false">-$E48*N(AND(BM$3&lt;=$F48,BM$4&gt;=$F48))</f>
        <v>-0</v>
      </c>
      <c r="BN48" s="48" t="n">
        <f aca="false">-$E48*N(AND(BN$3&lt;=$F48,BN$4&gt;=$F48))</f>
        <v>-0</v>
      </c>
      <c r="BO48" s="48" t="n">
        <f aca="false">-$E48*N(AND(BO$3&lt;=$F48,BO$4&gt;=$F48))</f>
        <v>-0</v>
      </c>
      <c r="BP48" s="48" t="n">
        <f aca="false">-$E48*N(AND(BP$3&lt;=$F48,BP$4&gt;=$F48))</f>
        <v>-0</v>
      </c>
      <c r="BQ48" s="48" t="n">
        <f aca="false">-$E48*N(AND(BQ$3&lt;=$F48,BQ$4&gt;=$F48))</f>
        <v>-0</v>
      </c>
      <c r="BR48" s="48" t="n">
        <f aca="false">-$E48*N(AND(BR$3&lt;=$F48,BR$4&gt;=$F48))</f>
        <v>-0</v>
      </c>
      <c r="BS48" s="48" t="n">
        <f aca="false">-$E48*N(AND(BS$3&lt;=$F48,BS$4&gt;=$F48))</f>
        <v>-0</v>
      </c>
      <c r="BT48" s="48" t="n">
        <f aca="false">-$E48*N(AND(BT$3&lt;=$F48,BT$4&gt;=$F48))</f>
        <v>-0</v>
      </c>
      <c r="BU48" s="48" t="n">
        <f aca="false">-$E48*N(AND(BU$3&lt;=$F48,BU$4&gt;=$F48))</f>
        <v>-0</v>
      </c>
      <c r="BV48" s="48" t="n">
        <f aca="false">-$E48*N(AND(BV$3&lt;=$F48,BV$4&gt;=$F48))</f>
        <v>-0</v>
      </c>
      <c r="BW48" s="48" t="n">
        <f aca="false">-$E48*N(AND(BW$3&lt;=$F48,BW$4&gt;=$F48))</f>
        <v>-0</v>
      </c>
      <c r="BX48" s="48" t="n">
        <f aca="false">-$E48*N(AND(BX$3&lt;=$F48,BX$4&gt;=$F48))</f>
        <v>-0</v>
      </c>
      <c r="BY48" s="48" t="n">
        <f aca="false">-$E48*N(AND(BY$3&lt;=$F48,BY$4&gt;=$F48))</f>
        <v>-0</v>
      </c>
      <c r="BZ48" s="48" t="n">
        <f aca="false">-$E48*N(AND(BZ$3&lt;=$F48,BZ$4&gt;=$F48))</f>
        <v>-0</v>
      </c>
      <c r="CA48" s="48" t="n">
        <f aca="false">-$E48*N(AND(CA$3&lt;=$F48,CA$4&gt;=$F48))</f>
        <v>-0</v>
      </c>
      <c r="CB48" s="48" t="n">
        <f aca="false">-$E48*N(AND(CB$3&lt;=$F48,CB$4&gt;=$F48))</f>
        <v>-0</v>
      </c>
      <c r="CC48" s="48" t="n">
        <f aca="false">-$E48*N(AND(CC$3&lt;=$F48,CC$4&gt;=$F48))</f>
        <v>-0</v>
      </c>
      <c r="CD48" s="48" t="n">
        <f aca="false">-$E48*N(AND(CD$3&lt;=$F48,CD$4&gt;=$F48))</f>
        <v>-0</v>
      </c>
      <c r="CE48" s="48" t="n">
        <f aca="false">-$E48*N(AND(CE$3&lt;=$F48,CE$4&gt;=$F48))</f>
        <v>-0</v>
      </c>
      <c r="CF48" s="48" t="n">
        <f aca="false">-$E48*N(AND(CF$3&lt;=$F48,CF$4&gt;=$F48))</f>
        <v>-0</v>
      </c>
      <c r="CG48" s="48" t="n">
        <f aca="false">-$E48*N(AND(CG$3&lt;=$F48,CG$4&gt;=$F48))</f>
        <v>-0</v>
      </c>
      <c r="CH48" s="48" t="n">
        <f aca="false">-$E48*N(AND(CH$3&lt;=$F48,CH$4&gt;=$F48))</f>
        <v>-0</v>
      </c>
      <c r="CI48" s="48" t="n">
        <f aca="false">-$E48*N(AND(CI$3&lt;=$F48,CI$4&gt;=$F48))</f>
        <v>-0</v>
      </c>
      <c r="CJ48" s="48" t="n">
        <f aca="false">-$E48*N(AND(CJ$3&lt;=$F48,CJ$4&gt;=$F48))</f>
        <v>-0</v>
      </c>
      <c r="CK48" s="48" t="n">
        <f aca="false">-$E48*N(AND(CK$3&lt;=$F48,CK$4&gt;=$F48))</f>
        <v>-0</v>
      </c>
      <c r="CL48" s="48" t="n">
        <f aca="false">-$E48*N(AND(CL$3&lt;=$F48,CL$4&gt;=$F48))</f>
        <v>-0</v>
      </c>
      <c r="CM48" s="48" t="n">
        <f aca="false">-$E48*N(AND(CM$3&lt;=$F48,CM$4&gt;=$F48))</f>
        <v>-0</v>
      </c>
      <c r="CN48" s="48" t="n">
        <f aca="false">-$E48*N(AND(CN$3&lt;=$F48,CN$4&gt;=$F48))</f>
        <v>-0</v>
      </c>
      <c r="CO48" s="48" t="n">
        <f aca="false">-$E48*N(AND(CO$3&lt;=$F48,CO$4&gt;=$F48))</f>
        <v>-0</v>
      </c>
      <c r="CP48" s="48" t="n">
        <f aca="false">-$E48*N(AND(CP$3&lt;=$F48,CP$4&gt;=$F48))</f>
        <v>-0</v>
      </c>
      <c r="CQ48" s="48" t="n">
        <f aca="false">-$E48*N(AND(CQ$3&lt;=$F48,CQ$4&gt;=$F48))</f>
        <v>-0</v>
      </c>
      <c r="CR48" s="48" t="n">
        <f aca="false">-$E48*N(AND(CR$3&lt;=$F48,CR$4&gt;=$F48))</f>
        <v>-0</v>
      </c>
      <c r="CS48" s="48" t="n">
        <f aca="false">-$E48*N(AND(CS$3&lt;=$F48,CS$4&gt;=$F48))</f>
        <v>-0</v>
      </c>
      <c r="CT48" s="48" t="n">
        <f aca="false">-$E48*N(AND(CT$3&lt;=$F48,CT$4&gt;=$F48))</f>
        <v>-0</v>
      </c>
      <c r="CU48" s="48" t="n">
        <f aca="false">-$E48*N(AND(CU$3&lt;=$F48,CU$4&gt;=$F48))</f>
        <v>-0</v>
      </c>
      <c r="CV48" s="48" t="n">
        <f aca="false">-$E48*N(AND(CV$3&lt;=$F48,CV$4&gt;=$F48))</f>
        <v>-0</v>
      </c>
      <c r="CW48" s="48" t="n">
        <f aca="false">-$E48*N(AND(CW$3&lt;=$F48,CW$4&gt;=$F48))</f>
        <v>-0</v>
      </c>
      <c r="CX48" s="48" t="n">
        <f aca="false">-$E48*N(AND(CX$3&lt;=$F48,CX$4&gt;=$F48))</f>
        <v>-0</v>
      </c>
      <c r="CY48" s="48" t="n">
        <f aca="false">-$E48*N(AND(CY$3&lt;=$F48,CY$4&gt;=$F48))</f>
        <v>-0</v>
      </c>
      <c r="CZ48" s="48" t="n">
        <f aca="false">-$E48*N(AND(CZ$3&lt;=$F48,CZ$4&gt;=$F48))</f>
        <v>-0</v>
      </c>
      <c r="DA48" s="48" t="n">
        <f aca="false">-$E48*N(AND(DA$3&lt;=$F48,DA$4&gt;=$F48))</f>
        <v>-0</v>
      </c>
      <c r="DB48" s="48" t="n">
        <f aca="false">-$E48*N(AND(DB$3&lt;=$F48,DB$4&gt;=$F48))</f>
        <v>-0</v>
      </c>
      <c r="DC48" s="48" t="n">
        <f aca="false">-$E48*N(AND(DC$3&lt;=$F48,DC$4&gt;=$F48))</f>
        <v>-0</v>
      </c>
      <c r="DD48" s="48" t="n">
        <f aca="false">-$E48*N(AND(DD$3&lt;=$F48,DD$4&gt;=$F48))</f>
        <v>-0</v>
      </c>
      <c r="DE48" s="48" t="n">
        <f aca="false">-$E48*N(AND(DE$3&lt;=$F48,DE$4&gt;=$F48))</f>
        <v>-0</v>
      </c>
      <c r="DF48" s="48" t="n">
        <f aca="false">-$E48*N(AND(DF$3&lt;=$F48,DF$4&gt;=$F48))</f>
        <v>-0</v>
      </c>
      <c r="DG48" s="48" t="n">
        <f aca="false">-$E48*N(AND(DG$3&lt;=$F48,DG$4&gt;=$F48))</f>
        <v>-0</v>
      </c>
      <c r="DH48" s="48" t="n">
        <f aca="false">-$E48*N(AND(DH$3&lt;=$F48,DH$4&gt;=$F48))</f>
        <v>-0</v>
      </c>
      <c r="DI48" s="48" t="n">
        <f aca="false">-$E48*N(AND(DI$3&lt;=$F48,DI$4&gt;=$F48))</f>
        <v>-0</v>
      </c>
      <c r="DJ48" s="48" t="n">
        <f aca="false">-$E48*N(AND(DJ$3&lt;=$F48,DJ$4&gt;=$F48))</f>
        <v>-0</v>
      </c>
      <c r="DK48" s="48" t="n">
        <f aca="false">-$E48*N(AND(DK$3&lt;=$F48,DK$4&gt;=$F48))</f>
        <v>-0</v>
      </c>
      <c r="DL48" s="48" t="n">
        <f aca="false">-$E48*N(AND(DL$3&lt;=$F48,DL$4&gt;=$F48))</f>
        <v>-0</v>
      </c>
      <c r="DM48" s="48" t="n">
        <f aca="false">-$E48*N(AND(DM$3&lt;=$F48,DM$4&gt;=$F48))</f>
        <v>-0</v>
      </c>
      <c r="DN48" s="48" t="n">
        <f aca="false">-$E48*N(AND(DN$3&lt;=$F48,DN$4&gt;=$F48))</f>
        <v>-0</v>
      </c>
      <c r="DO48" s="48" t="n">
        <f aca="false">-$E48*N(AND(DO$3&lt;=$F48,DO$4&gt;=$F48))</f>
        <v>-0</v>
      </c>
      <c r="DP48" s="48" t="n">
        <f aca="false">-$E48*N(AND(DP$3&lt;=$F48,DP$4&gt;=$F48))</f>
        <v>-0</v>
      </c>
      <c r="DQ48" s="48" t="n">
        <f aca="false">-$E48*N(AND(DQ$3&lt;=$F48,DQ$4&gt;=$F48))</f>
        <v>-0</v>
      </c>
      <c r="DR48" s="48" t="n">
        <f aca="false">-$E48*N(AND(DR$3&lt;=$F48,DR$4&gt;=$F48))</f>
        <v>-0</v>
      </c>
      <c r="DS48" s="48" t="n">
        <f aca="false">-$E48*N(AND(DS$3&lt;=$F48,DS$4&gt;=$F48))</f>
        <v>-0</v>
      </c>
      <c r="DT48" s="48" t="n">
        <f aca="false">-$E48*N(AND(DT$3&lt;=$F48,DT$4&gt;=$F48))</f>
        <v>-0</v>
      </c>
      <c r="DU48" s="48" t="n">
        <f aca="false">-$E48*N(AND(DU$3&lt;=$F48,DU$4&gt;=$F48))</f>
        <v>-0</v>
      </c>
      <c r="DV48" s="48" t="n">
        <f aca="false">-$E48*N(AND(DV$3&lt;=$F48,DV$4&gt;=$F48))</f>
        <v>-0</v>
      </c>
      <c r="DW48" s="48" t="n">
        <f aca="false">-$E48*N(AND(DW$3&lt;=$F48,DW$4&gt;=$F48))</f>
        <v>-0</v>
      </c>
      <c r="DX48" s="48" t="n">
        <f aca="false">-$E48*N(AND(DX$3&lt;=$F48,DX$4&gt;=$F48))</f>
        <v>-0</v>
      </c>
      <c r="DY48" s="48" t="n">
        <f aca="false">-$E48*N(AND(DY$3&lt;=$F48,DY$4&gt;=$F48))</f>
        <v>-0</v>
      </c>
      <c r="DZ48" s="48" t="n">
        <f aca="false">-$E48*N(AND(DZ$3&lt;=$F48,DZ$4&gt;=$F48))</f>
        <v>-0</v>
      </c>
      <c r="EA48" s="48" t="n">
        <f aca="false">-$E48*N(AND(EA$3&lt;=$F48,EA$4&gt;=$F48))</f>
        <v>-0</v>
      </c>
      <c r="EB48" s="48" t="n">
        <f aca="false">-$E48*N(AND(EB$3&lt;=$F48,EB$4&gt;=$F48))</f>
        <v>-0</v>
      </c>
      <c r="EC48" s="48" t="n">
        <f aca="false">-$E48*N(AND(EC$3&lt;=$F48,EC$4&gt;=$F48))</f>
        <v>-0</v>
      </c>
      <c r="ED48" s="48" t="n">
        <f aca="false">-$E48*N(AND(ED$3&lt;=$F48,ED$4&gt;=$F48))</f>
        <v>-0</v>
      </c>
      <c r="EE48" s="48" t="n">
        <f aca="false">-$E48*N(AND(EE$3&lt;=$F48,EE$4&gt;=$F48))</f>
        <v>-0</v>
      </c>
      <c r="EF48" s="48" t="n">
        <f aca="false">-$E48*N(AND(EF$3&lt;=$F48,EF$4&gt;=$F48))</f>
        <v>-0</v>
      </c>
      <c r="EG48" s="48" t="n">
        <f aca="false">-$E48*N(AND(EG$3&lt;=$F48,EG$4&gt;=$F48))</f>
        <v>-0</v>
      </c>
      <c r="EH48" s="48" t="n">
        <f aca="false">-$E48*N(AND(EH$3&lt;=$F48,EH$4&gt;=$F48))</f>
        <v>-0</v>
      </c>
      <c r="EI48" s="48" t="n">
        <f aca="false">-$E48*N(AND(EI$3&lt;=$F48,EI$4&gt;=$F48))</f>
        <v>-0</v>
      </c>
      <c r="EJ48" s="48" t="n">
        <f aca="false">-$E48*N(AND(EJ$3&lt;=$F48,EJ$4&gt;=$F48))</f>
        <v>-0</v>
      </c>
      <c r="EK48" s="48" t="n">
        <f aca="false">-$E48*N(AND(EK$3&lt;=$F48,EK$4&gt;=$F48))</f>
        <v>-0</v>
      </c>
      <c r="EL48" s="48" t="n">
        <f aca="false">-$E48*N(AND(EL$3&lt;=$F48,EL$4&gt;=$F48))</f>
        <v>-0</v>
      </c>
      <c r="EM48" s="48" t="n">
        <f aca="false">-$E48*N(AND(EM$3&lt;=$F48,EM$4&gt;=$F48))</f>
        <v>-0</v>
      </c>
      <c r="EN48" s="48" t="n">
        <f aca="false">-$E48*N(AND(EN$3&lt;=$F48,EN$4&gt;=$F48))</f>
        <v>-0</v>
      </c>
      <c r="EO48" s="48" t="n">
        <f aca="false">-$E48*N(AND(EO$3&lt;=$F48,EO$4&gt;=$F48))</f>
        <v>-0</v>
      </c>
    </row>
    <row r="49" customFormat="false" ht="15" hidden="false" customHeight="false" outlineLevel="0" collapsed="false">
      <c r="C49" s="1" t="s">
        <v>412</v>
      </c>
      <c r="D49" s="12" t="s">
        <v>33</v>
      </c>
      <c r="E49" s="48" t="n">
        <f aca="false">In_Bid_Rate*$E47*Thousand/In_FX</f>
        <v>443.287671232877</v>
      </c>
      <c r="F49" s="21" t="n">
        <f aca="false">In_Bid_Date</f>
        <v>46325</v>
      </c>
      <c r="J49" s="48" t="n">
        <f aca="false">$E49*MAX(0,(MIN(In_Decision_Date+In_PB_Days-1,J$4)-MAX($F49,J$3)+1)/J$5)</f>
        <v>303.55568790947</v>
      </c>
      <c r="K49" s="48" t="n">
        <f aca="false">$E49*MAX(0,(MIN(In_Decision_Date+In_PB_Days-1,K$4)-MAX($F49,K$3)+1)/K$5)</f>
        <v>221.643835616438</v>
      </c>
      <c r="L49" s="48" t="n">
        <f aca="false">$E49*MAX(0,(MIN(In_Decision_Date+In_PB_Days-1,L$4)-MAX($F49,L$3)+1)/L$5)</f>
        <v>0</v>
      </c>
      <c r="M49" s="48" t="n">
        <f aca="false">$E49*MAX(0,(MIN(In_Decision_Date+In_PB_Days-1,M$4)-MAX($F49,M$3)+1)/M$5)</f>
        <v>0</v>
      </c>
      <c r="N49" s="48" t="n">
        <f aca="false">$E49*MAX(0,(MIN(In_Decision_Date+In_PB_Days-1,N$4)-MAX($F49,N$3)+1)/N$5)</f>
        <v>0</v>
      </c>
      <c r="O49" s="48" t="n">
        <f aca="false">$E49*MAX(0,(MIN(In_Decision_Date+In_PB_Days-1,O$4)-MAX($F49,O$3)+1)/O$5)</f>
        <v>0</v>
      </c>
      <c r="P49" s="48" t="n">
        <f aca="false">$E49*MAX(0,(MIN(In_Decision_Date+In_PB_Days-1,P$4)-MAX($F49,P$3)+1)/P$5)</f>
        <v>0</v>
      </c>
      <c r="Q49" s="48" t="n">
        <f aca="false">$E49*MAX(0,(MIN(In_Decision_Date+In_PB_Days-1,Q$4)-MAX($F49,Q$3)+1)/Q$5)</f>
        <v>0</v>
      </c>
      <c r="R49" s="48" t="n">
        <f aca="false">$E49*MAX(0,(MIN(In_Decision_Date+In_PB_Days-1,R$4)-MAX($F49,R$3)+1)/R$5)</f>
        <v>0</v>
      </c>
      <c r="S49" s="48" t="n">
        <f aca="false">$E49*MAX(0,(MIN(In_Decision_Date+In_PB_Days-1,S$4)-MAX($F49,S$3)+1)/S$5)</f>
        <v>0</v>
      </c>
      <c r="T49" s="48" t="n">
        <f aca="false">$E49*MAX(0,(MIN(In_Decision_Date+In_PB_Days-1,T$4)-MAX($F49,T$3)+1)/T$5)</f>
        <v>0</v>
      </c>
      <c r="U49" s="48" t="n">
        <f aca="false">$E49*MAX(0,(MIN(In_Decision_Date+In_PB_Days-1,U$4)-MAX($F49,U$3)+1)/U$5)</f>
        <v>0</v>
      </c>
      <c r="V49" s="48" t="n">
        <f aca="false">$E49*MAX(0,(MIN(In_Decision_Date+In_PB_Days-1,V$4)-MAX($F49,V$3)+1)/V$5)</f>
        <v>0</v>
      </c>
      <c r="W49" s="48" t="n">
        <f aca="false">$E49*MAX(0,(MIN(In_Decision_Date+In_PB_Days-1,W$4)-MAX($F49,W$3)+1)/W$5)</f>
        <v>0</v>
      </c>
      <c r="X49" s="48" t="n">
        <f aca="false">$E49*MAX(0,(MIN(In_Decision_Date+In_PB_Days-1,X$4)-MAX($F49,X$3)+1)/X$5)</f>
        <v>0</v>
      </c>
      <c r="Y49" s="48" t="n">
        <f aca="false">$E49*MAX(0,(MIN(In_Decision_Date+In_PB_Days-1,Y$4)-MAX($F49,Y$3)+1)/Y$5)</f>
        <v>0</v>
      </c>
      <c r="Z49" s="48" t="n">
        <f aca="false">$E49*MAX(0,(MIN(In_Decision_Date+In_PB_Days-1,Z$4)-MAX($F49,Z$3)+1)/Z$5)</f>
        <v>0</v>
      </c>
      <c r="AA49" s="48" t="n">
        <f aca="false">$E49*MAX(0,(MIN(In_Decision_Date+In_PB_Days-1,AA$4)-MAX($F49,AA$3)+1)/AA$5)</f>
        <v>0</v>
      </c>
      <c r="AB49" s="48" t="n">
        <f aca="false">$E49*MAX(0,(MIN(In_Decision_Date+In_PB_Days-1,AB$4)-MAX($F49,AB$3)+1)/AB$5)</f>
        <v>0</v>
      </c>
      <c r="AC49" s="48" t="n">
        <f aca="false">$E49*MAX(0,(MIN(In_Decision_Date+In_PB_Days-1,AC$4)-MAX($F49,AC$3)+1)/AC$5)</f>
        <v>0</v>
      </c>
      <c r="AD49" s="48" t="n">
        <f aca="false">$E49*MAX(0,(MIN(In_Decision_Date+In_PB_Days-1,AD$4)-MAX($F49,AD$3)+1)/AD$5)</f>
        <v>0</v>
      </c>
      <c r="AE49" s="48" t="n">
        <f aca="false">$E49*MAX(0,(MIN(In_Decision_Date+In_PB_Days-1,AE$4)-MAX($F49,AE$3)+1)/AE$5)</f>
        <v>0</v>
      </c>
      <c r="AF49" s="48" t="n">
        <f aca="false">$E49*MAX(0,(MIN(In_Decision_Date+In_PB_Days-1,AF$4)-MAX($F49,AF$3)+1)/AF$5)</f>
        <v>0</v>
      </c>
      <c r="AG49" s="48" t="n">
        <f aca="false">$E49*MAX(0,(MIN(In_Decision_Date+In_PB_Days-1,AG$4)-MAX($F49,AG$3)+1)/AG$5)</f>
        <v>0</v>
      </c>
      <c r="AH49" s="48" t="n">
        <f aca="false">$E49*MAX(0,(MIN(In_Decision_Date+In_PB_Days-1,AH$4)-MAX($F49,AH$3)+1)/AH$5)</f>
        <v>0</v>
      </c>
      <c r="AI49" s="48" t="n">
        <f aca="false">$E49*MAX(0,(MIN(In_Decision_Date+In_PB_Days-1,AI$4)-MAX($F49,AI$3)+1)/AI$5)</f>
        <v>0</v>
      </c>
      <c r="AJ49" s="48" t="n">
        <f aca="false">$E49*MAX(0,(MIN(In_Decision_Date+In_PB_Days-1,AJ$4)-MAX($F49,AJ$3)+1)/AJ$5)</f>
        <v>0</v>
      </c>
      <c r="AK49" s="48" t="n">
        <f aca="false">$E49*MAX(0,(MIN(In_Decision_Date+In_PB_Days-1,AK$4)-MAX($F49,AK$3)+1)/AK$5)</f>
        <v>0</v>
      </c>
      <c r="AL49" s="48" t="n">
        <f aca="false">$E49*MAX(0,(MIN(In_Decision_Date+In_PB_Days-1,AL$4)-MAX($F49,AL$3)+1)/AL$5)</f>
        <v>0</v>
      </c>
      <c r="AM49" s="48" t="n">
        <f aca="false">$E49*MAX(0,(MIN(In_Decision_Date+In_PB_Days-1,AM$4)-MAX($F49,AM$3)+1)/AM$5)</f>
        <v>0</v>
      </c>
      <c r="AN49" s="48" t="n">
        <f aca="false">$E49*MAX(0,(MIN(In_Decision_Date+In_PB_Days-1,AN$4)-MAX($F49,AN$3)+1)/AN$5)</f>
        <v>0</v>
      </c>
      <c r="AO49" s="48" t="n">
        <f aca="false">$E49*MAX(0,(MIN(In_Decision_Date+In_PB_Days-1,AO$4)-MAX($F49,AO$3)+1)/AO$5)</f>
        <v>0</v>
      </c>
      <c r="AP49" s="48" t="n">
        <f aca="false">$E49*MAX(0,(MIN(In_Decision_Date+In_PB_Days-1,AP$4)-MAX($F49,AP$3)+1)/AP$5)</f>
        <v>0</v>
      </c>
      <c r="AQ49" s="48" t="n">
        <f aca="false">$E49*MAX(0,(MIN(In_Decision_Date+In_PB_Days-1,AQ$4)-MAX($F49,AQ$3)+1)/AQ$5)</f>
        <v>0</v>
      </c>
      <c r="AR49" s="48" t="n">
        <f aca="false">$E49*MAX(0,(MIN(In_Decision_Date+In_PB_Days-1,AR$4)-MAX($F49,AR$3)+1)/AR$5)</f>
        <v>0</v>
      </c>
      <c r="AS49" s="48" t="n">
        <f aca="false">$E49*MAX(0,(MIN(In_Decision_Date+In_PB_Days-1,AS$4)-MAX($F49,AS$3)+1)/AS$5)</f>
        <v>0</v>
      </c>
      <c r="AT49" s="48" t="n">
        <f aca="false">$E49*MAX(0,(MIN(In_Decision_Date+In_PB_Days-1,AT$4)-MAX($F49,AT$3)+1)/AT$5)</f>
        <v>0</v>
      </c>
      <c r="AU49" s="48" t="n">
        <f aca="false">$E49*MAX(0,(MIN(In_Decision_Date+In_PB_Days-1,AU$4)-MAX($F49,AU$3)+1)/AU$5)</f>
        <v>0</v>
      </c>
      <c r="AV49" s="48" t="n">
        <f aca="false">$E49*MAX(0,(MIN(In_Decision_Date+In_PB_Days-1,AV$4)-MAX($F49,AV$3)+1)/AV$5)</f>
        <v>0</v>
      </c>
      <c r="AW49" s="48" t="n">
        <f aca="false">$E49*MAX(0,(MIN(In_Decision_Date+In_PB_Days-1,AW$4)-MAX($F49,AW$3)+1)/AW$5)</f>
        <v>0</v>
      </c>
      <c r="AX49" s="48" t="n">
        <f aca="false">$E49*MAX(0,(MIN(In_Decision_Date+In_PB_Days-1,AX$4)-MAX($F49,AX$3)+1)/AX$5)</f>
        <v>0</v>
      </c>
      <c r="AY49" s="48" t="n">
        <f aca="false">$E49*MAX(0,(MIN(In_Decision_Date+In_PB_Days-1,AY$4)-MAX($F49,AY$3)+1)/AY$5)</f>
        <v>0</v>
      </c>
      <c r="AZ49" s="48" t="n">
        <f aca="false">$E49*MAX(0,(MIN(In_Decision_Date+In_PB_Days-1,AZ$4)-MAX($F49,AZ$3)+1)/AZ$5)</f>
        <v>0</v>
      </c>
      <c r="BA49" s="48" t="n">
        <f aca="false">$E49*MAX(0,(MIN(In_Decision_Date+In_PB_Days-1,BA$4)-MAX($F49,BA$3)+1)/BA$5)</f>
        <v>0</v>
      </c>
      <c r="BB49" s="48" t="n">
        <f aca="false">$E49*MAX(0,(MIN(In_Decision_Date+In_PB_Days-1,BB$4)-MAX($F49,BB$3)+1)/BB$5)</f>
        <v>0</v>
      </c>
      <c r="BC49" s="48" t="n">
        <f aca="false">$E49*MAX(0,(MIN(In_Decision_Date+In_PB_Days-1,BC$4)-MAX($F49,BC$3)+1)/BC$5)</f>
        <v>0</v>
      </c>
      <c r="BD49" s="48" t="n">
        <f aca="false">$E49*MAX(0,(MIN(In_Decision_Date+In_PB_Days-1,BD$4)-MAX($F49,BD$3)+1)/BD$5)</f>
        <v>0</v>
      </c>
      <c r="BE49" s="48" t="n">
        <f aca="false">$E49*MAX(0,(MIN(In_Decision_Date+In_PB_Days-1,BE$4)-MAX($F49,BE$3)+1)/BE$5)</f>
        <v>0</v>
      </c>
      <c r="BF49" s="48" t="n">
        <f aca="false">$E49*MAX(0,(MIN(In_Decision_Date+In_PB_Days-1,BF$4)-MAX($F49,BF$3)+1)/BF$5)</f>
        <v>0</v>
      </c>
      <c r="BG49" s="48" t="n">
        <f aca="false">$E49*MAX(0,(MIN(In_Decision_Date+In_PB_Days-1,BG$4)-MAX($F49,BG$3)+1)/BG$5)</f>
        <v>0</v>
      </c>
      <c r="BH49" s="48" t="n">
        <f aca="false">$E49*MAX(0,(MIN(In_Decision_Date+In_PB_Days-1,BH$4)-MAX($F49,BH$3)+1)/BH$5)</f>
        <v>0</v>
      </c>
      <c r="BI49" s="48" t="n">
        <f aca="false">$E49*MAX(0,(MIN(In_Decision_Date+In_PB_Days-1,BI$4)-MAX($F49,BI$3)+1)/BI$5)</f>
        <v>0</v>
      </c>
      <c r="BJ49" s="48" t="n">
        <f aca="false">$E49*MAX(0,(MIN(In_Decision_Date+In_PB_Days-1,BJ$4)-MAX($F49,BJ$3)+1)/BJ$5)</f>
        <v>0</v>
      </c>
      <c r="BK49" s="48" t="n">
        <f aca="false">$E49*MAX(0,(MIN(In_Decision_Date+In_PB_Days-1,BK$4)-MAX($F49,BK$3)+1)/BK$5)</f>
        <v>0</v>
      </c>
      <c r="BL49" s="48" t="n">
        <f aca="false">$E49*MAX(0,(MIN(In_Decision_Date+In_PB_Days-1,BL$4)-MAX($F49,BL$3)+1)/BL$5)</f>
        <v>0</v>
      </c>
      <c r="BM49" s="48" t="n">
        <f aca="false">$E49*MAX(0,(MIN(In_Decision_Date+In_PB_Days-1,BM$4)-MAX($F49,BM$3)+1)/BM$5)</f>
        <v>0</v>
      </c>
      <c r="BN49" s="48" t="n">
        <f aca="false">$E49*MAX(0,(MIN(In_Decision_Date+In_PB_Days-1,BN$4)-MAX($F49,BN$3)+1)/BN$5)</f>
        <v>0</v>
      </c>
      <c r="BO49" s="48" t="n">
        <f aca="false">$E49*MAX(0,(MIN(In_Decision_Date+In_PB_Days-1,BO$4)-MAX($F49,BO$3)+1)/BO$5)</f>
        <v>0</v>
      </c>
      <c r="BP49" s="48" t="n">
        <f aca="false">$E49*MAX(0,(MIN(In_Decision_Date+In_PB_Days-1,BP$4)-MAX($F49,BP$3)+1)/BP$5)</f>
        <v>0</v>
      </c>
      <c r="BQ49" s="48" t="n">
        <f aca="false">$E49*MAX(0,(MIN(In_Decision_Date+In_PB_Days-1,BQ$4)-MAX($F49,BQ$3)+1)/BQ$5)</f>
        <v>0</v>
      </c>
      <c r="BR49" s="48" t="n">
        <f aca="false">$E49*MAX(0,(MIN(In_Decision_Date+In_PB_Days-1,BR$4)-MAX($F49,BR$3)+1)/BR$5)</f>
        <v>0</v>
      </c>
      <c r="BS49" s="48" t="n">
        <f aca="false">$E49*MAX(0,(MIN(In_Decision_Date+In_PB_Days-1,BS$4)-MAX($F49,BS$3)+1)/BS$5)</f>
        <v>0</v>
      </c>
      <c r="BT49" s="48" t="n">
        <f aca="false">$E49*MAX(0,(MIN(In_Decision_Date+In_PB_Days-1,BT$4)-MAX($F49,BT$3)+1)/BT$5)</f>
        <v>0</v>
      </c>
      <c r="BU49" s="48" t="n">
        <f aca="false">$E49*MAX(0,(MIN(In_Decision_Date+In_PB_Days-1,BU$4)-MAX($F49,BU$3)+1)/BU$5)</f>
        <v>0</v>
      </c>
      <c r="BV49" s="48" t="n">
        <f aca="false">$E49*MAX(0,(MIN(In_Decision_Date+In_PB_Days-1,BV$4)-MAX($F49,BV$3)+1)/BV$5)</f>
        <v>0</v>
      </c>
      <c r="BW49" s="48" t="n">
        <f aca="false">$E49*MAX(0,(MIN(In_Decision_Date+In_PB_Days-1,BW$4)-MAX($F49,BW$3)+1)/BW$5)</f>
        <v>0</v>
      </c>
      <c r="BX49" s="48" t="n">
        <f aca="false">$E49*MAX(0,(MIN(In_Decision_Date+In_PB_Days-1,BX$4)-MAX($F49,BX$3)+1)/BX$5)</f>
        <v>0</v>
      </c>
      <c r="BY49" s="48" t="n">
        <f aca="false">$E49*MAX(0,(MIN(In_Decision_Date+In_PB_Days-1,BY$4)-MAX($F49,BY$3)+1)/BY$5)</f>
        <v>0</v>
      </c>
      <c r="BZ49" s="48" t="n">
        <f aca="false">$E49*MAX(0,(MIN(In_Decision_Date+In_PB_Days-1,BZ$4)-MAX($F49,BZ$3)+1)/BZ$5)</f>
        <v>0</v>
      </c>
      <c r="CA49" s="48" t="n">
        <f aca="false">$E49*MAX(0,(MIN(In_Decision_Date+In_PB_Days-1,CA$4)-MAX($F49,CA$3)+1)/CA$5)</f>
        <v>0</v>
      </c>
      <c r="CB49" s="48" t="n">
        <f aca="false">$E49*MAX(0,(MIN(In_Decision_Date+In_PB_Days-1,CB$4)-MAX($F49,CB$3)+1)/CB$5)</f>
        <v>0</v>
      </c>
      <c r="CC49" s="48" t="n">
        <f aca="false">$E49*MAX(0,(MIN(In_Decision_Date+In_PB_Days-1,CC$4)-MAX($F49,CC$3)+1)/CC$5)</f>
        <v>0</v>
      </c>
      <c r="CD49" s="48" t="n">
        <f aca="false">$E49*MAX(0,(MIN(In_Decision_Date+In_PB_Days-1,CD$4)-MAX($F49,CD$3)+1)/CD$5)</f>
        <v>0</v>
      </c>
      <c r="CE49" s="48" t="n">
        <f aca="false">$E49*MAX(0,(MIN(In_Decision_Date+In_PB_Days-1,CE$4)-MAX($F49,CE$3)+1)/CE$5)</f>
        <v>0</v>
      </c>
      <c r="CF49" s="48" t="n">
        <f aca="false">$E49*MAX(0,(MIN(In_Decision_Date+In_PB_Days-1,CF$4)-MAX($F49,CF$3)+1)/CF$5)</f>
        <v>0</v>
      </c>
      <c r="CG49" s="48" t="n">
        <f aca="false">$E49*MAX(0,(MIN(In_Decision_Date+In_PB_Days-1,CG$4)-MAX($F49,CG$3)+1)/CG$5)</f>
        <v>0</v>
      </c>
      <c r="CH49" s="48" t="n">
        <f aca="false">$E49*MAX(0,(MIN(In_Decision_Date+In_PB_Days-1,CH$4)-MAX($F49,CH$3)+1)/CH$5)</f>
        <v>0</v>
      </c>
      <c r="CI49" s="48" t="n">
        <f aca="false">$E49*MAX(0,(MIN(In_Decision_Date+In_PB_Days-1,CI$4)-MAX($F49,CI$3)+1)/CI$5)</f>
        <v>0</v>
      </c>
      <c r="CJ49" s="48" t="n">
        <f aca="false">$E49*MAX(0,(MIN(In_Decision_Date+In_PB_Days-1,CJ$4)-MAX($F49,CJ$3)+1)/CJ$5)</f>
        <v>0</v>
      </c>
      <c r="CK49" s="48" t="n">
        <f aca="false">$E49*MAX(0,(MIN(In_Decision_Date+In_PB_Days-1,CK$4)-MAX($F49,CK$3)+1)/CK$5)</f>
        <v>0</v>
      </c>
      <c r="CL49" s="48" t="n">
        <f aca="false">$E49*MAX(0,(MIN(In_Decision_Date+In_PB_Days-1,CL$4)-MAX($F49,CL$3)+1)/CL$5)</f>
        <v>0</v>
      </c>
      <c r="CM49" s="48" t="n">
        <f aca="false">$E49*MAX(0,(MIN(In_Decision_Date+In_PB_Days-1,CM$4)-MAX($F49,CM$3)+1)/CM$5)</f>
        <v>0</v>
      </c>
      <c r="CN49" s="48" t="n">
        <f aca="false">$E49*MAX(0,(MIN(In_Decision_Date+In_PB_Days-1,CN$4)-MAX($F49,CN$3)+1)/CN$5)</f>
        <v>0</v>
      </c>
      <c r="CO49" s="48" t="n">
        <f aca="false">$E49*MAX(0,(MIN(In_Decision_Date+In_PB_Days-1,CO$4)-MAX($F49,CO$3)+1)/CO$5)</f>
        <v>0</v>
      </c>
      <c r="CP49" s="48" t="n">
        <f aca="false">$E49*MAX(0,(MIN(In_Decision_Date+In_PB_Days-1,CP$4)-MAX($F49,CP$3)+1)/CP$5)</f>
        <v>0</v>
      </c>
      <c r="CQ49" s="48" t="n">
        <f aca="false">$E49*MAX(0,(MIN(In_Decision_Date+In_PB_Days-1,CQ$4)-MAX($F49,CQ$3)+1)/CQ$5)</f>
        <v>0</v>
      </c>
      <c r="CR49" s="48" t="n">
        <f aca="false">$E49*MAX(0,(MIN(In_Decision_Date+In_PB_Days-1,CR$4)-MAX($F49,CR$3)+1)/CR$5)</f>
        <v>0</v>
      </c>
      <c r="CS49" s="48" t="n">
        <f aca="false">$E49*MAX(0,(MIN(In_Decision_Date+In_PB_Days-1,CS$4)-MAX($F49,CS$3)+1)/CS$5)</f>
        <v>0</v>
      </c>
      <c r="CT49" s="48" t="n">
        <f aca="false">$E49*MAX(0,(MIN(In_Decision_Date+In_PB_Days-1,CT$4)-MAX($F49,CT$3)+1)/CT$5)</f>
        <v>0</v>
      </c>
      <c r="CU49" s="48" t="n">
        <f aca="false">$E49*MAX(0,(MIN(In_Decision_Date+In_PB_Days-1,CU$4)-MAX($F49,CU$3)+1)/CU$5)</f>
        <v>0</v>
      </c>
      <c r="CV49" s="48" t="n">
        <f aca="false">$E49*MAX(0,(MIN(In_Decision_Date+In_PB_Days-1,CV$4)-MAX($F49,CV$3)+1)/CV$5)</f>
        <v>0</v>
      </c>
      <c r="CW49" s="48" t="n">
        <f aca="false">$E49*MAX(0,(MIN(In_Decision_Date+In_PB_Days-1,CW$4)-MAX($F49,CW$3)+1)/CW$5)</f>
        <v>0</v>
      </c>
      <c r="CX49" s="48" t="n">
        <f aca="false">$E49*MAX(0,(MIN(In_Decision_Date+In_PB_Days-1,CX$4)-MAX($F49,CX$3)+1)/CX$5)</f>
        <v>0</v>
      </c>
      <c r="CY49" s="48" t="n">
        <f aca="false">$E49*MAX(0,(MIN(In_Decision_Date+In_PB_Days-1,CY$4)-MAX($F49,CY$3)+1)/CY$5)</f>
        <v>0</v>
      </c>
      <c r="CZ49" s="48" t="n">
        <f aca="false">$E49*MAX(0,(MIN(In_Decision_Date+In_PB_Days-1,CZ$4)-MAX($F49,CZ$3)+1)/CZ$5)</f>
        <v>0</v>
      </c>
      <c r="DA49" s="48" t="n">
        <f aca="false">$E49*MAX(0,(MIN(In_Decision_Date+In_PB_Days-1,DA$4)-MAX($F49,DA$3)+1)/DA$5)</f>
        <v>0</v>
      </c>
      <c r="DB49" s="48" t="n">
        <f aca="false">$E49*MAX(0,(MIN(In_Decision_Date+In_PB_Days-1,DB$4)-MAX($F49,DB$3)+1)/DB$5)</f>
        <v>0</v>
      </c>
      <c r="DC49" s="48" t="n">
        <f aca="false">$E49*MAX(0,(MIN(In_Decision_Date+In_PB_Days-1,DC$4)-MAX($F49,DC$3)+1)/DC$5)</f>
        <v>0</v>
      </c>
      <c r="DD49" s="48" t="n">
        <f aca="false">$E49*MAX(0,(MIN(In_Decision_Date+In_PB_Days-1,DD$4)-MAX($F49,DD$3)+1)/DD$5)</f>
        <v>0</v>
      </c>
      <c r="DE49" s="48" t="n">
        <f aca="false">$E49*MAX(0,(MIN(In_Decision_Date+In_PB_Days-1,DE$4)-MAX($F49,DE$3)+1)/DE$5)</f>
        <v>0</v>
      </c>
      <c r="DF49" s="48" t="n">
        <f aca="false">$E49*MAX(0,(MIN(In_Decision_Date+In_PB_Days-1,DF$4)-MAX($F49,DF$3)+1)/DF$5)</f>
        <v>0</v>
      </c>
      <c r="DG49" s="48" t="n">
        <f aca="false">$E49*MAX(0,(MIN(In_Decision_Date+In_PB_Days-1,DG$4)-MAX($F49,DG$3)+1)/DG$5)</f>
        <v>0</v>
      </c>
      <c r="DH49" s="48" t="n">
        <f aca="false">$E49*MAX(0,(MIN(In_Decision_Date+In_PB_Days-1,DH$4)-MAX($F49,DH$3)+1)/DH$5)</f>
        <v>0</v>
      </c>
      <c r="DI49" s="48" t="n">
        <f aca="false">$E49*MAX(0,(MIN(In_Decision_Date+In_PB_Days-1,DI$4)-MAX($F49,DI$3)+1)/DI$5)</f>
        <v>0</v>
      </c>
      <c r="DJ49" s="48" t="n">
        <f aca="false">$E49*MAX(0,(MIN(In_Decision_Date+In_PB_Days-1,DJ$4)-MAX($F49,DJ$3)+1)/DJ$5)</f>
        <v>0</v>
      </c>
      <c r="DK49" s="48" t="n">
        <f aca="false">$E49*MAX(0,(MIN(In_Decision_Date+In_PB_Days-1,DK$4)-MAX($F49,DK$3)+1)/DK$5)</f>
        <v>0</v>
      </c>
      <c r="DL49" s="48" t="n">
        <f aca="false">$E49*MAX(0,(MIN(In_Decision_Date+In_PB_Days-1,DL$4)-MAX($F49,DL$3)+1)/DL$5)</f>
        <v>0</v>
      </c>
      <c r="DM49" s="48" t="n">
        <f aca="false">$E49*MAX(0,(MIN(In_Decision_Date+In_PB_Days-1,DM$4)-MAX($F49,DM$3)+1)/DM$5)</f>
        <v>0</v>
      </c>
      <c r="DN49" s="48" t="n">
        <f aca="false">$E49*MAX(0,(MIN(In_Decision_Date+In_PB_Days-1,DN$4)-MAX($F49,DN$3)+1)/DN$5)</f>
        <v>0</v>
      </c>
      <c r="DO49" s="48" t="n">
        <f aca="false">$E49*MAX(0,(MIN(In_Decision_Date+In_PB_Days-1,DO$4)-MAX($F49,DO$3)+1)/DO$5)</f>
        <v>0</v>
      </c>
      <c r="DP49" s="48" t="n">
        <f aca="false">$E49*MAX(0,(MIN(In_Decision_Date+In_PB_Days-1,DP$4)-MAX($F49,DP$3)+1)/DP$5)</f>
        <v>0</v>
      </c>
      <c r="DQ49" s="48" t="n">
        <f aca="false">$E49*MAX(0,(MIN(In_Decision_Date+In_PB_Days-1,DQ$4)-MAX($F49,DQ$3)+1)/DQ$5)</f>
        <v>0</v>
      </c>
      <c r="DR49" s="48" t="n">
        <f aca="false">$E49*MAX(0,(MIN(In_Decision_Date+In_PB_Days-1,DR$4)-MAX($F49,DR$3)+1)/DR$5)</f>
        <v>0</v>
      </c>
      <c r="DS49" s="48" t="n">
        <f aca="false">$E49*MAX(0,(MIN(In_Decision_Date+In_PB_Days-1,DS$4)-MAX($F49,DS$3)+1)/DS$5)</f>
        <v>0</v>
      </c>
      <c r="DT49" s="48" t="n">
        <f aca="false">$E49*MAX(0,(MIN(In_Decision_Date+In_PB_Days-1,DT$4)-MAX($F49,DT$3)+1)/DT$5)</f>
        <v>0</v>
      </c>
      <c r="DU49" s="48" t="n">
        <f aca="false">$E49*MAX(0,(MIN(In_Decision_Date+In_PB_Days-1,DU$4)-MAX($F49,DU$3)+1)/DU$5)</f>
        <v>0</v>
      </c>
      <c r="DV49" s="48" t="n">
        <f aca="false">$E49*MAX(0,(MIN(In_Decision_Date+In_PB_Days-1,DV$4)-MAX($F49,DV$3)+1)/DV$5)</f>
        <v>0</v>
      </c>
      <c r="DW49" s="48" t="n">
        <f aca="false">$E49*MAX(0,(MIN(In_Decision_Date+In_PB_Days-1,DW$4)-MAX($F49,DW$3)+1)/DW$5)</f>
        <v>0</v>
      </c>
      <c r="DX49" s="48" t="n">
        <f aca="false">$E49*MAX(0,(MIN(In_Decision_Date+In_PB_Days-1,DX$4)-MAX($F49,DX$3)+1)/DX$5)</f>
        <v>0</v>
      </c>
      <c r="DY49" s="48" t="n">
        <f aca="false">$E49*MAX(0,(MIN(In_Decision_Date+In_PB_Days-1,DY$4)-MAX($F49,DY$3)+1)/DY$5)</f>
        <v>0</v>
      </c>
      <c r="DZ49" s="48" t="n">
        <f aca="false">$E49*MAX(0,(MIN(In_Decision_Date+In_PB_Days-1,DZ$4)-MAX($F49,DZ$3)+1)/DZ$5)</f>
        <v>0</v>
      </c>
      <c r="EA49" s="48" t="n">
        <f aca="false">$E49*MAX(0,(MIN(In_Decision_Date+In_PB_Days-1,EA$4)-MAX($F49,EA$3)+1)/EA$5)</f>
        <v>0</v>
      </c>
      <c r="EB49" s="48" t="n">
        <f aca="false">$E49*MAX(0,(MIN(In_Decision_Date+In_PB_Days-1,EB$4)-MAX($F49,EB$3)+1)/EB$5)</f>
        <v>0</v>
      </c>
      <c r="EC49" s="48" t="n">
        <f aca="false">$E49*MAX(0,(MIN(In_Decision_Date+In_PB_Days-1,EC$4)-MAX($F49,EC$3)+1)/EC$5)</f>
        <v>0</v>
      </c>
      <c r="ED49" s="48" t="n">
        <f aca="false">$E49*MAX(0,(MIN(In_Decision_Date+In_PB_Days-1,ED$4)-MAX($F49,ED$3)+1)/ED$5)</f>
        <v>0</v>
      </c>
      <c r="EE49" s="48" t="n">
        <f aca="false">$E49*MAX(0,(MIN(In_Decision_Date+In_PB_Days-1,EE$4)-MAX($F49,EE$3)+1)/EE$5)</f>
        <v>0</v>
      </c>
      <c r="EF49" s="48" t="n">
        <f aca="false">$E49*MAX(0,(MIN(In_Decision_Date+In_PB_Days-1,EF$4)-MAX($F49,EF$3)+1)/EF$5)</f>
        <v>0</v>
      </c>
      <c r="EG49" s="48" t="n">
        <f aca="false">$E49*MAX(0,(MIN(In_Decision_Date+In_PB_Days-1,EG$4)-MAX($F49,EG$3)+1)/EG$5)</f>
        <v>0</v>
      </c>
      <c r="EH49" s="48" t="n">
        <f aca="false">$E49*MAX(0,(MIN(In_Decision_Date+In_PB_Days-1,EH$4)-MAX($F49,EH$3)+1)/EH$5)</f>
        <v>0</v>
      </c>
      <c r="EI49" s="48" t="n">
        <f aca="false">$E49*MAX(0,(MIN(In_Decision_Date+In_PB_Days-1,EI$4)-MAX($F49,EI$3)+1)/EI$5)</f>
        <v>0</v>
      </c>
      <c r="EJ49" s="48" t="n">
        <f aca="false">$E49*MAX(0,(MIN(In_Decision_Date+In_PB_Days-1,EJ$4)-MAX($F49,EJ$3)+1)/EJ$5)</f>
        <v>0</v>
      </c>
      <c r="EK49" s="48" t="n">
        <f aca="false">$E49*MAX(0,(MIN(In_Decision_Date+In_PB_Days-1,EK$4)-MAX($F49,EK$3)+1)/EK$5)</f>
        <v>0</v>
      </c>
      <c r="EL49" s="48" t="n">
        <f aca="false">$E49*MAX(0,(MIN(In_Decision_Date+In_PB_Days-1,EL$4)-MAX($F49,EL$3)+1)/EL$5)</f>
        <v>0</v>
      </c>
      <c r="EM49" s="48" t="n">
        <f aca="false">$E49*MAX(0,(MIN(In_Decision_Date+In_PB_Days-1,EM$4)-MAX($F49,EM$3)+1)/EM$5)</f>
        <v>0</v>
      </c>
      <c r="EN49" s="48" t="n">
        <f aca="false">$E49*MAX(0,(MIN(In_Decision_Date+In_PB_Days-1,EN$4)-MAX($F49,EN$3)+1)/EN$5)</f>
        <v>0</v>
      </c>
      <c r="EO49" s="48" t="n">
        <f aca="false">$E49*MAX(0,(MIN(In_Decision_Date+In_PB_Days-1,EO$4)-MAX($F49,EO$3)+1)/EO$5)</f>
        <v>0</v>
      </c>
    </row>
    <row r="50" customFormat="false" ht="15" hidden="false" customHeight="false" outlineLevel="0" collapsed="false">
      <c r="C50" s="1" t="s">
        <v>413</v>
      </c>
      <c r="D50" s="12" t="s">
        <v>33</v>
      </c>
      <c r="E50" s="48" t="n">
        <f aca="false">In_PB_Rate*$E36*$E47*Thousand/In_FX</f>
        <v>2216.43835616438</v>
      </c>
      <c r="F50" s="46" t="n">
        <f aca="false">In_Decision_Date+In_PB_Days</f>
        <v>46433</v>
      </c>
      <c r="J50" s="48" t="n">
        <f aca="false">$E50*MAX(0,(MIN(In_PB_Release,J$4)-MAX($F50,J$3)+1)/J$5)</f>
        <v>0</v>
      </c>
      <c r="K50" s="48" t="n">
        <f aca="false">$E50*MAX(0,(MIN(In_PB_Release,K$4)-MAX($F50,K$3)+1)/K$5)</f>
        <v>1108.21917808219</v>
      </c>
      <c r="L50" s="48" t="n">
        <f aca="false">$E50*MAX(0,(MIN(In_PB_Release,L$4)-MAX($F50,L$3)+1)/L$5)</f>
        <v>2216.43835616438</v>
      </c>
      <c r="M50" s="48" t="n">
        <f aca="false">$E50*MAX(0,(MIN(In_PB_Release,M$4)-MAX($F50,M$3)+1)/M$5)</f>
        <v>2216.43835616438</v>
      </c>
      <c r="N50" s="48" t="n">
        <f aca="false">$E50*MAX(0,(MIN(In_PB_Release,N$4)-MAX($F50,N$3)+1)/N$5)</f>
        <v>2216.43835616438</v>
      </c>
      <c r="O50" s="48" t="n">
        <f aca="false">$E50*MAX(0,(MIN(In_PB_Release,O$4)-MAX($F50,O$3)+1)/O$5)</f>
        <v>2216.43835616438</v>
      </c>
      <c r="P50" s="48" t="n">
        <f aca="false">$E50*MAX(0,(MIN(In_PB_Release,P$4)-MAX($F50,P$3)+1)/P$5)</f>
        <v>2216.43835616438</v>
      </c>
      <c r="Q50" s="48" t="n">
        <f aca="false">$E50*MAX(0,(MIN(In_PB_Release,Q$4)-MAX($F50,Q$3)+1)/Q$5)</f>
        <v>2216.43835616438</v>
      </c>
      <c r="R50" s="48" t="n">
        <f aca="false">$E50*MAX(0,(MIN(In_PB_Release,R$4)-MAX($F50,R$3)+1)/R$5)</f>
        <v>2216.43835616438</v>
      </c>
      <c r="S50" s="48" t="n">
        <f aca="false">$E50*MAX(0,(MIN(In_PB_Release,S$4)-MAX($F50,S$3)+1)/S$5)</f>
        <v>2216.43835616438</v>
      </c>
      <c r="T50" s="48" t="n">
        <f aca="false">$E50*MAX(0,(MIN(In_PB_Release,T$4)-MAX($F50,T$3)+1)/T$5)</f>
        <v>2216.43835616438</v>
      </c>
      <c r="U50" s="48" t="n">
        <f aca="false">$E50*MAX(0,(MIN(In_PB_Release,U$4)-MAX($F50,U$3)+1)/U$5)</f>
        <v>2216.43835616438</v>
      </c>
      <c r="V50" s="48" t="n">
        <f aca="false">$E50*MAX(0,(MIN(In_PB_Release,V$4)-MAX($F50,V$3)+1)/V$5)</f>
        <v>2216.43835616438</v>
      </c>
      <c r="W50" s="48" t="n">
        <f aca="false">$E50*MAX(0,(MIN(In_PB_Release,W$4)-MAX($F50,W$3)+1)/W$5)</f>
        <v>2216.43835616438</v>
      </c>
      <c r="X50" s="48" t="n">
        <f aca="false">$E50*MAX(0,(MIN(In_PB_Release,X$4)-MAX($F50,X$3)+1)/X$5)</f>
        <v>2216.43835616438</v>
      </c>
      <c r="Y50" s="48" t="n">
        <f aca="false">$E50*MAX(0,(MIN(In_PB_Release,Y$4)-MAX($F50,Y$3)+1)/Y$5)</f>
        <v>2216.43835616438</v>
      </c>
      <c r="Z50" s="48" t="n">
        <f aca="false">$E50*MAX(0,(MIN(In_PB_Release,Z$4)-MAX($F50,Z$3)+1)/Z$5)</f>
        <v>2216.43835616438</v>
      </c>
      <c r="AA50" s="48" t="n">
        <f aca="false">$E50*MAX(0,(MIN(In_PB_Release,AA$4)-MAX($F50,AA$3)+1)/AA$5)</f>
        <v>2216.43835616438</v>
      </c>
      <c r="AB50" s="48" t="n">
        <f aca="false">$E50*MAX(0,(MIN(In_PB_Release,AB$4)-MAX($F50,AB$3)+1)/AB$5)</f>
        <v>2216.43835616438</v>
      </c>
      <c r="AC50" s="48" t="n">
        <f aca="false">$E50*MAX(0,(MIN(In_PB_Release,AC$4)-MAX($F50,AC$3)+1)/AC$5)</f>
        <v>2216.43835616438</v>
      </c>
      <c r="AD50" s="48" t="n">
        <f aca="false">$E50*MAX(0,(MIN(In_PB_Release,AD$4)-MAX($F50,AD$3)+1)/AD$5)</f>
        <v>2216.43835616438</v>
      </c>
      <c r="AE50" s="48" t="n">
        <f aca="false">$E50*MAX(0,(MIN(In_PB_Release,AE$4)-MAX($F50,AE$3)+1)/AE$5)</f>
        <v>2216.43835616438</v>
      </c>
      <c r="AF50" s="48" t="n">
        <f aca="false">$E50*MAX(0,(MIN(In_PB_Release,AF$4)-MAX($F50,AF$3)+1)/AF$5)</f>
        <v>2216.43835616438</v>
      </c>
      <c r="AG50" s="48" t="n">
        <f aca="false">$E50*MAX(0,(MIN(In_PB_Release,AG$4)-MAX($F50,AG$3)+1)/AG$5)</f>
        <v>2216.43835616438</v>
      </c>
      <c r="AH50" s="48" t="n">
        <f aca="false">$E50*MAX(0,(MIN(In_PB_Release,AH$4)-MAX($F50,AH$3)+1)/AH$5)</f>
        <v>2216.43835616438</v>
      </c>
      <c r="AI50" s="48" t="n">
        <f aca="false">$E50*MAX(0,(MIN(In_PB_Release,AI$4)-MAX($F50,AI$3)+1)/AI$5)</f>
        <v>2216.43835616438</v>
      </c>
      <c r="AJ50" s="48" t="n">
        <f aca="false">$E50*MAX(0,(MIN(In_PB_Release,AJ$4)-MAX($F50,AJ$3)+1)/AJ$5)</f>
        <v>0</v>
      </c>
      <c r="AK50" s="48" t="n">
        <f aca="false">$E50*MAX(0,(MIN(In_PB_Release,AK$4)-MAX($F50,AK$3)+1)/AK$5)</f>
        <v>0</v>
      </c>
      <c r="AL50" s="48" t="n">
        <f aca="false">$E50*MAX(0,(MIN(In_PB_Release,AL$4)-MAX($F50,AL$3)+1)/AL$5)</f>
        <v>0</v>
      </c>
      <c r="AM50" s="48" t="n">
        <f aca="false">$E50*MAX(0,(MIN(In_PB_Release,AM$4)-MAX($F50,AM$3)+1)/AM$5)</f>
        <v>0</v>
      </c>
      <c r="AN50" s="48" t="n">
        <f aca="false">$E50*MAX(0,(MIN(In_PB_Release,AN$4)-MAX($F50,AN$3)+1)/AN$5)</f>
        <v>0</v>
      </c>
      <c r="AO50" s="48" t="n">
        <f aca="false">$E50*MAX(0,(MIN(In_PB_Release,AO$4)-MAX($F50,AO$3)+1)/AO$5)</f>
        <v>0</v>
      </c>
      <c r="AP50" s="48" t="n">
        <f aca="false">$E50*MAX(0,(MIN(In_PB_Release,AP$4)-MAX($F50,AP$3)+1)/AP$5)</f>
        <v>0</v>
      </c>
      <c r="AQ50" s="48" t="n">
        <f aca="false">$E50*MAX(0,(MIN(In_PB_Release,AQ$4)-MAX($F50,AQ$3)+1)/AQ$5)</f>
        <v>0</v>
      </c>
      <c r="AR50" s="48" t="n">
        <f aca="false">$E50*MAX(0,(MIN(In_PB_Release,AR$4)-MAX($F50,AR$3)+1)/AR$5)</f>
        <v>0</v>
      </c>
      <c r="AS50" s="48" t="n">
        <f aca="false">$E50*MAX(0,(MIN(In_PB_Release,AS$4)-MAX($F50,AS$3)+1)/AS$5)</f>
        <v>0</v>
      </c>
      <c r="AT50" s="48" t="n">
        <f aca="false">$E50*MAX(0,(MIN(In_PB_Release,AT$4)-MAX($F50,AT$3)+1)/AT$5)</f>
        <v>0</v>
      </c>
      <c r="AU50" s="48" t="n">
        <f aca="false">$E50*MAX(0,(MIN(In_PB_Release,AU$4)-MAX($F50,AU$3)+1)/AU$5)</f>
        <v>0</v>
      </c>
      <c r="AV50" s="48" t="n">
        <f aca="false">$E50*MAX(0,(MIN(In_PB_Release,AV$4)-MAX($F50,AV$3)+1)/AV$5)</f>
        <v>0</v>
      </c>
      <c r="AW50" s="48" t="n">
        <f aca="false">$E50*MAX(0,(MIN(In_PB_Release,AW$4)-MAX($F50,AW$3)+1)/AW$5)</f>
        <v>0</v>
      </c>
      <c r="AX50" s="48" t="n">
        <f aca="false">$E50*MAX(0,(MIN(In_PB_Release,AX$4)-MAX($F50,AX$3)+1)/AX$5)</f>
        <v>0</v>
      </c>
      <c r="AY50" s="48" t="n">
        <f aca="false">$E50*MAX(0,(MIN(In_PB_Release,AY$4)-MAX($F50,AY$3)+1)/AY$5)</f>
        <v>0</v>
      </c>
      <c r="AZ50" s="48" t="n">
        <f aca="false">$E50*MAX(0,(MIN(In_PB_Release,AZ$4)-MAX($F50,AZ$3)+1)/AZ$5)</f>
        <v>0</v>
      </c>
      <c r="BA50" s="48" t="n">
        <f aca="false">$E50*MAX(0,(MIN(In_PB_Release,BA$4)-MAX($F50,BA$3)+1)/BA$5)</f>
        <v>0</v>
      </c>
      <c r="BB50" s="48" t="n">
        <f aca="false">$E50*MAX(0,(MIN(In_PB_Release,BB$4)-MAX($F50,BB$3)+1)/BB$5)</f>
        <v>0</v>
      </c>
      <c r="BC50" s="48" t="n">
        <f aca="false">$E50*MAX(0,(MIN(In_PB_Release,BC$4)-MAX($F50,BC$3)+1)/BC$5)</f>
        <v>0</v>
      </c>
      <c r="BD50" s="48" t="n">
        <f aca="false">$E50*MAX(0,(MIN(In_PB_Release,BD$4)-MAX($F50,BD$3)+1)/BD$5)</f>
        <v>0</v>
      </c>
      <c r="BE50" s="48" t="n">
        <f aca="false">$E50*MAX(0,(MIN(In_PB_Release,BE$4)-MAX($F50,BE$3)+1)/BE$5)</f>
        <v>0</v>
      </c>
      <c r="BF50" s="48" t="n">
        <f aca="false">$E50*MAX(0,(MIN(In_PB_Release,BF$4)-MAX($F50,BF$3)+1)/BF$5)</f>
        <v>0</v>
      </c>
      <c r="BG50" s="48" t="n">
        <f aca="false">$E50*MAX(0,(MIN(In_PB_Release,BG$4)-MAX($F50,BG$3)+1)/BG$5)</f>
        <v>0</v>
      </c>
      <c r="BH50" s="48" t="n">
        <f aca="false">$E50*MAX(0,(MIN(In_PB_Release,BH$4)-MAX($F50,BH$3)+1)/BH$5)</f>
        <v>0</v>
      </c>
      <c r="BI50" s="48" t="n">
        <f aca="false">$E50*MAX(0,(MIN(In_PB_Release,BI$4)-MAX($F50,BI$3)+1)/BI$5)</f>
        <v>0</v>
      </c>
      <c r="BJ50" s="48" t="n">
        <f aca="false">$E50*MAX(0,(MIN(In_PB_Release,BJ$4)-MAX($F50,BJ$3)+1)/BJ$5)</f>
        <v>0</v>
      </c>
      <c r="BK50" s="48" t="n">
        <f aca="false">$E50*MAX(0,(MIN(In_PB_Release,BK$4)-MAX($F50,BK$3)+1)/BK$5)</f>
        <v>0</v>
      </c>
      <c r="BL50" s="48" t="n">
        <f aca="false">$E50*MAX(0,(MIN(In_PB_Release,BL$4)-MAX($F50,BL$3)+1)/BL$5)</f>
        <v>0</v>
      </c>
      <c r="BM50" s="48" t="n">
        <f aca="false">$E50*MAX(0,(MIN(In_PB_Release,BM$4)-MAX($F50,BM$3)+1)/BM$5)</f>
        <v>0</v>
      </c>
      <c r="BN50" s="48" t="n">
        <f aca="false">$E50*MAX(0,(MIN(In_PB_Release,BN$4)-MAX($F50,BN$3)+1)/BN$5)</f>
        <v>0</v>
      </c>
      <c r="BO50" s="48" t="n">
        <f aca="false">$E50*MAX(0,(MIN(In_PB_Release,BO$4)-MAX($F50,BO$3)+1)/BO$5)</f>
        <v>0</v>
      </c>
      <c r="BP50" s="48" t="n">
        <f aca="false">$E50*MAX(0,(MIN(In_PB_Release,BP$4)-MAX($F50,BP$3)+1)/BP$5)</f>
        <v>0</v>
      </c>
      <c r="BQ50" s="48" t="n">
        <f aca="false">$E50*MAX(0,(MIN(In_PB_Release,BQ$4)-MAX($F50,BQ$3)+1)/BQ$5)</f>
        <v>0</v>
      </c>
      <c r="BR50" s="48" t="n">
        <f aca="false">$E50*MAX(0,(MIN(In_PB_Release,BR$4)-MAX($F50,BR$3)+1)/BR$5)</f>
        <v>0</v>
      </c>
      <c r="BS50" s="48" t="n">
        <f aca="false">$E50*MAX(0,(MIN(In_PB_Release,BS$4)-MAX($F50,BS$3)+1)/BS$5)</f>
        <v>0</v>
      </c>
      <c r="BT50" s="48" t="n">
        <f aca="false">$E50*MAX(0,(MIN(In_PB_Release,BT$4)-MAX($F50,BT$3)+1)/BT$5)</f>
        <v>0</v>
      </c>
      <c r="BU50" s="48" t="n">
        <f aca="false">$E50*MAX(0,(MIN(In_PB_Release,BU$4)-MAX($F50,BU$3)+1)/BU$5)</f>
        <v>0</v>
      </c>
      <c r="BV50" s="48" t="n">
        <f aca="false">$E50*MAX(0,(MIN(In_PB_Release,BV$4)-MAX($F50,BV$3)+1)/BV$5)</f>
        <v>0</v>
      </c>
      <c r="BW50" s="48" t="n">
        <f aca="false">$E50*MAX(0,(MIN(In_PB_Release,BW$4)-MAX($F50,BW$3)+1)/BW$5)</f>
        <v>0</v>
      </c>
      <c r="BX50" s="48" t="n">
        <f aca="false">$E50*MAX(0,(MIN(In_PB_Release,BX$4)-MAX($F50,BX$3)+1)/BX$5)</f>
        <v>0</v>
      </c>
      <c r="BY50" s="48" t="n">
        <f aca="false">$E50*MAX(0,(MIN(In_PB_Release,BY$4)-MAX($F50,BY$3)+1)/BY$5)</f>
        <v>0</v>
      </c>
      <c r="BZ50" s="48" t="n">
        <f aca="false">$E50*MAX(0,(MIN(In_PB_Release,BZ$4)-MAX($F50,BZ$3)+1)/BZ$5)</f>
        <v>0</v>
      </c>
      <c r="CA50" s="48" t="n">
        <f aca="false">$E50*MAX(0,(MIN(In_PB_Release,CA$4)-MAX($F50,CA$3)+1)/CA$5)</f>
        <v>0</v>
      </c>
      <c r="CB50" s="48" t="n">
        <f aca="false">$E50*MAX(0,(MIN(In_PB_Release,CB$4)-MAX($F50,CB$3)+1)/CB$5)</f>
        <v>0</v>
      </c>
      <c r="CC50" s="48" t="n">
        <f aca="false">$E50*MAX(0,(MIN(In_PB_Release,CC$4)-MAX($F50,CC$3)+1)/CC$5)</f>
        <v>0</v>
      </c>
      <c r="CD50" s="48" t="n">
        <f aca="false">$E50*MAX(0,(MIN(In_PB_Release,CD$4)-MAX($F50,CD$3)+1)/CD$5)</f>
        <v>0</v>
      </c>
      <c r="CE50" s="48" t="n">
        <f aca="false">$E50*MAX(0,(MIN(In_PB_Release,CE$4)-MAX($F50,CE$3)+1)/CE$5)</f>
        <v>0</v>
      </c>
      <c r="CF50" s="48" t="n">
        <f aca="false">$E50*MAX(0,(MIN(In_PB_Release,CF$4)-MAX($F50,CF$3)+1)/CF$5)</f>
        <v>0</v>
      </c>
      <c r="CG50" s="48" t="n">
        <f aca="false">$E50*MAX(0,(MIN(In_PB_Release,CG$4)-MAX($F50,CG$3)+1)/CG$5)</f>
        <v>0</v>
      </c>
      <c r="CH50" s="48" t="n">
        <f aca="false">$E50*MAX(0,(MIN(In_PB_Release,CH$4)-MAX($F50,CH$3)+1)/CH$5)</f>
        <v>0</v>
      </c>
      <c r="CI50" s="48" t="n">
        <f aca="false">$E50*MAX(0,(MIN(In_PB_Release,CI$4)-MAX($F50,CI$3)+1)/CI$5)</f>
        <v>0</v>
      </c>
      <c r="CJ50" s="48" t="n">
        <f aca="false">$E50*MAX(0,(MIN(In_PB_Release,CJ$4)-MAX($F50,CJ$3)+1)/CJ$5)</f>
        <v>0</v>
      </c>
      <c r="CK50" s="48" t="n">
        <f aca="false">$E50*MAX(0,(MIN(In_PB_Release,CK$4)-MAX($F50,CK$3)+1)/CK$5)</f>
        <v>0</v>
      </c>
      <c r="CL50" s="48" t="n">
        <f aca="false">$E50*MAX(0,(MIN(In_PB_Release,CL$4)-MAX($F50,CL$3)+1)/CL$5)</f>
        <v>0</v>
      </c>
      <c r="CM50" s="48" t="n">
        <f aca="false">$E50*MAX(0,(MIN(In_PB_Release,CM$4)-MAX($F50,CM$3)+1)/CM$5)</f>
        <v>0</v>
      </c>
      <c r="CN50" s="48" t="n">
        <f aca="false">$E50*MAX(0,(MIN(In_PB_Release,CN$4)-MAX($F50,CN$3)+1)/CN$5)</f>
        <v>0</v>
      </c>
      <c r="CO50" s="48" t="n">
        <f aca="false">$E50*MAX(0,(MIN(In_PB_Release,CO$4)-MAX($F50,CO$3)+1)/CO$5)</f>
        <v>0</v>
      </c>
      <c r="CP50" s="48" t="n">
        <f aca="false">$E50*MAX(0,(MIN(In_PB_Release,CP$4)-MAX($F50,CP$3)+1)/CP$5)</f>
        <v>0</v>
      </c>
      <c r="CQ50" s="48" t="n">
        <f aca="false">$E50*MAX(0,(MIN(In_PB_Release,CQ$4)-MAX($F50,CQ$3)+1)/CQ$5)</f>
        <v>0</v>
      </c>
      <c r="CR50" s="48" t="n">
        <f aca="false">$E50*MAX(0,(MIN(In_PB_Release,CR$4)-MAX($F50,CR$3)+1)/CR$5)</f>
        <v>0</v>
      </c>
      <c r="CS50" s="48" t="n">
        <f aca="false">$E50*MAX(0,(MIN(In_PB_Release,CS$4)-MAX($F50,CS$3)+1)/CS$5)</f>
        <v>0</v>
      </c>
      <c r="CT50" s="48" t="n">
        <f aca="false">$E50*MAX(0,(MIN(In_PB_Release,CT$4)-MAX($F50,CT$3)+1)/CT$5)</f>
        <v>0</v>
      </c>
      <c r="CU50" s="48" t="n">
        <f aca="false">$E50*MAX(0,(MIN(In_PB_Release,CU$4)-MAX($F50,CU$3)+1)/CU$5)</f>
        <v>0</v>
      </c>
      <c r="CV50" s="48" t="n">
        <f aca="false">$E50*MAX(0,(MIN(In_PB_Release,CV$4)-MAX($F50,CV$3)+1)/CV$5)</f>
        <v>0</v>
      </c>
      <c r="CW50" s="48" t="n">
        <f aca="false">$E50*MAX(0,(MIN(In_PB_Release,CW$4)-MAX($F50,CW$3)+1)/CW$5)</f>
        <v>0</v>
      </c>
      <c r="CX50" s="48" t="n">
        <f aca="false">$E50*MAX(0,(MIN(In_PB_Release,CX$4)-MAX($F50,CX$3)+1)/CX$5)</f>
        <v>0</v>
      </c>
      <c r="CY50" s="48" t="n">
        <f aca="false">$E50*MAX(0,(MIN(In_PB_Release,CY$4)-MAX($F50,CY$3)+1)/CY$5)</f>
        <v>0</v>
      </c>
      <c r="CZ50" s="48" t="n">
        <f aca="false">$E50*MAX(0,(MIN(In_PB_Release,CZ$4)-MAX($F50,CZ$3)+1)/CZ$5)</f>
        <v>0</v>
      </c>
      <c r="DA50" s="48" t="n">
        <f aca="false">$E50*MAX(0,(MIN(In_PB_Release,DA$4)-MAX($F50,DA$3)+1)/DA$5)</f>
        <v>0</v>
      </c>
      <c r="DB50" s="48" t="n">
        <f aca="false">$E50*MAX(0,(MIN(In_PB_Release,DB$4)-MAX($F50,DB$3)+1)/DB$5)</f>
        <v>0</v>
      </c>
      <c r="DC50" s="48" t="n">
        <f aca="false">$E50*MAX(0,(MIN(In_PB_Release,DC$4)-MAX($F50,DC$3)+1)/DC$5)</f>
        <v>0</v>
      </c>
      <c r="DD50" s="48" t="n">
        <f aca="false">$E50*MAX(0,(MIN(In_PB_Release,DD$4)-MAX($F50,DD$3)+1)/DD$5)</f>
        <v>0</v>
      </c>
      <c r="DE50" s="48" t="n">
        <f aca="false">$E50*MAX(0,(MIN(In_PB_Release,DE$4)-MAX($F50,DE$3)+1)/DE$5)</f>
        <v>0</v>
      </c>
      <c r="DF50" s="48" t="n">
        <f aca="false">$E50*MAX(0,(MIN(In_PB_Release,DF$4)-MAX($F50,DF$3)+1)/DF$5)</f>
        <v>0</v>
      </c>
      <c r="DG50" s="48" t="n">
        <f aca="false">$E50*MAX(0,(MIN(In_PB_Release,DG$4)-MAX($F50,DG$3)+1)/DG$5)</f>
        <v>0</v>
      </c>
      <c r="DH50" s="48" t="n">
        <f aca="false">$E50*MAX(0,(MIN(In_PB_Release,DH$4)-MAX($F50,DH$3)+1)/DH$5)</f>
        <v>0</v>
      </c>
      <c r="DI50" s="48" t="n">
        <f aca="false">$E50*MAX(0,(MIN(In_PB_Release,DI$4)-MAX($F50,DI$3)+1)/DI$5)</f>
        <v>0</v>
      </c>
      <c r="DJ50" s="48" t="n">
        <f aca="false">$E50*MAX(0,(MIN(In_PB_Release,DJ$4)-MAX($F50,DJ$3)+1)/DJ$5)</f>
        <v>0</v>
      </c>
      <c r="DK50" s="48" t="n">
        <f aca="false">$E50*MAX(0,(MIN(In_PB_Release,DK$4)-MAX($F50,DK$3)+1)/DK$5)</f>
        <v>0</v>
      </c>
      <c r="DL50" s="48" t="n">
        <f aca="false">$E50*MAX(0,(MIN(In_PB_Release,DL$4)-MAX($F50,DL$3)+1)/DL$5)</f>
        <v>0</v>
      </c>
      <c r="DM50" s="48" t="n">
        <f aca="false">$E50*MAX(0,(MIN(In_PB_Release,DM$4)-MAX($F50,DM$3)+1)/DM$5)</f>
        <v>0</v>
      </c>
      <c r="DN50" s="48" t="n">
        <f aca="false">$E50*MAX(0,(MIN(In_PB_Release,DN$4)-MAX($F50,DN$3)+1)/DN$5)</f>
        <v>0</v>
      </c>
      <c r="DO50" s="48" t="n">
        <f aca="false">$E50*MAX(0,(MIN(In_PB_Release,DO$4)-MAX($F50,DO$3)+1)/DO$5)</f>
        <v>0</v>
      </c>
      <c r="DP50" s="48" t="n">
        <f aca="false">$E50*MAX(0,(MIN(In_PB_Release,DP$4)-MAX($F50,DP$3)+1)/DP$5)</f>
        <v>0</v>
      </c>
      <c r="DQ50" s="48" t="n">
        <f aca="false">$E50*MAX(0,(MIN(In_PB_Release,DQ$4)-MAX($F50,DQ$3)+1)/DQ$5)</f>
        <v>0</v>
      </c>
      <c r="DR50" s="48" t="n">
        <f aca="false">$E50*MAX(0,(MIN(In_PB_Release,DR$4)-MAX($F50,DR$3)+1)/DR$5)</f>
        <v>0</v>
      </c>
      <c r="DS50" s="48" t="n">
        <f aca="false">$E50*MAX(0,(MIN(In_PB_Release,DS$4)-MAX($F50,DS$3)+1)/DS$5)</f>
        <v>0</v>
      </c>
      <c r="DT50" s="48" t="n">
        <f aca="false">$E50*MAX(0,(MIN(In_PB_Release,DT$4)-MAX($F50,DT$3)+1)/DT$5)</f>
        <v>0</v>
      </c>
      <c r="DU50" s="48" t="n">
        <f aca="false">$E50*MAX(0,(MIN(In_PB_Release,DU$4)-MAX($F50,DU$3)+1)/DU$5)</f>
        <v>0</v>
      </c>
      <c r="DV50" s="48" t="n">
        <f aca="false">$E50*MAX(0,(MIN(In_PB_Release,DV$4)-MAX($F50,DV$3)+1)/DV$5)</f>
        <v>0</v>
      </c>
      <c r="DW50" s="48" t="n">
        <f aca="false">$E50*MAX(0,(MIN(In_PB_Release,DW$4)-MAX($F50,DW$3)+1)/DW$5)</f>
        <v>0</v>
      </c>
      <c r="DX50" s="48" t="n">
        <f aca="false">$E50*MAX(0,(MIN(In_PB_Release,DX$4)-MAX($F50,DX$3)+1)/DX$5)</f>
        <v>0</v>
      </c>
      <c r="DY50" s="48" t="n">
        <f aca="false">$E50*MAX(0,(MIN(In_PB_Release,DY$4)-MAX($F50,DY$3)+1)/DY$5)</f>
        <v>0</v>
      </c>
      <c r="DZ50" s="48" t="n">
        <f aca="false">$E50*MAX(0,(MIN(In_PB_Release,DZ$4)-MAX($F50,DZ$3)+1)/DZ$5)</f>
        <v>0</v>
      </c>
      <c r="EA50" s="48" t="n">
        <f aca="false">$E50*MAX(0,(MIN(In_PB_Release,EA$4)-MAX($F50,EA$3)+1)/EA$5)</f>
        <v>0</v>
      </c>
      <c r="EB50" s="48" t="n">
        <f aca="false">$E50*MAX(0,(MIN(In_PB_Release,EB$4)-MAX($F50,EB$3)+1)/EB$5)</f>
        <v>0</v>
      </c>
      <c r="EC50" s="48" t="n">
        <f aca="false">$E50*MAX(0,(MIN(In_PB_Release,EC$4)-MAX($F50,EC$3)+1)/EC$5)</f>
        <v>0</v>
      </c>
      <c r="ED50" s="48" t="n">
        <f aca="false">$E50*MAX(0,(MIN(In_PB_Release,ED$4)-MAX($F50,ED$3)+1)/ED$5)</f>
        <v>0</v>
      </c>
      <c r="EE50" s="48" t="n">
        <f aca="false">$E50*MAX(0,(MIN(In_PB_Release,EE$4)-MAX($F50,EE$3)+1)/EE$5)</f>
        <v>0</v>
      </c>
      <c r="EF50" s="48" t="n">
        <f aca="false">$E50*MAX(0,(MIN(In_PB_Release,EF$4)-MAX($F50,EF$3)+1)/EF$5)</f>
        <v>0</v>
      </c>
      <c r="EG50" s="48" t="n">
        <f aca="false">$E50*MAX(0,(MIN(In_PB_Release,EG$4)-MAX($F50,EG$3)+1)/EG$5)</f>
        <v>0</v>
      </c>
      <c r="EH50" s="48" t="n">
        <f aca="false">$E50*MAX(0,(MIN(In_PB_Release,EH$4)-MAX($F50,EH$3)+1)/EH$5)</f>
        <v>0</v>
      </c>
      <c r="EI50" s="48" t="n">
        <f aca="false">$E50*MAX(0,(MIN(In_PB_Release,EI$4)-MAX($F50,EI$3)+1)/EI$5)</f>
        <v>0</v>
      </c>
      <c r="EJ50" s="48" t="n">
        <f aca="false">$E50*MAX(0,(MIN(In_PB_Release,EJ$4)-MAX($F50,EJ$3)+1)/EJ$5)</f>
        <v>0</v>
      </c>
      <c r="EK50" s="48" t="n">
        <f aca="false">$E50*MAX(0,(MIN(In_PB_Release,EK$4)-MAX($F50,EK$3)+1)/EK$5)</f>
        <v>0</v>
      </c>
      <c r="EL50" s="48" t="n">
        <f aca="false">$E50*MAX(0,(MIN(In_PB_Release,EL$4)-MAX($F50,EL$3)+1)/EL$5)</f>
        <v>0</v>
      </c>
      <c r="EM50" s="48" t="n">
        <f aca="false">$E50*MAX(0,(MIN(In_PB_Release,EM$4)-MAX($F50,EM$3)+1)/EM$5)</f>
        <v>0</v>
      </c>
      <c r="EN50" s="48" t="n">
        <f aca="false">$E50*MAX(0,(MIN(In_PB_Release,EN$4)-MAX($F50,EN$3)+1)/EN$5)</f>
        <v>0</v>
      </c>
      <c r="EO50" s="48" t="n">
        <f aca="false">$E50*MAX(0,(MIN(In_PB_Release,EO$4)-MAX($F50,EO$3)+1)/EO$5)</f>
        <v>0</v>
      </c>
    </row>
    <row r="51" customFormat="false" ht="15" hidden="false" customHeight="false" outlineLevel="0" collapsed="false">
      <c r="C51" s="1" t="s">
        <v>414</v>
      </c>
      <c r="D51" s="12" t="s">
        <v>33</v>
      </c>
      <c r="E51" s="48" t="n">
        <f aca="false">In_TSO_Security*In_MVA*Thousand/In_FX</f>
        <v>616.438356164384</v>
      </c>
      <c r="F51" s="46" t="n">
        <f aca="false">In_Decision_Date+In_PB_Days</f>
        <v>46433</v>
      </c>
      <c r="I51" s="48" t="n">
        <f aca="false">SUM(J51:EO51)</f>
        <v>-616.438356164384</v>
      </c>
      <c r="J51" s="48" t="n">
        <f aca="false">-$E51*N(AND(J$3&lt;=$F51,J$4&gt;=$F51))</f>
        <v>-0</v>
      </c>
      <c r="K51" s="48" t="n">
        <f aca="false">-$E51*N(AND(K$3&lt;=$F51,K$4&gt;=$F51))</f>
        <v>-616.438356164384</v>
      </c>
      <c r="L51" s="48" t="n">
        <f aca="false">-$E51*N(AND(L$3&lt;=$F51,L$4&gt;=$F51))</f>
        <v>-0</v>
      </c>
      <c r="M51" s="48" t="n">
        <f aca="false">-$E51*N(AND(M$3&lt;=$F51,M$4&gt;=$F51))</f>
        <v>-0</v>
      </c>
      <c r="N51" s="48" t="n">
        <f aca="false">-$E51*N(AND(N$3&lt;=$F51,N$4&gt;=$F51))</f>
        <v>-0</v>
      </c>
      <c r="O51" s="48" t="n">
        <f aca="false">-$E51*N(AND(O$3&lt;=$F51,O$4&gt;=$F51))</f>
        <v>-0</v>
      </c>
      <c r="P51" s="48" t="n">
        <f aca="false">-$E51*N(AND(P$3&lt;=$F51,P$4&gt;=$F51))</f>
        <v>-0</v>
      </c>
      <c r="Q51" s="48" t="n">
        <f aca="false">-$E51*N(AND(Q$3&lt;=$F51,Q$4&gt;=$F51))</f>
        <v>-0</v>
      </c>
      <c r="R51" s="48" t="n">
        <f aca="false">-$E51*N(AND(R$3&lt;=$F51,R$4&gt;=$F51))</f>
        <v>-0</v>
      </c>
      <c r="S51" s="48" t="n">
        <f aca="false">-$E51*N(AND(S$3&lt;=$F51,S$4&gt;=$F51))</f>
        <v>-0</v>
      </c>
      <c r="T51" s="48" t="n">
        <f aca="false">-$E51*N(AND(T$3&lt;=$F51,T$4&gt;=$F51))</f>
        <v>-0</v>
      </c>
      <c r="U51" s="48" t="n">
        <f aca="false">-$E51*N(AND(U$3&lt;=$F51,U$4&gt;=$F51))</f>
        <v>-0</v>
      </c>
      <c r="V51" s="48" t="n">
        <f aca="false">-$E51*N(AND(V$3&lt;=$F51,V$4&gt;=$F51))</f>
        <v>-0</v>
      </c>
      <c r="W51" s="48" t="n">
        <f aca="false">-$E51*N(AND(W$3&lt;=$F51,W$4&gt;=$F51))</f>
        <v>-0</v>
      </c>
      <c r="X51" s="48" t="n">
        <f aca="false">-$E51*N(AND(X$3&lt;=$F51,X$4&gt;=$F51))</f>
        <v>-0</v>
      </c>
      <c r="Y51" s="48" t="n">
        <f aca="false">-$E51*N(AND(Y$3&lt;=$F51,Y$4&gt;=$F51))</f>
        <v>-0</v>
      </c>
      <c r="Z51" s="48" t="n">
        <f aca="false">-$E51*N(AND(Z$3&lt;=$F51,Z$4&gt;=$F51))</f>
        <v>-0</v>
      </c>
      <c r="AA51" s="48" t="n">
        <f aca="false">-$E51*N(AND(AA$3&lt;=$F51,AA$4&gt;=$F51))</f>
        <v>-0</v>
      </c>
      <c r="AB51" s="48" t="n">
        <f aca="false">-$E51*N(AND(AB$3&lt;=$F51,AB$4&gt;=$F51))</f>
        <v>-0</v>
      </c>
      <c r="AC51" s="48" t="n">
        <f aca="false">-$E51*N(AND(AC$3&lt;=$F51,AC$4&gt;=$F51))</f>
        <v>-0</v>
      </c>
      <c r="AD51" s="48" t="n">
        <f aca="false">-$E51*N(AND(AD$3&lt;=$F51,AD$4&gt;=$F51))</f>
        <v>-0</v>
      </c>
      <c r="AE51" s="48" t="n">
        <f aca="false">-$E51*N(AND(AE$3&lt;=$F51,AE$4&gt;=$F51))</f>
        <v>-0</v>
      </c>
      <c r="AF51" s="48" t="n">
        <f aca="false">-$E51*N(AND(AF$3&lt;=$F51,AF$4&gt;=$F51))</f>
        <v>-0</v>
      </c>
      <c r="AG51" s="48" t="n">
        <f aca="false">-$E51*N(AND(AG$3&lt;=$F51,AG$4&gt;=$F51))</f>
        <v>-0</v>
      </c>
      <c r="AH51" s="48" t="n">
        <f aca="false">-$E51*N(AND(AH$3&lt;=$F51,AH$4&gt;=$F51))</f>
        <v>-0</v>
      </c>
      <c r="AI51" s="48" t="n">
        <f aca="false">-$E51*N(AND(AI$3&lt;=$F51,AI$4&gt;=$F51))</f>
        <v>-0</v>
      </c>
      <c r="AJ51" s="48" t="n">
        <f aca="false">-$E51*N(AND(AJ$3&lt;=$F51,AJ$4&gt;=$F51))</f>
        <v>-0</v>
      </c>
      <c r="AK51" s="48" t="n">
        <f aca="false">-$E51*N(AND(AK$3&lt;=$F51,AK$4&gt;=$F51))</f>
        <v>-0</v>
      </c>
      <c r="AL51" s="48" t="n">
        <f aca="false">-$E51*N(AND(AL$3&lt;=$F51,AL$4&gt;=$F51))</f>
        <v>-0</v>
      </c>
      <c r="AM51" s="48" t="n">
        <f aca="false">-$E51*N(AND(AM$3&lt;=$F51,AM$4&gt;=$F51))</f>
        <v>-0</v>
      </c>
      <c r="AN51" s="48" t="n">
        <f aca="false">-$E51*N(AND(AN$3&lt;=$F51,AN$4&gt;=$F51))</f>
        <v>-0</v>
      </c>
      <c r="AO51" s="48" t="n">
        <f aca="false">-$E51*N(AND(AO$3&lt;=$F51,AO$4&gt;=$F51))</f>
        <v>-0</v>
      </c>
      <c r="AP51" s="48" t="n">
        <f aca="false">-$E51*N(AND(AP$3&lt;=$F51,AP$4&gt;=$F51))</f>
        <v>-0</v>
      </c>
      <c r="AQ51" s="48" t="n">
        <f aca="false">-$E51*N(AND(AQ$3&lt;=$F51,AQ$4&gt;=$F51))</f>
        <v>-0</v>
      </c>
      <c r="AR51" s="48" t="n">
        <f aca="false">-$E51*N(AND(AR$3&lt;=$F51,AR$4&gt;=$F51))</f>
        <v>-0</v>
      </c>
      <c r="AS51" s="48" t="n">
        <f aca="false">-$E51*N(AND(AS$3&lt;=$F51,AS$4&gt;=$F51))</f>
        <v>-0</v>
      </c>
      <c r="AT51" s="48" t="n">
        <f aca="false">-$E51*N(AND(AT$3&lt;=$F51,AT$4&gt;=$F51))</f>
        <v>-0</v>
      </c>
      <c r="AU51" s="48" t="n">
        <f aca="false">-$E51*N(AND(AU$3&lt;=$F51,AU$4&gt;=$F51))</f>
        <v>-0</v>
      </c>
      <c r="AV51" s="48" t="n">
        <f aca="false">-$E51*N(AND(AV$3&lt;=$F51,AV$4&gt;=$F51))</f>
        <v>-0</v>
      </c>
      <c r="AW51" s="48" t="n">
        <f aca="false">-$E51*N(AND(AW$3&lt;=$F51,AW$4&gt;=$F51))</f>
        <v>-0</v>
      </c>
      <c r="AX51" s="48" t="n">
        <f aca="false">-$E51*N(AND(AX$3&lt;=$F51,AX$4&gt;=$F51))</f>
        <v>-0</v>
      </c>
      <c r="AY51" s="48" t="n">
        <f aca="false">-$E51*N(AND(AY$3&lt;=$F51,AY$4&gt;=$F51))</f>
        <v>-0</v>
      </c>
      <c r="AZ51" s="48" t="n">
        <f aca="false">-$E51*N(AND(AZ$3&lt;=$F51,AZ$4&gt;=$F51))</f>
        <v>-0</v>
      </c>
      <c r="BA51" s="48" t="n">
        <f aca="false">-$E51*N(AND(BA$3&lt;=$F51,BA$4&gt;=$F51))</f>
        <v>-0</v>
      </c>
      <c r="BB51" s="48" t="n">
        <f aca="false">-$E51*N(AND(BB$3&lt;=$F51,BB$4&gt;=$F51))</f>
        <v>-0</v>
      </c>
      <c r="BC51" s="48" t="n">
        <f aca="false">-$E51*N(AND(BC$3&lt;=$F51,BC$4&gt;=$F51))</f>
        <v>-0</v>
      </c>
      <c r="BD51" s="48" t="n">
        <f aca="false">-$E51*N(AND(BD$3&lt;=$F51,BD$4&gt;=$F51))</f>
        <v>-0</v>
      </c>
      <c r="BE51" s="48" t="n">
        <f aca="false">-$E51*N(AND(BE$3&lt;=$F51,BE$4&gt;=$F51))</f>
        <v>-0</v>
      </c>
      <c r="BF51" s="48" t="n">
        <f aca="false">-$E51*N(AND(BF$3&lt;=$F51,BF$4&gt;=$F51))</f>
        <v>-0</v>
      </c>
      <c r="BG51" s="48" t="n">
        <f aca="false">-$E51*N(AND(BG$3&lt;=$F51,BG$4&gt;=$F51))</f>
        <v>-0</v>
      </c>
      <c r="BH51" s="48" t="n">
        <f aca="false">-$E51*N(AND(BH$3&lt;=$F51,BH$4&gt;=$F51))</f>
        <v>-0</v>
      </c>
      <c r="BI51" s="48" t="n">
        <f aca="false">-$E51*N(AND(BI$3&lt;=$F51,BI$4&gt;=$F51))</f>
        <v>-0</v>
      </c>
      <c r="BJ51" s="48" t="n">
        <f aca="false">-$E51*N(AND(BJ$3&lt;=$F51,BJ$4&gt;=$F51))</f>
        <v>-0</v>
      </c>
      <c r="BK51" s="48" t="n">
        <f aca="false">-$E51*N(AND(BK$3&lt;=$F51,BK$4&gt;=$F51))</f>
        <v>-0</v>
      </c>
      <c r="BL51" s="48" t="n">
        <f aca="false">-$E51*N(AND(BL$3&lt;=$F51,BL$4&gt;=$F51))</f>
        <v>-0</v>
      </c>
      <c r="BM51" s="48" t="n">
        <f aca="false">-$E51*N(AND(BM$3&lt;=$F51,BM$4&gt;=$F51))</f>
        <v>-0</v>
      </c>
      <c r="BN51" s="48" t="n">
        <f aca="false">-$E51*N(AND(BN$3&lt;=$F51,BN$4&gt;=$F51))</f>
        <v>-0</v>
      </c>
      <c r="BO51" s="48" t="n">
        <f aca="false">-$E51*N(AND(BO$3&lt;=$F51,BO$4&gt;=$F51))</f>
        <v>-0</v>
      </c>
      <c r="BP51" s="48" t="n">
        <f aca="false">-$E51*N(AND(BP$3&lt;=$F51,BP$4&gt;=$F51))</f>
        <v>-0</v>
      </c>
      <c r="BQ51" s="48" t="n">
        <f aca="false">-$E51*N(AND(BQ$3&lt;=$F51,BQ$4&gt;=$F51))</f>
        <v>-0</v>
      </c>
      <c r="BR51" s="48" t="n">
        <f aca="false">-$E51*N(AND(BR$3&lt;=$F51,BR$4&gt;=$F51))</f>
        <v>-0</v>
      </c>
      <c r="BS51" s="48" t="n">
        <f aca="false">-$E51*N(AND(BS$3&lt;=$F51,BS$4&gt;=$F51))</f>
        <v>-0</v>
      </c>
      <c r="BT51" s="48" t="n">
        <f aca="false">-$E51*N(AND(BT$3&lt;=$F51,BT$4&gt;=$F51))</f>
        <v>-0</v>
      </c>
      <c r="BU51" s="48" t="n">
        <f aca="false">-$E51*N(AND(BU$3&lt;=$F51,BU$4&gt;=$F51))</f>
        <v>-0</v>
      </c>
      <c r="BV51" s="48" t="n">
        <f aca="false">-$E51*N(AND(BV$3&lt;=$F51,BV$4&gt;=$F51))</f>
        <v>-0</v>
      </c>
      <c r="BW51" s="48" t="n">
        <f aca="false">-$E51*N(AND(BW$3&lt;=$F51,BW$4&gt;=$F51))</f>
        <v>-0</v>
      </c>
      <c r="BX51" s="48" t="n">
        <f aca="false">-$E51*N(AND(BX$3&lt;=$F51,BX$4&gt;=$F51))</f>
        <v>-0</v>
      </c>
      <c r="BY51" s="48" t="n">
        <f aca="false">-$E51*N(AND(BY$3&lt;=$F51,BY$4&gt;=$F51))</f>
        <v>-0</v>
      </c>
      <c r="BZ51" s="48" t="n">
        <f aca="false">-$E51*N(AND(BZ$3&lt;=$F51,BZ$4&gt;=$F51))</f>
        <v>-0</v>
      </c>
      <c r="CA51" s="48" t="n">
        <f aca="false">-$E51*N(AND(CA$3&lt;=$F51,CA$4&gt;=$F51))</f>
        <v>-0</v>
      </c>
      <c r="CB51" s="48" t="n">
        <f aca="false">-$E51*N(AND(CB$3&lt;=$F51,CB$4&gt;=$F51))</f>
        <v>-0</v>
      </c>
      <c r="CC51" s="48" t="n">
        <f aca="false">-$E51*N(AND(CC$3&lt;=$F51,CC$4&gt;=$F51))</f>
        <v>-0</v>
      </c>
      <c r="CD51" s="48" t="n">
        <f aca="false">-$E51*N(AND(CD$3&lt;=$F51,CD$4&gt;=$F51))</f>
        <v>-0</v>
      </c>
      <c r="CE51" s="48" t="n">
        <f aca="false">-$E51*N(AND(CE$3&lt;=$F51,CE$4&gt;=$F51))</f>
        <v>-0</v>
      </c>
      <c r="CF51" s="48" t="n">
        <f aca="false">-$E51*N(AND(CF$3&lt;=$F51,CF$4&gt;=$F51))</f>
        <v>-0</v>
      </c>
      <c r="CG51" s="48" t="n">
        <f aca="false">-$E51*N(AND(CG$3&lt;=$F51,CG$4&gt;=$F51))</f>
        <v>-0</v>
      </c>
      <c r="CH51" s="48" t="n">
        <f aca="false">-$E51*N(AND(CH$3&lt;=$F51,CH$4&gt;=$F51))</f>
        <v>-0</v>
      </c>
      <c r="CI51" s="48" t="n">
        <f aca="false">-$E51*N(AND(CI$3&lt;=$F51,CI$4&gt;=$F51))</f>
        <v>-0</v>
      </c>
      <c r="CJ51" s="48" t="n">
        <f aca="false">-$E51*N(AND(CJ$3&lt;=$F51,CJ$4&gt;=$F51))</f>
        <v>-0</v>
      </c>
      <c r="CK51" s="48" t="n">
        <f aca="false">-$E51*N(AND(CK$3&lt;=$F51,CK$4&gt;=$F51))</f>
        <v>-0</v>
      </c>
      <c r="CL51" s="48" t="n">
        <f aca="false">-$E51*N(AND(CL$3&lt;=$F51,CL$4&gt;=$F51))</f>
        <v>-0</v>
      </c>
      <c r="CM51" s="48" t="n">
        <f aca="false">-$E51*N(AND(CM$3&lt;=$F51,CM$4&gt;=$F51))</f>
        <v>-0</v>
      </c>
      <c r="CN51" s="48" t="n">
        <f aca="false">-$E51*N(AND(CN$3&lt;=$F51,CN$4&gt;=$F51))</f>
        <v>-0</v>
      </c>
      <c r="CO51" s="48" t="n">
        <f aca="false">-$E51*N(AND(CO$3&lt;=$F51,CO$4&gt;=$F51))</f>
        <v>-0</v>
      </c>
      <c r="CP51" s="48" t="n">
        <f aca="false">-$E51*N(AND(CP$3&lt;=$F51,CP$4&gt;=$F51))</f>
        <v>-0</v>
      </c>
      <c r="CQ51" s="48" t="n">
        <f aca="false">-$E51*N(AND(CQ$3&lt;=$F51,CQ$4&gt;=$F51))</f>
        <v>-0</v>
      </c>
      <c r="CR51" s="48" t="n">
        <f aca="false">-$E51*N(AND(CR$3&lt;=$F51,CR$4&gt;=$F51))</f>
        <v>-0</v>
      </c>
      <c r="CS51" s="48" t="n">
        <f aca="false">-$E51*N(AND(CS$3&lt;=$F51,CS$4&gt;=$F51))</f>
        <v>-0</v>
      </c>
      <c r="CT51" s="48" t="n">
        <f aca="false">-$E51*N(AND(CT$3&lt;=$F51,CT$4&gt;=$F51))</f>
        <v>-0</v>
      </c>
      <c r="CU51" s="48" t="n">
        <f aca="false">-$E51*N(AND(CU$3&lt;=$F51,CU$4&gt;=$F51))</f>
        <v>-0</v>
      </c>
      <c r="CV51" s="48" t="n">
        <f aca="false">-$E51*N(AND(CV$3&lt;=$F51,CV$4&gt;=$F51))</f>
        <v>-0</v>
      </c>
      <c r="CW51" s="48" t="n">
        <f aca="false">-$E51*N(AND(CW$3&lt;=$F51,CW$4&gt;=$F51))</f>
        <v>-0</v>
      </c>
      <c r="CX51" s="48" t="n">
        <f aca="false">-$E51*N(AND(CX$3&lt;=$F51,CX$4&gt;=$F51))</f>
        <v>-0</v>
      </c>
      <c r="CY51" s="48" t="n">
        <f aca="false">-$E51*N(AND(CY$3&lt;=$F51,CY$4&gt;=$F51))</f>
        <v>-0</v>
      </c>
      <c r="CZ51" s="48" t="n">
        <f aca="false">-$E51*N(AND(CZ$3&lt;=$F51,CZ$4&gt;=$F51))</f>
        <v>-0</v>
      </c>
      <c r="DA51" s="48" t="n">
        <f aca="false">-$E51*N(AND(DA$3&lt;=$F51,DA$4&gt;=$F51))</f>
        <v>-0</v>
      </c>
      <c r="DB51" s="48" t="n">
        <f aca="false">-$E51*N(AND(DB$3&lt;=$F51,DB$4&gt;=$F51))</f>
        <v>-0</v>
      </c>
      <c r="DC51" s="48" t="n">
        <f aca="false">-$E51*N(AND(DC$3&lt;=$F51,DC$4&gt;=$F51))</f>
        <v>-0</v>
      </c>
      <c r="DD51" s="48" t="n">
        <f aca="false">-$E51*N(AND(DD$3&lt;=$F51,DD$4&gt;=$F51))</f>
        <v>-0</v>
      </c>
      <c r="DE51" s="48" t="n">
        <f aca="false">-$E51*N(AND(DE$3&lt;=$F51,DE$4&gt;=$F51))</f>
        <v>-0</v>
      </c>
      <c r="DF51" s="48" t="n">
        <f aca="false">-$E51*N(AND(DF$3&lt;=$F51,DF$4&gt;=$F51))</f>
        <v>-0</v>
      </c>
      <c r="DG51" s="48" t="n">
        <f aca="false">-$E51*N(AND(DG$3&lt;=$F51,DG$4&gt;=$F51))</f>
        <v>-0</v>
      </c>
      <c r="DH51" s="48" t="n">
        <f aca="false">-$E51*N(AND(DH$3&lt;=$F51,DH$4&gt;=$F51))</f>
        <v>-0</v>
      </c>
      <c r="DI51" s="48" t="n">
        <f aca="false">-$E51*N(AND(DI$3&lt;=$F51,DI$4&gt;=$F51))</f>
        <v>-0</v>
      </c>
      <c r="DJ51" s="48" t="n">
        <f aca="false">-$E51*N(AND(DJ$3&lt;=$F51,DJ$4&gt;=$F51))</f>
        <v>-0</v>
      </c>
      <c r="DK51" s="48" t="n">
        <f aca="false">-$E51*N(AND(DK$3&lt;=$F51,DK$4&gt;=$F51))</f>
        <v>-0</v>
      </c>
      <c r="DL51" s="48" t="n">
        <f aca="false">-$E51*N(AND(DL$3&lt;=$F51,DL$4&gt;=$F51))</f>
        <v>-0</v>
      </c>
      <c r="DM51" s="48" t="n">
        <f aca="false">-$E51*N(AND(DM$3&lt;=$F51,DM$4&gt;=$F51))</f>
        <v>-0</v>
      </c>
      <c r="DN51" s="48" t="n">
        <f aca="false">-$E51*N(AND(DN$3&lt;=$F51,DN$4&gt;=$F51))</f>
        <v>-0</v>
      </c>
      <c r="DO51" s="48" t="n">
        <f aca="false">-$E51*N(AND(DO$3&lt;=$F51,DO$4&gt;=$F51))</f>
        <v>-0</v>
      </c>
      <c r="DP51" s="48" t="n">
        <f aca="false">-$E51*N(AND(DP$3&lt;=$F51,DP$4&gt;=$F51))</f>
        <v>-0</v>
      </c>
      <c r="DQ51" s="48" t="n">
        <f aca="false">-$E51*N(AND(DQ$3&lt;=$F51,DQ$4&gt;=$F51))</f>
        <v>-0</v>
      </c>
      <c r="DR51" s="48" t="n">
        <f aca="false">-$E51*N(AND(DR$3&lt;=$F51,DR$4&gt;=$F51))</f>
        <v>-0</v>
      </c>
      <c r="DS51" s="48" t="n">
        <f aca="false">-$E51*N(AND(DS$3&lt;=$F51,DS$4&gt;=$F51))</f>
        <v>-0</v>
      </c>
      <c r="DT51" s="48" t="n">
        <f aca="false">-$E51*N(AND(DT$3&lt;=$F51,DT$4&gt;=$F51))</f>
        <v>-0</v>
      </c>
      <c r="DU51" s="48" t="n">
        <f aca="false">-$E51*N(AND(DU$3&lt;=$F51,DU$4&gt;=$F51))</f>
        <v>-0</v>
      </c>
      <c r="DV51" s="48" t="n">
        <f aca="false">-$E51*N(AND(DV$3&lt;=$F51,DV$4&gt;=$F51))</f>
        <v>-0</v>
      </c>
      <c r="DW51" s="48" t="n">
        <f aca="false">-$E51*N(AND(DW$3&lt;=$F51,DW$4&gt;=$F51))</f>
        <v>-0</v>
      </c>
      <c r="DX51" s="48" t="n">
        <f aca="false">-$E51*N(AND(DX$3&lt;=$F51,DX$4&gt;=$F51))</f>
        <v>-0</v>
      </c>
      <c r="DY51" s="48" t="n">
        <f aca="false">-$E51*N(AND(DY$3&lt;=$F51,DY$4&gt;=$F51))</f>
        <v>-0</v>
      </c>
      <c r="DZ51" s="48" t="n">
        <f aca="false">-$E51*N(AND(DZ$3&lt;=$F51,DZ$4&gt;=$F51))</f>
        <v>-0</v>
      </c>
      <c r="EA51" s="48" t="n">
        <f aca="false">-$E51*N(AND(EA$3&lt;=$F51,EA$4&gt;=$F51))</f>
        <v>-0</v>
      </c>
      <c r="EB51" s="48" t="n">
        <f aca="false">-$E51*N(AND(EB$3&lt;=$F51,EB$4&gt;=$F51))</f>
        <v>-0</v>
      </c>
      <c r="EC51" s="48" t="n">
        <f aca="false">-$E51*N(AND(EC$3&lt;=$F51,EC$4&gt;=$F51))</f>
        <v>-0</v>
      </c>
      <c r="ED51" s="48" t="n">
        <f aca="false">-$E51*N(AND(ED$3&lt;=$F51,ED$4&gt;=$F51))</f>
        <v>-0</v>
      </c>
      <c r="EE51" s="48" t="n">
        <f aca="false">-$E51*N(AND(EE$3&lt;=$F51,EE$4&gt;=$F51))</f>
        <v>-0</v>
      </c>
      <c r="EF51" s="48" t="n">
        <f aca="false">-$E51*N(AND(EF$3&lt;=$F51,EF$4&gt;=$F51))</f>
        <v>-0</v>
      </c>
      <c r="EG51" s="48" t="n">
        <f aca="false">-$E51*N(AND(EG$3&lt;=$F51,EG$4&gt;=$F51))</f>
        <v>-0</v>
      </c>
      <c r="EH51" s="48" t="n">
        <f aca="false">-$E51*N(AND(EH$3&lt;=$F51,EH$4&gt;=$F51))</f>
        <v>-0</v>
      </c>
      <c r="EI51" s="48" t="n">
        <f aca="false">-$E51*N(AND(EI$3&lt;=$F51,EI$4&gt;=$F51))</f>
        <v>-0</v>
      </c>
      <c r="EJ51" s="48" t="n">
        <f aca="false">-$E51*N(AND(EJ$3&lt;=$F51,EJ$4&gt;=$F51))</f>
        <v>-0</v>
      </c>
      <c r="EK51" s="48" t="n">
        <f aca="false">-$E51*N(AND(EK$3&lt;=$F51,EK$4&gt;=$F51))</f>
        <v>-0</v>
      </c>
      <c r="EL51" s="48" t="n">
        <f aca="false">-$E51*N(AND(EL$3&lt;=$F51,EL$4&gt;=$F51))</f>
        <v>-0</v>
      </c>
      <c r="EM51" s="48" t="n">
        <f aca="false">-$E51*N(AND(EM$3&lt;=$F51,EM$4&gt;=$F51))</f>
        <v>-0</v>
      </c>
      <c r="EN51" s="48" t="n">
        <f aca="false">-$E51*N(AND(EN$3&lt;=$F51,EN$4&gt;=$F51))</f>
        <v>-0</v>
      </c>
      <c r="EO51" s="48" t="n">
        <f aca="false">-$E51*N(AND(EO$3&lt;=$F51,EO$4&gt;=$F51))</f>
        <v>-0</v>
      </c>
    </row>
    <row r="52" customFormat="false" ht="15" hidden="false" customHeight="false" outlineLevel="0" collapsed="false">
      <c r="C52" s="1" t="s">
        <v>415</v>
      </c>
      <c r="D52" s="12" t="s">
        <v>33</v>
      </c>
      <c r="E52" s="48" t="n">
        <f aca="false">In_Direct_Fee*Thousand/In_FX</f>
        <v>1260.27397260274</v>
      </c>
      <c r="F52" s="21" t="n">
        <f aca="false">In_HCSSZ_Date</f>
        <v>47126</v>
      </c>
      <c r="I52" s="48" t="n">
        <f aca="false">SUM(J52:EO52)</f>
        <v>-1260.27397260274</v>
      </c>
      <c r="J52" s="48" t="n">
        <f aca="false">-$E52*N(AND(J$3&lt;=$F52,J$4&gt;=$F52))</f>
        <v>-0</v>
      </c>
      <c r="K52" s="48" t="n">
        <f aca="false">-$E52*N(AND(K$3&lt;=$F52,K$4&gt;=$F52))</f>
        <v>-0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-1260.27397260274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416</v>
      </c>
      <c r="D53" s="12" t="s">
        <v>33</v>
      </c>
      <c r="E53" s="48" t="n">
        <f aca="false">(In_Indirect_Fee-In_TSO_Security)*In_MVA*Thousand/In_FX</f>
        <v>6894.54917808219</v>
      </c>
      <c r="F53" s="21" t="n">
        <f aca="false">In_HCSSZ_Date</f>
        <v>47126</v>
      </c>
      <c r="I53" s="48" t="n">
        <f aca="false">SUM(J53:EO53)</f>
        <v>-6894.54917808219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-6894.54917808219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417</v>
      </c>
      <c r="D54" s="12" t="s">
        <v>33</v>
      </c>
      <c r="I54" s="48" t="n">
        <f aca="false">SUM(J54:EO54)</f>
        <v>-8154.82315068493</v>
      </c>
      <c r="J54" s="48" t="n">
        <f aca="false">J52+J53</f>
        <v>-0</v>
      </c>
      <c r="K54" s="48" t="n">
        <f aca="false">K52+K53</f>
        <v>-0</v>
      </c>
      <c r="L54" s="48" t="n">
        <f aca="false">L52+L53</f>
        <v>-0</v>
      </c>
      <c r="M54" s="48" t="n">
        <f aca="false">M52+M53</f>
        <v>-0</v>
      </c>
      <c r="N54" s="48" t="n">
        <f aca="false">N52+N53</f>
        <v>-0</v>
      </c>
      <c r="O54" s="48" t="n">
        <f aca="false">O52+O53</f>
        <v>-0</v>
      </c>
      <c r="P54" s="48" t="n">
        <f aca="false">P52+P53</f>
        <v>-0</v>
      </c>
      <c r="Q54" s="48" t="n">
        <f aca="false">Q52+Q53</f>
        <v>-0</v>
      </c>
      <c r="R54" s="48" t="n">
        <f aca="false">R52+R53</f>
        <v>-0</v>
      </c>
      <c r="S54" s="48" t="n">
        <f aca="false">S52+S53</f>
        <v>-8154.82315068493</v>
      </c>
      <c r="T54" s="48" t="n">
        <f aca="false">T52+T53</f>
        <v>-0</v>
      </c>
      <c r="U54" s="48" t="n">
        <f aca="false">U52+U53</f>
        <v>-0</v>
      </c>
      <c r="V54" s="48" t="n">
        <f aca="false">V52+V53</f>
        <v>-0</v>
      </c>
      <c r="W54" s="48" t="n">
        <f aca="false">W52+W53</f>
        <v>-0</v>
      </c>
      <c r="X54" s="48" t="n">
        <f aca="false">X52+X53</f>
        <v>-0</v>
      </c>
      <c r="Y54" s="48" t="n">
        <f aca="false">Y52+Y53</f>
        <v>-0</v>
      </c>
      <c r="Z54" s="48" t="n">
        <f aca="false">Z52+Z53</f>
        <v>-0</v>
      </c>
      <c r="AA54" s="48" t="n">
        <f aca="false">AA52+AA53</f>
        <v>-0</v>
      </c>
      <c r="AB54" s="48" t="n">
        <f aca="false">AB52+AB53</f>
        <v>-0</v>
      </c>
      <c r="AC54" s="48" t="n">
        <f aca="false">AC52+AC53</f>
        <v>-0</v>
      </c>
      <c r="AD54" s="48" t="n">
        <f aca="false">AD52+AD53</f>
        <v>-0</v>
      </c>
      <c r="AE54" s="48" t="n">
        <f aca="false">AE52+AE53</f>
        <v>-0</v>
      </c>
      <c r="AF54" s="48" t="n">
        <f aca="false">AF52+AF53</f>
        <v>-0</v>
      </c>
      <c r="AG54" s="48" t="n">
        <f aca="false">AG52+AG53</f>
        <v>-0</v>
      </c>
      <c r="AH54" s="48" t="n">
        <f aca="false">AH52+AH53</f>
        <v>-0</v>
      </c>
      <c r="AI54" s="48" t="n">
        <f aca="false">AI52+AI53</f>
        <v>-0</v>
      </c>
      <c r="AJ54" s="48" t="n">
        <f aca="false">AJ52+AJ53</f>
        <v>-0</v>
      </c>
      <c r="AK54" s="48" t="n">
        <f aca="false">AK52+AK53</f>
        <v>-0</v>
      </c>
      <c r="AL54" s="48" t="n">
        <f aca="false">AL52+AL53</f>
        <v>-0</v>
      </c>
      <c r="AM54" s="48" t="n">
        <f aca="false">AM52+AM53</f>
        <v>-0</v>
      </c>
      <c r="AN54" s="48" t="n">
        <f aca="false">AN52+AN53</f>
        <v>-0</v>
      </c>
      <c r="AO54" s="48" t="n">
        <f aca="false">AO52+AO53</f>
        <v>-0</v>
      </c>
      <c r="AP54" s="48" t="n">
        <f aca="false">AP52+AP53</f>
        <v>-0</v>
      </c>
      <c r="AQ54" s="48" t="n">
        <f aca="false">AQ52+AQ53</f>
        <v>-0</v>
      </c>
      <c r="AR54" s="48" t="n">
        <f aca="false">AR52+AR53</f>
        <v>-0</v>
      </c>
      <c r="AS54" s="48" t="n">
        <f aca="false">AS52+AS53</f>
        <v>-0</v>
      </c>
      <c r="AT54" s="48" t="n">
        <f aca="false">AT52+AT53</f>
        <v>-0</v>
      </c>
      <c r="AU54" s="48" t="n">
        <f aca="false">AU52+AU53</f>
        <v>-0</v>
      </c>
      <c r="AV54" s="48" t="n">
        <f aca="false">AV52+AV53</f>
        <v>-0</v>
      </c>
      <c r="AW54" s="48" t="n">
        <f aca="false">AW52+AW53</f>
        <v>-0</v>
      </c>
      <c r="AX54" s="48" t="n">
        <f aca="false">AX52+AX53</f>
        <v>-0</v>
      </c>
      <c r="AY54" s="48" t="n">
        <f aca="false">AY52+AY53</f>
        <v>-0</v>
      </c>
      <c r="AZ54" s="48" t="n">
        <f aca="false">AZ52+AZ53</f>
        <v>-0</v>
      </c>
      <c r="BA54" s="48" t="n">
        <f aca="false">BA52+BA53</f>
        <v>-0</v>
      </c>
      <c r="BB54" s="48" t="n">
        <f aca="false">BB52+BB53</f>
        <v>-0</v>
      </c>
      <c r="BC54" s="48" t="n">
        <f aca="false">BC52+BC53</f>
        <v>-0</v>
      </c>
      <c r="BD54" s="48" t="n">
        <f aca="false">BD52+BD53</f>
        <v>-0</v>
      </c>
      <c r="BE54" s="48" t="n">
        <f aca="false">BE52+BE53</f>
        <v>-0</v>
      </c>
      <c r="BF54" s="48" t="n">
        <f aca="false">BF52+BF53</f>
        <v>-0</v>
      </c>
      <c r="BG54" s="48" t="n">
        <f aca="false">BG52+BG53</f>
        <v>-0</v>
      </c>
      <c r="BH54" s="48" t="n">
        <f aca="false">BH52+BH53</f>
        <v>-0</v>
      </c>
      <c r="BI54" s="48" t="n">
        <f aca="false">BI52+BI53</f>
        <v>-0</v>
      </c>
      <c r="BJ54" s="48" t="n">
        <f aca="false">BJ52+BJ53</f>
        <v>-0</v>
      </c>
      <c r="BK54" s="48" t="n">
        <f aca="false">BK52+BK53</f>
        <v>-0</v>
      </c>
      <c r="BL54" s="48" t="n">
        <f aca="false">BL52+BL53</f>
        <v>-0</v>
      </c>
      <c r="BM54" s="48" t="n">
        <f aca="false">BM52+BM53</f>
        <v>-0</v>
      </c>
      <c r="BN54" s="48" t="n">
        <f aca="false">BN52+BN53</f>
        <v>-0</v>
      </c>
      <c r="BO54" s="48" t="n">
        <f aca="false">BO52+BO53</f>
        <v>-0</v>
      </c>
      <c r="BP54" s="48" t="n">
        <f aca="false">BP52+BP53</f>
        <v>-0</v>
      </c>
      <c r="BQ54" s="48" t="n">
        <f aca="false">BQ52+BQ53</f>
        <v>-0</v>
      </c>
      <c r="BR54" s="48" t="n">
        <f aca="false">BR52+BR53</f>
        <v>-0</v>
      </c>
      <c r="BS54" s="48" t="n">
        <f aca="false">BS52+BS53</f>
        <v>-0</v>
      </c>
      <c r="BT54" s="48" t="n">
        <f aca="false">BT52+BT53</f>
        <v>-0</v>
      </c>
      <c r="BU54" s="48" t="n">
        <f aca="false">BU52+BU53</f>
        <v>-0</v>
      </c>
      <c r="BV54" s="48" t="n">
        <f aca="false">BV52+BV53</f>
        <v>-0</v>
      </c>
      <c r="BW54" s="48" t="n">
        <f aca="false">BW52+BW53</f>
        <v>-0</v>
      </c>
      <c r="BX54" s="48" t="n">
        <f aca="false">BX52+BX53</f>
        <v>-0</v>
      </c>
      <c r="BY54" s="48" t="n">
        <f aca="false">BY52+BY53</f>
        <v>-0</v>
      </c>
      <c r="BZ54" s="48" t="n">
        <f aca="false">BZ52+BZ53</f>
        <v>-0</v>
      </c>
      <c r="CA54" s="48" t="n">
        <f aca="false">CA52+CA53</f>
        <v>-0</v>
      </c>
      <c r="CB54" s="48" t="n">
        <f aca="false">CB52+CB53</f>
        <v>-0</v>
      </c>
      <c r="CC54" s="48" t="n">
        <f aca="false">CC52+CC53</f>
        <v>-0</v>
      </c>
      <c r="CD54" s="48" t="n">
        <f aca="false">CD52+CD53</f>
        <v>-0</v>
      </c>
      <c r="CE54" s="48" t="n">
        <f aca="false">CE52+CE53</f>
        <v>-0</v>
      </c>
      <c r="CF54" s="48" t="n">
        <f aca="false">CF52+CF53</f>
        <v>-0</v>
      </c>
      <c r="CG54" s="48" t="n">
        <f aca="false">CG52+CG53</f>
        <v>-0</v>
      </c>
      <c r="CH54" s="48" t="n">
        <f aca="false">CH52+CH53</f>
        <v>-0</v>
      </c>
      <c r="CI54" s="48" t="n">
        <f aca="false">CI52+CI53</f>
        <v>-0</v>
      </c>
      <c r="CJ54" s="48" t="n">
        <f aca="false">CJ52+CJ53</f>
        <v>-0</v>
      </c>
      <c r="CK54" s="48" t="n">
        <f aca="false">CK52+CK53</f>
        <v>-0</v>
      </c>
      <c r="CL54" s="48" t="n">
        <f aca="false">CL52+CL53</f>
        <v>-0</v>
      </c>
      <c r="CM54" s="48" t="n">
        <f aca="false">CM52+CM53</f>
        <v>-0</v>
      </c>
      <c r="CN54" s="48" t="n">
        <f aca="false">CN52+CN53</f>
        <v>-0</v>
      </c>
      <c r="CO54" s="48" t="n">
        <f aca="false">CO52+CO53</f>
        <v>-0</v>
      </c>
      <c r="CP54" s="48" t="n">
        <f aca="false">CP52+CP53</f>
        <v>-0</v>
      </c>
      <c r="CQ54" s="48" t="n">
        <f aca="false">CQ52+CQ53</f>
        <v>-0</v>
      </c>
      <c r="CR54" s="48" t="n">
        <f aca="false">CR52+CR53</f>
        <v>-0</v>
      </c>
      <c r="CS54" s="48" t="n">
        <f aca="false">CS52+CS53</f>
        <v>-0</v>
      </c>
      <c r="CT54" s="48" t="n">
        <f aca="false">CT52+CT53</f>
        <v>-0</v>
      </c>
      <c r="CU54" s="48" t="n">
        <f aca="false">CU52+CU53</f>
        <v>-0</v>
      </c>
      <c r="CV54" s="48" t="n">
        <f aca="false">CV52+CV53</f>
        <v>-0</v>
      </c>
      <c r="CW54" s="48" t="n">
        <f aca="false">CW52+CW53</f>
        <v>-0</v>
      </c>
      <c r="CX54" s="48" t="n">
        <f aca="false">CX52+CX53</f>
        <v>-0</v>
      </c>
      <c r="CY54" s="48" t="n">
        <f aca="false">CY52+CY53</f>
        <v>-0</v>
      </c>
      <c r="CZ54" s="48" t="n">
        <f aca="false">CZ52+CZ53</f>
        <v>-0</v>
      </c>
      <c r="DA54" s="48" t="n">
        <f aca="false">DA52+DA53</f>
        <v>-0</v>
      </c>
      <c r="DB54" s="48" t="n">
        <f aca="false">DB52+DB53</f>
        <v>-0</v>
      </c>
      <c r="DC54" s="48" t="n">
        <f aca="false">DC52+DC53</f>
        <v>-0</v>
      </c>
      <c r="DD54" s="48" t="n">
        <f aca="false">DD52+DD53</f>
        <v>-0</v>
      </c>
      <c r="DE54" s="48" t="n">
        <f aca="false">DE52+DE53</f>
        <v>-0</v>
      </c>
      <c r="DF54" s="48" t="n">
        <f aca="false">DF52+DF53</f>
        <v>-0</v>
      </c>
      <c r="DG54" s="48" t="n">
        <f aca="false">DG52+DG53</f>
        <v>-0</v>
      </c>
      <c r="DH54" s="48" t="n">
        <f aca="false">DH52+DH53</f>
        <v>-0</v>
      </c>
      <c r="DI54" s="48" t="n">
        <f aca="false">DI52+DI53</f>
        <v>-0</v>
      </c>
      <c r="DJ54" s="48" t="n">
        <f aca="false">DJ52+DJ53</f>
        <v>-0</v>
      </c>
      <c r="DK54" s="48" t="n">
        <f aca="false">DK52+DK53</f>
        <v>-0</v>
      </c>
      <c r="DL54" s="48" t="n">
        <f aca="false">DL52+DL53</f>
        <v>-0</v>
      </c>
      <c r="DM54" s="48" t="n">
        <f aca="false">DM52+DM53</f>
        <v>-0</v>
      </c>
      <c r="DN54" s="48" t="n">
        <f aca="false">DN52+DN53</f>
        <v>-0</v>
      </c>
      <c r="DO54" s="48" t="n">
        <f aca="false">DO52+DO53</f>
        <v>-0</v>
      </c>
      <c r="DP54" s="48" t="n">
        <f aca="false">DP52+DP53</f>
        <v>-0</v>
      </c>
      <c r="DQ54" s="48" t="n">
        <f aca="false">DQ52+DQ53</f>
        <v>-0</v>
      </c>
      <c r="DR54" s="48" t="n">
        <f aca="false">DR52+DR53</f>
        <v>-0</v>
      </c>
      <c r="DS54" s="48" t="n">
        <f aca="false">DS52+DS53</f>
        <v>-0</v>
      </c>
      <c r="DT54" s="48" t="n">
        <f aca="false">DT52+DT53</f>
        <v>-0</v>
      </c>
      <c r="DU54" s="48" t="n">
        <f aca="false">DU52+DU53</f>
        <v>-0</v>
      </c>
      <c r="DV54" s="48" t="n">
        <f aca="false">DV52+DV53</f>
        <v>-0</v>
      </c>
      <c r="DW54" s="48" t="n">
        <f aca="false">DW52+DW53</f>
        <v>-0</v>
      </c>
      <c r="DX54" s="48" t="n">
        <f aca="false">DX52+DX53</f>
        <v>-0</v>
      </c>
      <c r="DY54" s="48" t="n">
        <f aca="false">DY52+DY53</f>
        <v>-0</v>
      </c>
      <c r="DZ54" s="48" t="n">
        <f aca="false">DZ52+DZ53</f>
        <v>-0</v>
      </c>
      <c r="EA54" s="48" t="n">
        <f aca="false">EA52+EA53</f>
        <v>-0</v>
      </c>
      <c r="EB54" s="48" t="n">
        <f aca="false">EB52+EB53</f>
        <v>-0</v>
      </c>
      <c r="EC54" s="48" t="n">
        <f aca="false">EC52+EC53</f>
        <v>-0</v>
      </c>
      <c r="ED54" s="48" t="n">
        <f aca="false">ED52+ED53</f>
        <v>-0</v>
      </c>
      <c r="EE54" s="48" t="n">
        <f aca="false">EE52+EE53</f>
        <v>-0</v>
      </c>
      <c r="EF54" s="48" t="n">
        <f aca="false">EF52+EF53</f>
        <v>-0</v>
      </c>
      <c r="EG54" s="48" t="n">
        <f aca="false">EG52+EG53</f>
        <v>-0</v>
      </c>
      <c r="EH54" s="48" t="n">
        <f aca="false">EH52+EH53</f>
        <v>-0</v>
      </c>
      <c r="EI54" s="48" t="n">
        <f aca="false">EI52+EI53</f>
        <v>-0</v>
      </c>
      <c r="EJ54" s="48" t="n">
        <f aca="false">EJ52+EJ53</f>
        <v>-0</v>
      </c>
      <c r="EK54" s="48" t="n">
        <f aca="false">EK52+EK53</f>
        <v>-0</v>
      </c>
      <c r="EL54" s="48" t="n">
        <f aca="false">EL52+EL53</f>
        <v>-0</v>
      </c>
      <c r="EM54" s="48" t="n">
        <f aca="false">EM52+EM53</f>
        <v>-0</v>
      </c>
      <c r="EN54" s="48" t="n">
        <f aca="false">EN52+EN53</f>
        <v>-0</v>
      </c>
      <c r="EO54" s="48" t="n">
        <f aca="false">EO52+EO53</f>
        <v>-0</v>
      </c>
    </row>
    <row r="55" customFormat="false" ht="15" hidden="false" customHeight="false" outlineLevel="0" collapsed="false">
      <c r="C55" s="1" t="s">
        <v>418</v>
      </c>
      <c r="D55" s="12" t="s">
        <v>33</v>
      </c>
      <c r="E55" s="48" t="n">
        <f aca="false">SUMIF($J$4:$EO$4,"&lt;="&amp;In_COD,$J55:$EO55)</f>
        <v>-490.264019515857</v>
      </c>
      <c r="I55" s="48" t="n">
        <f aca="false">SUM(J55:EO55)</f>
        <v>-822.911945956089</v>
      </c>
      <c r="J55" s="48" t="n">
        <f aca="false">-(J49+J50)*In_Guarantee_Fee*J$5/Days_In_Year</f>
        <v>-4.5907599924939</v>
      </c>
      <c r="K55" s="48" t="n">
        <f aca="false">-(K49+K50)*In_Guarantee_Fee*K$5/Days_In_Year</f>
        <v>-19.6746856821167</v>
      </c>
      <c r="L55" s="48" t="n">
        <f aca="false">-(L49+L50)*In_Guarantee_Fee*L$5/Days_In_Year</f>
        <v>-33.1554888346782</v>
      </c>
      <c r="M55" s="48" t="n">
        <f aca="false">-(M49+M50)*In_Guarantee_Fee*M$5/Days_In_Year</f>
        <v>-33.5198348658285</v>
      </c>
      <c r="N55" s="48" t="n">
        <f aca="false">-(N49+N50)*In_Guarantee_Fee*N$5/Days_In_Year</f>
        <v>-33.5198348658285</v>
      </c>
      <c r="O55" s="48" t="n">
        <f aca="false">-(O49+O50)*In_Guarantee_Fee*O$5/Days_In_Year</f>
        <v>-33.1554888346782</v>
      </c>
      <c r="P55" s="48" t="n">
        <f aca="false">-(P49+P50)*In_Guarantee_Fee*P$5/Days_In_Year</f>
        <v>-33.1554888346782</v>
      </c>
      <c r="Q55" s="48" t="n">
        <f aca="false">-(Q49+Q50)*In_Guarantee_Fee*Q$5/Days_In_Year</f>
        <v>-33.5198348658285</v>
      </c>
      <c r="R55" s="48" t="n">
        <f aca="false">-(R49+R50)*In_Guarantee_Fee*R$5/Days_In_Year</f>
        <v>-33.5198348658285</v>
      </c>
      <c r="S55" s="48" t="n">
        <f aca="false">-(S49+S50)*In_Guarantee_Fee*S$5/Days_In_Year</f>
        <v>-32.7911428035279</v>
      </c>
      <c r="T55" s="48" t="n">
        <f aca="false">-(T49+T50)*In_Guarantee_Fee*T$5/Days_In_Year</f>
        <v>-33.1554888346782</v>
      </c>
      <c r="U55" s="48" t="n">
        <f aca="false">-(U49+U50)*In_Guarantee_Fee*U$5/Days_In_Year</f>
        <v>-33.5198348658285</v>
      </c>
      <c r="V55" s="48" t="n">
        <f aca="false">-(V49+V50)*In_Guarantee_Fee*V$5/Days_In_Year</f>
        <v>-33.5198348658285</v>
      </c>
      <c r="W55" s="48" t="n">
        <f aca="false">-(W49+W50)*In_Guarantee_Fee*W$5/Days_In_Year</f>
        <v>-32.7911428035279</v>
      </c>
      <c r="X55" s="48" t="n">
        <f aca="false">-(X49+X50)*In_Guarantee_Fee*X$5/Days_In_Year</f>
        <v>-33.1554888346782</v>
      </c>
      <c r="Y55" s="48" t="n">
        <f aca="false">-(Y49+Y50)*In_Guarantee_Fee*Y$5/Days_In_Year</f>
        <v>-33.5198348658285</v>
      </c>
      <c r="Z55" s="48" t="n">
        <f aca="false">-(Z49+Z50)*In_Guarantee_Fee*Z$5/Days_In_Year</f>
        <v>-33.5198348658285</v>
      </c>
      <c r="AA55" s="48" t="n">
        <f aca="false">-(AA49+AA50)*In_Guarantee_Fee*AA$5/Days_In_Year</f>
        <v>-32.7911428035279</v>
      </c>
      <c r="AB55" s="48" t="n">
        <f aca="false">-(AB49+AB50)*In_Guarantee_Fee*AB$5/Days_In_Year</f>
        <v>-33.1554888346782</v>
      </c>
      <c r="AC55" s="48" t="n">
        <f aca="false">-(AC49+AC50)*In_Guarantee_Fee*AC$5/Days_In_Year</f>
        <v>-33.5198348658285</v>
      </c>
      <c r="AD55" s="48" t="n">
        <f aca="false">-(AD49+AD50)*In_Guarantee_Fee*AD$5/Days_In_Year</f>
        <v>-33.5198348658285</v>
      </c>
      <c r="AE55" s="48" t="n">
        <f aca="false">-(AE49+AE50)*In_Guarantee_Fee*AE$5/Days_In_Year</f>
        <v>-33.1554888346782</v>
      </c>
      <c r="AF55" s="48" t="n">
        <f aca="false">-(AF49+AF50)*In_Guarantee_Fee*AF$5/Days_In_Year</f>
        <v>-33.1554888346782</v>
      </c>
      <c r="AG55" s="48" t="n">
        <f aca="false">-(AG49+AG50)*In_Guarantee_Fee*AG$5/Days_In_Year</f>
        <v>-33.5198348658285</v>
      </c>
      <c r="AH55" s="48" t="n">
        <f aca="false">-(AH49+AH50)*In_Guarantee_Fee*AH$5/Days_In_Year</f>
        <v>-33.5198348658285</v>
      </c>
      <c r="AI55" s="48" t="n">
        <f aca="false">-(AI49+AI50)*In_Guarantee_Fee*AI$5/Days_In_Year</f>
        <v>-32.7911428035279</v>
      </c>
      <c r="AJ55" s="48" t="n">
        <f aca="false">-(AJ49+AJ50)*In_Guarantee_Fee*AJ$5/Days_In_Year</f>
        <v>-0</v>
      </c>
      <c r="AK55" s="48" t="n">
        <f aca="false">-(AK49+AK50)*In_Guarantee_Fee*AK$5/Days_In_Year</f>
        <v>-0</v>
      </c>
      <c r="AL55" s="48" t="n">
        <f aca="false">-(AL49+AL50)*In_Guarantee_Fee*AL$5/Days_In_Year</f>
        <v>-0</v>
      </c>
      <c r="AM55" s="48" t="n">
        <f aca="false">-(AM49+AM50)*In_Guarantee_Fee*AM$5/Days_In_Year</f>
        <v>-0</v>
      </c>
      <c r="AN55" s="48" t="n">
        <f aca="false">-(AN49+AN50)*In_Guarantee_Fee*AN$5/Days_In_Year</f>
        <v>-0</v>
      </c>
      <c r="AO55" s="48" t="n">
        <f aca="false">-(AO49+AO50)*In_Guarantee_Fee*AO$5/Days_In_Year</f>
        <v>-0</v>
      </c>
      <c r="AP55" s="48" t="n">
        <f aca="false">-(AP49+AP50)*In_Guarantee_Fee*AP$5/Days_In_Year</f>
        <v>-0</v>
      </c>
      <c r="AQ55" s="48" t="n">
        <f aca="false">-(AQ49+AQ50)*In_Guarantee_Fee*AQ$5/Days_In_Year</f>
        <v>-0</v>
      </c>
      <c r="AR55" s="48" t="n">
        <f aca="false">-(AR49+AR50)*In_Guarantee_Fee*AR$5/Days_In_Year</f>
        <v>-0</v>
      </c>
      <c r="AS55" s="48" t="n">
        <f aca="false">-(AS49+AS50)*In_Guarantee_Fee*AS$5/Days_In_Year</f>
        <v>-0</v>
      </c>
      <c r="AT55" s="48" t="n">
        <f aca="false">-(AT49+AT50)*In_Guarantee_Fee*AT$5/Days_In_Year</f>
        <v>-0</v>
      </c>
      <c r="AU55" s="48" t="n">
        <f aca="false">-(AU49+AU50)*In_Guarantee_Fee*AU$5/Days_In_Year</f>
        <v>-0</v>
      </c>
      <c r="AV55" s="48" t="n">
        <f aca="false">-(AV49+AV50)*In_Guarantee_Fee*AV$5/Days_In_Year</f>
        <v>-0</v>
      </c>
      <c r="AW55" s="48" t="n">
        <f aca="false">-(AW49+AW50)*In_Guarantee_Fee*AW$5/Days_In_Year</f>
        <v>-0</v>
      </c>
      <c r="AX55" s="48" t="n">
        <f aca="false">-(AX49+AX50)*In_Guarantee_Fee*AX$5/Days_In_Year</f>
        <v>-0</v>
      </c>
      <c r="AY55" s="48" t="n">
        <f aca="false">-(AY49+AY50)*In_Guarantee_Fee*AY$5/Days_In_Year</f>
        <v>-0</v>
      </c>
      <c r="AZ55" s="48" t="n">
        <f aca="false">-(AZ49+AZ50)*In_Guarantee_Fee*AZ$5/Days_In_Year</f>
        <v>-0</v>
      </c>
      <c r="BA55" s="48" t="n">
        <f aca="false">-(BA49+BA50)*In_Guarantee_Fee*BA$5/Days_In_Year</f>
        <v>-0</v>
      </c>
      <c r="BB55" s="48" t="n">
        <f aca="false">-(BB49+BB50)*In_Guarantee_Fee*BB$5/Days_In_Year</f>
        <v>-0</v>
      </c>
      <c r="BC55" s="48" t="n">
        <f aca="false">-(BC49+BC50)*In_Guarantee_Fee*BC$5/Days_In_Year</f>
        <v>-0</v>
      </c>
      <c r="BD55" s="48" t="n">
        <f aca="false">-(BD49+BD50)*In_Guarantee_Fee*BD$5/Days_In_Year</f>
        <v>-0</v>
      </c>
      <c r="BE55" s="48" t="n">
        <f aca="false">-(BE49+BE50)*In_Guarantee_Fee*BE$5/Days_In_Year</f>
        <v>-0</v>
      </c>
      <c r="BF55" s="48" t="n">
        <f aca="false">-(BF49+BF50)*In_Guarantee_Fee*BF$5/Days_In_Year</f>
        <v>-0</v>
      </c>
      <c r="BG55" s="48" t="n">
        <f aca="false">-(BG49+BG50)*In_Guarantee_Fee*BG$5/Days_In_Year</f>
        <v>-0</v>
      </c>
      <c r="BH55" s="48" t="n">
        <f aca="false">-(BH49+BH50)*In_Guarantee_Fee*BH$5/Days_In_Year</f>
        <v>-0</v>
      </c>
      <c r="BI55" s="48" t="n">
        <f aca="false">-(BI49+BI50)*In_Guarantee_Fee*BI$5/Days_In_Year</f>
        <v>-0</v>
      </c>
      <c r="BJ55" s="48" t="n">
        <f aca="false">-(BJ49+BJ50)*In_Guarantee_Fee*BJ$5/Days_In_Year</f>
        <v>-0</v>
      </c>
      <c r="BK55" s="48" t="n">
        <f aca="false">-(BK49+BK50)*In_Guarantee_Fee*BK$5/Days_In_Year</f>
        <v>-0</v>
      </c>
      <c r="BL55" s="48" t="n">
        <f aca="false">-(BL49+BL50)*In_Guarantee_Fee*BL$5/Days_In_Year</f>
        <v>-0</v>
      </c>
      <c r="BM55" s="48" t="n">
        <f aca="false">-(BM49+BM50)*In_Guarantee_Fee*BM$5/Days_In_Year</f>
        <v>-0</v>
      </c>
      <c r="BN55" s="48" t="n">
        <f aca="false">-(BN49+BN50)*In_Guarantee_Fee*BN$5/Days_In_Year</f>
        <v>-0</v>
      </c>
      <c r="BO55" s="48" t="n">
        <f aca="false">-(BO49+BO50)*In_Guarantee_Fee*BO$5/Days_In_Year</f>
        <v>-0</v>
      </c>
      <c r="BP55" s="48" t="n">
        <f aca="false">-(BP49+BP50)*In_Guarantee_Fee*BP$5/Days_In_Year</f>
        <v>-0</v>
      </c>
      <c r="BQ55" s="48" t="n">
        <f aca="false">-(BQ49+BQ50)*In_Guarantee_Fee*BQ$5/Days_In_Year</f>
        <v>-0</v>
      </c>
      <c r="BR55" s="48" t="n">
        <f aca="false">-(BR49+BR50)*In_Guarantee_Fee*BR$5/Days_In_Year</f>
        <v>-0</v>
      </c>
      <c r="BS55" s="48" t="n">
        <f aca="false">-(BS49+BS50)*In_Guarantee_Fee*BS$5/Days_In_Year</f>
        <v>-0</v>
      </c>
      <c r="BT55" s="48" t="n">
        <f aca="false">-(BT49+BT50)*In_Guarantee_Fee*BT$5/Days_In_Year</f>
        <v>-0</v>
      </c>
      <c r="BU55" s="48" t="n">
        <f aca="false">-(BU49+BU50)*In_Guarantee_Fee*BU$5/Days_In_Year</f>
        <v>-0</v>
      </c>
      <c r="BV55" s="48" t="n">
        <f aca="false">-(BV49+BV50)*In_Guarantee_Fee*BV$5/Days_In_Year</f>
        <v>-0</v>
      </c>
      <c r="BW55" s="48" t="n">
        <f aca="false">-(BW49+BW50)*In_Guarantee_Fee*BW$5/Days_In_Year</f>
        <v>-0</v>
      </c>
      <c r="BX55" s="48" t="n">
        <f aca="false">-(BX49+BX50)*In_Guarantee_Fee*BX$5/Days_In_Year</f>
        <v>-0</v>
      </c>
      <c r="BY55" s="48" t="n">
        <f aca="false">-(BY49+BY50)*In_Guarantee_Fee*BY$5/Days_In_Year</f>
        <v>-0</v>
      </c>
      <c r="BZ55" s="48" t="n">
        <f aca="false">-(BZ49+BZ50)*In_Guarantee_Fee*BZ$5/Days_In_Year</f>
        <v>-0</v>
      </c>
      <c r="CA55" s="48" t="n">
        <f aca="false">-(CA49+CA50)*In_Guarantee_Fee*CA$5/Days_In_Year</f>
        <v>-0</v>
      </c>
      <c r="CB55" s="48" t="n">
        <f aca="false">-(CB49+CB50)*In_Guarantee_Fee*CB$5/Days_In_Year</f>
        <v>-0</v>
      </c>
      <c r="CC55" s="48" t="n">
        <f aca="false">-(CC49+CC50)*In_Guarantee_Fee*CC$5/Days_In_Year</f>
        <v>-0</v>
      </c>
      <c r="CD55" s="48" t="n">
        <f aca="false">-(CD49+CD50)*In_Guarantee_Fee*CD$5/Days_In_Year</f>
        <v>-0</v>
      </c>
      <c r="CE55" s="48" t="n">
        <f aca="false">-(CE49+CE50)*In_Guarantee_Fee*CE$5/Days_In_Year</f>
        <v>-0</v>
      </c>
      <c r="CF55" s="48" t="n">
        <f aca="false">-(CF49+CF50)*In_Guarantee_Fee*CF$5/Days_In_Year</f>
        <v>-0</v>
      </c>
      <c r="CG55" s="48" t="n">
        <f aca="false">-(CG49+CG50)*In_Guarantee_Fee*CG$5/Days_In_Year</f>
        <v>-0</v>
      </c>
      <c r="CH55" s="48" t="n">
        <f aca="false">-(CH49+CH50)*In_Guarantee_Fee*CH$5/Days_In_Year</f>
        <v>-0</v>
      </c>
      <c r="CI55" s="48" t="n">
        <f aca="false">-(CI49+CI50)*In_Guarantee_Fee*CI$5/Days_In_Year</f>
        <v>-0</v>
      </c>
      <c r="CJ55" s="48" t="n">
        <f aca="false">-(CJ49+CJ50)*In_Guarantee_Fee*CJ$5/Days_In_Year</f>
        <v>-0</v>
      </c>
      <c r="CK55" s="48" t="n">
        <f aca="false">-(CK49+CK50)*In_Guarantee_Fee*CK$5/Days_In_Year</f>
        <v>-0</v>
      </c>
      <c r="CL55" s="48" t="n">
        <f aca="false">-(CL49+CL50)*In_Guarantee_Fee*CL$5/Days_In_Year</f>
        <v>-0</v>
      </c>
      <c r="CM55" s="48" t="n">
        <f aca="false">-(CM49+CM50)*In_Guarantee_Fee*CM$5/Days_In_Year</f>
        <v>-0</v>
      </c>
      <c r="CN55" s="48" t="n">
        <f aca="false">-(CN49+CN50)*In_Guarantee_Fee*CN$5/Days_In_Year</f>
        <v>-0</v>
      </c>
      <c r="CO55" s="48" t="n">
        <f aca="false">-(CO49+CO50)*In_Guarantee_Fee*CO$5/Days_In_Year</f>
        <v>-0</v>
      </c>
      <c r="CP55" s="48" t="n">
        <f aca="false">-(CP49+CP50)*In_Guarantee_Fee*CP$5/Days_In_Year</f>
        <v>-0</v>
      </c>
      <c r="CQ55" s="48" t="n">
        <f aca="false">-(CQ49+CQ50)*In_Guarantee_Fee*CQ$5/Days_In_Year</f>
        <v>-0</v>
      </c>
      <c r="CR55" s="48" t="n">
        <f aca="false">-(CR49+CR50)*In_Guarantee_Fee*CR$5/Days_In_Year</f>
        <v>-0</v>
      </c>
      <c r="CS55" s="48" t="n">
        <f aca="false">-(CS49+CS50)*In_Guarantee_Fee*CS$5/Days_In_Year</f>
        <v>-0</v>
      </c>
      <c r="CT55" s="48" t="n">
        <f aca="false">-(CT49+CT50)*In_Guarantee_Fee*CT$5/Days_In_Year</f>
        <v>-0</v>
      </c>
      <c r="CU55" s="48" t="n">
        <f aca="false">-(CU49+CU50)*In_Guarantee_Fee*CU$5/Days_In_Year</f>
        <v>-0</v>
      </c>
      <c r="CV55" s="48" t="n">
        <f aca="false">-(CV49+CV50)*In_Guarantee_Fee*CV$5/Days_In_Year</f>
        <v>-0</v>
      </c>
      <c r="CW55" s="48" t="n">
        <f aca="false">-(CW49+CW50)*In_Guarantee_Fee*CW$5/Days_In_Year</f>
        <v>-0</v>
      </c>
      <c r="CX55" s="48" t="n">
        <f aca="false">-(CX49+CX50)*In_Guarantee_Fee*CX$5/Days_In_Year</f>
        <v>-0</v>
      </c>
      <c r="CY55" s="48" t="n">
        <f aca="false">-(CY49+CY50)*In_Guarantee_Fee*CY$5/Days_In_Year</f>
        <v>-0</v>
      </c>
      <c r="CZ55" s="48" t="n">
        <f aca="false">-(CZ49+CZ50)*In_Guarantee_Fee*CZ$5/Days_In_Year</f>
        <v>-0</v>
      </c>
      <c r="DA55" s="48" t="n">
        <f aca="false">-(DA49+DA50)*In_Guarantee_Fee*DA$5/Days_In_Year</f>
        <v>-0</v>
      </c>
      <c r="DB55" s="48" t="n">
        <f aca="false">-(DB49+DB50)*In_Guarantee_Fee*DB$5/Days_In_Year</f>
        <v>-0</v>
      </c>
      <c r="DC55" s="48" t="n">
        <f aca="false">-(DC49+DC50)*In_Guarantee_Fee*DC$5/Days_In_Year</f>
        <v>-0</v>
      </c>
      <c r="DD55" s="48" t="n">
        <f aca="false">-(DD49+DD50)*In_Guarantee_Fee*DD$5/Days_In_Year</f>
        <v>-0</v>
      </c>
      <c r="DE55" s="48" t="n">
        <f aca="false">-(DE49+DE50)*In_Guarantee_Fee*DE$5/Days_In_Year</f>
        <v>-0</v>
      </c>
      <c r="DF55" s="48" t="n">
        <f aca="false">-(DF49+DF50)*In_Guarantee_Fee*DF$5/Days_In_Year</f>
        <v>-0</v>
      </c>
      <c r="DG55" s="48" t="n">
        <f aca="false">-(DG49+DG50)*In_Guarantee_Fee*DG$5/Days_In_Year</f>
        <v>-0</v>
      </c>
      <c r="DH55" s="48" t="n">
        <f aca="false">-(DH49+DH50)*In_Guarantee_Fee*DH$5/Days_In_Year</f>
        <v>-0</v>
      </c>
      <c r="DI55" s="48" t="n">
        <f aca="false">-(DI49+DI50)*In_Guarantee_Fee*DI$5/Days_In_Year</f>
        <v>-0</v>
      </c>
      <c r="DJ55" s="48" t="n">
        <f aca="false">-(DJ49+DJ50)*In_Guarantee_Fee*DJ$5/Days_In_Year</f>
        <v>-0</v>
      </c>
      <c r="DK55" s="48" t="n">
        <f aca="false">-(DK49+DK50)*In_Guarantee_Fee*DK$5/Days_In_Year</f>
        <v>-0</v>
      </c>
      <c r="DL55" s="48" t="n">
        <f aca="false">-(DL49+DL50)*In_Guarantee_Fee*DL$5/Days_In_Year</f>
        <v>-0</v>
      </c>
      <c r="DM55" s="48" t="n">
        <f aca="false">-(DM49+DM50)*In_Guarantee_Fee*DM$5/Days_In_Year</f>
        <v>-0</v>
      </c>
      <c r="DN55" s="48" t="n">
        <f aca="false">-(DN49+DN50)*In_Guarantee_Fee*DN$5/Days_In_Year</f>
        <v>-0</v>
      </c>
      <c r="DO55" s="48" t="n">
        <f aca="false">-(DO49+DO50)*In_Guarantee_Fee*DO$5/Days_In_Year</f>
        <v>-0</v>
      </c>
      <c r="DP55" s="48" t="n">
        <f aca="false">-(DP49+DP50)*In_Guarantee_Fee*DP$5/Days_In_Year</f>
        <v>-0</v>
      </c>
      <c r="DQ55" s="48" t="n">
        <f aca="false">-(DQ49+DQ50)*In_Guarantee_Fee*DQ$5/Days_In_Year</f>
        <v>-0</v>
      </c>
      <c r="DR55" s="48" t="n">
        <f aca="false">-(DR49+DR50)*In_Guarantee_Fee*DR$5/Days_In_Year</f>
        <v>-0</v>
      </c>
      <c r="DS55" s="48" t="n">
        <f aca="false">-(DS49+DS50)*In_Guarantee_Fee*DS$5/Days_In_Year</f>
        <v>-0</v>
      </c>
      <c r="DT55" s="48" t="n">
        <f aca="false">-(DT49+DT50)*In_Guarantee_Fee*DT$5/Days_In_Year</f>
        <v>-0</v>
      </c>
      <c r="DU55" s="48" t="n">
        <f aca="false">-(DU49+DU50)*In_Guarantee_Fee*DU$5/Days_In_Year</f>
        <v>-0</v>
      </c>
      <c r="DV55" s="48" t="n">
        <f aca="false">-(DV49+DV50)*In_Guarantee_Fee*DV$5/Days_In_Year</f>
        <v>-0</v>
      </c>
      <c r="DW55" s="48" t="n">
        <f aca="false">-(DW49+DW50)*In_Guarantee_Fee*DW$5/Days_In_Year</f>
        <v>-0</v>
      </c>
      <c r="DX55" s="48" t="n">
        <f aca="false">-(DX49+DX50)*In_Guarantee_Fee*DX$5/Days_In_Year</f>
        <v>-0</v>
      </c>
      <c r="DY55" s="48" t="n">
        <f aca="false">-(DY49+DY50)*In_Guarantee_Fee*DY$5/Days_In_Year</f>
        <v>-0</v>
      </c>
      <c r="DZ55" s="48" t="n">
        <f aca="false">-(DZ49+DZ50)*In_Guarantee_Fee*DZ$5/Days_In_Year</f>
        <v>-0</v>
      </c>
      <c r="EA55" s="48" t="n">
        <f aca="false">-(EA49+EA50)*In_Guarantee_Fee*EA$5/Days_In_Year</f>
        <v>-0</v>
      </c>
      <c r="EB55" s="48" t="n">
        <f aca="false">-(EB49+EB50)*In_Guarantee_Fee*EB$5/Days_In_Year</f>
        <v>-0</v>
      </c>
      <c r="EC55" s="48" t="n">
        <f aca="false">-(EC49+EC50)*In_Guarantee_Fee*EC$5/Days_In_Year</f>
        <v>-0</v>
      </c>
      <c r="ED55" s="48" t="n">
        <f aca="false">-(ED49+ED50)*In_Guarantee_Fee*ED$5/Days_In_Year</f>
        <v>-0</v>
      </c>
      <c r="EE55" s="48" t="n">
        <f aca="false">-(EE49+EE50)*In_Guarantee_Fee*EE$5/Days_In_Year</f>
        <v>-0</v>
      </c>
      <c r="EF55" s="48" t="n">
        <f aca="false">-(EF49+EF50)*In_Guarantee_Fee*EF$5/Days_In_Year</f>
        <v>-0</v>
      </c>
      <c r="EG55" s="48" t="n">
        <f aca="false">-(EG49+EG50)*In_Guarantee_Fee*EG$5/Days_In_Year</f>
        <v>-0</v>
      </c>
      <c r="EH55" s="48" t="n">
        <f aca="false">-(EH49+EH50)*In_Guarantee_Fee*EH$5/Days_In_Year</f>
        <v>-0</v>
      </c>
      <c r="EI55" s="48" t="n">
        <f aca="false">-(EI49+EI50)*In_Guarantee_Fee*EI$5/Days_In_Year</f>
        <v>-0</v>
      </c>
      <c r="EJ55" s="48" t="n">
        <f aca="false">-(EJ49+EJ50)*In_Guarantee_Fee*EJ$5/Days_In_Year</f>
        <v>-0</v>
      </c>
      <c r="EK55" s="48" t="n">
        <f aca="false">-(EK49+EK50)*In_Guarantee_Fee*EK$5/Days_In_Year</f>
        <v>-0</v>
      </c>
      <c r="EL55" s="48" t="n">
        <f aca="false">-(EL49+EL50)*In_Guarantee_Fee*EL$5/Days_In_Year</f>
        <v>-0</v>
      </c>
      <c r="EM55" s="48" t="n">
        <f aca="false">-(EM49+EM50)*In_Guarantee_Fee*EM$5/Days_In_Year</f>
        <v>-0</v>
      </c>
      <c r="EN55" s="48" t="n">
        <f aca="false">-(EN49+EN50)*In_Guarantee_Fee*EN$5/Days_In_Year</f>
        <v>-0</v>
      </c>
      <c r="EO55" s="48" t="n">
        <f aca="false">-(EO49+EO50)*In_Guarantee_Fee*EO$5/Days_In_Year</f>
        <v>-0</v>
      </c>
    </row>
    <row r="56" customFormat="false" ht="15" hidden="false" customHeight="false" outlineLevel="0" collapsed="false">
      <c r="C56" s="1" t="s">
        <v>419</v>
      </c>
      <c r="D56" s="12" t="s">
        <v>33</v>
      </c>
      <c r="E56" s="48" t="n">
        <f aca="false">$E50*$E24*In_Bench_Wind/$E47</f>
        <v>1668.49315068493</v>
      </c>
      <c r="F56" s="48" t="n">
        <f aca="false">$E50-$E56</f>
        <v>547.945205479452</v>
      </c>
    </row>
    <row r="57" customFormat="false" ht="15" hidden="false" customHeight="false" outlineLevel="0" collapsed="false">
      <c r="C57" s="1" t="s">
        <v>420</v>
      </c>
      <c r="D57" s="12" t="s">
        <v>33</v>
      </c>
      <c r="E57" s="48" t="n">
        <f aca="false">($E28&gt;In_Tolerance_Cap)*$E28*$E56+($F28&gt;In_Tolerance_Cap)*$F28*$F56</f>
        <v>0</v>
      </c>
      <c r="F57" s="48" t="n">
        <f aca="false">($E28+$F28&gt;0)*$E50</f>
        <v>2216.43835616438</v>
      </c>
    </row>
    <row r="58" customFormat="false" ht="15" hidden="false" customHeight="false" outlineLevel="0" collapsed="false">
      <c r="C58" s="1" t="s">
        <v>421</v>
      </c>
      <c r="D58" s="12" t="s">
        <v>33</v>
      </c>
      <c r="E58" s="46" t="n">
        <f aca="false">EDATE(In_COD,In_Sanction_Lag)</f>
        <v>47937</v>
      </c>
      <c r="I58" s="48" t="n">
        <f aca="false">SUM(J58:EO58)</f>
        <v>0</v>
      </c>
      <c r="J58" s="48" t="n">
        <f aca="false">-CHOOSE(In_Sanction_Regime,$E57,$F57)*N(AND(J$3&lt;=$E58,J$4&gt;=$E58))</f>
        <v>-0</v>
      </c>
      <c r="K58" s="48" t="n">
        <f aca="false">-CHOOSE(In_Sanction_Regime,$E57,$F57)*N(AND(K$3&lt;=$E58,K$4&gt;=$E58))</f>
        <v>-0</v>
      </c>
      <c r="L58" s="48" t="n">
        <f aca="false">-CHOOSE(In_Sanction_Regime,$E57,$F57)*N(AND(L$3&lt;=$E58,L$4&gt;=$E58))</f>
        <v>-0</v>
      </c>
      <c r="M58" s="48" t="n">
        <f aca="false">-CHOOSE(In_Sanction_Regime,$E57,$F57)*N(AND(M$3&lt;=$E58,M$4&gt;=$E58))</f>
        <v>-0</v>
      </c>
      <c r="N58" s="48" t="n">
        <f aca="false">-CHOOSE(In_Sanction_Regime,$E57,$F57)*N(AND(N$3&lt;=$E58,N$4&gt;=$E58))</f>
        <v>-0</v>
      </c>
      <c r="O58" s="48" t="n">
        <f aca="false">-CHOOSE(In_Sanction_Regime,$E57,$F57)*N(AND(O$3&lt;=$E58,O$4&gt;=$E58))</f>
        <v>-0</v>
      </c>
      <c r="P58" s="48" t="n">
        <f aca="false">-CHOOSE(In_Sanction_Regime,$E57,$F57)*N(AND(P$3&lt;=$E58,P$4&gt;=$E58))</f>
        <v>-0</v>
      </c>
      <c r="Q58" s="48" t="n">
        <f aca="false">-CHOOSE(In_Sanction_Regime,$E57,$F57)*N(AND(Q$3&lt;=$E58,Q$4&gt;=$E58))</f>
        <v>-0</v>
      </c>
      <c r="R58" s="48" t="n">
        <f aca="false">-CHOOSE(In_Sanction_Regime,$E57,$F57)*N(AND(R$3&lt;=$E58,R$4&gt;=$E58))</f>
        <v>-0</v>
      </c>
      <c r="S58" s="48" t="n">
        <f aca="false">-CHOOSE(In_Sanction_Regime,$E57,$F57)*N(AND(S$3&lt;=$E58,S$4&gt;=$E58))</f>
        <v>-0</v>
      </c>
      <c r="T58" s="48" t="n">
        <f aca="false">-CHOOSE(In_Sanction_Regime,$E57,$F57)*N(AND(T$3&lt;=$E58,T$4&gt;=$E58))</f>
        <v>-0</v>
      </c>
      <c r="U58" s="48" t="n">
        <f aca="false">-CHOOSE(In_Sanction_Regime,$E57,$F57)*N(AND(U$3&lt;=$E58,U$4&gt;=$E58))</f>
        <v>-0</v>
      </c>
      <c r="V58" s="48" t="n">
        <f aca="false">-CHOOSE(In_Sanction_Regime,$E57,$F57)*N(AND(V$3&lt;=$E58,V$4&gt;=$E58))</f>
        <v>-0</v>
      </c>
      <c r="W58" s="48" t="n">
        <f aca="false">-CHOOSE(In_Sanction_Regime,$E57,$F57)*N(AND(W$3&lt;=$E58,W$4&gt;=$E58))</f>
        <v>-0</v>
      </c>
      <c r="X58" s="48" t="n">
        <f aca="false">-CHOOSE(In_Sanction_Regime,$E57,$F57)*N(AND(X$3&lt;=$E58,X$4&gt;=$E58))</f>
        <v>-0</v>
      </c>
      <c r="Y58" s="48" t="n">
        <f aca="false">-CHOOSE(In_Sanction_Regime,$E57,$F57)*N(AND(Y$3&lt;=$E58,Y$4&gt;=$E58))</f>
        <v>-0</v>
      </c>
      <c r="Z58" s="48" t="n">
        <f aca="false">-CHOOSE(In_Sanction_Regime,$E57,$F57)*N(AND(Z$3&lt;=$E58,Z$4&gt;=$E58))</f>
        <v>-0</v>
      </c>
      <c r="AA58" s="48" t="n">
        <f aca="false">-CHOOSE(In_Sanction_Regime,$E57,$F57)*N(AND(AA$3&lt;=$E58,AA$4&gt;=$E58))</f>
        <v>-0</v>
      </c>
      <c r="AB58" s="48" t="n">
        <f aca="false">-CHOOSE(In_Sanction_Regime,$E57,$F57)*N(AND(AB$3&lt;=$E58,AB$4&gt;=$E58))</f>
        <v>-0</v>
      </c>
      <c r="AC58" s="48" t="n">
        <f aca="false">-CHOOSE(In_Sanction_Regime,$E57,$F57)*N(AND(AC$3&lt;=$E58,AC$4&gt;=$E58))</f>
        <v>-0</v>
      </c>
      <c r="AD58" s="48" t="n">
        <f aca="false">-CHOOSE(In_Sanction_Regime,$E57,$F57)*N(AND(AD$3&lt;=$E58,AD$4&gt;=$E58))</f>
        <v>-0</v>
      </c>
      <c r="AE58" s="48" t="n">
        <f aca="false">-CHOOSE(In_Sanction_Regime,$E57,$F57)*N(AND(AE$3&lt;=$E58,AE$4&gt;=$E58))</f>
        <v>-0</v>
      </c>
      <c r="AF58" s="48" t="n">
        <f aca="false">-CHOOSE(In_Sanction_Regime,$E57,$F57)*N(AND(AF$3&lt;=$E58,AF$4&gt;=$E58))</f>
        <v>-0</v>
      </c>
      <c r="AG58" s="48" t="n">
        <f aca="false">-CHOOSE(In_Sanction_Regime,$E57,$F57)*N(AND(AG$3&lt;=$E58,AG$4&gt;=$E58))</f>
        <v>-0</v>
      </c>
      <c r="AH58" s="48" t="n">
        <f aca="false">-CHOOSE(In_Sanction_Regime,$E57,$F57)*N(AND(AH$3&lt;=$E58,AH$4&gt;=$E58))</f>
        <v>-0</v>
      </c>
      <c r="AI58" s="48" t="n">
        <f aca="false">-CHOOSE(In_Sanction_Regime,$E57,$F57)*N(AND(AI$3&lt;=$E58,AI$4&gt;=$E58))</f>
        <v>-0</v>
      </c>
      <c r="AJ58" s="48" t="n">
        <f aca="false">-CHOOSE(In_Sanction_Regime,$E57,$F57)*N(AND(AJ$3&lt;=$E58,AJ$4&gt;=$E58))</f>
        <v>-0</v>
      </c>
      <c r="AK58" s="48" t="n">
        <f aca="false">-CHOOSE(In_Sanction_Regime,$E57,$F57)*N(AND(AK$3&lt;=$E58,AK$4&gt;=$E58))</f>
        <v>-0</v>
      </c>
      <c r="AL58" s="48" t="n">
        <f aca="false">-CHOOSE(In_Sanction_Regime,$E57,$F57)*N(AND(AL$3&lt;=$E58,AL$4&gt;=$E58))</f>
        <v>-0</v>
      </c>
      <c r="AM58" s="48" t="n">
        <f aca="false">-CHOOSE(In_Sanction_Regime,$E57,$F57)*N(AND(AM$3&lt;=$E58,AM$4&gt;=$E58))</f>
        <v>-0</v>
      </c>
      <c r="AN58" s="48" t="n">
        <f aca="false">-CHOOSE(In_Sanction_Regime,$E57,$F57)*N(AND(AN$3&lt;=$E58,AN$4&gt;=$E58))</f>
        <v>-0</v>
      </c>
      <c r="AO58" s="48" t="n">
        <f aca="false">-CHOOSE(In_Sanction_Regime,$E57,$F57)*N(AND(AO$3&lt;=$E58,AO$4&gt;=$E58))</f>
        <v>-0</v>
      </c>
      <c r="AP58" s="48" t="n">
        <f aca="false">-CHOOSE(In_Sanction_Regime,$E57,$F57)*N(AND(AP$3&lt;=$E58,AP$4&gt;=$E58))</f>
        <v>-0</v>
      </c>
      <c r="AQ58" s="48" t="n">
        <f aca="false">-CHOOSE(In_Sanction_Regime,$E57,$F57)*N(AND(AQ$3&lt;=$E58,AQ$4&gt;=$E58))</f>
        <v>-0</v>
      </c>
      <c r="AR58" s="48" t="n">
        <f aca="false">-CHOOSE(In_Sanction_Regime,$E57,$F57)*N(AND(AR$3&lt;=$E58,AR$4&gt;=$E58))</f>
        <v>-0</v>
      </c>
      <c r="AS58" s="48" t="n">
        <f aca="false">-CHOOSE(In_Sanction_Regime,$E57,$F57)*N(AND(AS$3&lt;=$E58,AS$4&gt;=$E58))</f>
        <v>-0</v>
      </c>
      <c r="AT58" s="48" t="n">
        <f aca="false">-CHOOSE(In_Sanction_Regime,$E57,$F57)*N(AND(AT$3&lt;=$E58,AT$4&gt;=$E58))</f>
        <v>-0</v>
      </c>
      <c r="AU58" s="48" t="n">
        <f aca="false">-CHOOSE(In_Sanction_Regime,$E57,$F57)*N(AND(AU$3&lt;=$E58,AU$4&gt;=$E58))</f>
        <v>-0</v>
      </c>
      <c r="AV58" s="48" t="n">
        <f aca="false">-CHOOSE(In_Sanction_Regime,$E57,$F57)*N(AND(AV$3&lt;=$E58,AV$4&gt;=$E58))</f>
        <v>-0</v>
      </c>
      <c r="AW58" s="48" t="n">
        <f aca="false">-CHOOSE(In_Sanction_Regime,$E57,$F57)*N(AND(AW$3&lt;=$E58,AW$4&gt;=$E58))</f>
        <v>-0</v>
      </c>
      <c r="AX58" s="48" t="n">
        <f aca="false">-CHOOSE(In_Sanction_Regime,$E57,$F57)*N(AND(AX$3&lt;=$E58,AX$4&gt;=$E58))</f>
        <v>-0</v>
      </c>
      <c r="AY58" s="48" t="n">
        <f aca="false">-CHOOSE(In_Sanction_Regime,$E57,$F57)*N(AND(AY$3&lt;=$E58,AY$4&gt;=$E58))</f>
        <v>-0</v>
      </c>
      <c r="AZ58" s="48" t="n">
        <f aca="false">-CHOOSE(In_Sanction_Regime,$E57,$F57)*N(AND(AZ$3&lt;=$E58,AZ$4&gt;=$E58))</f>
        <v>-0</v>
      </c>
      <c r="BA58" s="48" t="n">
        <f aca="false">-CHOOSE(In_Sanction_Regime,$E57,$F57)*N(AND(BA$3&lt;=$E58,BA$4&gt;=$E58))</f>
        <v>-0</v>
      </c>
      <c r="BB58" s="48" t="n">
        <f aca="false">-CHOOSE(In_Sanction_Regime,$E57,$F57)*N(AND(BB$3&lt;=$E58,BB$4&gt;=$E58))</f>
        <v>-0</v>
      </c>
      <c r="BC58" s="48" t="n">
        <f aca="false">-CHOOSE(In_Sanction_Regime,$E57,$F57)*N(AND(BC$3&lt;=$E58,BC$4&gt;=$E58))</f>
        <v>-0</v>
      </c>
      <c r="BD58" s="48" t="n">
        <f aca="false">-CHOOSE(In_Sanction_Regime,$E57,$F57)*N(AND(BD$3&lt;=$E58,BD$4&gt;=$E58))</f>
        <v>-0</v>
      </c>
      <c r="BE58" s="48" t="n">
        <f aca="false">-CHOOSE(In_Sanction_Regime,$E57,$F57)*N(AND(BE$3&lt;=$E58,BE$4&gt;=$E58))</f>
        <v>-0</v>
      </c>
      <c r="BF58" s="48" t="n">
        <f aca="false">-CHOOSE(In_Sanction_Regime,$E57,$F57)*N(AND(BF$3&lt;=$E58,BF$4&gt;=$E58))</f>
        <v>-0</v>
      </c>
      <c r="BG58" s="48" t="n">
        <f aca="false">-CHOOSE(In_Sanction_Regime,$E57,$F57)*N(AND(BG$3&lt;=$E58,BG$4&gt;=$E58))</f>
        <v>-0</v>
      </c>
      <c r="BH58" s="48" t="n">
        <f aca="false">-CHOOSE(In_Sanction_Regime,$E57,$F57)*N(AND(BH$3&lt;=$E58,BH$4&gt;=$E58))</f>
        <v>-0</v>
      </c>
      <c r="BI58" s="48" t="n">
        <f aca="false">-CHOOSE(In_Sanction_Regime,$E57,$F57)*N(AND(BI$3&lt;=$E58,BI$4&gt;=$E58))</f>
        <v>-0</v>
      </c>
      <c r="BJ58" s="48" t="n">
        <f aca="false">-CHOOSE(In_Sanction_Regime,$E57,$F57)*N(AND(BJ$3&lt;=$E58,BJ$4&gt;=$E58))</f>
        <v>-0</v>
      </c>
      <c r="BK58" s="48" t="n">
        <f aca="false">-CHOOSE(In_Sanction_Regime,$E57,$F57)*N(AND(BK$3&lt;=$E58,BK$4&gt;=$E58))</f>
        <v>-0</v>
      </c>
      <c r="BL58" s="48" t="n">
        <f aca="false">-CHOOSE(In_Sanction_Regime,$E57,$F57)*N(AND(BL$3&lt;=$E58,BL$4&gt;=$E58))</f>
        <v>-0</v>
      </c>
      <c r="BM58" s="48" t="n">
        <f aca="false">-CHOOSE(In_Sanction_Regime,$E57,$F57)*N(AND(BM$3&lt;=$E58,BM$4&gt;=$E58))</f>
        <v>-0</v>
      </c>
      <c r="BN58" s="48" t="n">
        <f aca="false">-CHOOSE(In_Sanction_Regime,$E57,$F57)*N(AND(BN$3&lt;=$E58,BN$4&gt;=$E58))</f>
        <v>-0</v>
      </c>
      <c r="BO58" s="48" t="n">
        <f aca="false">-CHOOSE(In_Sanction_Regime,$E57,$F57)*N(AND(BO$3&lt;=$E58,BO$4&gt;=$E58))</f>
        <v>-0</v>
      </c>
      <c r="BP58" s="48" t="n">
        <f aca="false">-CHOOSE(In_Sanction_Regime,$E57,$F57)*N(AND(BP$3&lt;=$E58,BP$4&gt;=$E58))</f>
        <v>-0</v>
      </c>
      <c r="BQ58" s="48" t="n">
        <f aca="false">-CHOOSE(In_Sanction_Regime,$E57,$F57)*N(AND(BQ$3&lt;=$E58,BQ$4&gt;=$E58))</f>
        <v>-0</v>
      </c>
      <c r="BR58" s="48" t="n">
        <f aca="false">-CHOOSE(In_Sanction_Regime,$E57,$F57)*N(AND(BR$3&lt;=$E58,BR$4&gt;=$E58))</f>
        <v>-0</v>
      </c>
      <c r="BS58" s="48" t="n">
        <f aca="false">-CHOOSE(In_Sanction_Regime,$E57,$F57)*N(AND(BS$3&lt;=$E58,BS$4&gt;=$E58))</f>
        <v>-0</v>
      </c>
      <c r="BT58" s="48" t="n">
        <f aca="false">-CHOOSE(In_Sanction_Regime,$E57,$F57)*N(AND(BT$3&lt;=$E58,BT$4&gt;=$E58))</f>
        <v>-0</v>
      </c>
      <c r="BU58" s="48" t="n">
        <f aca="false">-CHOOSE(In_Sanction_Regime,$E57,$F57)*N(AND(BU$3&lt;=$E58,BU$4&gt;=$E58))</f>
        <v>-0</v>
      </c>
      <c r="BV58" s="48" t="n">
        <f aca="false">-CHOOSE(In_Sanction_Regime,$E57,$F57)*N(AND(BV$3&lt;=$E58,BV$4&gt;=$E58))</f>
        <v>-0</v>
      </c>
      <c r="BW58" s="48" t="n">
        <f aca="false">-CHOOSE(In_Sanction_Regime,$E57,$F57)*N(AND(BW$3&lt;=$E58,BW$4&gt;=$E58))</f>
        <v>-0</v>
      </c>
      <c r="BX58" s="48" t="n">
        <f aca="false">-CHOOSE(In_Sanction_Regime,$E57,$F57)*N(AND(BX$3&lt;=$E58,BX$4&gt;=$E58))</f>
        <v>-0</v>
      </c>
      <c r="BY58" s="48" t="n">
        <f aca="false">-CHOOSE(In_Sanction_Regime,$E57,$F57)*N(AND(BY$3&lt;=$E58,BY$4&gt;=$E58))</f>
        <v>-0</v>
      </c>
      <c r="BZ58" s="48" t="n">
        <f aca="false">-CHOOSE(In_Sanction_Regime,$E57,$F57)*N(AND(BZ$3&lt;=$E58,BZ$4&gt;=$E58))</f>
        <v>-0</v>
      </c>
      <c r="CA58" s="48" t="n">
        <f aca="false">-CHOOSE(In_Sanction_Regime,$E57,$F57)*N(AND(CA$3&lt;=$E58,CA$4&gt;=$E58))</f>
        <v>-0</v>
      </c>
      <c r="CB58" s="48" t="n">
        <f aca="false">-CHOOSE(In_Sanction_Regime,$E57,$F57)*N(AND(CB$3&lt;=$E58,CB$4&gt;=$E58))</f>
        <v>-0</v>
      </c>
      <c r="CC58" s="48" t="n">
        <f aca="false">-CHOOSE(In_Sanction_Regime,$E57,$F57)*N(AND(CC$3&lt;=$E58,CC$4&gt;=$E58))</f>
        <v>-0</v>
      </c>
      <c r="CD58" s="48" t="n">
        <f aca="false">-CHOOSE(In_Sanction_Regime,$E57,$F57)*N(AND(CD$3&lt;=$E58,CD$4&gt;=$E58))</f>
        <v>-0</v>
      </c>
      <c r="CE58" s="48" t="n">
        <f aca="false">-CHOOSE(In_Sanction_Regime,$E57,$F57)*N(AND(CE$3&lt;=$E58,CE$4&gt;=$E58))</f>
        <v>-0</v>
      </c>
      <c r="CF58" s="48" t="n">
        <f aca="false">-CHOOSE(In_Sanction_Regime,$E57,$F57)*N(AND(CF$3&lt;=$E58,CF$4&gt;=$E58))</f>
        <v>-0</v>
      </c>
      <c r="CG58" s="48" t="n">
        <f aca="false">-CHOOSE(In_Sanction_Regime,$E57,$F57)*N(AND(CG$3&lt;=$E58,CG$4&gt;=$E58))</f>
        <v>-0</v>
      </c>
      <c r="CH58" s="48" t="n">
        <f aca="false">-CHOOSE(In_Sanction_Regime,$E57,$F57)*N(AND(CH$3&lt;=$E58,CH$4&gt;=$E58))</f>
        <v>-0</v>
      </c>
      <c r="CI58" s="48" t="n">
        <f aca="false">-CHOOSE(In_Sanction_Regime,$E57,$F57)*N(AND(CI$3&lt;=$E58,CI$4&gt;=$E58))</f>
        <v>-0</v>
      </c>
      <c r="CJ58" s="48" t="n">
        <f aca="false">-CHOOSE(In_Sanction_Regime,$E57,$F57)*N(AND(CJ$3&lt;=$E58,CJ$4&gt;=$E58))</f>
        <v>-0</v>
      </c>
      <c r="CK58" s="48" t="n">
        <f aca="false">-CHOOSE(In_Sanction_Regime,$E57,$F57)*N(AND(CK$3&lt;=$E58,CK$4&gt;=$E58))</f>
        <v>-0</v>
      </c>
      <c r="CL58" s="48" t="n">
        <f aca="false">-CHOOSE(In_Sanction_Regime,$E57,$F57)*N(AND(CL$3&lt;=$E58,CL$4&gt;=$E58))</f>
        <v>-0</v>
      </c>
      <c r="CM58" s="48" t="n">
        <f aca="false">-CHOOSE(In_Sanction_Regime,$E57,$F57)*N(AND(CM$3&lt;=$E58,CM$4&gt;=$E58))</f>
        <v>-0</v>
      </c>
      <c r="CN58" s="48" t="n">
        <f aca="false">-CHOOSE(In_Sanction_Regime,$E57,$F57)*N(AND(CN$3&lt;=$E58,CN$4&gt;=$E58))</f>
        <v>-0</v>
      </c>
      <c r="CO58" s="48" t="n">
        <f aca="false">-CHOOSE(In_Sanction_Regime,$E57,$F57)*N(AND(CO$3&lt;=$E58,CO$4&gt;=$E58))</f>
        <v>-0</v>
      </c>
      <c r="CP58" s="48" t="n">
        <f aca="false">-CHOOSE(In_Sanction_Regime,$E57,$F57)*N(AND(CP$3&lt;=$E58,CP$4&gt;=$E58))</f>
        <v>-0</v>
      </c>
      <c r="CQ58" s="48" t="n">
        <f aca="false">-CHOOSE(In_Sanction_Regime,$E57,$F57)*N(AND(CQ$3&lt;=$E58,CQ$4&gt;=$E58))</f>
        <v>-0</v>
      </c>
      <c r="CR58" s="48" t="n">
        <f aca="false">-CHOOSE(In_Sanction_Regime,$E57,$F57)*N(AND(CR$3&lt;=$E58,CR$4&gt;=$E58))</f>
        <v>-0</v>
      </c>
      <c r="CS58" s="48" t="n">
        <f aca="false">-CHOOSE(In_Sanction_Regime,$E57,$F57)*N(AND(CS$3&lt;=$E58,CS$4&gt;=$E58))</f>
        <v>-0</v>
      </c>
      <c r="CT58" s="48" t="n">
        <f aca="false">-CHOOSE(In_Sanction_Regime,$E57,$F57)*N(AND(CT$3&lt;=$E58,CT$4&gt;=$E58))</f>
        <v>-0</v>
      </c>
      <c r="CU58" s="48" t="n">
        <f aca="false">-CHOOSE(In_Sanction_Regime,$E57,$F57)*N(AND(CU$3&lt;=$E58,CU$4&gt;=$E58))</f>
        <v>-0</v>
      </c>
      <c r="CV58" s="48" t="n">
        <f aca="false">-CHOOSE(In_Sanction_Regime,$E57,$F57)*N(AND(CV$3&lt;=$E58,CV$4&gt;=$E58))</f>
        <v>-0</v>
      </c>
      <c r="CW58" s="48" t="n">
        <f aca="false">-CHOOSE(In_Sanction_Regime,$E57,$F57)*N(AND(CW$3&lt;=$E58,CW$4&gt;=$E58))</f>
        <v>-0</v>
      </c>
      <c r="CX58" s="48" t="n">
        <f aca="false">-CHOOSE(In_Sanction_Regime,$E57,$F57)*N(AND(CX$3&lt;=$E58,CX$4&gt;=$E58))</f>
        <v>-0</v>
      </c>
      <c r="CY58" s="48" t="n">
        <f aca="false">-CHOOSE(In_Sanction_Regime,$E57,$F57)*N(AND(CY$3&lt;=$E58,CY$4&gt;=$E58))</f>
        <v>-0</v>
      </c>
      <c r="CZ58" s="48" t="n">
        <f aca="false">-CHOOSE(In_Sanction_Regime,$E57,$F57)*N(AND(CZ$3&lt;=$E58,CZ$4&gt;=$E58))</f>
        <v>-0</v>
      </c>
      <c r="DA58" s="48" t="n">
        <f aca="false">-CHOOSE(In_Sanction_Regime,$E57,$F57)*N(AND(DA$3&lt;=$E58,DA$4&gt;=$E58))</f>
        <v>-0</v>
      </c>
      <c r="DB58" s="48" t="n">
        <f aca="false">-CHOOSE(In_Sanction_Regime,$E57,$F57)*N(AND(DB$3&lt;=$E58,DB$4&gt;=$E58))</f>
        <v>-0</v>
      </c>
      <c r="DC58" s="48" t="n">
        <f aca="false">-CHOOSE(In_Sanction_Regime,$E57,$F57)*N(AND(DC$3&lt;=$E58,DC$4&gt;=$E58))</f>
        <v>-0</v>
      </c>
      <c r="DD58" s="48" t="n">
        <f aca="false">-CHOOSE(In_Sanction_Regime,$E57,$F57)*N(AND(DD$3&lt;=$E58,DD$4&gt;=$E58))</f>
        <v>-0</v>
      </c>
      <c r="DE58" s="48" t="n">
        <f aca="false">-CHOOSE(In_Sanction_Regime,$E57,$F57)*N(AND(DE$3&lt;=$E58,DE$4&gt;=$E58))</f>
        <v>-0</v>
      </c>
      <c r="DF58" s="48" t="n">
        <f aca="false">-CHOOSE(In_Sanction_Regime,$E57,$F57)*N(AND(DF$3&lt;=$E58,DF$4&gt;=$E58))</f>
        <v>-0</v>
      </c>
      <c r="DG58" s="48" t="n">
        <f aca="false">-CHOOSE(In_Sanction_Regime,$E57,$F57)*N(AND(DG$3&lt;=$E58,DG$4&gt;=$E58))</f>
        <v>-0</v>
      </c>
      <c r="DH58" s="48" t="n">
        <f aca="false">-CHOOSE(In_Sanction_Regime,$E57,$F57)*N(AND(DH$3&lt;=$E58,DH$4&gt;=$E58))</f>
        <v>-0</v>
      </c>
      <c r="DI58" s="48" t="n">
        <f aca="false">-CHOOSE(In_Sanction_Regime,$E57,$F57)*N(AND(DI$3&lt;=$E58,DI$4&gt;=$E58))</f>
        <v>-0</v>
      </c>
      <c r="DJ58" s="48" t="n">
        <f aca="false">-CHOOSE(In_Sanction_Regime,$E57,$F57)*N(AND(DJ$3&lt;=$E58,DJ$4&gt;=$E58))</f>
        <v>-0</v>
      </c>
      <c r="DK58" s="48" t="n">
        <f aca="false">-CHOOSE(In_Sanction_Regime,$E57,$F57)*N(AND(DK$3&lt;=$E58,DK$4&gt;=$E58))</f>
        <v>-0</v>
      </c>
      <c r="DL58" s="48" t="n">
        <f aca="false">-CHOOSE(In_Sanction_Regime,$E57,$F57)*N(AND(DL$3&lt;=$E58,DL$4&gt;=$E58))</f>
        <v>-0</v>
      </c>
      <c r="DM58" s="48" t="n">
        <f aca="false">-CHOOSE(In_Sanction_Regime,$E57,$F57)*N(AND(DM$3&lt;=$E58,DM$4&gt;=$E58))</f>
        <v>-0</v>
      </c>
      <c r="DN58" s="48" t="n">
        <f aca="false">-CHOOSE(In_Sanction_Regime,$E57,$F57)*N(AND(DN$3&lt;=$E58,DN$4&gt;=$E58))</f>
        <v>-0</v>
      </c>
      <c r="DO58" s="48" t="n">
        <f aca="false">-CHOOSE(In_Sanction_Regime,$E57,$F57)*N(AND(DO$3&lt;=$E58,DO$4&gt;=$E58))</f>
        <v>-0</v>
      </c>
      <c r="DP58" s="48" t="n">
        <f aca="false">-CHOOSE(In_Sanction_Regime,$E57,$F57)*N(AND(DP$3&lt;=$E58,DP$4&gt;=$E58))</f>
        <v>-0</v>
      </c>
      <c r="DQ58" s="48" t="n">
        <f aca="false">-CHOOSE(In_Sanction_Regime,$E57,$F57)*N(AND(DQ$3&lt;=$E58,DQ$4&gt;=$E58))</f>
        <v>-0</v>
      </c>
      <c r="DR58" s="48" t="n">
        <f aca="false">-CHOOSE(In_Sanction_Regime,$E57,$F57)*N(AND(DR$3&lt;=$E58,DR$4&gt;=$E58))</f>
        <v>-0</v>
      </c>
      <c r="DS58" s="48" t="n">
        <f aca="false">-CHOOSE(In_Sanction_Regime,$E57,$F57)*N(AND(DS$3&lt;=$E58,DS$4&gt;=$E58))</f>
        <v>-0</v>
      </c>
      <c r="DT58" s="48" t="n">
        <f aca="false">-CHOOSE(In_Sanction_Regime,$E57,$F57)*N(AND(DT$3&lt;=$E58,DT$4&gt;=$E58))</f>
        <v>-0</v>
      </c>
      <c r="DU58" s="48" t="n">
        <f aca="false">-CHOOSE(In_Sanction_Regime,$E57,$F57)*N(AND(DU$3&lt;=$E58,DU$4&gt;=$E58))</f>
        <v>-0</v>
      </c>
      <c r="DV58" s="48" t="n">
        <f aca="false">-CHOOSE(In_Sanction_Regime,$E57,$F57)*N(AND(DV$3&lt;=$E58,DV$4&gt;=$E58))</f>
        <v>-0</v>
      </c>
      <c r="DW58" s="48" t="n">
        <f aca="false">-CHOOSE(In_Sanction_Regime,$E57,$F57)*N(AND(DW$3&lt;=$E58,DW$4&gt;=$E58))</f>
        <v>-0</v>
      </c>
      <c r="DX58" s="48" t="n">
        <f aca="false">-CHOOSE(In_Sanction_Regime,$E57,$F57)*N(AND(DX$3&lt;=$E58,DX$4&gt;=$E58))</f>
        <v>-0</v>
      </c>
      <c r="DY58" s="48" t="n">
        <f aca="false">-CHOOSE(In_Sanction_Regime,$E57,$F57)*N(AND(DY$3&lt;=$E58,DY$4&gt;=$E58))</f>
        <v>-0</v>
      </c>
      <c r="DZ58" s="48" t="n">
        <f aca="false">-CHOOSE(In_Sanction_Regime,$E57,$F57)*N(AND(DZ$3&lt;=$E58,DZ$4&gt;=$E58))</f>
        <v>-0</v>
      </c>
      <c r="EA58" s="48" t="n">
        <f aca="false">-CHOOSE(In_Sanction_Regime,$E57,$F57)*N(AND(EA$3&lt;=$E58,EA$4&gt;=$E58))</f>
        <v>-0</v>
      </c>
      <c r="EB58" s="48" t="n">
        <f aca="false">-CHOOSE(In_Sanction_Regime,$E57,$F57)*N(AND(EB$3&lt;=$E58,EB$4&gt;=$E58))</f>
        <v>-0</v>
      </c>
      <c r="EC58" s="48" t="n">
        <f aca="false">-CHOOSE(In_Sanction_Regime,$E57,$F57)*N(AND(EC$3&lt;=$E58,EC$4&gt;=$E58))</f>
        <v>-0</v>
      </c>
      <c r="ED58" s="48" t="n">
        <f aca="false">-CHOOSE(In_Sanction_Regime,$E57,$F57)*N(AND(ED$3&lt;=$E58,ED$4&gt;=$E58))</f>
        <v>-0</v>
      </c>
      <c r="EE58" s="48" t="n">
        <f aca="false">-CHOOSE(In_Sanction_Regime,$E57,$F57)*N(AND(EE$3&lt;=$E58,EE$4&gt;=$E58))</f>
        <v>-0</v>
      </c>
      <c r="EF58" s="48" t="n">
        <f aca="false">-CHOOSE(In_Sanction_Regime,$E57,$F57)*N(AND(EF$3&lt;=$E58,EF$4&gt;=$E58))</f>
        <v>-0</v>
      </c>
      <c r="EG58" s="48" t="n">
        <f aca="false">-CHOOSE(In_Sanction_Regime,$E57,$F57)*N(AND(EG$3&lt;=$E58,EG$4&gt;=$E58))</f>
        <v>-0</v>
      </c>
      <c r="EH58" s="48" t="n">
        <f aca="false">-CHOOSE(In_Sanction_Regime,$E57,$F57)*N(AND(EH$3&lt;=$E58,EH$4&gt;=$E58))</f>
        <v>-0</v>
      </c>
      <c r="EI58" s="48" t="n">
        <f aca="false">-CHOOSE(In_Sanction_Regime,$E57,$F57)*N(AND(EI$3&lt;=$E58,EI$4&gt;=$E58))</f>
        <v>-0</v>
      </c>
      <c r="EJ58" s="48" t="n">
        <f aca="false">-CHOOSE(In_Sanction_Regime,$E57,$F57)*N(AND(EJ$3&lt;=$E58,EJ$4&gt;=$E58))</f>
        <v>-0</v>
      </c>
      <c r="EK58" s="48" t="n">
        <f aca="false">-CHOOSE(In_Sanction_Regime,$E57,$F57)*N(AND(EK$3&lt;=$E58,EK$4&gt;=$E58))</f>
        <v>-0</v>
      </c>
      <c r="EL58" s="48" t="n">
        <f aca="false">-CHOOSE(In_Sanction_Regime,$E57,$F57)*N(AND(EL$3&lt;=$E58,EL$4&gt;=$E58))</f>
        <v>-0</v>
      </c>
      <c r="EM58" s="48" t="n">
        <f aca="false">-CHOOSE(In_Sanction_Regime,$E57,$F57)*N(AND(EM$3&lt;=$E58,EM$4&gt;=$E58))</f>
        <v>-0</v>
      </c>
      <c r="EN58" s="48" t="n">
        <f aca="false">-CHOOSE(In_Sanction_Regime,$E57,$F57)*N(AND(EN$3&lt;=$E58,EN$4&gt;=$E58))</f>
        <v>-0</v>
      </c>
      <c r="EO58" s="48" t="n">
        <f aca="false">-CHOOSE(In_Sanction_Regime,$E57,$F57)*N(AND(EO$3&lt;=$E58,EO$4&gt;=$E58))</f>
        <v>-0</v>
      </c>
    </row>
    <row r="59" customFormat="false" ht="15" hidden="false" customHeight="false" outlineLevel="0" collapsed="false">
      <c r="C59" s="26" t="s">
        <v>422</v>
      </c>
      <c r="D59" s="12" t="s">
        <v>33</v>
      </c>
      <c r="I59" s="57" t="n">
        <f aca="false">SUM(J59:EO59)</f>
        <v>-6597.56948020267</v>
      </c>
      <c r="J59" s="57" t="n">
        <f aca="false">J44+J45+J46+J48+J51+J55</f>
        <v>-4662.80993807469</v>
      </c>
      <c r="K59" s="57" t="n">
        <f aca="false">K44+K45+K46+K48+K51+K55</f>
        <v>-706.535577057768</v>
      </c>
      <c r="L59" s="57" t="n">
        <f aca="false">L44+L45+L46+L48+L51+L55</f>
        <v>-104.360496659404</v>
      </c>
      <c r="M59" s="57" t="n">
        <f aca="false">M44+M45+M46+M48+M51+M55</f>
        <v>-105.507315304013</v>
      </c>
      <c r="N59" s="57" t="n">
        <f aca="false">N44+N45+N46+N48+N51+N55</f>
        <v>-105.507315304013</v>
      </c>
      <c r="O59" s="57" t="n">
        <f aca="false">O44+O45+O46+O48+O51+O55</f>
        <v>-104.360496659404</v>
      </c>
      <c r="P59" s="57" t="n">
        <f aca="false">P44+P45+P46+P48+P51+P55</f>
        <v>-104.360496659404</v>
      </c>
      <c r="Q59" s="57" t="n">
        <f aca="false">Q44+Q45+Q46+Q48+Q51+Q55</f>
        <v>-105.507315304013</v>
      </c>
      <c r="R59" s="57" t="n">
        <f aca="false">R44+R45+R46+R48+R51+R55</f>
        <v>-33.5198348658285</v>
      </c>
      <c r="S59" s="57" t="n">
        <f aca="false">S44+S45+S46+S48+S51+S55</f>
        <v>-32.7911428035279</v>
      </c>
      <c r="T59" s="57" t="n">
        <f aca="false">T44+T45+T46+T48+T51+T55</f>
        <v>-33.1554888346782</v>
      </c>
      <c r="U59" s="57" t="n">
        <f aca="false">U44+U45+U46+U48+U51+U55</f>
        <v>-33.5198348658285</v>
      </c>
      <c r="V59" s="57" t="n">
        <f aca="false">V44+V45+V46+V48+V51+V55</f>
        <v>-33.5198348658285</v>
      </c>
      <c r="W59" s="57" t="n">
        <f aca="false">W44+W45+W46+W48+W51+W55</f>
        <v>-32.7911428035279</v>
      </c>
      <c r="X59" s="57" t="n">
        <f aca="false">X44+X45+X46+X48+X51+X55</f>
        <v>-33.1554888346782</v>
      </c>
      <c r="Y59" s="57" t="n">
        <f aca="false">Y44+Y45+Y46+Y48+Y51+Y55</f>
        <v>-33.5198348658285</v>
      </c>
      <c r="Z59" s="57" t="n">
        <f aca="false">Z44+Z45+Z46+Z48+Z51+Z55</f>
        <v>-33.5198348658285</v>
      </c>
      <c r="AA59" s="57" t="n">
        <f aca="false">AA44+AA45+AA46+AA48+AA51+AA55</f>
        <v>-32.7911428035279</v>
      </c>
      <c r="AB59" s="57" t="n">
        <f aca="false">AB44+AB45+AB46+AB48+AB51+AB55</f>
        <v>-33.1554888346782</v>
      </c>
      <c r="AC59" s="57" t="n">
        <f aca="false">AC44+AC45+AC46+AC48+AC51+AC55</f>
        <v>-33.5198348658285</v>
      </c>
      <c r="AD59" s="57" t="n">
        <f aca="false">AD44+AD45+AD46+AD48+AD51+AD55</f>
        <v>-33.5198348658285</v>
      </c>
      <c r="AE59" s="57" t="n">
        <f aca="false">AE44+AE45+AE46+AE48+AE51+AE55</f>
        <v>-33.1554888346782</v>
      </c>
      <c r="AF59" s="57" t="n">
        <f aca="false">AF44+AF45+AF46+AF48+AF51+AF55</f>
        <v>-33.1554888346782</v>
      </c>
      <c r="AG59" s="57" t="n">
        <f aca="false">AG44+AG45+AG46+AG48+AG51+AG55</f>
        <v>-33.5198348658285</v>
      </c>
      <c r="AH59" s="57" t="n">
        <f aca="false">AH44+AH45+AH46+AH48+AH51+AH55</f>
        <v>-33.5198348658285</v>
      </c>
      <c r="AI59" s="57" t="n">
        <f aca="false">AI44+AI45+AI46+AI48+AI51+AI55</f>
        <v>-32.7911428035279</v>
      </c>
      <c r="AJ59" s="57" t="n">
        <f aca="false">AJ44+AJ45+AJ46+AJ48+AJ51+AJ55</f>
        <v>-0</v>
      </c>
      <c r="AK59" s="57" t="n">
        <f aca="false">AK44+AK45+AK46+AK48+AK51+AK55</f>
        <v>-0</v>
      </c>
      <c r="AL59" s="57" t="n">
        <f aca="false">AL44+AL45+AL46+AL48+AL51+AL55</f>
        <v>-0</v>
      </c>
      <c r="AM59" s="57" t="n">
        <f aca="false">AM44+AM45+AM46+AM48+AM51+AM55</f>
        <v>-0</v>
      </c>
      <c r="AN59" s="57" t="n">
        <f aca="false">AN44+AN45+AN46+AN48+AN51+AN55</f>
        <v>-0</v>
      </c>
      <c r="AO59" s="57" t="n">
        <f aca="false">AO44+AO45+AO46+AO48+AO51+AO55</f>
        <v>-0</v>
      </c>
      <c r="AP59" s="57" t="n">
        <f aca="false">AP44+AP45+AP46+AP48+AP51+AP55</f>
        <v>-0</v>
      </c>
      <c r="AQ59" s="57" t="n">
        <f aca="false">AQ44+AQ45+AQ46+AQ48+AQ51+AQ55</f>
        <v>-0</v>
      </c>
      <c r="AR59" s="57" t="n">
        <f aca="false">AR44+AR45+AR46+AR48+AR51+AR55</f>
        <v>-0</v>
      </c>
      <c r="AS59" s="57" t="n">
        <f aca="false">AS44+AS45+AS46+AS48+AS51+AS55</f>
        <v>-0</v>
      </c>
      <c r="AT59" s="57" t="n">
        <f aca="false">AT44+AT45+AT46+AT48+AT51+AT55</f>
        <v>-0</v>
      </c>
      <c r="AU59" s="57" t="n">
        <f aca="false">AU44+AU45+AU46+AU48+AU51+AU55</f>
        <v>-0</v>
      </c>
      <c r="AV59" s="57" t="n">
        <f aca="false">AV44+AV45+AV46+AV48+AV51+AV55</f>
        <v>-0</v>
      </c>
      <c r="AW59" s="57" t="n">
        <f aca="false">AW44+AW45+AW46+AW48+AW51+AW55</f>
        <v>-0</v>
      </c>
      <c r="AX59" s="57" t="n">
        <f aca="false">AX44+AX45+AX46+AX48+AX51+AX55</f>
        <v>-0</v>
      </c>
      <c r="AY59" s="57" t="n">
        <f aca="false">AY44+AY45+AY46+AY48+AY51+AY55</f>
        <v>-0</v>
      </c>
      <c r="AZ59" s="57" t="n">
        <f aca="false">AZ44+AZ45+AZ46+AZ48+AZ51+AZ55</f>
        <v>-0</v>
      </c>
      <c r="BA59" s="57" t="n">
        <f aca="false">BA44+BA45+BA46+BA48+BA51+BA55</f>
        <v>-0</v>
      </c>
      <c r="BB59" s="57" t="n">
        <f aca="false">BB44+BB45+BB46+BB48+BB51+BB55</f>
        <v>-0</v>
      </c>
      <c r="BC59" s="57" t="n">
        <f aca="false">BC44+BC45+BC46+BC48+BC51+BC55</f>
        <v>-0</v>
      </c>
      <c r="BD59" s="57" t="n">
        <f aca="false">BD44+BD45+BD46+BD48+BD51+BD55</f>
        <v>-0</v>
      </c>
      <c r="BE59" s="57" t="n">
        <f aca="false">BE44+BE45+BE46+BE48+BE51+BE55</f>
        <v>-0</v>
      </c>
      <c r="BF59" s="57" t="n">
        <f aca="false">BF44+BF45+BF46+BF48+BF51+BF55</f>
        <v>-0</v>
      </c>
      <c r="BG59" s="57" t="n">
        <f aca="false">BG44+BG45+BG46+BG48+BG51+BG55</f>
        <v>-0</v>
      </c>
      <c r="BH59" s="57" t="n">
        <f aca="false">BH44+BH45+BH46+BH48+BH51+BH55</f>
        <v>-0</v>
      </c>
      <c r="BI59" s="57" t="n">
        <f aca="false">BI44+BI45+BI46+BI48+BI51+BI55</f>
        <v>-0</v>
      </c>
      <c r="BJ59" s="57" t="n">
        <f aca="false">BJ44+BJ45+BJ46+BJ48+BJ51+BJ55</f>
        <v>-0</v>
      </c>
      <c r="BK59" s="57" t="n">
        <f aca="false">BK44+BK45+BK46+BK48+BK51+BK55</f>
        <v>-0</v>
      </c>
      <c r="BL59" s="57" t="n">
        <f aca="false">BL44+BL45+BL46+BL48+BL51+BL55</f>
        <v>-0</v>
      </c>
      <c r="BM59" s="57" t="n">
        <f aca="false">BM44+BM45+BM46+BM48+BM51+BM55</f>
        <v>-0</v>
      </c>
      <c r="BN59" s="57" t="n">
        <f aca="false">BN44+BN45+BN46+BN48+BN51+BN55</f>
        <v>-0</v>
      </c>
      <c r="BO59" s="57" t="n">
        <f aca="false">BO44+BO45+BO46+BO48+BO51+BO55</f>
        <v>-0</v>
      </c>
      <c r="BP59" s="57" t="n">
        <f aca="false">BP44+BP45+BP46+BP48+BP51+BP55</f>
        <v>-0</v>
      </c>
      <c r="BQ59" s="57" t="n">
        <f aca="false">BQ44+BQ45+BQ46+BQ48+BQ51+BQ55</f>
        <v>-0</v>
      </c>
      <c r="BR59" s="57" t="n">
        <f aca="false">BR44+BR45+BR46+BR48+BR51+BR55</f>
        <v>-0</v>
      </c>
      <c r="BS59" s="57" t="n">
        <f aca="false">BS44+BS45+BS46+BS48+BS51+BS55</f>
        <v>-0</v>
      </c>
      <c r="BT59" s="57" t="n">
        <f aca="false">BT44+BT45+BT46+BT48+BT51+BT55</f>
        <v>-0</v>
      </c>
      <c r="BU59" s="57" t="n">
        <f aca="false">BU44+BU45+BU46+BU48+BU51+BU55</f>
        <v>-0</v>
      </c>
      <c r="BV59" s="57" t="n">
        <f aca="false">BV44+BV45+BV46+BV48+BV51+BV55</f>
        <v>-0</v>
      </c>
      <c r="BW59" s="57" t="n">
        <f aca="false">BW44+BW45+BW46+BW48+BW51+BW55</f>
        <v>-0</v>
      </c>
      <c r="BX59" s="57" t="n">
        <f aca="false">BX44+BX45+BX46+BX48+BX51+BX55</f>
        <v>-0</v>
      </c>
      <c r="BY59" s="57" t="n">
        <f aca="false">BY44+BY45+BY46+BY48+BY51+BY55</f>
        <v>-0</v>
      </c>
      <c r="BZ59" s="57" t="n">
        <f aca="false">BZ44+BZ45+BZ46+BZ48+BZ51+BZ55</f>
        <v>-0</v>
      </c>
      <c r="CA59" s="57" t="n">
        <f aca="false">CA44+CA45+CA46+CA48+CA51+CA55</f>
        <v>-0</v>
      </c>
      <c r="CB59" s="57" t="n">
        <f aca="false">CB44+CB45+CB46+CB48+CB51+CB55</f>
        <v>-0</v>
      </c>
      <c r="CC59" s="57" t="n">
        <f aca="false">CC44+CC45+CC46+CC48+CC51+CC55</f>
        <v>-0</v>
      </c>
      <c r="CD59" s="57" t="n">
        <f aca="false">CD44+CD45+CD46+CD48+CD51+CD55</f>
        <v>-0</v>
      </c>
      <c r="CE59" s="57" t="n">
        <f aca="false">CE44+CE45+CE46+CE48+CE51+CE55</f>
        <v>-0</v>
      </c>
      <c r="CF59" s="57" t="n">
        <f aca="false">CF44+CF45+CF46+CF48+CF51+CF55</f>
        <v>-0</v>
      </c>
      <c r="CG59" s="57" t="n">
        <f aca="false">CG44+CG45+CG46+CG48+CG51+CG55</f>
        <v>-0</v>
      </c>
      <c r="CH59" s="57" t="n">
        <f aca="false">CH44+CH45+CH46+CH48+CH51+CH55</f>
        <v>-0</v>
      </c>
      <c r="CI59" s="57" t="n">
        <f aca="false">CI44+CI45+CI46+CI48+CI51+CI55</f>
        <v>-0</v>
      </c>
      <c r="CJ59" s="57" t="n">
        <f aca="false">CJ44+CJ45+CJ46+CJ48+CJ51+CJ55</f>
        <v>-0</v>
      </c>
      <c r="CK59" s="57" t="n">
        <f aca="false">CK44+CK45+CK46+CK48+CK51+CK55</f>
        <v>-0</v>
      </c>
      <c r="CL59" s="57" t="n">
        <f aca="false">CL44+CL45+CL46+CL48+CL51+CL55</f>
        <v>-0</v>
      </c>
      <c r="CM59" s="57" t="n">
        <f aca="false">CM44+CM45+CM46+CM48+CM51+CM55</f>
        <v>-0</v>
      </c>
      <c r="CN59" s="57" t="n">
        <f aca="false">CN44+CN45+CN46+CN48+CN51+CN55</f>
        <v>-0</v>
      </c>
      <c r="CO59" s="57" t="n">
        <f aca="false">CO44+CO45+CO46+CO48+CO51+CO55</f>
        <v>-0</v>
      </c>
      <c r="CP59" s="57" t="n">
        <f aca="false">CP44+CP45+CP46+CP48+CP51+CP55</f>
        <v>-0</v>
      </c>
      <c r="CQ59" s="57" t="n">
        <f aca="false">CQ44+CQ45+CQ46+CQ48+CQ51+CQ55</f>
        <v>-0</v>
      </c>
      <c r="CR59" s="57" t="n">
        <f aca="false">CR44+CR45+CR46+CR48+CR51+CR55</f>
        <v>-0</v>
      </c>
      <c r="CS59" s="57" t="n">
        <f aca="false">CS44+CS45+CS46+CS48+CS51+CS55</f>
        <v>-0</v>
      </c>
      <c r="CT59" s="57" t="n">
        <f aca="false">CT44+CT45+CT46+CT48+CT51+CT55</f>
        <v>-0</v>
      </c>
      <c r="CU59" s="57" t="n">
        <f aca="false">CU44+CU45+CU46+CU48+CU51+CU55</f>
        <v>-0</v>
      </c>
      <c r="CV59" s="57" t="n">
        <f aca="false">CV44+CV45+CV46+CV48+CV51+CV55</f>
        <v>-0</v>
      </c>
      <c r="CW59" s="57" t="n">
        <f aca="false">CW44+CW45+CW46+CW48+CW51+CW55</f>
        <v>-0</v>
      </c>
      <c r="CX59" s="57" t="n">
        <f aca="false">CX44+CX45+CX46+CX48+CX51+CX55</f>
        <v>-0</v>
      </c>
      <c r="CY59" s="57" t="n">
        <f aca="false">CY44+CY45+CY46+CY48+CY51+CY55</f>
        <v>-0</v>
      </c>
      <c r="CZ59" s="57" t="n">
        <f aca="false">CZ44+CZ45+CZ46+CZ48+CZ51+CZ55</f>
        <v>-0</v>
      </c>
      <c r="DA59" s="57" t="n">
        <f aca="false">DA44+DA45+DA46+DA48+DA51+DA55</f>
        <v>-0</v>
      </c>
      <c r="DB59" s="57" t="n">
        <f aca="false">DB44+DB45+DB46+DB48+DB51+DB55</f>
        <v>-0</v>
      </c>
      <c r="DC59" s="57" t="n">
        <f aca="false">DC44+DC45+DC46+DC48+DC51+DC55</f>
        <v>-0</v>
      </c>
      <c r="DD59" s="57" t="n">
        <f aca="false">DD44+DD45+DD46+DD48+DD51+DD55</f>
        <v>-0</v>
      </c>
      <c r="DE59" s="57" t="n">
        <f aca="false">DE44+DE45+DE46+DE48+DE51+DE55</f>
        <v>-0</v>
      </c>
      <c r="DF59" s="57" t="n">
        <f aca="false">DF44+DF45+DF46+DF48+DF51+DF55</f>
        <v>-0</v>
      </c>
      <c r="DG59" s="57" t="n">
        <f aca="false">DG44+DG45+DG46+DG48+DG51+DG55</f>
        <v>-0</v>
      </c>
      <c r="DH59" s="57" t="n">
        <f aca="false">DH44+DH45+DH46+DH48+DH51+DH55</f>
        <v>-0</v>
      </c>
      <c r="DI59" s="57" t="n">
        <f aca="false">DI44+DI45+DI46+DI48+DI51+DI55</f>
        <v>-0</v>
      </c>
      <c r="DJ59" s="57" t="n">
        <f aca="false">DJ44+DJ45+DJ46+DJ48+DJ51+DJ55</f>
        <v>-0</v>
      </c>
      <c r="DK59" s="57" t="n">
        <f aca="false">DK44+DK45+DK46+DK48+DK51+DK55</f>
        <v>-0</v>
      </c>
      <c r="DL59" s="57" t="n">
        <f aca="false">DL44+DL45+DL46+DL48+DL51+DL55</f>
        <v>-0</v>
      </c>
      <c r="DM59" s="57" t="n">
        <f aca="false">DM44+DM45+DM46+DM48+DM51+DM55</f>
        <v>-0</v>
      </c>
      <c r="DN59" s="57" t="n">
        <f aca="false">DN44+DN45+DN46+DN48+DN51+DN55</f>
        <v>-0</v>
      </c>
      <c r="DO59" s="57" t="n">
        <f aca="false">DO44+DO45+DO46+DO48+DO51+DO55</f>
        <v>-0</v>
      </c>
      <c r="DP59" s="57" t="n">
        <f aca="false">DP44+DP45+DP46+DP48+DP51+DP55</f>
        <v>-0</v>
      </c>
      <c r="DQ59" s="57" t="n">
        <f aca="false">DQ44+DQ45+DQ46+DQ48+DQ51+DQ55</f>
        <v>-0</v>
      </c>
      <c r="DR59" s="57" t="n">
        <f aca="false">DR44+DR45+DR46+DR48+DR51+DR55</f>
        <v>-0</v>
      </c>
      <c r="DS59" s="57" t="n">
        <f aca="false">DS44+DS45+DS46+DS48+DS51+DS55</f>
        <v>-0</v>
      </c>
      <c r="DT59" s="57" t="n">
        <f aca="false">DT44+DT45+DT46+DT48+DT51+DT55</f>
        <v>-0</v>
      </c>
      <c r="DU59" s="57" t="n">
        <f aca="false">DU44+DU45+DU46+DU48+DU51+DU55</f>
        <v>-0</v>
      </c>
      <c r="DV59" s="57" t="n">
        <f aca="false">DV44+DV45+DV46+DV48+DV51+DV55</f>
        <v>-0</v>
      </c>
      <c r="DW59" s="57" t="n">
        <f aca="false">DW44+DW45+DW46+DW48+DW51+DW55</f>
        <v>-0</v>
      </c>
      <c r="DX59" s="57" t="n">
        <f aca="false">DX44+DX45+DX46+DX48+DX51+DX55</f>
        <v>-0</v>
      </c>
      <c r="DY59" s="57" t="n">
        <f aca="false">DY44+DY45+DY46+DY48+DY51+DY55</f>
        <v>-0</v>
      </c>
      <c r="DZ59" s="57" t="n">
        <f aca="false">DZ44+DZ45+DZ46+DZ48+DZ51+DZ55</f>
        <v>-0</v>
      </c>
      <c r="EA59" s="57" t="n">
        <f aca="false">EA44+EA45+EA46+EA48+EA51+EA55</f>
        <v>-0</v>
      </c>
      <c r="EB59" s="57" t="n">
        <f aca="false">EB44+EB45+EB46+EB48+EB51+EB55</f>
        <v>-0</v>
      </c>
      <c r="EC59" s="57" t="n">
        <f aca="false">EC44+EC45+EC46+EC48+EC51+EC55</f>
        <v>-0</v>
      </c>
      <c r="ED59" s="57" t="n">
        <f aca="false">ED44+ED45+ED46+ED48+ED51+ED55</f>
        <v>-0</v>
      </c>
      <c r="EE59" s="57" t="n">
        <f aca="false">EE44+EE45+EE46+EE48+EE51+EE55</f>
        <v>-0</v>
      </c>
      <c r="EF59" s="57" t="n">
        <f aca="false">EF44+EF45+EF46+EF48+EF51+EF55</f>
        <v>-0</v>
      </c>
      <c r="EG59" s="57" t="n">
        <f aca="false">EG44+EG45+EG46+EG48+EG51+EG55</f>
        <v>-0</v>
      </c>
      <c r="EH59" s="57" t="n">
        <f aca="false">EH44+EH45+EH46+EH48+EH51+EH55</f>
        <v>-0</v>
      </c>
      <c r="EI59" s="57" t="n">
        <f aca="false">EI44+EI45+EI46+EI48+EI51+EI55</f>
        <v>-0</v>
      </c>
      <c r="EJ59" s="57" t="n">
        <f aca="false">EJ44+EJ45+EJ46+EJ48+EJ51+EJ55</f>
        <v>-0</v>
      </c>
      <c r="EK59" s="57" t="n">
        <f aca="false">EK44+EK45+EK46+EK48+EK51+EK55</f>
        <v>-0</v>
      </c>
      <c r="EL59" s="57" t="n">
        <f aca="false">EL44+EL45+EL46+EL48+EL51+EL55</f>
        <v>-0</v>
      </c>
      <c r="EM59" s="57" t="n">
        <f aca="false">EM44+EM45+EM46+EM48+EM51+EM55</f>
        <v>-0</v>
      </c>
      <c r="EN59" s="57" t="n">
        <f aca="false">EN44+EN45+EN46+EN48+EN51+EN55</f>
        <v>-0</v>
      </c>
      <c r="EO59" s="57" t="n">
        <f aca="false">EO44+EO45+EO46+EO48+EO51+EO55</f>
        <v>-0</v>
      </c>
    </row>
    <row r="61" customFormat="false" ht="15" hidden="false" customHeight="false" outlineLevel="0" collapsed="false">
      <c r="A61" s="10" t="s">
        <v>13</v>
      </c>
      <c r="B61" s="10"/>
      <c r="C61" s="10" t="s">
        <v>423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10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10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customFormat="false" ht="15" hidden="false" customHeight="false" outlineLevel="0" collapsed="false">
      <c r="C62" s="1" t="s">
        <v>424</v>
      </c>
      <c r="D62" s="12" t="s">
        <v>19</v>
      </c>
      <c r="E62" s="48" t="n">
        <f aca="false">IF($E38=1,In_Turbine,In_Turbine_CN)</f>
        <v>500</v>
      </c>
    </row>
    <row r="63" customFormat="false" ht="15" hidden="false" customHeight="false" outlineLevel="0" collapsed="false">
      <c r="C63" s="1" t="s">
        <v>425</v>
      </c>
      <c r="D63" s="12" t="s">
        <v>33</v>
      </c>
      <c r="E63" s="48" t="n">
        <f aca="false">IF($E38=1,In_Substation,In_Substation_CN)</f>
        <v>10800</v>
      </c>
    </row>
    <row r="64" customFormat="false" ht="15" hidden="false" customHeight="false" outlineLevel="0" collapsed="false">
      <c r="C64" s="1" t="s">
        <v>426</v>
      </c>
      <c r="D64" s="12" t="s">
        <v>33</v>
      </c>
      <c r="E64" s="48" t="n">
        <f aca="false">(($E62+In_Other_Wind)*$F24+$E63)*(1+In_Capex_Contingency)+In_BESS_Capex*$F25</f>
        <v>63116.25</v>
      </c>
      <c r="I64" s="48" t="n">
        <f aca="false">SUM(J64:EO64)</f>
        <v>-63116.25</v>
      </c>
      <c r="J64" s="48" t="n">
        <f aca="false">-$E64*J12</f>
        <v>-0</v>
      </c>
      <c r="K64" s="48" t="n">
        <f aca="false">-$E64*K12</f>
        <v>-0</v>
      </c>
      <c r="L64" s="48" t="n">
        <f aca="false">-$E64*L12</f>
        <v>-0</v>
      </c>
      <c r="M64" s="48" t="n">
        <f aca="false">-$E64*M12</f>
        <v>-0</v>
      </c>
      <c r="N64" s="48" t="n">
        <f aca="false">-$E64*N12</f>
        <v>-0</v>
      </c>
      <c r="O64" s="48" t="n">
        <f aca="false">-$E64*O12</f>
        <v>-0</v>
      </c>
      <c r="P64" s="48" t="n">
        <f aca="false">-$E64*P12</f>
        <v>-0</v>
      </c>
      <c r="Q64" s="48" t="n">
        <f aca="false">-$E64*Q12</f>
        <v>-0</v>
      </c>
      <c r="R64" s="48" t="n">
        <f aca="false">-$E64*R12</f>
        <v>-7954.37671232877</v>
      </c>
      <c r="S64" s="48" t="n">
        <f aca="false">-$E64*S12</f>
        <v>-7781.45547945206</v>
      </c>
      <c r="T64" s="48" t="n">
        <f aca="false">-$E64*T12</f>
        <v>-7867.91609589041</v>
      </c>
      <c r="U64" s="48" t="n">
        <f aca="false">-$E64*U12</f>
        <v>-7954.37671232877</v>
      </c>
      <c r="V64" s="48" t="n">
        <f aca="false">-$E64*V12</f>
        <v>-7954.37671232877</v>
      </c>
      <c r="W64" s="48" t="n">
        <f aca="false">-$E64*W12</f>
        <v>-7781.45547945206</v>
      </c>
      <c r="X64" s="48" t="n">
        <f aca="false">-$E64*X12</f>
        <v>-7867.91609589041</v>
      </c>
      <c r="Y64" s="48" t="n">
        <f aca="false">-$E64*Y12</f>
        <v>-7954.37671232877</v>
      </c>
      <c r="Z64" s="48" t="n">
        <f aca="false">-$E64*Z12</f>
        <v>-0</v>
      </c>
      <c r="AA64" s="48" t="n">
        <f aca="false">-$E64*AA12</f>
        <v>-0</v>
      </c>
      <c r="AB64" s="48" t="n">
        <f aca="false">-$E64*AB12</f>
        <v>-0</v>
      </c>
      <c r="AC64" s="48" t="n">
        <f aca="false">-$E64*AC12</f>
        <v>-0</v>
      </c>
      <c r="AD64" s="48" t="n">
        <f aca="false">-$E64*AD12</f>
        <v>-0</v>
      </c>
      <c r="AE64" s="48" t="n">
        <f aca="false">-$E64*AE12</f>
        <v>-0</v>
      </c>
      <c r="AF64" s="48" t="n">
        <f aca="false">-$E64*AF12</f>
        <v>-0</v>
      </c>
      <c r="AG64" s="48" t="n">
        <f aca="false">-$E64*AG12</f>
        <v>-0</v>
      </c>
      <c r="AH64" s="48" t="n">
        <f aca="false">-$E64*AH12</f>
        <v>-0</v>
      </c>
      <c r="AI64" s="48" t="n">
        <f aca="false">-$E64*AI12</f>
        <v>-0</v>
      </c>
      <c r="AJ64" s="48" t="n">
        <f aca="false">-$E64*AJ12</f>
        <v>-0</v>
      </c>
      <c r="AK64" s="48" t="n">
        <f aca="false">-$E64*AK12</f>
        <v>-0</v>
      </c>
      <c r="AL64" s="48" t="n">
        <f aca="false">-$E64*AL12</f>
        <v>-0</v>
      </c>
      <c r="AM64" s="48" t="n">
        <f aca="false">-$E64*AM12</f>
        <v>-0</v>
      </c>
      <c r="AN64" s="48" t="n">
        <f aca="false">-$E64*AN12</f>
        <v>-0</v>
      </c>
      <c r="AO64" s="48" t="n">
        <f aca="false">-$E64*AO12</f>
        <v>-0</v>
      </c>
      <c r="AP64" s="48" t="n">
        <f aca="false">-$E64*AP12</f>
        <v>-0</v>
      </c>
      <c r="AQ64" s="48" t="n">
        <f aca="false">-$E64*AQ12</f>
        <v>-0</v>
      </c>
      <c r="AR64" s="48" t="n">
        <f aca="false">-$E64*AR12</f>
        <v>-0</v>
      </c>
      <c r="AS64" s="48" t="n">
        <f aca="false">-$E64*AS12</f>
        <v>-0</v>
      </c>
      <c r="AT64" s="48" t="n">
        <f aca="false">-$E64*AT12</f>
        <v>-0</v>
      </c>
      <c r="AU64" s="48" t="n">
        <f aca="false">-$E64*AU12</f>
        <v>-0</v>
      </c>
      <c r="AV64" s="48" t="n">
        <f aca="false">-$E64*AV12</f>
        <v>-0</v>
      </c>
      <c r="AW64" s="48" t="n">
        <f aca="false">-$E64*AW12</f>
        <v>-0</v>
      </c>
      <c r="AX64" s="48" t="n">
        <f aca="false">-$E64*AX12</f>
        <v>-0</v>
      </c>
      <c r="AY64" s="48" t="n">
        <f aca="false">-$E64*AY12</f>
        <v>-0</v>
      </c>
      <c r="AZ64" s="48" t="n">
        <f aca="false">-$E64*AZ12</f>
        <v>-0</v>
      </c>
      <c r="BA64" s="48" t="n">
        <f aca="false">-$E64*BA12</f>
        <v>-0</v>
      </c>
      <c r="BB64" s="48" t="n">
        <f aca="false">-$E64*BB12</f>
        <v>-0</v>
      </c>
      <c r="BC64" s="48" t="n">
        <f aca="false">-$E64*BC12</f>
        <v>-0</v>
      </c>
      <c r="BD64" s="48" t="n">
        <f aca="false">-$E64*BD12</f>
        <v>-0</v>
      </c>
      <c r="BE64" s="48" t="n">
        <f aca="false">-$E64*BE12</f>
        <v>-0</v>
      </c>
      <c r="BF64" s="48" t="n">
        <f aca="false">-$E64*BF12</f>
        <v>-0</v>
      </c>
      <c r="BG64" s="48" t="n">
        <f aca="false">-$E64*BG12</f>
        <v>-0</v>
      </c>
      <c r="BH64" s="48" t="n">
        <f aca="false">-$E64*BH12</f>
        <v>-0</v>
      </c>
      <c r="BI64" s="48" t="n">
        <f aca="false">-$E64*BI12</f>
        <v>-0</v>
      </c>
      <c r="BJ64" s="48" t="n">
        <f aca="false">-$E64*BJ12</f>
        <v>-0</v>
      </c>
      <c r="BK64" s="48" t="n">
        <f aca="false">-$E64*BK12</f>
        <v>-0</v>
      </c>
      <c r="BL64" s="48" t="n">
        <f aca="false">-$E64*BL12</f>
        <v>-0</v>
      </c>
      <c r="BM64" s="48" t="n">
        <f aca="false">-$E64*BM12</f>
        <v>-0</v>
      </c>
      <c r="BN64" s="48" t="n">
        <f aca="false">-$E64*BN12</f>
        <v>-0</v>
      </c>
      <c r="BO64" s="48" t="n">
        <f aca="false">-$E64*BO12</f>
        <v>-0</v>
      </c>
      <c r="BP64" s="48" t="n">
        <f aca="false">-$E64*BP12</f>
        <v>-0</v>
      </c>
      <c r="BQ64" s="48" t="n">
        <f aca="false">-$E64*BQ12</f>
        <v>-0</v>
      </c>
      <c r="BR64" s="48" t="n">
        <f aca="false">-$E64*BR12</f>
        <v>-0</v>
      </c>
      <c r="BS64" s="48" t="n">
        <f aca="false">-$E64*BS12</f>
        <v>-0</v>
      </c>
      <c r="BT64" s="48" t="n">
        <f aca="false">-$E64*BT12</f>
        <v>-0</v>
      </c>
      <c r="BU64" s="48" t="n">
        <f aca="false">-$E64*BU12</f>
        <v>-0</v>
      </c>
      <c r="BV64" s="48" t="n">
        <f aca="false">-$E64*BV12</f>
        <v>-0</v>
      </c>
      <c r="BW64" s="48" t="n">
        <f aca="false">-$E64*BW12</f>
        <v>-0</v>
      </c>
      <c r="BX64" s="48" t="n">
        <f aca="false">-$E64*BX12</f>
        <v>-0</v>
      </c>
      <c r="BY64" s="48" t="n">
        <f aca="false">-$E64*BY12</f>
        <v>-0</v>
      </c>
      <c r="BZ64" s="48" t="n">
        <f aca="false">-$E64*BZ12</f>
        <v>-0</v>
      </c>
      <c r="CA64" s="48" t="n">
        <f aca="false">-$E64*CA12</f>
        <v>-0</v>
      </c>
      <c r="CB64" s="48" t="n">
        <f aca="false">-$E64*CB12</f>
        <v>-0</v>
      </c>
      <c r="CC64" s="48" t="n">
        <f aca="false">-$E64*CC12</f>
        <v>-0</v>
      </c>
      <c r="CD64" s="48" t="n">
        <f aca="false">-$E64*CD12</f>
        <v>-0</v>
      </c>
      <c r="CE64" s="48" t="n">
        <f aca="false">-$E64*CE12</f>
        <v>-0</v>
      </c>
      <c r="CF64" s="48" t="n">
        <f aca="false">-$E64*CF12</f>
        <v>-0</v>
      </c>
      <c r="CG64" s="48" t="n">
        <f aca="false">-$E64*CG12</f>
        <v>-0</v>
      </c>
      <c r="CH64" s="48" t="n">
        <f aca="false">-$E64*CH12</f>
        <v>-0</v>
      </c>
      <c r="CI64" s="48" t="n">
        <f aca="false">-$E64*CI12</f>
        <v>-0</v>
      </c>
      <c r="CJ64" s="48" t="n">
        <f aca="false">-$E64*CJ12</f>
        <v>-0</v>
      </c>
      <c r="CK64" s="48" t="n">
        <f aca="false">-$E64*CK12</f>
        <v>-0</v>
      </c>
      <c r="CL64" s="48" t="n">
        <f aca="false">-$E64*CL12</f>
        <v>-0</v>
      </c>
      <c r="CM64" s="48" t="n">
        <f aca="false">-$E64*CM12</f>
        <v>-0</v>
      </c>
      <c r="CN64" s="48" t="n">
        <f aca="false">-$E64*CN12</f>
        <v>-0</v>
      </c>
      <c r="CO64" s="48" t="n">
        <f aca="false">-$E64*CO12</f>
        <v>-0</v>
      </c>
      <c r="CP64" s="48" t="n">
        <f aca="false">-$E64*CP12</f>
        <v>-0</v>
      </c>
      <c r="CQ64" s="48" t="n">
        <f aca="false">-$E64*CQ12</f>
        <v>-0</v>
      </c>
      <c r="CR64" s="48" t="n">
        <f aca="false">-$E64*CR12</f>
        <v>-0</v>
      </c>
      <c r="CS64" s="48" t="n">
        <f aca="false">-$E64*CS12</f>
        <v>-0</v>
      </c>
      <c r="CT64" s="48" t="n">
        <f aca="false">-$E64*CT12</f>
        <v>-0</v>
      </c>
      <c r="CU64" s="48" t="n">
        <f aca="false">-$E64*CU12</f>
        <v>-0</v>
      </c>
      <c r="CV64" s="48" t="n">
        <f aca="false">-$E64*CV12</f>
        <v>-0</v>
      </c>
      <c r="CW64" s="48" t="n">
        <f aca="false">-$E64*CW12</f>
        <v>-0</v>
      </c>
      <c r="CX64" s="48" t="n">
        <f aca="false">-$E64*CX12</f>
        <v>-0</v>
      </c>
      <c r="CY64" s="48" t="n">
        <f aca="false">-$E64*CY12</f>
        <v>-0</v>
      </c>
      <c r="CZ64" s="48" t="n">
        <f aca="false">-$E64*CZ12</f>
        <v>-0</v>
      </c>
      <c r="DA64" s="48" t="n">
        <f aca="false">-$E64*DA12</f>
        <v>-0</v>
      </c>
      <c r="DB64" s="48" t="n">
        <f aca="false">-$E64*DB12</f>
        <v>-0</v>
      </c>
      <c r="DC64" s="48" t="n">
        <f aca="false">-$E64*DC12</f>
        <v>-0</v>
      </c>
      <c r="DD64" s="48" t="n">
        <f aca="false">-$E64*DD12</f>
        <v>-0</v>
      </c>
      <c r="DE64" s="48" t="n">
        <f aca="false">-$E64*DE12</f>
        <v>-0</v>
      </c>
      <c r="DF64" s="48" t="n">
        <f aca="false">-$E64*DF12</f>
        <v>-0</v>
      </c>
      <c r="DG64" s="48" t="n">
        <f aca="false">-$E64*DG12</f>
        <v>-0</v>
      </c>
      <c r="DH64" s="48" t="n">
        <f aca="false">-$E64*DH12</f>
        <v>-0</v>
      </c>
      <c r="DI64" s="48" t="n">
        <f aca="false">-$E64*DI12</f>
        <v>-0</v>
      </c>
      <c r="DJ64" s="48" t="n">
        <f aca="false">-$E64*DJ12</f>
        <v>-0</v>
      </c>
      <c r="DK64" s="48" t="n">
        <f aca="false">-$E64*DK12</f>
        <v>-0</v>
      </c>
      <c r="DL64" s="48" t="n">
        <f aca="false">-$E64*DL12</f>
        <v>-0</v>
      </c>
      <c r="DM64" s="48" t="n">
        <f aca="false">-$E64*DM12</f>
        <v>-0</v>
      </c>
      <c r="DN64" s="48" t="n">
        <f aca="false">-$E64*DN12</f>
        <v>-0</v>
      </c>
      <c r="DO64" s="48" t="n">
        <f aca="false">-$E64*DO12</f>
        <v>-0</v>
      </c>
      <c r="DP64" s="48" t="n">
        <f aca="false">-$E64*DP12</f>
        <v>-0</v>
      </c>
      <c r="DQ64" s="48" t="n">
        <f aca="false">-$E64*DQ12</f>
        <v>-0</v>
      </c>
      <c r="DR64" s="48" t="n">
        <f aca="false">-$E64*DR12</f>
        <v>-0</v>
      </c>
      <c r="DS64" s="48" t="n">
        <f aca="false">-$E64*DS12</f>
        <v>-0</v>
      </c>
      <c r="DT64" s="48" t="n">
        <f aca="false">-$E64*DT12</f>
        <v>-0</v>
      </c>
      <c r="DU64" s="48" t="n">
        <f aca="false">-$E64*DU12</f>
        <v>-0</v>
      </c>
      <c r="DV64" s="48" t="n">
        <f aca="false">-$E64*DV12</f>
        <v>-0</v>
      </c>
      <c r="DW64" s="48" t="n">
        <f aca="false">-$E64*DW12</f>
        <v>-0</v>
      </c>
      <c r="DX64" s="48" t="n">
        <f aca="false">-$E64*DX12</f>
        <v>-0</v>
      </c>
      <c r="DY64" s="48" t="n">
        <f aca="false">-$E64*DY12</f>
        <v>-0</v>
      </c>
      <c r="DZ64" s="48" t="n">
        <f aca="false">-$E64*DZ12</f>
        <v>-0</v>
      </c>
      <c r="EA64" s="48" t="n">
        <f aca="false">-$E64*EA12</f>
        <v>-0</v>
      </c>
      <c r="EB64" s="48" t="n">
        <f aca="false">-$E64*EB12</f>
        <v>-0</v>
      </c>
      <c r="EC64" s="48" t="n">
        <f aca="false">-$E64*EC12</f>
        <v>-0</v>
      </c>
      <c r="ED64" s="48" t="n">
        <f aca="false">-$E64*ED12</f>
        <v>-0</v>
      </c>
      <c r="EE64" s="48" t="n">
        <f aca="false">-$E64*EE12</f>
        <v>-0</v>
      </c>
      <c r="EF64" s="48" t="n">
        <f aca="false">-$E64*EF12</f>
        <v>-0</v>
      </c>
      <c r="EG64" s="48" t="n">
        <f aca="false">-$E64*EG12</f>
        <v>-0</v>
      </c>
      <c r="EH64" s="48" t="n">
        <f aca="false">-$E64*EH12</f>
        <v>-0</v>
      </c>
      <c r="EI64" s="48" t="n">
        <f aca="false">-$E64*EI12</f>
        <v>-0</v>
      </c>
      <c r="EJ64" s="48" t="n">
        <f aca="false">-$E64*EJ12</f>
        <v>-0</v>
      </c>
      <c r="EK64" s="48" t="n">
        <f aca="false">-$E64*EK12</f>
        <v>-0</v>
      </c>
      <c r="EL64" s="48" t="n">
        <f aca="false">-$E64*EL12</f>
        <v>-0</v>
      </c>
      <c r="EM64" s="48" t="n">
        <f aca="false">-$E64*EM12</f>
        <v>-0</v>
      </c>
      <c r="EN64" s="48" t="n">
        <f aca="false">-$E64*EN12</f>
        <v>-0</v>
      </c>
      <c r="EO64" s="48" t="n">
        <f aca="false">-$E64*EO12</f>
        <v>-0</v>
      </c>
    </row>
    <row r="65" customFormat="false" ht="15" hidden="false" customHeight="false" outlineLevel="0" collapsed="false">
      <c r="C65" s="1" t="s">
        <v>427</v>
      </c>
      <c r="D65" s="12" t="s">
        <v>33</v>
      </c>
      <c r="E65" s="48" t="n">
        <f aca="false">$E31*In_MVA</f>
        <v>2500</v>
      </c>
      <c r="I65" s="48" t="n">
        <f aca="false">SUM(J65:EO65)</f>
        <v>-2500</v>
      </c>
      <c r="J65" s="48" t="n">
        <f aca="false">-$E65*J14</f>
        <v>-0</v>
      </c>
      <c r="K65" s="48" t="n">
        <f aca="false">-$E65*K14</f>
        <v>-0</v>
      </c>
      <c r="L65" s="48" t="n">
        <f aca="false">-$E65*L14</f>
        <v>-0</v>
      </c>
      <c r="M65" s="48" t="n">
        <f aca="false">-$E65*M14</f>
        <v>-0</v>
      </c>
      <c r="N65" s="48" t="n">
        <f aca="false">-$E65*N14</f>
        <v>-0</v>
      </c>
      <c r="O65" s="48" t="n">
        <f aca="false">-$E65*O14</f>
        <v>-0</v>
      </c>
      <c r="P65" s="48" t="n">
        <f aca="false">-$E65*P14</f>
        <v>-0</v>
      </c>
      <c r="Q65" s="48" t="n">
        <f aca="false">-$E65*Q14</f>
        <v>-0</v>
      </c>
      <c r="R65" s="48" t="n">
        <f aca="false">-$E65*R14</f>
        <v>-0</v>
      </c>
      <c r="S65" s="48" t="n">
        <f aca="false">-$E65*S14</f>
        <v>-0</v>
      </c>
      <c r="T65" s="48" t="n">
        <f aca="false">-$E65*T14</f>
        <v>-0</v>
      </c>
      <c r="U65" s="48" t="n">
        <f aca="false">-$E65*U14</f>
        <v>-0</v>
      </c>
      <c r="V65" s="48" t="n">
        <f aca="false">-$E65*V14</f>
        <v>-0</v>
      </c>
      <c r="W65" s="48" t="n">
        <f aca="false">-$E65*W14</f>
        <v>-0</v>
      </c>
      <c r="X65" s="48" t="n">
        <f aca="false">-$E65*X14</f>
        <v>-0</v>
      </c>
      <c r="Y65" s="48" t="n">
        <f aca="false">-$E65*Y14</f>
        <v>-2500</v>
      </c>
      <c r="Z65" s="48" t="n">
        <f aca="false">-$E65*Z14</f>
        <v>-0</v>
      </c>
      <c r="AA65" s="48" t="n">
        <f aca="false">-$E65*AA14</f>
        <v>-0</v>
      </c>
      <c r="AB65" s="48" t="n">
        <f aca="false">-$E65*AB14</f>
        <v>-0</v>
      </c>
      <c r="AC65" s="48" t="n">
        <f aca="false">-$E65*AC14</f>
        <v>-0</v>
      </c>
      <c r="AD65" s="48" t="n">
        <f aca="false">-$E65*AD14</f>
        <v>-0</v>
      </c>
      <c r="AE65" s="48" t="n">
        <f aca="false">-$E65*AE14</f>
        <v>-0</v>
      </c>
      <c r="AF65" s="48" t="n">
        <f aca="false">-$E65*AF14</f>
        <v>-0</v>
      </c>
      <c r="AG65" s="48" t="n">
        <f aca="false">-$E65*AG14</f>
        <v>-0</v>
      </c>
      <c r="AH65" s="48" t="n">
        <f aca="false">-$E65*AH14</f>
        <v>-0</v>
      </c>
      <c r="AI65" s="48" t="n">
        <f aca="false">-$E65*AI14</f>
        <v>-0</v>
      </c>
      <c r="AJ65" s="48" t="n">
        <f aca="false">-$E65*AJ14</f>
        <v>-0</v>
      </c>
      <c r="AK65" s="48" t="n">
        <f aca="false">-$E65*AK14</f>
        <v>-0</v>
      </c>
      <c r="AL65" s="48" t="n">
        <f aca="false">-$E65*AL14</f>
        <v>-0</v>
      </c>
      <c r="AM65" s="48" t="n">
        <f aca="false">-$E65*AM14</f>
        <v>-0</v>
      </c>
      <c r="AN65" s="48" t="n">
        <f aca="false">-$E65*AN14</f>
        <v>-0</v>
      </c>
      <c r="AO65" s="48" t="n">
        <f aca="false">-$E65*AO14</f>
        <v>-0</v>
      </c>
      <c r="AP65" s="48" t="n">
        <f aca="false">-$E65*AP14</f>
        <v>-0</v>
      </c>
      <c r="AQ65" s="48" t="n">
        <f aca="false">-$E65*AQ14</f>
        <v>-0</v>
      </c>
      <c r="AR65" s="48" t="n">
        <f aca="false">-$E65*AR14</f>
        <v>-0</v>
      </c>
      <c r="AS65" s="48" t="n">
        <f aca="false">-$E65*AS14</f>
        <v>-0</v>
      </c>
      <c r="AT65" s="48" t="n">
        <f aca="false">-$E65*AT14</f>
        <v>-0</v>
      </c>
      <c r="AU65" s="48" t="n">
        <f aca="false">-$E65*AU14</f>
        <v>-0</v>
      </c>
      <c r="AV65" s="48" t="n">
        <f aca="false">-$E65*AV14</f>
        <v>-0</v>
      </c>
      <c r="AW65" s="48" t="n">
        <f aca="false">-$E65*AW14</f>
        <v>-0</v>
      </c>
      <c r="AX65" s="48" t="n">
        <f aca="false">-$E65*AX14</f>
        <v>-0</v>
      </c>
      <c r="AY65" s="48" t="n">
        <f aca="false">-$E65*AY14</f>
        <v>-0</v>
      </c>
      <c r="AZ65" s="48" t="n">
        <f aca="false">-$E65*AZ14</f>
        <v>-0</v>
      </c>
      <c r="BA65" s="48" t="n">
        <f aca="false">-$E65*BA14</f>
        <v>-0</v>
      </c>
      <c r="BB65" s="48" t="n">
        <f aca="false">-$E65*BB14</f>
        <v>-0</v>
      </c>
      <c r="BC65" s="48" t="n">
        <f aca="false">-$E65*BC14</f>
        <v>-0</v>
      </c>
      <c r="BD65" s="48" t="n">
        <f aca="false">-$E65*BD14</f>
        <v>-0</v>
      </c>
      <c r="BE65" s="48" t="n">
        <f aca="false">-$E65*BE14</f>
        <v>-0</v>
      </c>
      <c r="BF65" s="48" t="n">
        <f aca="false">-$E65*BF14</f>
        <v>-0</v>
      </c>
      <c r="BG65" s="48" t="n">
        <f aca="false">-$E65*BG14</f>
        <v>-0</v>
      </c>
      <c r="BH65" s="48" t="n">
        <f aca="false">-$E65*BH14</f>
        <v>-0</v>
      </c>
      <c r="BI65" s="48" t="n">
        <f aca="false">-$E65*BI14</f>
        <v>-0</v>
      </c>
      <c r="BJ65" s="48" t="n">
        <f aca="false">-$E65*BJ14</f>
        <v>-0</v>
      </c>
      <c r="BK65" s="48" t="n">
        <f aca="false">-$E65*BK14</f>
        <v>-0</v>
      </c>
      <c r="BL65" s="48" t="n">
        <f aca="false">-$E65*BL14</f>
        <v>-0</v>
      </c>
      <c r="BM65" s="48" t="n">
        <f aca="false">-$E65*BM14</f>
        <v>-0</v>
      </c>
      <c r="BN65" s="48" t="n">
        <f aca="false">-$E65*BN14</f>
        <v>-0</v>
      </c>
      <c r="BO65" s="48" t="n">
        <f aca="false">-$E65*BO14</f>
        <v>-0</v>
      </c>
      <c r="BP65" s="48" t="n">
        <f aca="false">-$E65*BP14</f>
        <v>-0</v>
      </c>
      <c r="BQ65" s="48" t="n">
        <f aca="false">-$E65*BQ14</f>
        <v>-0</v>
      </c>
      <c r="BR65" s="48" t="n">
        <f aca="false">-$E65*BR14</f>
        <v>-0</v>
      </c>
      <c r="BS65" s="48" t="n">
        <f aca="false">-$E65*BS14</f>
        <v>-0</v>
      </c>
      <c r="BT65" s="48" t="n">
        <f aca="false">-$E65*BT14</f>
        <v>-0</v>
      </c>
      <c r="BU65" s="48" t="n">
        <f aca="false">-$E65*BU14</f>
        <v>-0</v>
      </c>
      <c r="BV65" s="48" t="n">
        <f aca="false">-$E65*BV14</f>
        <v>-0</v>
      </c>
      <c r="BW65" s="48" t="n">
        <f aca="false">-$E65*BW14</f>
        <v>-0</v>
      </c>
      <c r="BX65" s="48" t="n">
        <f aca="false">-$E65*BX14</f>
        <v>-0</v>
      </c>
      <c r="BY65" s="48" t="n">
        <f aca="false">-$E65*BY14</f>
        <v>-0</v>
      </c>
      <c r="BZ65" s="48" t="n">
        <f aca="false">-$E65*BZ14</f>
        <v>-0</v>
      </c>
      <c r="CA65" s="48" t="n">
        <f aca="false">-$E65*CA14</f>
        <v>-0</v>
      </c>
      <c r="CB65" s="48" t="n">
        <f aca="false">-$E65*CB14</f>
        <v>-0</v>
      </c>
      <c r="CC65" s="48" t="n">
        <f aca="false">-$E65*CC14</f>
        <v>-0</v>
      </c>
      <c r="CD65" s="48" t="n">
        <f aca="false">-$E65*CD14</f>
        <v>-0</v>
      </c>
      <c r="CE65" s="48" t="n">
        <f aca="false">-$E65*CE14</f>
        <v>-0</v>
      </c>
      <c r="CF65" s="48" t="n">
        <f aca="false">-$E65*CF14</f>
        <v>-0</v>
      </c>
      <c r="CG65" s="48" t="n">
        <f aca="false">-$E65*CG14</f>
        <v>-0</v>
      </c>
      <c r="CH65" s="48" t="n">
        <f aca="false">-$E65*CH14</f>
        <v>-0</v>
      </c>
      <c r="CI65" s="48" t="n">
        <f aca="false">-$E65*CI14</f>
        <v>-0</v>
      </c>
      <c r="CJ65" s="48" t="n">
        <f aca="false">-$E65*CJ14</f>
        <v>-0</v>
      </c>
      <c r="CK65" s="48" t="n">
        <f aca="false">-$E65*CK14</f>
        <v>-0</v>
      </c>
      <c r="CL65" s="48" t="n">
        <f aca="false">-$E65*CL14</f>
        <v>-0</v>
      </c>
      <c r="CM65" s="48" t="n">
        <f aca="false">-$E65*CM14</f>
        <v>-0</v>
      </c>
      <c r="CN65" s="48" t="n">
        <f aca="false">-$E65*CN14</f>
        <v>-0</v>
      </c>
      <c r="CO65" s="48" t="n">
        <f aca="false">-$E65*CO14</f>
        <v>-0</v>
      </c>
      <c r="CP65" s="48" t="n">
        <f aca="false">-$E65*CP14</f>
        <v>-0</v>
      </c>
      <c r="CQ65" s="48" t="n">
        <f aca="false">-$E65*CQ14</f>
        <v>-0</v>
      </c>
      <c r="CR65" s="48" t="n">
        <f aca="false">-$E65*CR14</f>
        <v>-0</v>
      </c>
      <c r="CS65" s="48" t="n">
        <f aca="false">-$E65*CS14</f>
        <v>-0</v>
      </c>
      <c r="CT65" s="48" t="n">
        <f aca="false">-$E65*CT14</f>
        <v>-0</v>
      </c>
      <c r="CU65" s="48" t="n">
        <f aca="false">-$E65*CU14</f>
        <v>-0</v>
      </c>
      <c r="CV65" s="48" t="n">
        <f aca="false">-$E65*CV14</f>
        <v>-0</v>
      </c>
      <c r="CW65" s="48" t="n">
        <f aca="false">-$E65*CW14</f>
        <v>-0</v>
      </c>
      <c r="CX65" s="48" t="n">
        <f aca="false">-$E65*CX14</f>
        <v>-0</v>
      </c>
      <c r="CY65" s="48" t="n">
        <f aca="false">-$E65*CY14</f>
        <v>-0</v>
      </c>
      <c r="CZ65" s="48" t="n">
        <f aca="false">-$E65*CZ14</f>
        <v>-0</v>
      </c>
      <c r="DA65" s="48" t="n">
        <f aca="false">-$E65*DA14</f>
        <v>-0</v>
      </c>
      <c r="DB65" s="48" t="n">
        <f aca="false">-$E65*DB14</f>
        <v>-0</v>
      </c>
      <c r="DC65" s="48" t="n">
        <f aca="false">-$E65*DC14</f>
        <v>-0</v>
      </c>
      <c r="DD65" s="48" t="n">
        <f aca="false">-$E65*DD14</f>
        <v>-0</v>
      </c>
      <c r="DE65" s="48" t="n">
        <f aca="false">-$E65*DE14</f>
        <v>-0</v>
      </c>
      <c r="DF65" s="48" t="n">
        <f aca="false">-$E65*DF14</f>
        <v>-0</v>
      </c>
      <c r="DG65" s="48" t="n">
        <f aca="false">-$E65*DG14</f>
        <v>-0</v>
      </c>
      <c r="DH65" s="48" t="n">
        <f aca="false">-$E65*DH14</f>
        <v>-0</v>
      </c>
      <c r="DI65" s="48" t="n">
        <f aca="false">-$E65*DI14</f>
        <v>-0</v>
      </c>
      <c r="DJ65" s="48" t="n">
        <f aca="false">-$E65*DJ14</f>
        <v>-0</v>
      </c>
      <c r="DK65" s="48" t="n">
        <f aca="false">-$E65*DK14</f>
        <v>-0</v>
      </c>
      <c r="DL65" s="48" t="n">
        <f aca="false">-$E65*DL14</f>
        <v>-0</v>
      </c>
      <c r="DM65" s="48" t="n">
        <f aca="false">-$E65*DM14</f>
        <v>-0</v>
      </c>
      <c r="DN65" s="48" t="n">
        <f aca="false">-$E65*DN14</f>
        <v>-0</v>
      </c>
      <c r="DO65" s="48" t="n">
        <f aca="false">-$E65*DO14</f>
        <v>-0</v>
      </c>
      <c r="DP65" s="48" t="n">
        <f aca="false">-$E65*DP14</f>
        <v>-0</v>
      </c>
      <c r="DQ65" s="48" t="n">
        <f aca="false">-$E65*DQ14</f>
        <v>-0</v>
      </c>
      <c r="DR65" s="48" t="n">
        <f aca="false">-$E65*DR14</f>
        <v>-0</v>
      </c>
      <c r="DS65" s="48" t="n">
        <f aca="false">-$E65*DS14</f>
        <v>-0</v>
      </c>
      <c r="DT65" s="48" t="n">
        <f aca="false">-$E65*DT14</f>
        <v>-0</v>
      </c>
      <c r="DU65" s="48" t="n">
        <f aca="false">-$E65*DU14</f>
        <v>-0</v>
      </c>
      <c r="DV65" s="48" t="n">
        <f aca="false">-$E65*DV14</f>
        <v>-0</v>
      </c>
      <c r="DW65" s="48" t="n">
        <f aca="false">-$E65*DW14</f>
        <v>-0</v>
      </c>
      <c r="DX65" s="48" t="n">
        <f aca="false">-$E65*DX14</f>
        <v>-0</v>
      </c>
      <c r="DY65" s="48" t="n">
        <f aca="false">-$E65*DY14</f>
        <v>-0</v>
      </c>
      <c r="DZ65" s="48" t="n">
        <f aca="false">-$E65*DZ14</f>
        <v>-0</v>
      </c>
      <c r="EA65" s="48" t="n">
        <f aca="false">-$E65*EA14</f>
        <v>-0</v>
      </c>
      <c r="EB65" s="48" t="n">
        <f aca="false">-$E65*EB14</f>
        <v>-0</v>
      </c>
      <c r="EC65" s="48" t="n">
        <f aca="false">-$E65*EC14</f>
        <v>-0</v>
      </c>
      <c r="ED65" s="48" t="n">
        <f aca="false">-$E65*ED14</f>
        <v>-0</v>
      </c>
      <c r="EE65" s="48" t="n">
        <f aca="false">-$E65*EE14</f>
        <v>-0</v>
      </c>
      <c r="EF65" s="48" t="n">
        <f aca="false">-$E65*EF14</f>
        <v>-0</v>
      </c>
      <c r="EG65" s="48" t="n">
        <f aca="false">-$E65*EG14</f>
        <v>-0</v>
      </c>
      <c r="EH65" s="48" t="n">
        <f aca="false">-$E65*EH14</f>
        <v>-0</v>
      </c>
      <c r="EI65" s="48" t="n">
        <f aca="false">-$E65*EI14</f>
        <v>-0</v>
      </c>
      <c r="EJ65" s="48" t="n">
        <f aca="false">-$E65*EJ14</f>
        <v>-0</v>
      </c>
      <c r="EK65" s="48" t="n">
        <f aca="false">-$E65*EK14</f>
        <v>-0</v>
      </c>
      <c r="EL65" s="48" t="n">
        <f aca="false">-$E65*EL14</f>
        <v>-0</v>
      </c>
      <c r="EM65" s="48" t="n">
        <f aca="false">-$E65*EM14</f>
        <v>-0</v>
      </c>
      <c r="EN65" s="48" t="n">
        <f aca="false">-$E65*EN14</f>
        <v>-0</v>
      </c>
      <c r="EO65" s="48" t="n">
        <f aca="false">-$E65*EO14</f>
        <v>-0</v>
      </c>
    </row>
    <row r="66" customFormat="false" ht="15" hidden="false" customHeight="false" outlineLevel="0" collapsed="false">
      <c r="C66" s="26" t="s">
        <v>428</v>
      </c>
      <c r="D66" s="12" t="s">
        <v>33</v>
      </c>
      <c r="E66" s="57" t="n">
        <f aca="false">SUMPRODUCT($J66:$EO66/$J21:$EO21)*$E21</f>
        <v>-77232.4978192406</v>
      </c>
      <c r="I66" s="57" t="n">
        <f aca="false">SUM(J66:EO66)</f>
        <v>-73771.0731506849</v>
      </c>
      <c r="J66" s="57" t="n">
        <f aca="false">J64+J54+J65</f>
        <v>-0</v>
      </c>
      <c r="K66" s="57" t="n">
        <f aca="false">K64+K54+K65</f>
        <v>-0</v>
      </c>
      <c r="L66" s="57" t="n">
        <f aca="false">L64+L54+L65</f>
        <v>-0</v>
      </c>
      <c r="M66" s="57" t="n">
        <f aca="false">M64+M54+M65</f>
        <v>-0</v>
      </c>
      <c r="N66" s="57" t="n">
        <f aca="false">N64+N54+N65</f>
        <v>-0</v>
      </c>
      <c r="O66" s="57" t="n">
        <f aca="false">O64+O54+O65</f>
        <v>-0</v>
      </c>
      <c r="P66" s="57" t="n">
        <f aca="false">P64+P54+P65</f>
        <v>-0</v>
      </c>
      <c r="Q66" s="57" t="n">
        <f aca="false">Q64+Q54+Q65</f>
        <v>-0</v>
      </c>
      <c r="R66" s="57" t="n">
        <f aca="false">R64+R54+R65</f>
        <v>-7954.37671232877</v>
      </c>
      <c r="S66" s="57" t="n">
        <f aca="false">S64+S54+S65</f>
        <v>-15936.278630137</v>
      </c>
      <c r="T66" s="57" t="n">
        <f aca="false">T64+T54+T65</f>
        <v>-7867.91609589041</v>
      </c>
      <c r="U66" s="57" t="n">
        <f aca="false">U64+U54+U65</f>
        <v>-7954.37671232877</v>
      </c>
      <c r="V66" s="57" t="n">
        <f aca="false">V64+V54+V65</f>
        <v>-7954.37671232877</v>
      </c>
      <c r="W66" s="57" t="n">
        <f aca="false">W64+W54+W65</f>
        <v>-7781.45547945206</v>
      </c>
      <c r="X66" s="57" t="n">
        <f aca="false">X64+X54+X65</f>
        <v>-7867.91609589041</v>
      </c>
      <c r="Y66" s="57" t="n">
        <f aca="false">Y64+Y54+Y65</f>
        <v>-10454.3767123288</v>
      </c>
      <c r="Z66" s="57" t="n">
        <f aca="false">Z64+Z54+Z65</f>
        <v>-0</v>
      </c>
      <c r="AA66" s="57" t="n">
        <f aca="false">AA64+AA54+AA65</f>
        <v>-0</v>
      </c>
      <c r="AB66" s="57" t="n">
        <f aca="false">AB64+AB54+AB65</f>
        <v>-0</v>
      </c>
      <c r="AC66" s="57" t="n">
        <f aca="false">AC64+AC54+AC65</f>
        <v>-0</v>
      </c>
      <c r="AD66" s="57" t="n">
        <f aca="false">AD64+AD54+AD65</f>
        <v>-0</v>
      </c>
      <c r="AE66" s="57" t="n">
        <f aca="false">AE64+AE54+AE65</f>
        <v>-0</v>
      </c>
      <c r="AF66" s="57" t="n">
        <f aca="false">AF64+AF54+AF65</f>
        <v>-0</v>
      </c>
      <c r="AG66" s="57" t="n">
        <f aca="false">AG64+AG54+AG65</f>
        <v>-0</v>
      </c>
      <c r="AH66" s="57" t="n">
        <f aca="false">AH64+AH54+AH65</f>
        <v>-0</v>
      </c>
      <c r="AI66" s="57" t="n">
        <f aca="false">AI64+AI54+AI65</f>
        <v>-0</v>
      </c>
      <c r="AJ66" s="57" t="n">
        <f aca="false">AJ64+AJ54+AJ65</f>
        <v>-0</v>
      </c>
      <c r="AK66" s="57" t="n">
        <f aca="false">AK64+AK54+AK65</f>
        <v>-0</v>
      </c>
      <c r="AL66" s="57" t="n">
        <f aca="false">AL64+AL54+AL65</f>
        <v>-0</v>
      </c>
      <c r="AM66" s="57" t="n">
        <f aca="false">AM64+AM54+AM65</f>
        <v>-0</v>
      </c>
      <c r="AN66" s="57" t="n">
        <f aca="false">AN64+AN54+AN65</f>
        <v>-0</v>
      </c>
      <c r="AO66" s="57" t="n">
        <f aca="false">AO64+AO54+AO65</f>
        <v>-0</v>
      </c>
      <c r="AP66" s="57" t="n">
        <f aca="false">AP64+AP54+AP65</f>
        <v>-0</v>
      </c>
      <c r="AQ66" s="57" t="n">
        <f aca="false">AQ64+AQ54+AQ65</f>
        <v>-0</v>
      </c>
      <c r="AR66" s="57" t="n">
        <f aca="false">AR64+AR54+AR65</f>
        <v>-0</v>
      </c>
      <c r="AS66" s="57" t="n">
        <f aca="false">AS64+AS54+AS65</f>
        <v>-0</v>
      </c>
      <c r="AT66" s="57" t="n">
        <f aca="false">AT64+AT54+AT65</f>
        <v>-0</v>
      </c>
      <c r="AU66" s="57" t="n">
        <f aca="false">AU64+AU54+AU65</f>
        <v>-0</v>
      </c>
      <c r="AV66" s="57" t="n">
        <f aca="false">AV64+AV54+AV65</f>
        <v>-0</v>
      </c>
      <c r="AW66" s="57" t="n">
        <f aca="false">AW64+AW54+AW65</f>
        <v>-0</v>
      </c>
      <c r="AX66" s="57" t="n">
        <f aca="false">AX64+AX54+AX65</f>
        <v>-0</v>
      </c>
      <c r="AY66" s="57" t="n">
        <f aca="false">AY64+AY54+AY65</f>
        <v>-0</v>
      </c>
      <c r="AZ66" s="57" t="n">
        <f aca="false">AZ64+AZ54+AZ65</f>
        <v>-0</v>
      </c>
      <c r="BA66" s="57" t="n">
        <f aca="false">BA64+BA54+BA65</f>
        <v>-0</v>
      </c>
      <c r="BB66" s="57" t="n">
        <f aca="false">BB64+BB54+BB65</f>
        <v>-0</v>
      </c>
      <c r="BC66" s="57" t="n">
        <f aca="false">BC64+BC54+BC65</f>
        <v>-0</v>
      </c>
      <c r="BD66" s="57" t="n">
        <f aca="false">BD64+BD54+BD65</f>
        <v>-0</v>
      </c>
      <c r="BE66" s="57" t="n">
        <f aca="false">BE64+BE54+BE65</f>
        <v>-0</v>
      </c>
      <c r="BF66" s="57" t="n">
        <f aca="false">BF64+BF54+BF65</f>
        <v>-0</v>
      </c>
      <c r="BG66" s="57" t="n">
        <f aca="false">BG64+BG54+BG65</f>
        <v>-0</v>
      </c>
      <c r="BH66" s="57" t="n">
        <f aca="false">BH64+BH54+BH65</f>
        <v>-0</v>
      </c>
      <c r="BI66" s="57" t="n">
        <f aca="false">BI64+BI54+BI65</f>
        <v>-0</v>
      </c>
      <c r="BJ66" s="57" t="n">
        <f aca="false">BJ64+BJ54+BJ65</f>
        <v>-0</v>
      </c>
      <c r="BK66" s="57" t="n">
        <f aca="false">BK64+BK54+BK65</f>
        <v>-0</v>
      </c>
      <c r="BL66" s="57" t="n">
        <f aca="false">BL64+BL54+BL65</f>
        <v>-0</v>
      </c>
      <c r="BM66" s="57" t="n">
        <f aca="false">BM64+BM54+BM65</f>
        <v>-0</v>
      </c>
      <c r="BN66" s="57" t="n">
        <f aca="false">BN64+BN54+BN65</f>
        <v>-0</v>
      </c>
      <c r="BO66" s="57" t="n">
        <f aca="false">BO64+BO54+BO65</f>
        <v>-0</v>
      </c>
      <c r="BP66" s="57" t="n">
        <f aca="false">BP64+BP54+BP65</f>
        <v>-0</v>
      </c>
      <c r="BQ66" s="57" t="n">
        <f aca="false">BQ64+BQ54+BQ65</f>
        <v>-0</v>
      </c>
      <c r="BR66" s="57" t="n">
        <f aca="false">BR64+BR54+BR65</f>
        <v>-0</v>
      </c>
      <c r="BS66" s="57" t="n">
        <f aca="false">BS64+BS54+BS65</f>
        <v>-0</v>
      </c>
      <c r="BT66" s="57" t="n">
        <f aca="false">BT64+BT54+BT65</f>
        <v>-0</v>
      </c>
      <c r="BU66" s="57" t="n">
        <f aca="false">BU64+BU54+BU65</f>
        <v>-0</v>
      </c>
      <c r="BV66" s="57" t="n">
        <f aca="false">BV64+BV54+BV65</f>
        <v>-0</v>
      </c>
      <c r="BW66" s="57" t="n">
        <f aca="false">BW64+BW54+BW65</f>
        <v>-0</v>
      </c>
      <c r="BX66" s="57" t="n">
        <f aca="false">BX64+BX54+BX65</f>
        <v>-0</v>
      </c>
      <c r="BY66" s="57" t="n">
        <f aca="false">BY64+BY54+BY65</f>
        <v>-0</v>
      </c>
      <c r="BZ66" s="57" t="n">
        <f aca="false">BZ64+BZ54+BZ65</f>
        <v>-0</v>
      </c>
      <c r="CA66" s="57" t="n">
        <f aca="false">CA64+CA54+CA65</f>
        <v>-0</v>
      </c>
      <c r="CB66" s="57" t="n">
        <f aca="false">CB64+CB54+CB65</f>
        <v>-0</v>
      </c>
      <c r="CC66" s="57" t="n">
        <f aca="false">CC64+CC54+CC65</f>
        <v>-0</v>
      </c>
      <c r="CD66" s="57" t="n">
        <f aca="false">CD64+CD54+CD65</f>
        <v>-0</v>
      </c>
      <c r="CE66" s="57" t="n">
        <f aca="false">CE64+CE54+CE65</f>
        <v>-0</v>
      </c>
      <c r="CF66" s="57" t="n">
        <f aca="false">CF64+CF54+CF65</f>
        <v>-0</v>
      </c>
      <c r="CG66" s="57" t="n">
        <f aca="false">CG64+CG54+CG65</f>
        <v>-0</v>
      </c>
      <c r="CH66" s="57" t="n">
        <f aca="false">CH64+CH54+CH65</f>
        <v>-0</v>
      </c>
      <c r="CI66" s="57" t="n">
        <f aca="false">CI64+CI54+CI65</f>
        <v>-0</v>
      </c>
      <c r="CJ66" s="57" t="n">
        <f aca="false">CJ64+CJ54+CJ65</f>
        <v>-0</v>
      </c>
      <c r="CK66" s="57" t="n">
        <f aca="false">CK64+CK54+CK65</f>
        <v>-0</v>
      </c>
      <c r="CL66" s="57" t="n">
        <f aca="false">CL64+CL54+CL65</f>
        <v>-0</v>
      </c>
      <c r="CM66" s="57" t="n">
        <f aca="false">CM64+CM54+CM65</f>
        <v>-0</v>
      </c>
      <c r="CN66" s="57" t="n">
        <f aca="false">CN64+CN54+CN65</f>
        <v>-0</v>
      </c>
      <c r="CO66" s="57" t="n">
        <f aca="false">CO64+CO54+CO65</f>
        <v>-0</v>
      </c>
      <c r="CP66" s="57" t="n">
        <f aca="false">CP64+CP54+CP65</f>
        <v>-0</v>
      </c>
      <c r="CQ66" s="57" t="n">
        <f aca="false">CQ64+CQ54+CQ65</f>
        <v>-0</v>
      </c>
      <c r="CR66" s="57" t="n">
        <f aca="false">CR64+CR54+CR65</f>
        <v>-0</v>
      </c>
      <c r="CS66" s="57" t="n">
        <f aca="false">CS64+CS54+CS65</f>
        <v>-0</v>
      </c>
      <c r="CT66" s="57" t="n">
        <f aca="false">CT64+CT54+CT65</f>
        <v>-0</v>
      </c>
      <c r="CU66" s="57" t="n">
        <f aca="false">CU64+CU54+CU65</f>
        <v>-0</v>
      </c>
      <c r="CV66" s="57" t="n">
        <f aca="false">CV64+CV54+CV65</f>
        <v>-0</v>
      </c>
      <c r="CW66" s="57" t="n">
        <f aca="false">CW64+CW54+CW65</f>
        <v>-0</v>
      </c>
      <c r="CX66" s="57" t="n">
        <f aca="false">CX64+CX54+CX65</f>
        <v>-0</v>
      </c>
      <c r="CY66" s="57" t="n">
        <f aca="false">CY64+CY54+CY65</f>
        <v>-0</v>
      </c>
      <c r="CZ66" s="57" t="n">
        <f aca="false">CZ64+CZ54+CZ65</f>
        <v>-0</v>
      </c>
      <c r="DA66" s="57" t="n">
        <f aca="false">DA64+DA54+DA65</f>
        <v>-0</v>
      </c>
      <c r="DB66" s="57" t="n">
        <f aca="false">DB64+DB54+DB65</f>
        <v>-0</v>
      </c>
      <c r="DC66" s="57" t="n">
        <f aca="false">DC64+DC54+DC65</f>
        <v>-0</v>
      </c>
      <c r="DD66" s="57" t="n">
        <f aca="false">DD64+DD54+DD65</f>
        <v>-0</v>
      </c>
      <c r="DE66" s="57" t="n">
        <f aca="false">DE64+DE54+DE65</f>
        <v>-0</v>
      </c>
      <c r="DF66" s="57" t="n">
        <f aca="false">DF64+DF54+DF65</f>
        <v>-0</v>
      </c>
      <c r="DG66" s="57" t="n">
        <f aca="false">DG64+DG54+DG65</f>
        <v>-0</v>
      </c>
      <c r="DH66" s="57" t="n">
        <f aca="false">DH64+DH54+DH65</f>
        <v>-0</v>
      </c>
      <c r="DI66" s="57" t="n">
        <f aca="false">DI64+DI54+DI65</f>
        <v>-0</v>
      </c>
      <c r="DJ66" s="57" t="n">
        <f aca="false">DJ64+DJ54+DJ65</f>
        <v>-0</v>
      </c>
      <c r="DK66" s="57" t="n">
        <f aca="false">DK64+DK54+DK65</f>
        <v>-0</v>
      </c>
      <c r="DL66" s="57" t="n">
        <f aca="false">DL64+DL54+DL65</f>
        <v>-0</v>
      </c>
      <c r="DM66" s="57" t="n">
        <f aca="false">DM64+DM54+DM65</f>
        <v>-0</v>
      </c>
      <c r="DN66" s="57" t="n">
        <f aca="false">DN64+DN54+DN65</f>
        <v>-0</v>
      </c>
      <c r="DO66" s="57" t="n">
        <f aca="false">DO64+DO54+DO65</f>
        <v>-0</v>
      </c>
      <c r="DP66" s="57" t="n">
        <f aca="false">DP64+DP54+DP65</f>
        <v>-0</v>
      </c>
      <c r="DQ66" s="57" t="n">
        <f aca="false">DQ64+DQ54+DQ65</f>
        <v>-0</v>
      </c>
      <c r="DR66" s="57" t="n">
        <f aca="false">DR64+DR54+DR65</f>
        <v>-0</v>
      </c>
      <c r="DS66" s="57" t="n">
        <f aca="false">DS64+DS54+DS65</f>
        <v>-0</v>
      </c>
      <c r="DT66" s="57" t="n">
        <f aca="false">DT64+DT54+DT65</f>
        <v>-0</v>
      </c>
      <c r="DU66" s="57" t="n">
        <f aca="false">DU64+DU54+DU65</f>
        <v>-0</v>
      </c>
      <c r="DV66" s="57" t="n">
        <f aca="false">DV64+DV54+DV65</f>
        <v>-0</v>
      </c>
      <c r="DW66" s="57" t="n">
        <f aca="false">DW64+DW54+DW65</f>
        <v>-0</v>
      </c>
      <c r="DX66" s="57" t="n">
        <f aca="false">DX64+DX54+DX65</f>
        <v>-0</v>
      </c>
      <c r="DY66" s="57" t="n">
        <f aca="false">DY64+DY54+DY65</f>
        <v>-0</v>
      </c>
      <c r="DZ66" s="57" t="n">
        <f aca="false">DZ64+DZ54+DZ65</f>
        <v>-0</v>
      </c>
      <c r="EA66" s="57" t="n">
        <f aca="false">EA64+EA54+EA65</f>
        <v>-0</v>
      </c>
      <c r="EB66" s="57" t="n">
        <f aca="false">EB64+EB54+EB65</f>
        <v>-0</v>
      </c>
      <c r="EC66" s="57" t="n">
        <f aca="false">EC64+EC54+EC65</f>
        <v>-0</v>
      </c>
      <c r="ED66" s="57" t="n">
        <f aca="false">ED64+ED54+ED65</f>
        <v>-0</v>
      </c>
      <c r="EE66" s="57" t="n">
        <f aca="false">EE64+EE54+EE65</f>
        <v>-0</v>
      </c>
      <c r="EF66" s="57" t="n">
        <f aca="false">EF64+EF54+EF65</f>
        <v>-0</v>
      </c>
      <c r="EG66" s="57" t="n">
        <f aca="false">EG64+EG54+EG65</f>
        <v>-0</v>
      </c>
      <c r="EH66" s="57" t="n">
        <f aca="false">EH64+EH54+EH65</f>
        <v>-0</v>
      </c>
      <c r="EI66" s="57" t="n">
        <f aca="false">EI64+EI54+EI65</f>
        <v>-0</v>
      </c>
      <c r="EJ66" s="57" t="n">
        <f aca="false">EJ64+EJ54+EJ65</f>
        <v>-0</v>
      </c>
      <c r="EK66" s="57" t="n">
        <f aca="false">EK64+EK54+EK65</f>
        <v>-0</v>
      </c>
      <c r="EL66" s="57" t="n">
        <f aca="false">EL64+EL54+EL65</f>
        <v>-0</v>
      </c>
      <c r="EM66" s="57" t="n">
        <f aca="false">EM64+EM54+EM65</f>
        <v>-0</v>
      </c>
      <c r="EN66" s="57" t="n">
        <f aca="false">EN64+EN54+EN65</f>
        <v>-0</v>
      </c>
      <c r="EO66" s="57" t="n">
        <f aca="false">EO64+EO54+EO65</f>
        <v>-0</v>
      </c>
    </row>
    <row r="68" customFormat="false" ht="15" hidden="false" customHeight="false" outlineLevel="0" collapsed="false">
      <c r="A68" s="10" t="s">
        <v>13</v>
      </c>
      <c r="B68" s="10"/>
      <c r="C68" s="10" t="s">
        <v>303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10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customFormat="false" ht="15" hidden="false" customHeight="false" outlineLevel="0" collapsed="false">
      <c r="C69" s="1" t="s">
        <v>429</v>
      </c>
      <c r="D69" s="12" t="s">
        <v>378</v>
      </c>
      <c r="J69" s="55" t="n">
        <f aca="false">(1+In_Opex_Esc)^(J$7-YEAR(In_COD))</f>
        <v>0.905950644799755</v>
      </c>
      <c r="K69" s="55" t="n">
        <f aca="false">(1+In_Opex_Esc)^(K$7-YEAR(In_COD))</f>
        <v>0.928599410919749</v>
      </c>
      <c r="L69" s="55" t="n">
        <f aca="false">(1+In_Opex_Esc)^(L$7-YEAR(In_COD))</f>
        <v>0.928599410919749</v>
      </c>
      <c r="M69" s="55" t="n">
        <f aca="false">(1+In_Opex_Esc)^(M$7-YEAR(In_COD))</f>
        <v>0.928599410919749</v>
      </c>
      <c r="N69" s="55" t="n">
        <f aca="false">(1+In_Opex_Esc)^(N$7-YEAR(In_COD))</f>
        <v>0.928599410919749</v>
      </c>
      <c r="O69" s="55" t="n">
        <f aca="false">(1+In_Opex_Esc)^(O$7-YEAR(In_COD))</f>
        <v>0.951814396192743</v>
      </c>
      <c r="P69" s="55" t="n">
        <f aca="false">(1+In_Opex_Esc)^(P$7-YEAR(In_COD))</f>
        <v>0.951814396192743</v>
      </c>
      <c r="Q69" s="55" t="n">
        <f aca="false">(1+In_Opex_Esc)^(Q$7-YEAR(In_COD))</f>
        <v>0.951814396192743</v>
      </c>
      <c r="R69" s="55" t="n">
        <f aca="false">(1+In_Opex_Esc)^(R$7-YEAR(In_COD))</f>
        <v>0.951814396192743</v>
      </c>
      <c r="S69" s="55" t="n">
        <f aca="false">(1+In_Opex_Esc)^(S$7-YEAR(In_COD))</f>
        <v>0.975609756097561</v>
      </c>
      <c r="T69" s="55" t="n">
        <f aca="false">(1+In_Opex_Esc)^(T$7-YEAR(In_COD))</f>
        <v>0.975609756097561</v>
      </c>
      <c r="U69" s="55" t="n">
        <f aca="false">(1+In_Opex_Esc)^(U$7-YEAR(In_COD))</f>
        <v>0.975609756097561</v>
      </c>
      <c r="V69" s="55" t="n">
        <f aca="false">(1+In_Opex_Esc)^(V$7-YEAR(In_COD))</f>
        <v>0.975609756097561</v>
      </c>
      <c r="W69" s="55" t="n">
        <f aca="false">(1+In_Opex_Esc)^(W$7-YEAR(In_COD))</f>
        <v>1</v>
      </c>
      <c r="X69" s="55" t="n">
        <f aca="false">(1+In_Opex_Esc)^(X$7-YEAR(In_COD))</f>
        <v>1</v>
      </c>
      <c r="Y69" s="55" t="n">
        <f aca="false">(1+In_Opex_Esc)^(Y$7-YEAR(In_COD))</f>
        <v>1</v>
      </c>
      <c r="Z69" s="55" t="n">
        <f aca="false">(1+In_Opex_Esc)^(Z$7-YEAR(In_COD))</f>
        <v>1</v>
      </c>
      <c r="AA69" s="55" t="n">
        <f aca="false">(1+In_Opex_Esc)^(AA$7-YEAR(In_COD))</f>
        <v>1.025</v>
      </c>
      <c r="AB69" s="55" t="n">
        <f aca="false">(1+In_Opex_Esc)^(AB$7-YEAR(In_COD))</f>
        <v>1.025</v>
      </c>
      <c r="AC69" s="55" t="n">
        <f aca="false">(1+In_Opex_Esc)^(AC$7-YEAR(In_COD))</f>
        <v>1.025</v>
      </c>
      <c r="AD69" s="55" t="n">
        <f aca="false">(1+In_Opex_Esc)^(AD$7-YEAR(In_COD))</f>
        <v>1.025</v>
      </c>
      <c r="AE69" s="55" t="n">
        <f aca="false">(1+In_Opex_Esc)^(AE$7-YEAR(In_COD))</f>
        <v>1.050625</v>
      </c>
      <c r="AF69" s="55" t="n">
        <f aca="false">(1+In_Opex_Esc)^(AF$7-YEAR(In_COD))</f>
        <v>1.050625</v>
      </c>
      <c r="AG69" s="55" t="n">
        <f aca="false">(1+In_Opex_Esc)^(AG$7-YEAR(In_COD))</f>
        <v>1.050625</v>
      </c>
      <c r="AH69" s="55" t="n">
        <f aca="false">(1+In_Opex_Esc)^(AH$7-YEAR(In_COD))</f>
        <v>1.050625</v>
      </c>
      <c r="AI69" s="55" t="n">
        <f aca="false">(1+In_Opex_Esc)^(AI$7-YEAR(In_COD))</f>
        <v>1.076890625</v>
      </c>
      <c r="AJ69" s="55" t="n">
        <f aca="false">(1+In_Opex_Esc)^(AJ$7-YEAR(In_COD))</f>
        <v>1.076890625</v>
      </c>
      <c r="AK69" s="55" t="n">
        <f aca="false">(1+In_Opex_Esc)^(AK$7-YEAR(In_COD))</f>
        <v>1.076890625</v>
      </c>
      <c r="AL69" s="55" t="n">
        <f aca="false">(1+In_Opex_Esc)^(AL$7-YEAR(In_COD))</f>
        <v>1.076890625</v>
      </c>
      <c r="AM69" s="55" t="n">
        <f aca="false">(1+In_Opex_Esc)^(AM$7-YEAR(In_COD))</f>
        <v>1.103812890625</v>
      </c>
      <c r="AN69" s="55" t="n">
        <f aca="false">(1+In_Opex_Esc)^(AN$7-YEAR(In_COD))</f>
        <v>1.103812890625</v>
      </c>
      <c r="AO69" s="55" t="n">
        <f aca="false">(1+In_Opex_Esc)^(AO$7-YEAR(In_COD))</f>
        <v>1.103812890625</v>
      </c>
      <c r="AP69" s="55" t="n">
        <f aca="false">(1+In_Opex_Esc)^(AP$7-YEAR(In_COD))</f>
        <v>1.103812890625</v>
      </c>
      <c r="AQ69" s="55" t="n">
        <f aca="false">(1+In_Opex_Esc)^(AQ$7-YEAR(In_COD))</f>
        <v>1.13140821289062</v>
      </c>
      <c r="AR69" s="55" t="n">
        <f aca="false">(1+In_Opex_Esc)^(AR$7-YEAR(In_COD))</f>
        <v>1.13140821289062</v>
      </c>
      <c r="AS69" s="55" t="n">
        <f aca="false">(1+In_Opex_Esc)^(AS$7-YEAR(In_COD))</f>
        <v>1.13140821289062</v>
      </c>
      <c r="AT69" s="55" t="n">
        <f aca="false">(1+In_Opex_Esc)^(AT$7-YEAR(In_COD))</f>
        <v>1.13140821289062</v>
      </c>
      <c r="AU69" s="55" t="n">
        <f aca="false">(1+In_Opex_Esc)^(AU$7-YEAR(In_COD))</f>
        <v>1.15969341821289</v>
      </c>
      <c r="AV69" s="55" t="n">
        <f aca="false">(1+In_Opex_Esc)^(AV$7-YEAR(In_COD))</f>
        <v>1.15969341821289</v>
      </c>
      <c r="AW69" s="55" t="n">
        <f aca="false">(1+In_Opex_Esc)^(AW$7-YEAR(In_COD))</f>
        <v>1.15969341821289</v>
      </c>
      <c r="AX69" s="55" t="n">
        <f aca="false">(1+In_Opex_Esc)^(AX$7-YEAR(In_COD))</f>
        <v>1.15969341821289</v>
      </c>
      <c r="AY69" s="55" t="n">
        <f aca="false">(1+In_Opex_Esc)^(AY$7-YEAR(In_COD))</f>
        <v>1.18868575366821</v>
      </c>
      <c r="AZ69" s="55" t="n">
        <f aca="false">(1+In_Opex_Esc)^(AZ$7-YEAR(In_COD))</f>
        <v>1.18868575366821</v>
      </c>
      <c r="BA69" s="55" t="n">
        <f aca="false">(1+In_Opex_Esc)^(BA$7-YEAR(In_COD))</f>
        <v>1.18868575366821</v>
      </c>
      <c r="BB69" s="55" t="n">
        <f aca="false">(1+In_Opex_Esc)^(BB$7-YEAR(In_COD))</f>
        <v>1.18868575366821</v>
      </c>
      <c r="BC69" s="55" t="n">
        <f aca="false">(1+In_Opex_Esc)^(BC$7-YEAR(In_COD))</f>
        <v>1.21840289750992</v>
      </c>
      <c r="BD69" s="55" t="n">
        <f aca="false">(1+In_Opex_Esc)^(BD$7-YEAR(In_COD))</f>
        <v>1.21840289750992</v>
      </c>
      <c r="BE69" s="55" t="n">
        <f aca="false">(1+In_Opex_Esc)^(BE$7-YEAR(In_COD))</f>
        <v>1.21840289750992</v>
      </c>
      <c r="BF69" s="55" t="n">
        <f aca="false">(1+In_Opex_Esc)^(BF$7-YEAR(In_COD))</f>
        <v>1.21840289750992</v>
      </c>
      <c r="BG69" s="55" t="n">
        <f aca="false">(1+In_Opex_Esc)^(BG$7-YEAR(In_COD))</f>
        <v>1.24886296994767</v>
      </c>
      <c r="BH69" s="55" t="n">
        <f aca="false">(1+In_Opex_Esc)^(BH$7-YEAR(In_COD))</f>
        <v>1.24886296994767</v>
      </c>
      <c r="BI69" s="55" t="n">
        <f aca="false">(1+In_Opex_Esc)^(BI$7-YEAR(In_COD))</f>
        <v>1.24886296994767</v>
      </c>
      <c r="BJ69" s="55" t="n">
        <f aca="false">(1+In_Opex_Esc)^(BJ$7-YEAR(In_COD))</f>
        <v>1.24886296994767</v>
      </c>
      <c r="BK69" s="55" t="n">
        <f aca="false">(1+In_Opex_Esc)^(BK$7-YEAR(In_COD))</f>
        <v>1.28008454419636</v>
      </c>
      <c r="BL69" s="55" t="n">
        <f aca="false">(1+In_Opex_Esc)^(BL$7-YEAR(In_COD))</f>
        <v>1.28008454419636</v>
      </c>
      <c r="BM69" s="55" t="n">
        <f aca="false">(1+In_Opex_Esc)^(BM$7-YEAR(In_COD))</f>
        <v>1.28008454419636</v>
      </c>
      <c r="BN69" s="55" t="n">
        <f aca="false">(1+In_Opex_Esc)^(BN$7-YEAR(In_COD))</f>
        <v>1.28008454419636</v>
      </c>
      <c r="BO69" s="55" t="n">
        <f aca="false">(1+In_Opex_Esc)^(BO$7-YEAR(In_COD))</f>
        <v>1.31208665780127</v>
      </c>
      <c r="BP69" s="55" t="n">
        <f aca="false">(1+In_Opex_Esc)^(BP$7-YEAR(In_COD))</f>
        <v>1.31208665780127</v>
      </c>
      <c r="BQ69" s="55" t="n">
        <f aca="false">(1+In_Opex_Esc)^(BQ$7-YEAR(In_COD))</f>
        <v>1.31208665780127</v>
      </c>
      <c r="BR69" s="55" t="n">
        <f aca="false">(1+In_Opex_Esc)^(BR$7-YEAR(In_COD))</f>
        <v>1.31208665780127</v>
      </c>
      <c r="BS69" s="55" t="n">
        <f aca="false">(1+In_Opex_Esc)^(BS$7-YEAR(In_COD))</f>
        <v>1.3448888242463</v>
      </c>
      <c r="BT69" s="55" t="n">
        <f aca="false">(1+In_Opex_Esc)^(BT$7-YEAR(In_COD))</f>
        <v>1.3448888242463</v>
      </c>
      <c r="BU69" s="55" t="n">
        <f aca="false">(1+In_Opex_Esc)^(BU$7-YEAR(In_COD))</f>
        <v>1.3448888242463</v>
      </c>
      <c r="BV69" s="55" t="n">
        <f aca="false">(1+In_Opex_Esc)^(BV$7-YEAR(In_COD))</f>
        <v>1.3448888242463</v>
      </c>
      <c r="BW69" s="55" t="n">
        <f aca="false">(1+In_Opex_Esc)^(BW$7-YEAR(In_COD))</f>
        <v>1.37851104485245</v>
      </c>
      <c r="BX69" s="55" t="n">
        <f aca="false">(1+In_Opex_Esc)^(BX$7-YEAR(In_COD))</f>
        <v>1.37851104485245</v>
      </c>
      <c r="BY69" s="55" t="n">
        <f aca="false">(1+In_Opex_Esc)^(BY$7-YEAR(In_COD))</f>
        <v>1.37851104485245</v>
      </c>
      <c r="BZ69" s="55" t="n">
        <f aca="false">(1+In_Opex_Esc)^(BZ$7-YEAR(In_COD))</f>
        <v>1.37851104485245</v>
      </c>
      <c r="CA69" s="55" t="n">
        <f aca="false">(1+In_Opex_Esc)^(CA$7-YEAR(In_COD))</f>
        <v>1.41297382097377</v>
      </c>
      <c r="CB69" s="55" t="n">
        <f aca="false">(1+In_Opex_Esc)^(CB$7-YEAR(In_COD))</f>
        <v>1.41297382097377</v>
      </c>
      <c r="CC69" s="55" t="n">
        <f aca="false">(1+In_Opex_Esc)^(CC$7-YEAR(In_COD))</f>
        <v>1.41297382097377</v>
      </c>
      <c r="CD69" s="55" t="n">
        <f aca="false">(1+In_Opex_Esc)^(CD$7-YEAR(In_COD))</f>
        <v>1.41297382097377</v>
      </c>
      <c r="CE69" s="55" t="n">
        <f aca="false">(1+In_Opex_Esc)^(CE$7-YEAR(In_COD))</f>
        <v>1.44829816649811</v>
      </c>
      <c r="CF69" s="55" t="n">
        <f aca="false">(1+In_Opex_Esc)^(CF$7-YEAR(In_COD))</f>
        <v>1.44829816649811</v>
      </c>
      <c r="CG69" s="55" t="n">
        <f aca="false">(1+In_Opex_Esc)^(CG$7-YEAR(In_COD))</f>
        <v>1.44829816649811</v>
      </c>
      <c r="CH69" s="55" t="n">
        <f aca="false">(1+In_Opex_Esc)^(CH$7-YEAR(In_COD))</f>
        <v>1.44829816649811</v>
      </c>
      <c r="CI69" s="55" t="n">
        <f aca="false">(1+In_Opex_Esc)^(CI$7-YEAR(In_COD))</f>
        <v>1.48450562066056</v>
      </c>
      <c r="CJ69" s="55" t="n">
        <f aca="false">(1+In_Opex_Esc)^(CJ$7-YEAR(In_COD))</f>
        <v>1.48450562066056</v>
      </c>
      <c r="CK69" s="55" t="n">
        <f aca="false">(1+In_Opex_Esc)^(CK$7-YEAR(In_COD))</f>
        <v>1.48450562066056</v>
      </c>
      <c r="CL69" s="55" t="n">
        <f aca="false">(1+In_Opex_Esc)^(CL$7-YEAR(In_COD))</f>
        <v>1.48450562066056</v>
      </c>
      <c r="CM69" s="55" t="n">
        <f aca="false">(1+In_Opex_Esc)^(CM$7-YEAR(In_COD))</f>
        <v>1.52161826117708</v>
      </c>
      <c r="CN69" s="55" t="n">
        <f aca="false">(1+In_Opex_Esc)^(CN$7-YEAR(In_COD))</f>
        <v>1.52161826117708</v>
      </c>
      <c r="CO69" s="55" t="n">
        <f aca="false">(1+In_Opex_Esc)^(CO$7-YEAR(In_COD))</f>
        <v>1.52161826117708</v>
      </c>
      <c r="CP69" s="55" t="n">
        <f aca="false">(1+In_Opex_Esc)^(CP$7-YEAR(In_COD))</f>
        <v>1.52161826117708</v>
      </c>
      <c r="CQ69" s="55" t="n">
        <f aca="false">(1+In_Opex_Esc)^(CQ$7-YEAR(In_COD))</f>
        <v>1.5596587177065</v>
      </c>
      <c r="CR69" s="55" t="n">
        <f aca="false">(1+In_Opex_Esc)^(CR$7-YEAR(In_COD))</f>
        <v>1.5596587177065</v>
      </c>
      <c r="CS69" s="55" t="n">
        <f aca="false">(1+In_Opex_Esc)^(CS$7-YEAR(In_COD))</f>
        <v>1.5596587177065</v>
      </c>
      <c r="CT69" s="55" t="n">
        <f aca="false">(1+In_Opex_Esc)^(CT$7-YEAR(In_COD))</f>
        <v>1.5596587177065</v>
      </c>
      <c r="CU69" s="55" t="n">
        <f aca="false">(1+In_Opex_Esc)^(CU$7-YEAR(In_COD))</f>
        <v>1.59865018564917</v>
      </c>
      <c r="CV69" s="55" t="n">
        <f aca="false">(1+In_Opex_Esc)^(CV$7-YEAR(In_COD))</f>
        <v>1.59865018564917</v>
      </c>
      <c r="CW69" s="55" t="n">
        <f aca="false">(1+In_Opex_Esc)^(CW$7-YEAR(In_COD))</f>
        <v>1.59865018564917</v>
      </c>
      <c r="CX69" s="55" t="n">
        <f aca="false">(1+In_Opex_Esc)^(CX$7-YEAR(In_COD))</f>
        <v>1.59865018564917</v>
      </c>
      <c r="CY69" s="55" t="n">
        <f aca="false">(1+In_Opex_Esc)^(CY$7-YEAR(In_COD))</f>
        <v>1.63861644029039</v>
      </c>
      <c r="CZ69" s="55" t="n">
        <f aca="false">(1+In_Opex_Esc)^(CZ$7-YEAR(In_COD))</f>
        <v>1.63861644029039</v>
      </c>
      <c r="DA69" s="55" t="n">
        <f aca="false">(1+In_Opex_Esc)^(DA$7-YEAR(In_COD))</f>
        <v>1.63861644029039</v>
      </c>
      <c r="DB69" s="55" t="n">
        <f aca="false">(1+In_Opex_Esc)^(DB$7-YEAR(In_COD))</f>
        <v>1.63861644029039</v>
      </c>
      <c r="DC69" s="55" t="n">
        <f aca="false">(1+In_Opex_Esc)^(DC$7-YEAR(In_COD))</f>
        <v>1.67958185129765</v>
      </c>
      <c r="DD69" s="55" t="n">
        <f aca="false">(1+In_Opex_Esc)^(DD$7-YEAR(In_COD))</f>
        <v>1.67958185129765</v>
      </c>
      <c r="DE69" s="55" t="n">
        <f aca="false">(1+In_Opex_Esc)^(DE$7-YEAR(In_COD))</f>
        <v>1.67958185129765</v>
      </c>
      <c r="DF69" s="55" t="n">
        <f aca="false">(1+In_Opex_Esc)^(DF$7-YEAR(In_COD))</f>
        <v>1.67958185129765</v>
      </c>
      <c r="DG69" s="55" t="n">
        <f aca="false">(1+In_Opex_Esc)^(DG$7-YEAR(In_COD))</f>
        <v>1.7215713975801</v>
      </c>
      <c r="DH69" s="55" t="n">
        <f aca="false">(1+In_Opex_Esc)^(DH$7-YEAR(In_COD))</f>
        <v>1.7215713975801</v>
      </c>
      <c r="DI69" s="55" t="n">
        <f aca="false">(1+In_Opex_Esc)^(DI$7-YEAR(In_COD))</f>
        <v>1.7215713975801</v>
      </c>
      <c r="DJ69" s="55" t="n">
        <f aca="false">(1+In_Opex_Esc)^(DJ$7-YEAR(In_COD))</f>
        <v>1.7215713975801</v>
      </c>
      <c r="DK69" s="55" t="n">
        <f aca="false">(1+In_Opex_Esc)^(DK$7-YEAR(In_COD))</f>
        <v>1.7646106825196</v>
      </c>
      <c r="DL69" s="55" t="n">
        <f aca="false">(1+In_Opex_Esc)^(DL$7-YEAR(In_COD))</f>
        <v>1.7646106825196</v>
      </c>
      <c r="DM69" s="55" t="n">
        <f aca="false">(1+In_Opex_Esc)^(DM$7-YEAR(In_COD))</f>
        <v>1.7646106825196</v>
      </c>
      <c r="DN69" s="55" t="n">
        <f aca="false">(1+In_Opex_Esc)^(DN$7-YEAR(In_COD))</f>
        <v>1.7646106825196</v>
      </c>
      <c r="DO69" s="55" t="n">
        <f aca="false">(1+In_Opex_Esc)^(DO$7-YEAR(In_COD))</f>
        <v>1.80872594958259</v>
      </c>
      <c r="DP69" s="55" t="n">
        <f aca="false">(1+In_Opex_Esc)^(DP$7-YEAR(In_COD))</f>
        <v>1.80872594958259</v>
      </c>
      <c r="DQ69" s="55" t="n">
        <f aca="false">(1+In_Opex_Esc)^(DQ$7-YEAR(In_COD))</f>
        <v>1.80872594958259</v>
      </c>
      <c r="DR69" s="55" t="n">
        <f aca="false">(1+In_Opex_Esc)^(DR$7-YEAR(In_COD))</f>
        <v>1.80872594958259</v>
      </c>
      <c r="DS69" s="55" t="n">
        <f aca="false">(1+In_Opex_Esc)^(DS$7-YEAR(In_COD))</f>
        <v>1.85394409832215</v>
      </c>
      <c r="DT69" s="55" t="n">
        <f aca="false">(1+In_Opex_Esc)^(DT$7-YEAR(In_COD))</f>
        <v>1.85394409832215</v>
      </c>
      <c r="DU69" s="55" t="n">
        <f aca="false">(1+In_Opex_Esc)^(DU$7-YEAR(In_COD))</f>
        <v>1.85394409832215</v>
      </c>
      <c r="DV69" s="55" t="n">
        <f aca="false">(1+In_Opex_Esc)^(DV$7-YEAR(In_COD))</f>
        <v>1.85394409832215</v>
      </c>
      <c r="DW69" s="55" t="n">
        <f aca="false">(1+In_Opex_Esc)^(DW$7-YEAR(In_COD))</f>
        <v>1.90029270078021</v>
      </c>
      <c r="DX69" s="55" t="n">
        <f aca="false">(1+In_Opex_Esc)^(DX$7-YEAR(In_COD))</f>
        <v>1.90029270078021</v>
      </c>
      <c r="DY69" s="55" t="n">
        <f aca="false">(1+In_Opex_Esc)^(DY$7-YEAR(In_COD))</f>
        <v>1.90029270078021</v>
      </c>
      <c r="DZ69" s="55" t="n">
        <f aca="false">(1+In_Opex_Esc)^(DZ$7-YEAR(In_COD))</f>
        <v>1.90029270078021</v>
      </c>
      <c r="EA69" s="55" t="n">
        <f aca="false">(1+In_Opex_Esc)^(EA$7-YEAR(In_COD))</f>
        <v>1.94780001829971</v>
      </c>
      <c r="EB69" s="55" t="n">
        <f aca="false">(1+In_Opex_Esc)^(EB$7-YEAR(In_COD))</f>
        <v>1.94780001829971</v>
      </c>
      <c r="EC69" s="55" t="n">
        <f aca="false">(1+In_Opex_Esc)^(EC$7-YEAR(In_COD))</f>
        <v>1.94780001829971</v>
      </c>
      <c r="ED69" s="55" t="n">
        <f aca="false">(1+In_Opex_Esc)^(ED$7-YEAR(In_COD))</f>
        <v>1.94780001829971</v>
      </c>
      <c r="EE69" s="55" t="n">
        <f aca="false">(1+In_Opex_Esc)^(EE$7-YEAR(In_COD))</f>
        <v>1.9964950187572</v>
      </c>
      <c r="EF69" s="55" t="n">
        <f aca="false">(1+In_Opex_Esc)^(EF$7-YEAR(In_COD))</f>
        <v>1.9964950187572</v>
      </c>
      <c r="EG69" s="55" t="n">
        <f aca="false">(1+In_Opex_Esc)^(EG$7-YEAR(In_COD))</f>
        <v>1.9964950187572</v>
      </c>
      <c r="EH69" s="55" t="n">
        <f aca="false">(1+In_Opex_Esc)^(EH$7-YEAR(In_COD))</f>
        <v>1.9964950187572</v>
      </c>
      <c r="EI69" s="55" t="n">
        <f aca="false">(1+In_Opex_Esc)^(EI$7-YEAR(In_COD))</f>
        <v>2.04640739422613</v>
      </c>
      <c r="EJ69" s="55" t="n">
        <f aca="false">(1+In_Opex_Esc)^(EJ$7-YEAR(In_COD))</f>
        <v>2.04640739422613</v>
      </c>
      <c r="EK69" s="55" t="n">
        <f aca="false">(1+In_Opex_Esc)^(EK$7-YEAR(In_COD))</f>
        <v>2.04640739422613</v>
      </c>
      <c r="EL69" s="55" t="n">
        <f aca="false">(1+In_Opex_Esc)^(EL$7-YEAR(In_COD))</f>
        <v>2.04640739422613</v>
      </c>
      <c r="EM69" s="55" t="n">
        <f aca="false">(1+In_Opex_Esc)^(EM$7-YEAR(In_COD))</f>
        <v>2.09756757908179</v>
      </c>
      <c r="EN69" s="55" t="n">
        <f aca="false">(1+In_Opex_Esc)^(EN$7-YEAR(In_COD))</f>
        <v>2.09756757908179</v>
      </c>
      <c r="EO69" s="55" t="n">
        <f aca="false">(1+In_Opex_Esc)^(EO$7-YEAR(In_COD))</f>
        <v>2.09756757908179</v>
      </c>
    </row>
    <row r="70" customFormat="false" ht="15" hidden="false" customHeight="false" outlineLevel="0" collapsed="false">
      <c r="C70" s="1" t="s">
        <v>430</v>
      </c>
      <c r="D70" s="12" t="s">
        <v>24</v>
      </c>
      <c r="J70" s="33" t="n">
        <f aca="false">In_PPA_Price*(1+In_PPA_Esc)^(J$7-YEAR(In_COD))</f>
        <v>86.4882310034535</v>
      </c>
      <c r="K70" s="33" t="n">
        <f aca="false">In_PPA_Price*(1+In_PPA_Esc)^(K$7-YEAR(In_COD))</f>
        <v>87.353113313488</v>
      </c>
      <c r="L70" s="33" t="n">
        <f aca="false">In_PPA_Price*(1+In_PPA_Esc)^(L$7-YEAR(In_COD))</f>
        <v>87.353113313488</v>
      </c>
      <c r="M70" s="33" t="n">
        <f aca="false">In_PPA_Price*(1+In_PPA_Esc)^(M$7-YEAR(In_COD))</f>
        <v>87.353113313488</v>
      </c>
      <c r="N70" s="33" t="n">
        <f aca="false">In_PPA_Price*(1+In_PPA_Esc)^(N$7-YEAR(In_COD))</f>
        <v>87.353113313488</v>
      </c>
      <c r="O70" s="33" t="n">
        <f aca="false">In_PPA_Price*(1+In_PPA_Esc)^(O$7-YEAR(In_COD))</f>
        <v>88.2266444466229</v>
      </c>
      <c r="P70" s="33" t="n">
        <f aca="false">In_PPA_Price*(1+In_PPA_Esc)^(P$7-YEAR(In_COD))</f>
        <v>88.2266444466229</v>
      </c>
      <c r="Q70" s="33" t="n">
        <f aca="false">In_PPA_Price*(1+In_PPA_Esc)^(Q$7-YEAR(In_COD))</f>
        <v>88.2266444466229</v>
      </c>
      <c r="R70" s="33" t="n">
        <f aca="false">In_PPA_Price*(1+In_PPA_Esc)^(R$7-YEAR(In_COD))</f>
        <v>88.2266444466229</v>
      </c>
      <c r="S70" s="33" t="n">
        <f aca="false">In_PPA_Price*(1+In_PPA_Esc)^(S$7-YEAR(In_COD))</f>
        <v>89.1089108910891</v>
      </c>
      <c r="T70" s="33" t="n">
        <f aca="false">In_PPA_Price*(1+In_PPA_Esc)^(T$7-YEAR(In_COD))</f>
        <v>89.1089108910891</v>
      </c>
      <c r="U70" s="33" t="n">
        <f aca="false">In_PPA_Price*(1+In_PPA_Esc)^(U$7-YEAR(In_COD))</f>
        <v>89.1089108910891</v>
      </c>
      <c r="V70" s="33" t="n">
        <f aca="false">In_PPA_Price*(1+In_PPA_Esc)^(V$7-YEAR(In_COD))</f>
        <v>89.1089108910891</v>
      </c>
      <c r="W70" s="33" t="n">
        <f aca="false">In_PPA_Price*(1+In_PPA_Esc)^(W$7-YEAR(In_COD))</f>
        <v>90</v>
      </c>
      <c r="X70" s="33" t="n">
        <f aca="false">In_PPA_Price*(1+In_PPA_Esc)^(X$7-YEAR(In_COD))</f>
        <v>90</v>
      </c>
      <c r="Y70" s="33" t="n">
        <f aca="false">In_PPA_Price*(1+In_PPA_Esc)^(Y$7-YEAR(In_COD))</f>
        <v>90</v>
      </c>
      <c r="Z70" s="33" t="n">
        <f aca="false">In_PPA_Price*(1+In_PPA_Esc)^(Z$7-YEAR(In_COD))</f>
        <v>90</v>
      </c>
      <c r="AA70" s="33" t="n">
        <f aca="false">In_PPA_Price*(1+In_PPA_Esc)^(AA$7-YEAR(In_COD))</f>
        <v>90.9</v>
      </c>
      <c r="AB70" s="33" t="n">
        <f aca="false">In_PPA_Price*(1+In_PPA_Esc)^(AB$7-YEAR(In_COD))</f>
        <v>90.9</v>
      </c>
      <c r="AC70" s="33" t="n">
        <f aca="false">In_PPA_Price*(1+In_PPA_Esc)^(AC$7-YEAR(In_COD))</f>
        <v>90.9</v>
      </c>
      <c r="AD70" s="33" t="n">
        <f aca="false">In_PPA_Price*(1+In_PPA_Esc)^(AD$7-YEAR(In_COD))</f>
        <v>90.9</v>
      </c>
      <c r="AE70" s="33" t="n">
        <f aca="false">In_PPA_Price*(1+In_PPA_Esc)^(AE$7-YEAR(In_COD))</f>
        <v>91.809</v>
      </c>
      <c r="AF70" s="33" t="n">
        <f aca="false">In_PPA_Price*(1+In_PPA_Esc)^(AF$7-YEAR(In_COD))</f>
        <v>91.809</v>
      </c>
      <c r="AG70" s="33" t="n">
        <f aca="false">In_PPA_Price*(1+In_PPA_Esc)^(AG$7-YEAR(In_COD))</f>
        <v>91.809</v>
      </c>
      <c r="AH70" s="33" t="n">
        <f aca="false">In_PPA_Price*(1+In_PPA_Esc)^(AH$7-YEAR(In_COD))</f>
        <v>91.809</v>
      </c>
      <c r="AI70" s="33" t="n">
        <f aca="false">In_PPA_Price*(1+In_PPA_Esc)^(AI$7-YEAR(In_COD))</f>
        <v>92.72709</v>
      </c>
      <c r="AJ70" s="33" t="n">
        <f aca="false">In_PPA_Price*(1+In_PPA_Esc)^(AJ$7-YEAR(In_COD))</f>
        <v>92.72709</v>
      </c>
      <c r="AK70" s="33" t="n">
        <f aca="false">In_PPA_Price*(1+In_PPA_Esc)^(AK$7-YEAR(In_COD))</f>
        <v>92.72709</v>
      </c>
      <c r="AL70" s="33" t="n">
        <f aca="false">In_PPA_Price*(1+In_PPA_Esc)^(AL$7-YEAR(In_COD))</f>
        <v>92.72709</v>
      </c>
      <c r="AM70" s="33" t="n">
        <f aca="false">In_PPA_Price*(1+In_PPA_Esc)^(AM$7-YEAR(In_COD))</f>
        <v>93.6543609</v>
      </c>
      <c r="AN70" s="33" t="n">
        <f aca="false">In_PPA_Price*(1+In_PPA_Esc)^(AN$7-YEAR(In_COD))</f>
        <v>93.6543609</v>
      </c>
      <c r="AO70" s="33" t="n">
        <f aca="false">In_PPA_Price*(1+In_PPA_Esc)^(AO$7-YEAR(In_COD))</f>
        <v>93.6543609</v>
      </c>
      <c r="AP70" s="33" t="n">
        <f aca="false">In_PPA_Price*(1+In_PPA_Esc)^(AP$7-YEAR(In_COD))</f>
        <v>93.6543609</v>
      </c>
      <c r="AQ70" s="33" t="n">
        <f aca="false">In_PPA_Price*(1+In_PPA_Esc)^(AQ$7-YEAR(In_COD))</f>
        <v>94.590904509</v>
      </c>
      <c r="AR70" s="33" t="n">
        <f aca="false">In_PPA_Price*(1+In_PPA_Esc)^(AR$7-YEAR(In_COD))</f>
        <v>94.590904509</v>
      </c>
      <c r="AS70" s="33" t="n">
        <f aca="false">In_PPA_Price*(1+In_PPA_Esc)^(AS$7-YEAR(In_COD))</f>
        <v>94.590904509</v>
      </c>
      <c r="AT70" s="33" t="n">
        <f aca="false">In_PPA_Price*(1+In_PPA_Esc)^(AT$7-YEAR(In_COD))</f>
        <v>94.590904509</v>
      </c>
      <c r="AU70" s="33" t="n">
        <f aca="false">In_PPA_Price*(1+In_PPA_Esc)^(AU$7-YEAR(In_COD))</f>
        <v>95.53681355409</v>
      </c>
      <c r="AV70" s="33" t="n">
        <f aca="false">In_PPA_Price*(1+In_PPA_Esc)^(AV$7-YEAR(In_COD))</f>
        <v>95.53681355409</v>
      </c>
      <c r="AW70" s="33" t="n">
        <f aca="false">In_PPA_Price*(1+In_PPA_Esc)^(AW$7-YEAR(In_COD))</f>
        <v>95.53681355409</v>
      </c>
      <c r="AX70" s="33" t="n">
        <f aca="false">In_PPA_Price*(1+In_PPA_Esc)^(AX$7-YEAR(In_COD))</f>
        <v>95.53681355409</v>
      </c>
      <c r="AY70" s="33" t="n">
        <f aca="false">In_PPA_Price*(1+In_PPA_Esc)^(AY$7-YEAR(In_COD))</f>
        <v>96.4921816896309</v>
      </c>
      <c r="AZ70" s="33" t="n">
        <f aca="false">In_PPA_Price*(1+In_PPA_Esc)^(AZ$7-YEAR(In_COD))</f>
        <v>96.4921816896309</v>
      </c>
      <c r="BA70" s="33" t="n">
        <f aca="false">In_PPA_Price*(1+In_PPA_Esc)^(BA$7-YEAR(In_COD))</f>
        <v>96.4921816896309</v>
      </c>
      <c r="BB70" s="33" t="n">
        <f aca="false">In_PPA_Price*(1+In_PPA_Esc)^(BB$7-YEAR(In_COD))</f>
        <v>96.4921816896309</v>
      </c>
      <c r="BC70" s="33" t="n">
        <f aca="false">In_PPA_Price*(1+In_PPA_Esc)^(BC$7-YEAR(In_COD))</f>
        <v>97.4571035065272</v>
      </c>
      <c r="BD70" s="33" t="n">
        <f aca="false">In_PPA_Price*(1+In_PPA_Esc)^(BD$7-YEAR(In_COD))</f>
        <v>97.4571035065272</v>
      </c>
      <c r="BE70" s="33" t="n">
        <f aca="false">In_PPA_Price*(1+In_PPA_Esc)^(BE$7-YEAR(In_COD))</f>
        <v>97.4571035065272</v>
      </c>
      <c r="BF70" s="33" t="n">
        <f aca="false">In_PPA_Price*(1+In_PPA_Esc)^(BF$7-YEAR(In_COD))</f>
        <v>97.4571035065272</v>
      </c>
      <c r="BG70" s="33" t="n">
        <f aca="false">In_PPA_Price*(1+In_PPA_Esc)^(BG$7-YEAR(In_COD))</f>
        <v>98.4316745415925</v>
      </c>
      <c r="BH70" s="33" t="n">
        <f aca="false">In_PPA_Price*(1+In_PPA_Esc)^(BH$7-YEAR(In_COD))</f>
        <v>98.4316745415925</v>
      </c>
      <c r="BI70" s="33" t="n">
        <f aca="false">In_PPA_Price*(1+In_PPA_Esc)^(BI$7-YEAR(In_COD))</f>
        <v>98.4316745415925</v>
      </c>
      <c r="BJ70" s="33" t="n">
        <f aca="false">In_PPA_Price*(1+In_PPA_Esc)^(BJ$7-YEAR(In_COD))</f>
        <v>98.4316745415925</v>
      </c>
      <c r="BK70" s="33" t="n">
        <f aca="false">In_PPA_Price*(1+In_PPA_Esc)^(BK$7-YEAR(In_COD))</f>
        <v>99.4159912870084</v>
      </c>
      <c r="BL70" s="33" t="n">
        <f aca="false">In_PPA_Price*(1+In_PPA_Esc)^(BL$7-YEAR(In_COD))</f>
        <v>99.4159912870084</v>
      </c>
      <c r="BM70" s="33" t="n">
        <f aca="false">In_PPA_Price*(1+In_PPA_Esc)^(BM$7-YEAR(In_COD))</f>
        <v>99.4159912870084</v>
      </c>
      <c r="BN70" s="33" t="n">
        <f aca="false">In_PPA_Price*(1+In_PPA_Esc)^(BN$7-YEAR(In_COD))</f>
        <v>99.4159912870084</v>
      </c>
      <c r="BO70" s="33" t="n">
        <f aca="false">In_PPA_Price*(1+In_PPA_Esc)^(BO$7-YEAR(In_COD))</f>
        <v>100.410151199878</v>
      </c>
      <c r="BP70" s="33" t="n">
        <f aca="false">In_PPA_Price*(1+In_PPA_Esc)^(BP$7-YEAR(In_COD))</f>
        <v>100.410151199878</v>
      </c>
      <c r="BQ70" s="33" t="n">
        <f aca="false">In_PPA_Price*(1+In_PPA_Esc)^(BQ$7-YEAR(In_COD))</f>
        <v>100.410151199878</v>
      </c>
      <c r="BR70" s="33" t="n">
        <f aca="false">In_PPA_Price*(1+In_PPA_Esc)^(BR$7-YEAR(In_COD))</f>
        <v>100.410151199878</v>
      </c>
      <c r="BS70" s="33" t="n">
        <f aca="false">In_PPA_Price*(1+In_PPA_Esc)^(BS$7-YEAR(In_COD))</f>
        <v>101.414252711877</v>
      </c>
      <c r="BT70" s="33" t="n">
        <f aca="false">In_PPA_Price*(1+In_PPA_Esc)^(BT$7-YEAR(In_COD))</f>
        <v>101.414252711877</v>
      </c>
      <c r="BU70" s="33" t="n">
        <f aca="false">In_PPA_Price*(1+In_PPA_Esc)^(BU$7-YEAR(In_COD))</f>
        <v>101.414252711877</v>
      </c>
      <c r="BV70" s="33" t="n">
        <f aca="false">In_PPA_Price*(1+In_PPA_Esc)^(BV$7-YEAR(In_COD))</f>
        <v>101.414252711877</v>
      </c>
      <c r="BW70" s="33" t="n">
        <f aca="false">In_PPA_Price*(1+In_PPA_Esc)^(BW$7-YEAR(In_COD))</f>
        <v>102.428395238996</v>
      </c>
      <c r="BX70" s="33" t="n">
        <f aca="false">In_PPA_Price*(1+In_PPA_Esc)^(BX$7-YEAR(In_COD))</f>
        <v>102.428395238996</v>
      </c>
      <c r="BY70" s="33" t="n">
        <f aca="false">In_PPA_Price*(1+In_PPA_Esc)^(BY$7-YEAR(In_COD))</f>
        <v>102.428395238996</v>
      </c>
      <c r="BZ70" s="33" t="n">
        <f aca="false">In_PPA_Price*(1+In_PPA_Esc)^(BZ$7-YEAR(In_COD))</f>
        <v>102.428395238996</v>
      </c>
      <c r="CA70" s="33" t="n">
        <f aca="false">In_PPA_Price*(1+In_PPA_Esc)^(CA$7-YEAR(In_COD))</f>
        <v>103.452679191386</v>
      </c>
      <c r="CB70" s="33" t="n">
        <f aca="false">In_PPA_Price*(1+In_PPA_Esc)^(CB$7-YEAR(In_COD))</f>
        <v>103.452679191386</v>
      </c>
      <c r="CC70" s="33" t="n">
        <f aca="false">In_PPA_Price*(1+In_PPA_Esc)^(CC$7-YEAR(In_COD))</f>
        <v>103.452679191386</v>
      </c>
      <c r="CD70" s="33" t="n">
        <f aca="false">In_PPA_Price*(1+In_PPA_Esc)^(CD$7-YEAR(In_COD))</f>
        <v>103.452679191386</v>
      </c>
      <c r="CE70" s="33" t="n">
        <f aca="false">In_PPA_Price*(1+In_PPA_Esc)^(CE$7-YEAR(In_COD))</f>
        <v>104.4872059833</v>
      </c>
      <c r="CF70" s="33" t="n">
        <f aca="false">In_PPA_Price*(1+In_PPA_Esc)^(CF$7-YEAR(In_COD))</f>
        <v>104.4872059833</v>
      </c>
      <c r="CG70" s="33" t="n">
        <f aca="false">In_PPA_Price*(1+In_PPA_Esc)^(CG$7-YEAR(In_COD))</f>
        <v>104.4872059833</v>
      </c>
      <c r="CH70" s="33" t="n">
        <f aca="false">In_PPA_Price*(1+In_PPA_Esc)^(CH$7-YEAR(In_COD))</f>
        <v>104.4872059833</v>
      </c>
      <c r="CI70" s="33" t="n">
        <f aca="false">In_PPA_Price*(1+In_PPA_Esc)^(CI$7-YEAR(In_COD))</f>
        <v>105.532078043133</v>
      </c>
      <c r="CJ70" s="33" t="n">
        <f aca="false">In_PPA_Price*(1+In_PPA_Esc)^(CJ$7-YEAR(In_COD))</f>
        <v>105.532078043133</v>
      </c>
      <c r="CK70" s="33" t="n">
        <f aca="false">In_PPA_Price*(1+In_PPA_Esc)^(CK$7-YEAR(In_COD))</f>
        <v>105.532078043133</v>
      </c>
      <c r="CL70" s="33" t="n">
        <f aca="false">In_PPA_Price*(1+In_PPA_Esc)^(CL$7-YEAR(In_COD))</f>
        <v>105.532078043133</v>
      </c>
      <c r="CM70" s="33" t="n">
        <f aca="false">In_PPA_Price*(1+In_PPA_Esc)^(CM$7-YEAR(In_COD))</f>
        <v>106.587398823564</v>
      </c>
      <c r="CN70" s="33" t="n">
        <f aca="false">In_PPA_Price*(1+In_PPA_Esc)^(CN$7-YEAR(In_COD))</f>
        <v>106.587398823564</v>
      </c>
      <c r="CO70" s="33" t="n">
        <f aca="false">In_PPA_Price*(1+In_PPA_Esc)^(CO$7-YEAR(In_COD))</f>
        <v>106.587398823564</v>
      </c>
      <c r="CP70" s="33" t="n">
        <f aca="false">In_PPA_Price*(1+In_PPA_Esc)^(CP$7-YEAR(In_COD))</f>
        <v>106.587398823564</v>
      </c>
      <c r="CQ70" s="33" t="n">
        <f aca="false">In_PPA_Price*(1+In_PPA_Esc)^(CQ$7-YEAR(In_COD))</f>
        <v>107.6532728118</v>
      </c>
      <c r="CR70" s="33" t="n">
        <f aca="false">In_PPA_Price*(1+In_PPA_Esc)^(CR$7-YEAR(In_COD))</f>
        <v>107.6532728118</v>
      </c>
      <c r="CS70" s="33" t="n">
        <f aca="false">In_PPA_Price*(1+In_PPA_Esc)^(CS$7-YEAR(In_COD))</f>
        <v>107.6532728118</v>
      </c>
      <c r="CT70" s="33" t="n">
        <f aca="false">In_PPA_Price*(1+In_PPA_Esc)^(CT$7-YEAR(In_COD))</f>
        <v>107.6532728118</v>
      </c>
      <c r="CU70" s="33" t="n">
        <f aca="false">In_PPA_Price*(1+In_PPA_Esc)^(CU$7-YEAR(In_COD))</f>
        <v>108.729805539918</v>
      </c>
      <c r="CV70" s="33" t="n">
        <f aca="false">In_PPA_Price*(1+In_PPA_Esc)^(CV$7-YEAR(In_COD))</f>
        <v>108.729805539918</v>
      </c>
      <c r="CW70" s="33" t="n">
        <f aca="false">In_PPA_Price*(1+In_PPA_Esc)^(CW$7-YEAR(In_COD))</f>
        <v>108.729805539918</v>
      </c>
      <c r="CX70" s="33" t="n">
        <f aca="false">In_PPA_Price*(1+In_PPA_Esc)^(CX$7-YEAR(In_COD))</f>
        <v>108.729805539918</v>
      </c>
      <c r="CY70" s="33" t="n">
        <f aca="false">In_PPA_Price*(1+In_PPA_Esc)^(CY$7-YEAR(In_COD))</f>
        <v>109.817103595317</v>
      </c>
      <c r="CZ70" s="33" t="n">
        <f aca="false">In_PPA_Price*(1+In_PPA_Esc)^(CZ$7-YEAR(In_COD))</f>
        <v>109.817103595317</v>
      </c>
      <c r="DA70" s="33" t="n">
        <f aca="false">In_PPA_Price*(1+In_PPA_Esc)^(DA$7-YEAR(In_COD))</f>
        <v>109.817103595317</v>
      </c>
      <c r="DB70" s="33" t="n">
        <f aca="false">In_PPA_Price*(1+In_PPA_Esc)^(DB$7-YEAR(In_COD))</f>
        <v>109.817103595317</v>
      </c>
      <c r="DC70" s="33" t="n">
        <f aca="false">In_PPA_Price*(1+In_PPA_Esc)^(DC$7-YEAR(In_COD))</f>
        <v>110.91527463127</v>
      </c>
      <c r="DD70" s="33" t="n">
        <f aca="false">In_PPA_Price*(1+In_PPA_Esc)^(DD$7-YEAR(In_COD))</f>
        <v>110.91527463127</v>
      </c>
      <c r="DE70" s="33" t="n">
        <f aca="false">In_PPA_Price*(1+In_PPA_Esc)^(DE$7-YEAR(In_COD))</f>
        <v>110.91527463127</v>
      </c>
      <c r="DF70" s="33" t="n">
        <f aca="false">In_PPA_Price*(1+In_PPA_Esc)^(DF$7-YEAR(In_COD))</f>
        <v>110.91527463127</v>
      </c>
      <c r="DG70" s="33" t="n">
        <f aca="false">In_PPA_Price*(1+In_PPA_Esc)^(DG$7-YEAR(In_COD))</f>
        <v>112.024427377583</v>
      </c>
      <c r="DH70" s="33" t="n">
        <f aca="false">In_PPA_Price*(1+In_PPA_Esc)^(DH$7-YEAR(In_COD))</f>
        <v>112.024427377583</v>
      </c>
      <c r="DI70" s="33" t="n">
        <f aca="false">In_PPA_Price*(1+In_PPA_Esc)^(DI$7-YEAR(In_COD))</f>
        <v>112.024427377583</v>
      </c>
      <c r="DJ70" s="33" t="n">
        <f aca="false">In_PPA_Price*(1+In_PPA_Esc)^(DJ$7-YEAR(In_COD))</f>
        <v>112.024427377583</v>
      </c>
      <c r="DK70" s="33" t="n">
        <f aca="false">In_PPA_Price*(1+In_PPA_Esc)^(DK$7-YEAR(In_COD))</f>
        <v>113.144671651359</v>
      </c>
      <c r="DL70" s="33" t="n">
        <f aca="false">In_PPA_Price*(1+In_PPA_Esc)^(DL$7-YEAR(In_COD))</f>
        <v>113.144671651359</v>
      </c>
      <c r="DM70" s="33" t="n">
        <f aca="false">In_PPA_Price*(1+In_PPA_Esc)^(DM$7-YEAR(In_COD))</f>
        <v>113.144671651359</v>
      </c>
      <c r="DN70" s="33" t="n">
        <f aca="false">In_PPA_Price*(1+In_PPA_Esc)^(DN$7-YEAR(In_COD))</f>
        <v>113.144671651359</v>
      </c>
      <c r="DO70" s="33" t="n">
        <f aca="false">In_PPA_Price*(1+In_PPA_Esc)^(DO$7-YEAR(In_COD))</f>
        <v>114.276118367872</v>
      </c>
      <c r="DP70" s="33" t="n">
        <f aca="false">In_PPA_Price*(1+In_PPA_Esc)^(DP$7-YEAR(In_COD))</f>
        <v>114.276118367872</v>
      </c>
      <c r="DQ70" s="33" t="n">
        <f aca="false">In_PPA_Price*(1+In_PPA_Esc)^(DQ$7-YEAR(In_COD))</f>
        <v>114.276118367872</v>
      </c>
      <c r="DR70" s="33" t="n">
        <f aca="false">In_PPA_Price*(1+In_PPA_Esc)^(DR$7-YEAR(In_COD))</f>
        <v>114.276118367872</v>
      </c>
      <c r="DS70" s="33" t="n">
        <f aca="false">In_PPA_Price*(1+In_PPA_Esc)^(DS$7-YEAR(In_COD))</f>
        <v>115.418879551551</v>
      </c>
      <c r="DT70" s="33" t="n">
        <f aca="false">In_PPA_Price*(1+In_PPA_Esc)^(DT$7-YEAR(In_COD))</f>
        <v>115.418879551551</v>
      </c>
      <c r="DU70" s="33" t="n">
        <f aca="false">In_PPA_Price*(1+In_PPA_Esc)^(DU$7-YEAR(In_COD))</f>
        <v>115.418879551551</v>
      </c>
      <c r="DV70" s="33" t="n">
        <f aca="false">In_PPA_Price*(1+In_PPA_Esc)^(DV$7-YEAR(In_COD))</f>
        <v>115.418879551551</v>
      </c>
      <c r="DW70" s="33" t="n">
        <f aca="false">In_PPA_Price*(1+In_PPA_Esc)^(DW$7-YEAR(In_COD))</f>
        <v>116.573068347067</v>
      </c>
      <c r="DX70" s="33" t="n">
        <f aca="false">In_PPA_Price*(1+In_PPA_Esc)^(DX$7-YEAR(In_COD))</f>
        <v>116.573068347067</v>
      </c>
      <c r="DY70" s="33" t="n">
        <f aca="false">In_PPA_Price*(1+In_PPA_Esc)^(DY$7-YEAR(In_COD))</f>
        <v>116.573068347067</v>
      </c>
      <c r="DZ70" s="33" t="n">
        <f aca="false">In_PPA_Price*(1+In_PPA_Esc)^(DZ$7-YEAR(In_COD))</f>
        <v>116.573068347067</v>
      </c>
      <c r="EA70" s="33" t="n">
        <f aca="false">In_PPA_Price*(1+In_PPA_Esc)^(EA$7-YEAR(In_COD))</f>
        <v>117.738799030537</v>
      </c>
      <c r="EB70" s="33" t="n">
        <f aca="false">In_PPA_Price*(1+In_PPA_Esc)^(EB$7-YEAR(In_COD))</f>
        <v>117.738799030537</v>
      </c>
      <c r="EC70" s="33" t="n">
        <f aca="false">In_PPA_Price*(1+In_PPA_Esc)^(EC$7-YEAR(In_COD))</f>
        <v>117.738799030537</v>
      </c>
      <c r="ED70" s="33" t="n">
        <f aca="false">In_PPA_Price*(1+In_PPA_Esc)^(ED$7-YEAR(In_COD))</f>
        <v>117.738799030537</v>
      </c>
      <c r="EE70" s="33" t="n">
        <f aca="false">In_PPA_Price*(1+In_PPA_Esc)^(EE$7-YEAR(In_COD))</f>
        <v>118.916187020843</v>
      </c>
      <c r="EF70" s="33" t="n">
        <f aca="false">In_PPA_Price*(1+In_PPA_Esc)^(EF$7-YEAR(In_COD))</f>
        <v>118.916187020843</v>
      </c>
      <c r="EG70" s="33" t="n">
        <f aca="false">In_PPA_Price*(1+In_PPA_Esc)^(EG$7-YEAR(In_COD))</f>
        <v>118.916187020843</v>
      </c>
      <c r="EH70" s="33" t="n">
        <f aca="false">In_PPA_Price*(1+In_PPA_Esc)^(EH$7-YEAR(In_COD))</f>
        <v>118.916187020843</v>
      </c>
      <c r="EI70" s="33" t="n">
        <f aca="false">In_PPA_Price*(1+In_PPA_Esc)^(EI$7-YEAR(In_COD))</f>
        <v>120.105348891051</v>
      </c>
      <c r="EJ70" s="33" t="n">
        <f aca="false">In_PPA_Price*(1+In_PPA_Esc)^(EJ$7-YEAR(In_COD))</f>
        <v>120.105348891051</v>
      </c>
      <c r="EK70" s="33" t="n">
        <f aca="false">In_PPA_Price*(1+In_PPA_Esc)^(EK$7-YEAR(In_COD))</f>
        <v>120.105348891051</v>
      </c>
      <c r="EL70" s="33" t="n">
        <f aca="false">In_PPA_Price*(1+In_PPA_Esc)^(EL$7-YEAR(In_COD))</f>
        <v>120.105348891051</v>
      </c>
      <c r="EM70" s="33" t="n">
        <f aca="false">In_PPA_Price*(1+In_PPA_Esc)^(EM$7-YEAR(In_COD))</f>
        <v>121.306402379962</v>
      </c>
      <c r="EN70" s="33" t="n">
        <f aca="false">In_PPA_Price*(1+In_PPA_Esc)^(EN$7-YEAR(In_COD))</f>
        <v>121.306402379962</v>
      </c>
      <c r="EO70" s="33" t="n">
        <f aca="false">In_PPA_Price*(1+In_PPA_Esc)^(EO$7-YEAR(In_COD))</f>
        <v>121.306402379962</v>
      </c>
    </row>
    <row r="71" customFormat="false" ht="15" hidden="false" customHeight="false" outlineLevel="0" collapsed="false">
      <c r="C71" s="1" t="s">
        <v>431</v>
      </c>
      <c r="D71" s="12" t="s">
        <v>70</v>
      </c>
      <c r="E71" s="48" t="n">
        <f aca="false">SUMIF($J$7:$EO$7,YEAR(In_COD)+1,$J71:$EO71)</f>
        <v>139397.5128</v>
      </c>
      <c r="I71" s="48" t="n">
        <f aca="false">SUM(J71:EO71)</f>
        <v>4010958.36031905</v>
      </c>
      <c r="J71" s="48" t="n">
        <f aca="false">$F24*In_P50_Hours*(1-In_Curtailment)*(1-$E27)*(1-In_Degradation)^(J20-1)*J15*J$6</f>
        <v>0</v>
      </c>
      <c r="K71" s="48" t="n">
        <f aca="false">$F24*In_P50_Hours*(1-In_Curtailment)*(1-$E27)*(1-In_Degradation)^(K20-1)*K15*K$6</f>
        <v>0</v>
      </c>
      <c r="L71" s="48" t="n">
        <f aca="false">$F24*In_P50_Hours*(1-In_Curtailment)*(1-$E27)*(1-In_Degradation)^(L20-1)*L15*L$6</f>
        <v>0</v>
      </c>
      <c r="M71" s="48" t="n">
        <f aca="false">$F24*In_P50_Hours*(1-In_Curtailment)*(1-$E27)*(1-In_Degradation)^(M20-1)*M15*M$6</f>
        <v>0</v>
      </c>
      <c r="N71" s="48" t="n">
        <f aca="false">$F24*In_P50_Hours*(1-In_Curtailment)*(1-$E27)*(1-In_Degradation)^(N20-1)*N15*N$6</f>
        <v>0</v>
      </c>
      <c r="O71" s="48" t="n">
        <f aca="false">$F24*In_P50_Hours*(1-In_Curtailment)*(1-$E27)*(1-In_Degradation)^(O20-1)*O15*O$6</f>
        <v>0</v>
      </c>
      <c r="P71" s="48" t="n">
        <f aca="false">$F24*In_P50_Hours*(1-In_Curtailment)*(1-$E27)*(1-In_Degradation)^(P20-1)*P15*P$6</f>
        <v>0</v>
      </c>
      <c r="Q71" s="48" t="n">
        <f aca="false">$F24*In_P50_Hours*(1-In_Curtailment)*(1-$E27)*(1-In_Degradation)^(Q20-1)*Q15*Q$6</f>
        <v>0</v>
      </c>
      <c r="R71" s="48" t="n">
        <f aca="false">$F24*In_P50_Hours*(1-In_Curtailment)*(1-$E27)*(1-In_Degradation)^(R20-1)*R15*R$6</f>
        <v>0</v>
      </c>
      <c r="S71" s="48" t="n">
        <f aca="false">$F24*In_P50_Hours*(1-In_Curtailment)*(1-$E27)*(1-In_Degradation)^(S20-1)*S15*S$6</f>
        <v>0</v>
      </c>
      <c r="T71" s="48" t="n">
        <f aca="false">$F24*In_P50_Hours*(1-In_Curtailment)*(1-$E27)*(1-In_Degradation)^(T20-1)*T15*T$6</f>
        <v>0</v>
      </c>
      <c r="U71" s="48" t="n">
        <f aca="false">$F24*In_P50_Hours*(1-In_Curtailment)*(1-$E27)*(1-In_Degradation)^(U20-1)*U15*U$6</f>
        <v>0</v>
      </c>
      <c r="V71" s="48" t="n">
        <f aca="false">$F24*In_P50_Hours*(1-In_Curtailment)*(1-$E27)*(1-In_Degradation)^(V20-1)*V15*V$6</f>
        <v>0</v>
      </c>
      <c r="W71" s="48" t="n">
        <f aca="false">$F24*In_P50_Hours*(1-In_Curtailment)*(1-$E27)*(1-In_Degradation)^(W20-1)*W15*W$6</f>
        <v>0</v>
      </c>
      <c r="X71" s="48" t="n">
        <f aca="false">$F24*In_P50_Hours*(1-In_Curtailment)*(1-$E27)*(1-In_Degradation)^(X20-1)*X15*X$6</f>
        <v>0</v>
      </c>
      <c r="Y71" s="48" t="n">
        <f aca="false">$F24*In_P50_Hours*(1-In_Curtailment)*(1-$E27)*(1-In_Degradation)^(Y20-1)*Y15*Y$6</f>
        <v>0</v>
      </c>
      <c r="Z71" s="48" t="n">
        <f aca="false">$F24*In_P50_Hours*(1-In_Curtailment)*(1-$E27)*(1-In_Degradation)^(Z20-1)*Z15*Z$6</f>
        <v>35162.4</v>
      </c>
      <c r="AA71" s="48" t="n">
        <f aca="false">$F24*In_P50_Hours*(1-In_Curtailment)*(1-$E27)*(1-In_Degradation)^(AA20-1)*AA15*AA$6</f>
        <v>34398</v>
      </c>
      <c r="AB71" s="48" t="n">
        <f aca="false">$F24*In_P50_Hours*(1-In_Curtailment)*(1-$E27)*(1-In_Degradation)^(AB20-1)*AB15*AB$6</f>
        <v>34780.2</v>
      </c>
      <c r="AC71" s="48" t="n">
        <f aca="false">$F24*In_P50_Hours*(1-In_Curtailment)*(1-$E27)*(1-In_Degradation)^(AC20-1)*AC15*AC$6</f>
        <v>35162.4</v>
      </c>
      <c r="AD71" s="48" t="n">
        <f aca="false">$F24*In_P50_Hours*(1-In_Curtailment)*(1-$E27)*(1-In_Degradation)^(AD20-1)*AD15*AD$6</f>
        <v>35056.9128</v>
      </c>
      <c r="AE71" s="48" t="n">
        <f aca="false">$F24*In_P50_Hours*(1-In_Curtailment)*(1-$E27)*(1-In_Degradation)^(AE20-1)*AE15*AE$6</f>
        <v>34675.8594</v>
      </c>
      <c r="AF71" s="48" t="n">
        <f aca="false">$F24*In_P50_Hours*(1-In_Curtailment)*(1-$E27)*(1-In_Degradation)^(AF20-1)*AF15*AF$6</f>
        <v>34675.8594</v>
      </c>
      <c r="AG71" s="48" t="n">
        <f aca="false">$F24*In_P50_Hours*(1-In_Curtailment)*(1-$E27)*(1-In_Degradation)^(AG20-1)*AG15*AG$6</f>
        <v>35056.9128</v>
      </c>
      <c r="AH71" s="48" t="n">
        <f aca="false">$F24*In_P50_Hours*(1-In_Curtailment)*(1-$E27)*(1-In_Degradation)^(AH20-1)*AH15*AH$6</f>
        <v>34951.7420616</v>
      </c>
      <c r="AI71" s="48" t="n">
        <f aca="false">$F24*In_P50_Hours*(1-In_Curtailment)*(1-$E27)*(1-In_Degradation)^(AI20-1)*AI15*AI$6</f>
        <v>34191.921582</v>
      </c>
      <c r="AJ71" s="48" t="n">
        <f aca="false">$F24*In_P50_Hours*(1-In_Curtailment)*(1-$E27)*(1-In_Degradation)^(AJ20-1)*AJ15*AJ$6</f>
        <v>34571.8318218</v>
      </c>
      <c r="AK71" s="48" t="n">
        <f aca="false">$F24*In_P50_Hours*(1-In_Curtailment)*(1-$E27)*(1-In_Degradation)^(AK20-1)*AK15*AK$6</f>
        <v>34951.7420616</v>
      </c>
      <c r="AL71" s="48" t="n">
        <f aca="false">$F24*In_P50_Hours*(1-In_Curtailment)*(1-$E27)*(1-In_Degradation)^(AL20-1)*AL15*AL$6</f>
        <v>34846.8868354152</v>
      </c>
      <c r="AM71" s="48" t="n">
        <f aca="false">$F24*In_P50_Hours*(1-In_Curtailment)*(1-$E27)*(1-In_Degradation)^(AM20-1)*AM15*AM$6</f>
        <v>34089.345817254</v>
      </c>
      <c r="AN71" s="48" t="n">
        <f aca="false">$F24*In_P50_Hours*(1-In_Curtailment)*(1-$E27)*(1-In_Degradation)^(AN20-1)*AN15*AN$6</f>
        <v>34468.1163263346</v>
      </c>
      <c r="AO71" s="48" t="n">
        <f aca="false">$F24*In_P50_Hours*(1-In_Curtailment)*(1-$E27)*(1-In_Degradation)^(AO20-1)*AO15*AO$6</f>
        <v>34846.8868354152</v>
      </c>
      <c r="AP71" s="48" t="n">
        <f aca="false">$F24*In_P50_Hours*(1-In_Curtailment)*(1-$E27)*(1-In_Degradation)^(AP20-1)*AP15*AP$6</f>
        <v>34742.346174909</v>
      </c>
      <c r="AQ71" s="48" t="n">
        <f aca="false">$F24*In_P50_Hours*(1-In_Curtailment)*(1-$E27)*(1-In_Degradation)^(AQ20-1)*AQ15*AQ$6</f>
        <v>33987.0777798023</v>
      </c>
      <c r="AR71" s="48" t="n">
        <f aca="false">$F24*In_P50_Hours*(1-In_Curtailment)*(1-$E27)*(1-In_Degradation)^(AR20-1)*AR15*AR$6</f>
        <v>34364.7119773556</v>
      </c>
      <c r="AS71" s="48" t="n">
        <f aca="false">$F24*In_P50_Hours*(1-In_Curtailment)*(1-$E27)*(1-In_Degradation)^(AS20-1)*AS15*AS$6</f>
        <v>34742.346174909</v>
      </c>
      <c r="AT71" s="48" t="n">
        <f aca="false">$F24*In_P50_Hours*(1-In_Curtailment)*(1-$E27)*(1-In_Degradation)^(AT20-1)*AT15*AT$6</f>
        <v>34638.1191363842</v>
      </c>
      <c r="AU71" s="48" t="n">
        <f aca="false">$F24*In_P50_Hours*(1-In_Curtailment)*(1-$E27)*(1-In_Degradation)^(AU20-1)*AU15*AU$6</f>
        <v>34261.6178414235</v>
      </c>
      <c r="AV71" s="48" t="n">
        <f aca="false">$F24*In_P50_Hours*(1-In_Curtailment)*(1-$E27)*(1-In_Degradation)^(AV20-1)*AV15*AV$6</f>
        <v>34261.6178414235</v>
      </c>
      <c r="AW71" s="48" t="n">
        <f aca="false">$F24*In_P50_Hours*(1-In_Curtailment)*(1-$E27)*(1-In_Degradation)^(AW20-1)*AW15*AW$6</f>
        <v>34638.1191363842</v>
      </c>
      <c r="AX71" s="48" t="n">
        <f aca="false">$F24*In_P50_Hours*(1-In_Curtailment)*(1-$E27)*(1-In_Degradation)^(AX20-1)*AX15*AX$6</f>
        <v>34534.2047789751</v>
      </c>
      <c r="AY71" s="48" t="n">
        <f aca="false">$F24*In_P50_Hours*(1-In_Curtailment)*(1-$E27)*(1-In_Degradation)^(AY20-1)*AY15*AY$6</f>
        <v>33783.4611968235</v>
      </c>
      <c r="AZ71" s="48" t="n">
        <f aca="false">$F24*In_P50_Hours*(1-In_Curtailment)*(1-$E27)*(1-In_Degradation)^(AZ20-1)*AZ15*AZ$6</f>
        <v>34158.8329878993</v>
      </c>
      <c r="BA71" s="48" t="n">
        <f aca="false">$F24*In_P50_Hours*(1-In_Curtailment)*(1-$E27)*(1-In_Degradation)^(BA20-1)*BA15*BA$6</f>
        <v>34534.2047789751</v>
      </c>
      <c r="BB71" s="48" t="n">
        <f aca="false">$F24*In_P50_Hours*(1-In_Curtailment)*(1-$E27)*(1-In_Degradation)^(BB20-1)*BB15*BB$6</f>
        <v>34430.6021646382</v>
      </c>
      <c r="BC71" s="48" t="n">
        <f aca="false">$F24*In_P50_Hours*(1-In_Curtailment)*(1-$E27)*(1-In_Degradation)^(BC20-1)*BC15*BC$6</f>
        <v>33682.110813233</v>
      </c>
      <c r="BD71" s="48" t="n">
        <f aca="false">$F24*In_P50_Hours*(1-In_Curtailment)*(1-$E27)*(1-In_Degradation)^(BD20-1)*BD15*BD$6</f>
        <v>34056.3564889356</v>
      </c>
      <c r="BE71" s="48" t="n">
        <f aca="false">$F24*In_P50_Hours*(1-In_Curtailment)*(1-$E27)*(1-In_Degradation)^(BE20-1)*BE15*BE$6</f>
        <v>34430.6021646382</v>
      </c>
      <c r="BF71" s="48" t="n">
        <f aca="false">$F24*In_P50_Hours*(1-In_Curtailment)*(1-$E27)*(1-In_Degradation)^(BF20-1)*BF15*BF$6</f>
        <v>34327.3103581443</v>
      </c>
      <c r="BG71" s="48" t="n">
        <f aca="false">$F24*In_P50_Hours*(1-In_Curtailment)*(1-$E27)*(1-In_Degradation)^(BG20-1)*BG15*BG$6</f>
        <v>33581.0644807933</v>
      </c>
      <c r="BH71" s="48" t="n">
        <f aca="false">$F24*In_P50_Hours*(1-In_Curtailment)*(1-$E27)*(1-In_Degradation)^(BH20-1)*BH15*BH$6</f>
        <v>33954.1874194688</v>
      </c>
      <c r="BI71" s="48" t="n">
        <f aca="false">$F24*In_P50_Hours*(1-In_Curtailment)*(1-$E27)*(1-In_Degradation)^(BI20-1)*BI15*BI$6</f>
        <v>34327.3103581443</v>
      </c>
      <c r="BJ71" s="48" t="n">
        <f aca="false">$F24*In_P50_Hours*(1-In_Curtailment)*(1-$E27)*(1-In_Degradation)^(BJ20-1)*BJ15*BJ$6</f>
        <v>34224.3284270698</v>
      </c>
      <c r="BK71" s="48" t="n">
        <f aca="false">$F24*In_P50_Hours*(1-In_Curtailment)*(1-$E27)*(1-In_Degradation)^(BK20-1)*BK15*BK$6</f>
        <v>33852.3248572104</v>
      </c>
      <c r="BL71" s="48" t="n">
        <f aca="false">$F24*In_P50_Hours*(1-In_Curtailment)*(1-$E27)*(1-In_Degradation)^(BL20-1)*BL15*BL$6</f>
        <v>33852.3248572104</v>
      </c>
      <c r="BM71" s="48" t="n">
        <f aca="false">$F24*In_P50_Hours*(1-In_Curtailment)*(1-$E27)*(1-In_Degradation)^(BM20-1)*BM15*BM$6</f>
        <v>34224.3284270698</v>
      </c>
      <c r="BN71" s="48" t="n">
        <f aca="false">$F24*In_P50_Hours*(1-In_Curtailment)*(1-$E27)*(1-In_Degradation)^(BN20-1)*BN15*BN$6</f>
        <v>34121.6554417886</v>
      </c>
      <c r="BO71" s="48" t="n">
        <f aca="false">$F24*In_P50_Hours*(1-In_Curtailment)*(1-$E27)*(1-In_Degradation)^(BO20-1)*BO15*BO$6</f>
        <v>33379.8803234888</v>
      </c>
      <c r="BP71" s="48" t="n">
        <f aca="false">$F24*In_P50_Hours*(1-In_Curtailment)*(1-$E27)*(1-In_Degradation)^(BP20-1)*BP15*BP$6</f>
        <v>33750.7678826387</v>
      </c>
      <c r="BQ71" s="48" t="n">
        <f aca="false">$F24*In_P50_Hours*(1-In_Curtailment)*(1-$E27)*(1-In_Degradation)^(BQ20-1)*BQ15*BQ$6</f>
        <v>34121.6554417886</v>
      </c>
      <c r="BR71" s="48" t="n">
        <f aca="false">$F24*In_P50_Hours*(1-In_Curtailment)*(1-$E27)*(1-In_Degradation)^(BR20-1)*BR15*BR$6</f>
        <v>34019.2904754632</v>
      </c>
      <c r="BS71" s="48" t="n">
        <f aca="false">$F24*In_P50_Hours*(1-In_Curtailment)*(1-$E27)*(1-In_Degradation)^(BS20-1)*BS15*BS$6</f>
        <v>33279.7406825184</v>
      </c>
      <c r="BT71" s="48" t="n">
        <f aca="false">$F24*In_P50_Hours*(1-In_Curtailment)*(1-$E27)*(1-In_Degradation)^(BT20-1)*BT15*BT$6</f>
        <v>33649.5155789908</v>
      </c>
      <c r="BU71" s="48" t="n">
        <f aca="false">$F24*In_P50_Hours*(1-In_Curtailment)*(1-$E27)*(1-In_Degradation)^(BU20-1)*BU15*BU$6</f>
        <v>34019.2904754632</v>
      </c>
      <c r="BV71" s="48" t="n">
        <f aca="false">$F24*In_P50_Hours*(1-In_Curtailment)*(1-$E27)*(1-In_Degradation)^(BV20-1)*BV15*BV$6</f>
        <v>33917.2326040368</v>
      </c>
      <c r="BW71" s="48" t="n">
        <f aca="false">$F24*In_P50_Hours*(1-In_Curtailment)*(1-$E27)*(1-In_Degradation)^(BW20-1)*BW15*BW$6</f>
        <v>33179.9014604708</v>
      </c>
      <c r="BX71" s="48" t="n">
        <f aca="false">$F24*In_P50_Hours*(1-In_Curtailment)*(1-$E27)*(1-In_Degradation)^(BX20-1)*BX15*BX$6</f>
        <v>33548.5670322538</v>
      </c>
      <c r="BY71" s="48" t="n">
        <f aca="false">$F24*In_P50_Hours*(1-In_Curtailment)*(1-$E27)*(1-In_Degradation)^(BY20-1)*BY15*BY$6</f>
        <v>33917.2326040368</v>
      </c>
      <c r="BZ71" s="48" t="n">
        <f aca="false">$F24*In_P50_Hours*(1-In_Curtailment)*(1-$E27)*(1-In_Degradation)^(BZ20-1)*BZ15*BZ$6</f>
        <v>33815.4809062247</v>
      </c>
      <c r="CA71" s="48" t="n">
        <f aca="false">$F24*In_P50_Hours*(1-In_Curtailment)*(1-$E27)*(1-In_Degradation)^(CA20-1)*CA15*CA$6</f>
        <v>33447.9213311571</v>
      </c>
      <c r="CB71" s="48" t="n">
        <f aca="false">$F24*In_P50_Hours*(1-In_Curtailment)*(1-$E27)*(1-In_Degradation)^(CB20-1)*CB15*CB$6</f>
        <v>33447.9213311571</v>
      </c>
      <c r="CC71" s="48" t="n">
        <f aca="false">$F24*In_P50_Hours*(1-In_Curtailment)*(1-$E27)*(1-In_Degradation)^(CC20-1)*CC15*CC$6</f>
        <v>33815.4809062247</v>
      </c>
      <c r="CD71" s="48" t="n">
        <f aca="false">$F24*In_P50_Hours*(1-In_Curtailment)*(1-$E27)*(1-In_Degradation)^(CD20-1)*CD15*CD$6</f>
        <v>33714.0344635061</v>
      </c>
      <c r="CE71" s="48" t="n">
        <f aca="false">$F24*In_P50_Hours*(1-In_Curtailment)*(1-$E27)*(1-In_Degradation)^(CE20-1)*CE15*CE$6</f>
        <v>32981.1206708211</v>
      </c>
      <c r="CF71" s="48" t="n">
        <f aca="false">$F24*In_P50_Hours*(1-In_Curtailment)*(1-$E27)*(1-In_Degradation)^(CF20-1)*CF15*CF$6</f>
        <v>33347.5775671636</v>
      </c>
      <c r="CG71" s="48" t="n">
        <f aca="false">$F24*In_P50_Hours*(1-In_Curtailment)*(1-$E27)*(1-In_Degradation)^(CG20-1)*CG15*CG$6</f>
        <v>33714.0344635061</v>
      </c>
      <c r="CH71" s="48" t="n">
        <f aca="false">$F24*In_P50_Hours*(1-In_Curtailment)*(1-$E27)*(1-In_Degradation)^(CH20-1)*CH15*CH$6</f>
        <v>33612.8923601155</v>
      </c>
      <c r="CI71" s="48" t="n">
        <f aca="false">$F24*In_P50_Hours*(1-In_Curtailment)*(1-$E27)*(1-In_Degradation)^(CI20-1)*CI15*CI$6</f>
        <v>32882.1773088087</v>
      </c>
      <c r="CJ71" s="48" t="n">
        <f aca="false">$F24*In_P50_Hours*(1-In_Curtailment)*(1-$E27)*(1-In_Degradation)^(CJ20-1)*CJ15*CJ$6</f>
        <v>33247.5348344621</v>
      </c>
      <c r="CK71" s="48" t="n">
        <f aca="false">$F24*In_P50_Hours*(1-In_Curtailment)*(1-$E27)*(1-In_Degradation)^(CK20-1)*CK15*CK$6</f>
        <v>33612.8923601155</v>
      </c>
      <c r="CL71" s="48" t="n">
        <f aca="false">$F24*In_P50_Hours*(1-In_Curtailment)*(1-$E27)*(1-In_Degradation)^(CL20-1)*CL15*CL$6</f>
        <v>33512.0536830352</v>
      </c>
      <c r="CM71" s="48" t="n">
        <f aca="false">$F24*In_P50_Hours*(1-In_Curtailment)*(1-$E27)*(1-In_Degradation)^(CM20-1)*CM15*CM$6</f>
        <v>32783.5307768823</v>
      </c>
      <c r="CN71" s="48" t="n">
        <f aca="false">$F24*In_P50_Hours*(1-In_Curtailment)*(1-$E27)*(1-In_Degradation)^(CN20-1)*CN15*CN$6</f>
        <v>33147.7922299587</v>
      </c>
      <c r="CO71" s="48" t="n">
        <f aca="false">$F24*In_P50_Hours*(1-In_Curtailment)*(1-$E27)*(1-In_Degradation)^(CO20-1)*CO15*CO$6</f>
        <v>33512.0536830352</v>
      </c>
      <c r="CP71" s="48" t="n">
        <f aca="false">$F24*In_P50_Hours*(1-In_Curtailment)*(1-$E27)*(1-In_Degradation)^(CP20-1)*CP15*CP$6</f>
        <v>33411.5175219861</v>
      </c>
      <c r="CQ71" s="48" t="n">
        <f aca="false">$F24*In_P50_Hours*(1-In_Curtailment)*(1-$E27)*(1-In_Degradation)^(CQ20-1)*CQ15*CQ$6</f>
        <v>33048.3488532689</v>
      </c>
      <c r="CR71" s="48" t="n">
        <f aca="false">$F24*In_P50_Hours*(1-In_Curtailment)*(1-$E27)*(1-In_Degradation)^(CR20-1)*CR15*CR$6</f>
        <v>33048.3488532689</v>
      </c>
      <c r="CS71" s="48" t="n">
        <f aca="false">$F24*In_P50_Hours*(1-In_Curtailment)*(1-$E27)*(1-In_Degradation)^(CS20-1)*CS15*CS$6</f>
        <v>33411.5175219861</v>
      </c>
      <c r="CT71" s="48" t="n">
        <f aca="false">$F24*In_P50_Hours*(1-In_Curtailment)*(1-$E27)*(1-In_Degradation)^(CT20-1)*CT15*CT$6</f>
        <v>33311.2829694201</v>
      </c>
      <c r="CU71" s="48" t="n">
        <f aca="false">$F24*In_P50_Hours*(1-In_Curtailment)*(1-$E27)*(1-In_Degradation)^(CU20-1)*CU15*CU$6</f>
        <v>32587.124643998</v>
      </c>
      <c r="CV71" s="48" t="n">
        <f aca="false">$F24*In_P50_Hours*(1-In_Curtailment)*(1-$E27)*(1-In_Degradation)^(CV20-1)*CV15*CV$6</f>
        <v>32949.2038067091</v>
      </c>
      <c r="CW71" s="48" t="n">
        <f aca="false">$F24*In_P50_Hours*(1-In_Curtailment)*(1-$E27)*(1-In_Degradation)^(CW20-1)*CW15*CW$6</f>
        <v>33311.2829694201</v>
      </c>
      <c r="CX71" s="48" t="n">
        <f aca="false">$F24*In_P50_Hours*(1-In_Curtailment)*(1-$E27)*(1-In_Degradation)^(CX20-1)*CX15*CX$6</f>
        <v>33211.3491205119</v>
      </c>
      <c r="CY71" s="48" t="n">
        <f aca="false">$F24*In_P50_Hours*(1-In_Curtailment)*(1-$E27)*(1-In_Degradation)^(CY20-1)*CY15*CY$6</f>
        <v>32489.363270066</v>
      </c>
      <c r="CZ71" s="48" t="n">
        <f aca="false">$F24*In_P50_Hours*(1-In_Curtailment)*(1-$E27)*(1-In_Degradation)^(CZ20-1)*CZ15*CZ$6</f>
        <v>32850.3561952889</v>
      </c>
      <c r="DA71" s="48" t="n">
        <f aca="false">$F24*In_P50_Hours*(1-In_Curtailment)*(1-$E27)*(1-In_Degradation)^(DA20-1)*DA15*DA$6</f>
        <v>33211.3491205119</v>
      </c>
      <c r="DB71" s="48" t="n">
        <f aca="false">$F24*In_P50_Hours*(1-In_Curtailment)*(1-$E27)*(1-In_Degradation)^(DB20-1)*DB15*DB$6</f>
        <v>33111.7150731503</v>
      </c>
      <c r="DC71" s="48" t="n">
        <f aca="false">$F24*In_P50_Hours*(1-In_Curtailment)*(1-$E27)*(1-In_Degradation)^(DC20-1)*DC15*DC$6</f>
        <v>32391.8951802558</v>
      </c>
      <c r="DD71" s="48" t="n">
        <f aca="false">$F24*In_P50_Hours*(1-In_Curtailment)*(1-$E27)*(1-In_Degradation)^(DD20-1)*DD15*DD$6</f>
        <v>32751.8051267031</v>
      </c>
      <c r="DE71" s="48" t="n">
        <f aca="false">$F24*In_P50_Hours*(1-In_Curtailment)*(1-$E27)*(1-In_Degradation)^(DE20-1)*DE15*DE$6</f>
        <v>33111.7150731503</v>
      </c>
      <c r="DF71" s="48" t="n">
        <f aca="false">$F24*In_P50_Hours*(1-In_Curtailment)*(1-$E27)*(1-In_Degradation)^(DF20-1)*DF15*DF$6</f>
        <v>33012.3799279309</v>
      </c>
      <c r="DG71" s="48" t="n">
        <f aca="false">$F24*In_P50_Hours*(1-In_Curtailment)*(1-$E27)*(1-In_Degradation)^(DG20-1)*DG15*DG$6</f>
        <v>32653.5497113229</v>
      </c>
      <c r="DH71" s="48" t="n">
        <f aca="false">$F24*In_P50_Hours*(1-In_Curtailment)*(1-$E27)*(1-In_Degradation)^(DH20-1)*DH15*DH$6</f>
        <v>32653.5497113229</v>
      </c>
      <c r="DI71" s="48" t="n">
        <f aca="false">$F24*In_P50_Hours*(1-In_Curtailment)*(1-$E27)*(1-In_Degradation)^(DI20-1)*DI15*DI$6</f>
        <v>33012.3799279309</v>
      </c>
      <c r="DJ71" s="48" t="n">
        <f aca="false">$F24*In_P50_Hours*(1-In_Curtailment)*(1-$E27)*(1-In_Degradation)^(DJ20-1)*DJ15*DJ$6</f>
        <v>32913.3427881471</v>
      </c>
      <c r="DK71" s="48" t="n">
        <f aca="false">$F24*In_P50_Hours*(1-In_Curtailment)*(1-$E27)*(1-In_Degradation)^(DK20-1)*DK15*DK$6</f>
        <v>32197.8353362308</v>
      </c>
      <c r="DL71" s="48" t="n">
        <f aca="false">$F24*In_P50_Hours*(1-In_Curtailment)*(1-$E27)*(1-In_Degradation)^(DL20-1)*DL15*DL$6</f>
        <v>32555.589062189</v>
      </c>
      <c r="DM71" s="48" t="n">
        <f aca="false">$F24*In_P50_Hours*(1-In_Curtailment)*(1-$E27)*(1-In_Degradation)^(DM20-1)*DM15*DM$6</f>
        <v>32913.3427881471</v>
      </c>
      <c r="DN71" s="48" t="n">
        <f aca="false">$F24*In_P50_Hours*(1-In_Curtailment)*(1-$E27)*(1-In_Degradation)^(DN20-1)*DN15*DN$6</f>
        <v>32814.6027597827</v>
      </c>
      <c r="DO71" s="48" t="n">
        <f aca="false">$F24*In_P50_Hours*(1-In_Curtailment)*(1-$E27)*(1-In_Degradation)^(DO20-1)*DO15*DO$6</f>
        <v>32101.2418302222</v>
      </c>
      <c r="DP71" s="48" t="n">
        <f aca="false">$F24*In_P50_Hours*(1-In_Curtailment)*(1-$E27)*(1-In_Degradation)^(DP20-1)*DP15*DP$6</f>
        <v>32457.9222950024</v>
      </c>
      <c r="DQ71" s="48" t="n">
        <f aca="false">$F24*In_P50_Hours*(1-In_Curtailment)*(1-$E27)*(1-In_Degradation)^(DQ20-1)*DQ15*DQ$6</f>
        <v>32814.6027597827</v>
      </c>
      <c r="DR71" s="48" t="n">
        <f aca="false">$F24*In_P50_Hours*(1-In_Curtailment)*(1-$E27)*(1-In_Degradation)^(DR20-1)*DR15*DR$6</f>
        <v>32716.1589515033</v>
      </c>
      <c r="DS71" s="48" t="n">
        <f aca="false">$F24*In_P50_Hours*(1-In_Curtailment)*(1-$E27)*(1-In_Degradation)^(DS20-1)*DS15*DS$6</f>
        <v>32004.9381047315</v>
      </c>
      <c r="DT71" s="48" t="n">
        <f aca="false">$F24*In_P50_Hours*(1-In_Curtailment)*(1-$E27)*(1-In_Degradation)^(DT20-1)*DT15*DT$6</f>
        <v>32360.5485281174</v>
      </c>
      <c r="DU71" s="48" t="n">
        <f aca="false">$F24*In_P50_Hours*(1-In_Curtailment)*(1-$E27)*(1-In_Degradation)^(DU20-1)*DU15*DU$6</f>
        <v>32716.1589515033</v>
      </c>
      <c r="DV71" s="48" t="n">
        <f aca="false">$F24*In_P50_Hours*(1-In_Curtailment)*(1-$E27)*(1-In_Degradation)^(DV20-1)*DV15*DV$6</f>
        <v>32618.0104746488</v>
      </c>
      <c r="DW71" s="48" t="n">
        <f aca="false">$F24*In_P50_Hours*(1-In_Curtailment)*(1-$E27)*(1-In_Degradation)^(DW20-1)*DW15*DW$6</f>
        <v>32263.466882533</v>
      </c>
      <c r="DX71" s="48" t="n">
        <f aca="false">$F24*In_P50_Hours*(1-In_Curtailment)*(1-$E27)*(1-In_Degradation)^(DX20-1)*DX15*DX$6</f>
        <v>32263.466882533</v>
      </c>
      <c r="DY71" s="48" t="n">
        <f aca="false">$F24*In_P50_Hours*(1-In_Curtailment)*(1-$E27)*(1-In_Degradation)^(DY20-1)*DY15*DY$6</f>
        <v>32618.0104746488</v>
      </c>
      <c r="DZ71" s="48" t="n">
        <f aca="false">$F24*In_P50_Hours*(1-In_Curtailment)*(1-$E27)*(1-In_Degradation)^(DZ20-1)*DZ15*DZ$6</f>
        <v>32520.1564432249</v>
      </c>
      <c r="EA71" s="48" t="n">
        <f aca="false">$F24*In_P50_Hours*(1-In_Curtailment)*(1-$E27)*(1-In_Degradation)^(EA20-1)*EA15*EA$6</f>
        <v>31813.196520546</v>
      </c>
      <c r="EB71" s="48" t="n">
        <f aca="false">$F24*In_P50_Hours*(1-In_Curtailment)*(1-$E27)*(1-In_Degradation)^(EB20-1)*EB15*EB$6</f>
        <v>32166.6764818854</v>
      </c>
      <c r="EC71" s="48" t="n">
        <f aca="false">$F24*In_P50_Hours*(1-In_Curtailment)*(1-$E27)*(1-In_Degradation)^(EC20-1)*EC15*EC$6</f>
        <v>32520.1564432249</v>
      </c>
      <c r="ED71" s="48" t="n">
        <f aca="false">$F24*In_P50_Hours*(1-In_Curtailment)*(1-$E27)*(1-In_Degradation)^(ED20-1)*ED15*ED$6</f>
        <v>32422.5959738952</v>
      </c>
      <c r="EE71" s="48" t="n">
        <f aca="false">$F24*In_P50_Hours*(1-In_Curtailment)*(1-$E27)*(1-In_Degradation)^(EE20-1)*EE15*EE$6</f>
        <v>31717.7569309844</v>
      </c>
      <c r="EF71" s="48" t="n">
        <f aca="false">$F24*In_P50_Hours*(1-In_Curtailment)*(1-$E27)*(1-In_Degradation)^(EF20-1)*EF15*EF$6</f>
        <v>32070.1764524398</v>
      </c>
      <c r="EG71" s="48" t="n">
        <f aca="false">$F24*In_P50_Hours*(1-In_Curtailment)*(1-$E27)*(1-In_Degradation)^(EG20-1)*EG15*EG$6</f>
        <v>32422.5959738952</v>
      </c>
      <c r="EH71" s="48" t="n">
        <f aca="false">$F24*In_P50_Hours*(1-In_Curtailment)*(1-$E27)*(1-In_Degradation)^(EH20-1)*EH15*EH$6</f>
        <v>32325.3281859735</v>
      </c>
      <c r="EI71" s="48" t="n">
        <f aca="false">$F24*In_P50_Hours*(1-In_Curtailment)*(1-$E27)*(1-In_Degradation)^(EI20-1)*EI15*EI$6</f>
        <v>31622.6036601915</v>
      </c>
      <c r="EJ71" s="48" t="n">
        <f aca="false">$F24*In_P50_Hours*(1-In_Curtailment)*(1-$E27)*(1-In_Degradation)^(EJ20-1)*EJ15*EJ$6</f>
        <v>31973.9659230825</v>
      </c>
      <c r="EK71" s="48" t="n">
        <f aca="false">$F24*In_P50_Hours*(1-In_Curtailment)*(1-$E27)*(1-In_Degradation)^(EK20-1)*EK15*EK$6</f>
        <v>32325.3281859735</v>
      </c>
      <c r="EL71" s="48" t="n">
        <f aca="false">$F24*In_P50_Hours*(1-In_Curtailment)*(1-$E27)*(1-In_Degradation)^(EL20-1)*EL15*EL$6</f>
        <v>32228.3522014156</v>
      </c>
      <c r="EM71" s="48" t="n">
        <f aca="false">$F24*In_P50_Hours*(1-In_Curtailment)*(1-$E27)*(1-In_Degradation)^(EM20-1)*EM15*EM$6</f>
        <v>31878.0440253132</v>
      </c>
      <c r="EN71" s="48" t="n">
        <f aca="false">$F24*In_P50_Hours*(1-In_Curtailment)*(1-$E27)*(1-In_Degradation)^(EN20-1)*EN15*EN$6</f>
        <v>31878.0440253132</v>
      </c>
      <c r="EO71" s="48" t="n">
        <f aca="false">$F24*In_P50_Hours*(1-In_Curtailment)*(1-$E27)*(1-In_Degradation)^(EO20-1)*EO15*EO$6</f>
        <v>32228.3522014156</v>
      </c>
    </row>
    <row r="72" customFormat="false" ht="15" hidden="false" customHeight="false" outlineLevel="0" collapsed="false">
      <c r="C72" s="1" t="s">
        <v>432</v>
      </c>
      <c r="D72" s="12" t="s">
        <v>33</v>
      </c>
      <c r="E72" s="48" t="n">
        <f aca="false">SUMIF($J$7:$EO$7,YEAR(In_COD)+1,$J72:$EO72)</f>
        <v>12671.23391352</v>
      </c>
      <c r="I72" s="48" t="n">
        <f aca="false">SUM(J72:EO72)</f>
        <v>420752.711777652</v>
      </c>
      <c r="J72" s="48" t="n">
        <f aca="false">J71*J70/Thousand</f>
        <v>0</v>
      </c>
      <c r="K72" s="48" t="n">
        <f aca="false">K71*K70/Thousand</f>
        <v>0</v>
      </c>
      <c r="L72" s="48" t="n">
        <f aca="false">L71*L70/Thousand</f>
        <v>0</v>
      </c>
      <c r="M72" s="48" t="n">
        <f aca="false">M71*M70/Thousand</f>
        <v>0</v>
      </c>
      <c r="N72" s="48" t="n">
        <f aca="false">N71*N70/Thousand</f>
        <v>0</v>
      </c>
      <c r="O72" s="48" t="n">
        <f aca="false">O71*O70/Thousand</f>
        <v>0</v>
      </c>
      <c r="P72" s="48" t="n">
        <f aca="false">P71*P70/Thousand</f>
        <v>0</v>
      </c>
      <c r="Q72" s="48" t="n">
        <f aca="false">Q71*Q70/Thousand</f>
        <v>0</v>
      </c>
      <c r="R72" s="48" t="n">
        <f aca="false">R71*R70/Thousand</f>
        <v>0</v>
      </c>
      <c r="S72" s="48" t="n">
        <f aca="false">S71*S70/Thousand</f>
        <v>0</v>
      </c>
      <c r="T72" s="48" t="n">
        <f aca="false">T71*T70/Thousand</f>
        <v>0</v>
      </c>
      <c r="U72" s="48" t="n">
        <f aca="false">U71*U70/Thousand</f>
        <v>0</v>
      </c>
      <c r="V72" s="48" t="n">
        <f aca="false">V71*V70/Thousand</f>
        <v>0</v>
      </c>
      <c r="W72" s="48" t="n">
        <f aca="false">W71*W70/Thousand</f>
        <v>0</v>
      </c>
      <c r="X72" s="48" t="n">
        <f aca="false">X71*X70/Thousand</f>
        <v>0</v>
      </c>
      <c r="Y72" s="48" t="n">
        <f aca="false">Y71*Y70/Thousand</f>
        <v>0</v>
      </c>
      <c r="Z72" s="48" t="n">
        <f aca="false">Z71*Z70/Thousand</f>
        <v>3164.616</v>
      </c>
      <c r="AA72" s="48" t="n">
        <f aca="false">AA71*AA70/Thousand</f>
        <v>3126.7782</v>
      </c>
      <c r="AB72" s="48" t="n">
        <f aca="false">AB71*AB70/Thousand</f>
        <v>3161.52018</v>
      </c>
      <c r="AC72" s="48" t="n">
        <f aca="false">AC71*AC70/Thousand</f>
        <v>3196.26216</v>
      </c>
      <c r="AD72" s="48" t="n">
        <f aca="false">AD71*AD70/Thousand</f>
        <v>3186.67337352</v>
      </c>
      <c r="AE72" s="48" t="n">
        <f aca="false">AE71*AE70/Thousand</f>
        <v>3183.5559756546</v>
      </c>
      <c r="AF72" s="48" t="n">
        <f aca="false">AF71*AF70/Thousand</f>
        <v>3183.5559756546</v>
      </c>
      <c r="AG72" s="48" t="n">
        <f aca="false">AG71*AG70/Thousand</f>
        <v>3218.5401072552</v>
      </c>
      <c r="AH72" s="48" t="n">
        <f aca="false">AH71*AH70/Thousand</f>
        <v>3208.88448693344</v>
      </c>
      <c r="AI72" s="48" t="n">
        <f aca="false">AI71*AI70/Thousand</f>
        <v>3170.51738980706</v>
      </c>
      <c r="AJ72" s="48" t="n">
        <f aca="false">AJ71*AJ70/Thousand</f>
        <v>3205.74536080491</v>
      </c>
      <c r="AK72" s="48" t="n">
        <f aca="false">AK71*AK70/Thousand</f>
        <v>3240.97333180277</v>
      </c>
      <c r="AL72" s="48" t="n">
        <f aca="false">AL71*AL70/Thousand</f>
        <v>3231.25041180736</v>
      </c>
      <c r="AM72" s="48" t="n">
        <f aca="false">AM71*AM70/Thousand</f>
        <v>3192.61589601401</v>
      </c>
      <c r="AN72" s="48" t="n">
        <f aca="false">AN71*AN70/Thousand</f>
        <v>3228.08940596972</v>
      </c>
      <c r="AO72" s="48" t="n">
        <f aca="false">AO71*AO70/Thousand</f>
        <v>3263.56291592544</v>
      </c>
      <c r="AP72" s="48" t="n">
        <f aca="false">AP71*AP70/Thousand</f>
        <v>3253.77222717766</v>
      </c>
      <c r="AQ72" s="48" t="n">
        <f aca="false">AQ71*AQ70/Thousand</f>
        <v>3214.86842880923</v>
      </c>
      <c r="AR72" s="48" t="n">
        <f aca="false">AR71*AR70/Thousand</f>
        <v>3250.58918912933</v>
      </c>
      <c r="AS72" s="48" t="n">
        <f aca="false">AS71*AS70/Thousand</f>
        <v>3286.30994944944</v>
      </c>
      <c r="AT72" s="48" t="n">
        <f aca="false">AT71*AT70/Thousand</f>
        <v>3276.45101960109</v>
      </c>
      <c r="AU72" s="48" t="n">
        <f aca="false">AU71*AU70/Thousand</f>
        <v>3273.24579577756</v>
      </c>
      <c r="AV72" s="48" t="n">
        <f aca="false">AV71*AV70/Thousand</f>
        <v>3273.24579577756</v>
      </c>
      <c r="AW72" s="48" t="n">
        <f aca="false">AW71*AW70/Thousand</f>
        <v>3309.2155297971</v>
      </c>
      <c r="AX72" s="48" t="n">
        <f aca="false">AX71*AX70/Thousand</f>
        <v>3299.28788320771</v>
      </c>
      <c r="AY72" s="48" t="n">
        <f aca="false">AY71*AY70/Thousand</f>
        <v>3259.83987590848</v>
      </c>
      <c r="AZ72" s="48" t="n">
        <f aca="false">AZ71*AZ70/Thousand</f>
        <v>3296.06031897413</v>
      </c>
      <c r="BA72" s="48" t="n">
        <f aca="false">BA71*BA70/Thousand</f>
        <v>3332.28076203978</v>
      </c>
      <c r="BB72" s="48" t="n">
        <f aca="false">BB71*BB70/Thousand</f>
        <v>3322.28391975366</v>
      </c>
      <c r="BC72" s="48" t="n">
        <f aca="false">BC71*BC70/Thousand</f>
        <v>3282.56095984357</v>
      </c>
      <c r="BD72" s="48" t="n">
        <f aca="false">BD71*BD70/Thousand</f>
        <v>3319.03385939738</v>
      </c>
      <c r="BE72" s="48" t="n">
        <f aca="false">BE71*BE70/Thousand</f>
        <v>3355.5067589512</v>
      </c>
      <c r="BF72" s="48" t="n">
        <f aca="false">BF71*BF70/Thousand</f>
        <v>3345.44023867435</v>
      </c>
      <c r="BG72" s="48" t="n">
        <f aca="false">BG71*BG70/Thousand</f>
        <v>3305.44040973368</v>
      </c>
      <c r="BH72" s="48" t="n">
        <f aca="false">BH71*BH70/Thousand</f>
        <v>3342.16752539738</v>
      </c>
      <c r="BI72" s="48" t="n">
        <f aca="false">BI71*BI70/Thousand</f>
        <v>3378.89464106109</v>
      </c>
      <c r="BJ72" s="48" t="n">
        <f aca="false">BJ71*BJ70/Thousand</f>
        <v>3368.75795713791</v>
      </c>
      <c r="BK72" s="48" t="n">
        <f aca="false">BK71*BK70/Thousand</f>
        <v>3365.4624330494</v>
      </c>
      <c r="BL72" s="48" t="n">
        <f aca="false">BL71*BL70/Thousand</f>
        <v>3365.4624330494</v>
      </c>
      <c r="BM72" s="48" t="n">
        <f aca="false">BM71*BM70/Thousand</f>
        <v>3402.44553670929</v>
      </c>
      <c r="BN72" s="48" t="n">
        <f aca="false">BN71*BN70/Thousand</f>
        <v>3392.23820009916</v>
      </c>
      <c r="BO72" s="48" t="n">
        <f aca="false">BO71*BO70/Thousand</f>
        <v>3351.67883031536</v>
      </c>
      <c r="BP72" s="48" t="n">
        <f aca="false">BP71*BP70/Thousand</f>
        <v>3388.91970620776</v>
      </c>
      <c r="BQ72" s="48" t="n">
        <f aca="false">BQ71*BQ70/Thousand</f>
        <v>3426.16058210015</v>
      </c>
      <c r="BR72" s="48" t="n">
        <f aca="false">BR71*BR70/Thousand</f>
        <v>3415.88210035385</v>
      </c>
      <c r="BS72" s="48" t="n">
        <f aca="false">BS71*BS70/Thousand</f>
        <v>3375.04003176266</v>
      </c>
      <c r="BT72" s="48" t="n">
        <f aca="false">BT71*BT70/Thousand</f>
        <v>3412.54047656003</v>
      </c>
      <c r="BU72" s="48" t="n">
        <f aca="false">BU71*BU70/Thousand</f>
        <v>3450.04092135739</v>
      </c>
      <c r="BV72" s="48" t="n">
        <f aca="false">BV71*BV70/Thousand</f>
        <v>3439.69079859332</v>
      </c>
      <c r="BW72" s="48" t="n">
        <f aca="false">BW71*BW70/Thousand</f>
        <v>3398.56406078405</v>
      </c>
      <c r="BX72" s="48" t="n">
        <f aca="false">BX71*BX70/Thousand</f>
        <v>3436.32588368165</v>
      </c>
      <c r="BY72" s="48" t="n">
        <f aca="false">BY71*BY70/Thousand</f>
        <v>3474.08770657925</v>
      </c>
      <c r="BZ72" s="48" t="n">
        <f aca="false">BZ71*BZ70/Thousand</f>
        <v>3463.66544345951</v>
      </c>
      <c r="CA72" s="48" t="n">
        <f aca="false">CA71*CA70/Thousand</f>
        <v>3460.27707509091</v>
      </c>
      <c r="CB72" s="48" t="n">
        <f aca="false">CB71*CB70/Thousand</f>
        <v>3460.27707509091</v>
      </c>
      <c r="CC72" s="48" t="n">
        <f aca="false">CC71*CC70/Thousand</f>
        <v>3498.30209789411</v>
      </c>
      <c r="CD72" s="48" t="n">
        <f aca="false">CD71*CD70/Thousand</f>
        <v>3487.80719160042</v>
      </c>
      <c r="CE72" s="48" t="n">
        <f aca="false">CE71*CE70/Thousand</f>
        <v>3446.10514909216</v>
      </c>
      <c r="CF72" s="48" t="n">
        <f aca="false">CF71*CF70/Thousand</f>
        <v>3484.39520630429</v>
      </c>
      <c r="CG72" s="48" t="n">
        <f aca="false">CG71*CG70/Thousand</f>
        <v>3522.68526351643</v>
      </c>
      <c r="CH72" s="48" t="n">
        <f aca="false">CH71*CH70/Thousand</f>
        <v>3512.11720772588</v>
      </c>
      <c r="CI72" s="48" t="n">
        <f aca="false">CI71*CI70/Thousand</f>
        <v>3470.12450198133</v>
      </c>
      <c r="CJ72" s="48" t="n">
        <f aca="false">CJ71*CJ70/Thousand</f>
        <v>3508.68144089223</v>
      </c>
      <c r="CK72" s="48" t="n">
        <f aca="false">CK71*CK70/Thousand</f>
        <v>3547.23837980314</v>
      </c>
      <c r="CL72" s="48" t="n">
        <f aca="false">CL71*CL70/Thousand</f>
        <v>3536.59666466373</v>
      </c>
      <c r="CM72" s="48" t="n">
        <f aca="false">CM71*CM70/Thousand</f>
        <v>3494.31126976014</v>
      </c>
      <c r="CN72" s="48" t="n">
        <f aca="false">CN71*CN70/Thousand</f>
        <v>3533.13695053525</v>
      </c>
      <c r="CO72" s="48" t="n">
        <f aca="false">CO71*CO70/Thousand</f>
        <v>3571.96263131037</v>
      </c>
      <c r="CP72" s="48" t="n">
        <f aca="false">CP71*CP70/Thousand</f>
        <v>3561.24674341644</v>
      </c>
      <c r="CQ72" s="48" t="n">
        <f aca="false">CQ71*CQ70/Thousand</f>
        <v>3557.76291508048</v>
      </c>
      <c r="CR72" s="48" t="n">
        <f aca="false">CR71*CR70/Thousand</f>
        <v>3557.76291508048</v>
      </c>
      <c r="CS72" s="48" t="n">
        <f aca="false">CS71*CS70/Thousand</f>
        <v>3596.8592108506</v>
      </c>
      <c r="CT72" s="48" t="n">
        <f aca="false">CT71*CT70/Thousand</f>
        <v>3586.06863321805</v>
      </c>
      <c r="CU72" s="48" t="n">
        <f aca="false">CU71*CU70/Thousand</f>
        <v>3543.19172564696</v>
      </c>
      <c r="CV72" s="48" t="n">
        <f aca="false">CV71*CV70/Thousand</f>
        <v>3582.5605225986</v>
      </c>
      <c r="CW72" s="48" t="n">
        <f aca="false">CW71*CW70/Thousand</f>
        <v>3621.92931955023</v>
      </c>
      <c r="CX72" s="48" t="n">
        <f aca="false">CX71*CX70/Thousand</f>
        <v>3611.06353159158</v>
      </c>
      <c r="CY72" s="48" t="n">
        <f aca="false">CY71*CY70/Thousand</f>
        <v>3567.88777197472</v>
      </c>
      <c r="CZ72" s="48" t="n">
        <f aca="false">CZ71*CZ70/Thousand</f>
        <v>3607.53096944111</v>
      </c>
      <c r="DA72" s="48" t="n">
        <f aca="false">DA71*DA70/Thousand</f>
        <v>3647.17416690749</v>
      </c>
      <c r="DB72" s="48" t="n">
        <f aca="false">DB71*DB70/Thousand</f>
        <v>3636.23264440677</v>
      </c>
      <c r="DC72" s="48" t="n">
        <f aca="false">DC71*DC70/Thousand</f>
        <v>3592.75594974539</v>
      </c>
      <c r="DD72" s="48" t="n">
        <f aca="false">DD71*DD70/Thousand</f>
        <v>3632.67546029811</v>
      </c>
      <c r="DE72" s="48" t="n">
        <f aca="false">DE71*DE70/Thousand</f>
        <v>3672.59497085084</v>
      </c>
      <c r="DF72" s="48" t="n">
        <f aca="false">DF71*DF70/Thousand</f>
        <v>3661.57718593829</v>
      </c>
      <c r="DG72" s="48" t="n">
        <f aca="false">DG71*DG70/Thousand</f>
        <v>3657.99520825639</v>
      </c>
      <c r="DH72" s="48" t="n">
        <f aca="false">DH71*DH70/Thousand</f>
        <v>3657.99520825639</v>
      </c>
      <c r="DI72" s="48" t="n">
        <f aca="false">DI71*DI70/Thousand</f>
        <v>3698.19295779767</v>
      </c>
      <c r="DJ72" s="48" t="n">
        <f aca="false">DJ71*DJ70/Thousand</f>
        <v>3687.09837892428</v>
      </c>
      <c r="DK72" s="48" t="n">
        <f aca="false">DK71*DK70/Thousand</f>
        <v>3643.01350700236</v>
      </c>
      <c r="DL72" s="48" t="n">
        <f aca="false">DL71*DL70/Thousand</f>
        <v>3683.49143485794</v>
      </c>
      <c r="DM72" s="48" t="n">
        <f aca="false">DM71*DM70/Thousand</f>
        <v>3723.96936271352</v>
      </c>
      <c r="DN72" s="48" t="n">
        <f aca="false">DN71*DN70/Thousand</f>
        <v>3712.79745462538</v>
      </c>
      <c r="DO72" s="48" t="n">
        <f aca="false">DO71*DO70/Thousand</f>
        <v>3668.40531114616</v>
      </c>
      <c r="DP72" s="48" t="n">
        <f aca="false">DP71*DP70/Thousand</f>
        <v>3709.1653701589</v>
      </c>
      <c r="DQ72" s="48" t="n">
        <f aca="false">DQ71*DQ70/Thousand</f>
        <v>3749.92542917163</v>
      </c>
      <c r="DR72" s="48" t="n">
        <f aca="false">DR71*DR70/Thousand</f>
        <v>3738.67565288412</v>
      </c>
      <c r="DS72" s="48" t="n">
        <f aca="false">DS71*DS70/Thousand</f>
        <v>3693.97409616485</v>
      </c>
      <c r="DT72" s="48" t="n">
        <f aca="false">DT71*DT70/Thousand</f>
        <v>3735.0182527889</v>
      </c>
      <c r="DU72" s="48" t="n">
        <f aca="false">DU71*DU70/Thousand</f>
        <v>3776.06240941296</v>
      </c>
      <c r="DV72" s="48" t="n">
        <f aca="false">DV71*DV70/Thousand</f>
        <v>3764.73422218472</v>
      </c>
      <c r="DW72" s="48" t="n">
        <f aca="false">DW71*DW70/Thousand</f>
        <v>3761.05133001084</v>
      </c>
      <c r="DX72" s="48" t="n">
        <f aca="false">DX71*DX70/Thousand</f>
        <v>3761.05133001084</v>
      </c>
      <c r="DY72" s="48" t="n">
        <f aca="false">DY71*DY70/Thousand</f>
        <v>3802.38156440657</v>
      </c>
      <c r="DZ72" s="48" t="n">
        <f aca="false">DZ71*DZ70/Thousand</f>
        <v>3790.97441971335</v>
      </c>
      <c r="EA72" s="48" t="n">
        <f aca="false">EA71*EA70/Thousand</f>
        <v>3745.64755165156</v>
      </c>
      <c r="EB72" s="48" t="n">
        <f aca="false">EB71*EB70/Thousand</f>
        <v>3787.26585778102</v>
      </c>
      <c r="EC72" s="48" t="n">
        <f aca="false">EC71*EC70/Thousand</f>
        <v>3828.88416391048</v>
      </c>
      <c r="ED72" s="48" t="n">
        <f aca="false">ED71*ED70/Thousand</f>
        <v>3817.39751141875</v>
      </c>
      <c r="EE72" s="48" t="n">
        <f aca="false">EE71*EE70/Thousand</f>
        <v>3771.75471508657</v>
      </c>
      <c r="EF72" s="48" t="n">
        <f aca="false">EF71*EF70/Thousand</f>
        <v>3813.66310080975</v>
      </c>
      <c r="EG72" s="48" t="n">
        <f aca="false">EG71*EG70/Thousand</f>
        <v>3855.57148653294</v>
      </c>
      <c r="EH72" s="48" t="n">
        <f aca="false">EH71*EH70/Thousand</f>
        <v>3844.00477207334</v>
      </c>
      <c r="EI72" s="48" t="n">
        <f aca="false">EI71*EI70/Thousand</f>
        <v>3798.04384545072</v>
      </c>
      <c r="EJ72" s="48" t="n">
        <f aca="false">EJ71*EJ70/Thousand</f>
        <v>3840.2443326224</v>
      </c>
      <c r="EK72" s="48" t="n">
        <f aca="false">EK71*EK70/Thousand</f>
        <v>3882.44481979407</v>
      </c>
      <c r="EL72" s="48" t="n">
        <f aca="false">EL71*EL70/Thousand</f>
        <v>3870.79748533469</v>
      </c>
      <c r="EM72" s="48" t="n">
        <f aca="false">EM71*EM70/Thousand</f>
        <v>3867.01083562077</v>
      </c>
      <c r="EN72" s="48" t="n">
        <f aca="false">EN71*EN70/Thousand</f>
        <v>3867.01083562077</v>
      </c>
      <c r="EO72" s="48" t="n">
        <f aca="false">EO71*EO70/Thousand</f>
        <v>3909.50546018804</v>
      </c>
    </row>
    <row r="73" customFormat="false" ht="15" hidden="false" customHeight="false" outlineLevel="0" collapsed="false">
      <c r="C73" s="1" t="s">
        <v>433</v>
      </c>
      <c r="D73" s="12" t="s">
        <v>33</v>
      </c>
      <c r="I73" s="48" t="n">
        <f aca="false">SUM(J73:EO73)</f>
        <v>-29733.4185659025</v>
      </c>
      <c r="J73" s="48" t="n">
        <f aca="false">-In_Var_Opex*J71*J69/Thousand</f>
        <v>-0</v>
      </c>
      <c r="K73" s="48" t="n">
        <f aca="false">-In_Var_Opex*K71*K69/Thousand</f>
        <v>-0</v>
      </c>
      <c r="L73" s="48" t="n">
        <f aca="false">-In_Var_Opex*L71*L69/Thousand</f>
        <v>-0</v>
      </c>
      <c r="M73" s="48" t="n">
        <f aca="false">-In_Var_Opex*M71*M69/Thousand</f>
        <v>-0</v>
      </c>
      <c r="N73" s="48" t="n">
        <f aca="false">-In_Var_Opex*N71*N69/Thousand</f>
        <v>-0</v>
      </c>
      <c r="O73" s="48" t="n">
        <f aca="false">-In_Var_Opex*O71*O69/Thousand</f>
        <v>-0</v>
      </c>
      <c r="P73" s="48" t="n">
        <f aca="false">-In_Var_Opex*P71*P69/Thousand</f>
        <v>-0</v>
      </c>
      <c r="Q73" s="48" t="n">
        <f aca="false">-In_Var_Opex*Q71*Q69/Thousand</f>
        <v>-0</v>
      </c>
      <c r="R73" s="48" t="n">
        <f aca="false">-In_Var_Opex*R71*R69/Thousand</f>
        <v>-0</v>
      </c>
      <c r="S73" s="48" t="n">
        <f aca="false">-In_Var_Opex*S71*S69/Thousand</f>
        <v>-0</v>
      </c>
      <c r="T73" s="48" t="n">
        <f aca="false">-In_Var_Opex*T71*T69/Thousand</f>
        <v>-0</v>
      </c>
      <c r="U73" s="48" t="n">
        <f aca="false">-In_Var_Opex*U71*U69/Thousand</f>
        <v>-0</v>
      </c>
      <c r="V73" s="48" t="n">
        <f aca="false">-In_Var_Opex*V71*V69/Thousand</f>
        <v>-0</v>
      </c>
      <c r="W73" s="48" t="n">
        <f aca="false">-In_Var_Opex*W71*W69/Thousand</f>
        <v>-0</v>
      </c>
      <c r="X73" s="48" t="n">
        <f aca="false">-In_Var_Opex*X71*X69/Thousand</f>
        <v>-0</v>
      </c>
      <c r="Y73" s="48" t="n">
        <f aca="false">-In_Var_Opex*Y71*Y69/Thousand</f>
        <v>-0</v>
      </c>
      <c r="Z73" s="48" t="n">
        <f aca="false">-In_Var_Opex*Z71*Z69/Thousand</f>
        <v>-175.812</v>
      </c>
      <c r="AA73" s="48" t="n">
        <f aca="false">-In_Var_Opex*AA71*AA69/Thousand</f>
        <v>-176.28975</v>
      </c>
      <c r="AB73" s="48" t="n">
        <f aca="false">-In_Var_Opex*AB71*AB69/Thousand</f>
        <v>-178.248525</v>
      </c>
      <c r="AC73" s="48" t="n">
        <f aca="false">-In_Var_Opex*AC71*AC69/Thousand</f>
        <v>-180.2073</v>
      </c>
      <c r="AD73" s="48" t="n">
        <f aca="false">-In_Var_Opex*AD71*AD69/Thousand</f>
        <v>-179.6666781</v>
      </c>
      <c r="AE73" s="48" t="n">
        <f aca="false">-In_Var_Opex*AE71*AE69/Thousand</f>
        <v>-182.156623910625</v>
      </c>
      <c r="AF73" s="48" t="n">
        <f aca="false">-In_Var_Opex*AF71*AF69/Thousand</f>
        <v>-182.156623910625</v>
      </c>
      <c r="AG73" s="48" t="n">
        <f aca="false">-In_Var_Opex*AG71*AG69/Thousand</f>
        <v>-184.1583450525</v>
      </c>
      <c r="AH73" s="48" t="n">
        <f aca="false">-In_Var_Opex*AH71*AH69/Thousand</f>
        <v>-183.605870017343</v>
      </c>
      <c r="AI73" s="48" t="n">
        <f aca="false">-In_Var_Opex*AI71*AI69/Thousand</f>
        <v>-184.104799011955</v>
      </c>
      <c r="AJ73" s="48" t="n">
        <f aca="false">-In_Var_Opex*AJ71*AJ69/Thousand</f>
        <v>-186.150407889865</v>
      </c>
      <c r="AK73" s="48" t="n">
        <f aca="false">-In_Var_Opex*AK71*AK69/Thousand</f>
        <v>-188.196016767776</v>
      </c>
      <c r="AL73" s="48" t="n">
        <f aca="false">-In_Var_Opex*AL71*AL69/Thousand</f>
        <v>-187.631428717473</v>
      </c>
      <c r="AM73" s="48" t="n">
        <f aca="false">-In_Var_Opex*AM71*AM69/Thousand</f>
        <v>-188.141296730292</v>
      </c>
      <c r="AN73" s="48" t="n">
        <f aca="false">-In_Var_Opex*AN71*AN69/Thousand</f>
        <v>-190.231755582851</v>
      </c>
      <c r="AO73" s="48" t="n">
        <f aca="false">-In_Var_Opex*AO71*AO69/Thousand</f>
        <v>-192.32221443541</v>
      </c>
      <c r="AP73" s="48" t="n">
        <f aca="false">-In_Var_Opex*AP71*AP69/Thousand</f>
        <v>-191.745247792103</v>
      </c>
      <c r="AQ73" s="48" t="n">
        <f aca="false">-In_Var_Opex*AQ71*AQ69/Thousand</f>
        <v>-192.266294661104</v>
      </c>
      <c r="AR73" s="48" t="n">
        <f aca="false">-In_Var_Opex*AR71*AR69/Thousand</f>
        <v>-194.402586824005</v>
      </c>
      <c r="AS73" s="48" t="n">
        <f aca="false">-In_Var_Opex*AS71*AS69/Thousand</f>
        <v>-196.538878986906</v>
      </c>
      <c r="AT73" s="48" t="n">
        <f aca="false">-In_Var_Opex*AT71*AT69/Thousand</f>
        <v>-195.949262349945</v>
      </c>
      <c r="AU73" s="48" t="n">
        <f aca="false">-In_Var_Opex*AU71*AU69/Thousand</f>
        <v>-198.664863540121</v>
      </c>
      <c r="AV73" s="48" t="n">
        <f aca="false">-In_Var_Opex*AV71*AV69/Thousand</f>
        <v>-198.664863540121</v>
      </c>
      <c r="AW73" s="48" t="n">
        <f aca="false">-In_Var_Opex*AW71*AW69/Thousand</f>
        <v>-200.847993908694</v>
      </c>
      <c r="AX73" s="48" t="n">
        <f aca="false">-In_Var_Opex*AX71*AX69/Thousand</f>
        <v>-200.245449926968</v>
      </c>
      <c r="AY73" s="48" t="n">
        <f aca="false">-In_Var_Opex*AY71*AY69/Thousand</f>
        <v>-200.789595171334</v>
      </c>
      <c r="AZ73" s="48" t="n">
        <f aca="false">-In_Var_Opex*AZ71*AZ69/Thousand</f>
        <v>-203.020590673238</v>
      </c>
      <c r="BA73" s="48" t="n">
        <f aca="false">-In_Var_Opex*BA71*BA69/Thousand</f>
        <v>-205.251586175142</v>
      </c>
      <c r="BB73" s="48" t="n">
        <f aca="false">-In_Var_Opex*BB71*BB69/Thousand</f>
        <v>-204.635831416616</v>
      </c>
      <c r="BC73" s="48" t="n">
        <f aca="false">-In_Var_Opex*BC71*BC69/Thousand</f>
        <v>-205.191907045466</v>
      </c>
      <c r="BD73" s="48" t="n">
        <f aca="false">-In_Var_Opex*BD71*BD69/Thousand</f>
        <v>-207.471817123749</v>
      </c>
      <c r="BE73" s="48" t="n">
        <f aca="false">-In_Var_Opex*BE71*BE69/Thousand</f>
        <v>-209.751727202032</v>
      </c>
      <c r="BF73" s="48" t="n">
        <f aca="false">-In_Var_Opex*BF71*BF69/Thousand</f>
        <v>-209.122472020426</v>
      </c>
      <c r="BG73" s="48" t="n">
        <f aca="false">-In_Var_Opex*BG71*BG69/Thousand</f>
        <v>-209.690739607438</v>
      </c>
      <c r="BH73" s="48" t="n">
        <f aca="false">-In_Var_Opex*BH71*BH69/Thousand</f>
        <v>-212.020636714187</v>
      </c>
      <c r="BI73" s="48" t="n">
        <f aca="false">-In_Var_Opex*BI71*BI69/Thousand</f>
        <v>-214.350533820936</v>
      </c>
      <c r="BJ73" s="48" t="n">
        <f aca="false">-In_Var_Opex*BJ71*BJ69/Thousand</f>
        <v>-213.707482219474</v>
      </c>
      <c r="BK73" s="48" t="n">
        <f aca="false">-In_Var_Opex*BK71*BK69/Thousand</f>
        <v>-216.669189174146</v>
      </c>
      <c r="BL73" s="48" t="n">
        <f aca="false">-In_Var_Opex*BL71*BL69/Thousand</f>
        <v>-216.669189174146</v>
      </c>
      <c r="BM73" s="48" t="n">
        <f aca="false">-In_Var_Opex*BM71*BM69/Thousand</f>
        <v>-219.05016927496</v>
      </c>
      <c r="BN73" s="48" t="n">
        <f aca="false">-In_Var_Opex*BN71*BN69/Thousand</f>
        <v>-218.393018767136</v>
      </c>
      <c r="BO73" s="48" t="n">
        <f aca="false">-In_Var_Opex*BO71*BO69/Thousand</f>
        <v>-218.986478057264</v>
      </c>
      <c r="BP73" s="48" t="n">
        <f aca="false">-In_Var_Opex*BP71*BP69/Thousand</f>
        <v>-221.419661146789</v>
      </c>
      <c r="BQ73" s="48" t="n">
        <f aca="false">-In_Var_Opex*BQ71*BQ69/Thousand</f>
        <v>-223.852844236314</v>
      </c>
      <c r="BR73" s="48" t="n">
        <f aca="false">-In_Var_Opex*BR71*BR69/Thousand</f>
        <v>-223.181285703605</v>
      </c>
      <c r="BS73" s="48" t="n">
        <f aca="false">-In_Var_Opex*BS71*BS69/Thousand</f>
        <v>-223.787756588669</v>
      </c>
      <c r="BT73" s="48" t="n">
        <f aca="false">-In_Var_Opex*BT71*BT69/Thousand</f>
        <v>-226.274287217432</v>
      </c>
      <c r="BU73" s="48" t="n">
        <f aca="false">-In_Var_Opex*BU71*BU69/Thousand</f>
        <v>-228.760817846195</v>
      </c>
      <c r="BV73" s="48" t="n">
        <f aca="false">-In_Var_Opex*BV71*BV69/Thousand</f>
        <v>-228.074535392656</v>
      </c>
      <c r="BW73" s="48" t="n">
        <f aca="false">-In_Var_Opex*BW71*BW69/Thousand</f>
        <v>-228.694303151876</v>
      </c>
      <c r="BX73" s="48" t="n">
        <f aca="false">-In_Var_Opex*BX71*BX69/Thousand</f>
        <v>-231.235350964674</v>
      </c>
      <c r="BY73" s="48" t="n">
        <f aca="false">-In_Var_Opex*BY71*BY69/Thousand</f>
        <v>-233.776398777473</v>
      </c>
      <c r="BZ73" s="48" t="n">
        <f aca="false">-In_Var_Opex*BZ71*BZ69/Thousand</f>
        <v>-233.07506958114</v>
      </c>
      <c r="CA73" s="48" t="n">
        <f aca="false">-In_Var_Opex*CA71*CA69/Thousand</f>
        <v>-236.305186034575</v>
      </c>
      <c r="CB73" s="48" t="n">
        <f aca="false">-In_Var_Opex*CB71*CB69/Thousand</f>
        <v>-236.305186034575</v>
      </c>
      <c r="CC73" s="48" t="n">
        <f aca="false">-In_Var_Opex*CC71*CC69/Thousand</f>
        <v>-238.901946320669</v>
      </c>
      <c r="CD73" s="48" t="n">
        <f aca="false">-In_Var_Opex*CD71*CD69/Thousand</f>
        <v>-238.185240481707</v>
      </c>
      <c r="CE73" s="48" t="n">
        <f aca="false">-In_Var_Opex*CE71*CE69/Thousand</f>
        <v>-238.832482983016</v>
      </c>
      <c r="CF73" s="48" t="n">
        <f aca="false">-In_Var_Opex*CF71*CF69/Thousand</f>
        <v>-241.486177238383</v>
      </c>
      <c r="CG73" s="48" t="n">
        <f aca="false">-In_Var_Opex*CG71*CG69/Thousand</f>
        <v>-244.13987149375</v>
      </c>
      <c r="CH73" s="48" t="n">
        <f aca="false">-In_Var_Opex*CH71*CH69/Thousand</f>
        <v>-243.407451879268</v>
      </c>
      <c r="CI73" s="48" t="n">
        <f aca="false">-In_Var_Opex*CI71*CI69/Thousand</f>
        <v>-244.068885172418</v>
      </c>
      <c r="CJ73" s="48" t="n">
        <f aca="false">-In_Var_Opex*CJ71*CJ69/Thousand</f>
        <v>-246.780761674334</v>
      </c>
      <c r="CK73" s="48" t="n">
        <f aca="false">-In_Var_Opex*CK71*CK69/Thousand</f>
        <v>-249.49263817625</v>
      </c>
      <c r="CL73" s="48" t="n">
        <f aca="false">-In_Var_Opex*CL71*CL69/Thousand</f>
        <v>-248.744160261721</v>
      </c>
      <c r="CM73" s="48" t="n">
        <f aca="false">-In_Var_Opex*CM71*CM69/Thousand</f>
        <v>-249.420095479824</v>
      </c>
      <c r="CN73" s="48" t="n">
        <f aca="false">-In_Var_Opex*CN71*CN69/Thousand</f>
        <v>-252.191429874044</v>
      </c>
      <c r="CO73" s="48" t="n">
        <f aca="false">-In_Var_Opex*CO71*CO69/Thousand</f>
        <v>-254.962764268264</v>
      </c>
      <c r="CP73" s="48" t="n">
        <f aca="false">-In_Var_Opex*CP71*CP69/Thousand</f>
        <v>-254.197875975459</v>
      </c>
      <c r="CQ73" s="48" t="n">
        <f aca="false">-In_Var_Opex*CQ71*CQ69/Thousand</f>
        <v>-257.720726974032</v>
      </c>
      <c r="CR73" s="48" t="n">
        <f aca="false">-In_Var_Opex*CR71*CR69/Thousand</f>
        <v>-257.720726974032</v>
      </c>
      <c r="CS73" s="48" t="n">
        <f aca="false">-In_Var_Opex*CS71*CS69/Thousand</f>
        <v>-260.552822874846</v>
      </c>
      <c r="CT73" s="48" t="n">
        <f aca="false">-In_Var_Opex*CT71*CT69/Thousand</f>
        <v>-259.771164406221</v>
      </c>
      <c r="CU73" s="48" t="n">
        <f aca="false">-In_Var_Opex*CU71*CU69/Thousand</f>
        <v>-260.477064309499</v>
      </c>
      <c r="CV73" s="48" t="n">
        <f aca="false">-In_Var_Opex*CV71*CV69/Thousand</f>
        <v>-263.371253912938</v>
      </c>
      <c r="CW73" s="48" t="n">
        <f aca="false">-In_Var_Opex*CW71*CW69/Thousand</f>
        <v>-266.265443516377</v>
      </c>
      <c r="CX73" s="48" t="n">
        <f aca="false">-In_Var_Opex*CX71*CX69/Thousand</f>
        <v>-265.466647185828</v>
      </c>
      <c r="CY73" s="48" t="n">
        <f aca="false">-In_Var_Opex*CY71*CY69/Thousand</f>
        <v>-266.188023944485</v>
      </c>
      <c r="CZ73" s="48" t="n">
        <f aca="false">-In_Var_Opex*CZ71*CZ69/Thousand</f>
        <v>-269.145668654979</v>
      </c>
      <c r="DA73" s="48" t="n">
        <f aca="false">-In_Var_Opex*DA71*DA69/Thousand</f>
        <v>-272.103313365473</v>
      </c>
      <c r="DB73" s="48" t="n">
        <f aca="false">-In_Var_Opex*DB71*DB69/Thousand</f>
        <v>-271.287003425377</v>
      </c>
      <c r="DC73" s="48" t="n">
        <f aca="false">-In_Var_Opex*DC71*DC69/Thousand</f>
        <v>-272.024196369468</v>
      </c>
      <c r="DD73" s="48" t="n">
        <f aca="false">-In_Var_Opex*DD71*DD69/Thousand</f>
        <v>-275.04668744024</v>
      </c>
      <c r="DE73" s="48" t="n">
        <f aca="false">-In_Var_Opex*DE71*DE69/Thousand</f>
        <v>-278.069178511011</v>
      </c>
      <c r="DF73" s="48" t="n">
        <f aca="false">-In_Var_Opex*DF71*DF69/Thousand</f>
        <v>-277.234970975478</v>
      </c>
      <c r="DG73" s="48" t="n">
        <f aca="false">-In_Var_Opex*DG71*DG69/Thousand</f>
        <v>-281.077086062367</v>
      </c>
      <c r="DH73" s="48" t="n">
        <f aca="false">-In_Var_Opex*DH71*DH69/Thousand</f>
        <v>-281.077086062367</v>
      </c>
      <c r="DI73" s="48" t="n">
        <f aca="false">-In_Var_Opex*DI71*DI69/Thousand</f>
        <v>-284.165845249865</v>
      </c>
      <c r="DJ73" s="48" t="n">
        <f aca="false">-In_Var_Opex*DJ71*DJ69/Thousand</f>
        <v>-283.313347714116</v>
      </c>
      <c r="DK73" s="48" t="n">
        <f aca="false">-In_Var_Opex*DK71*DK69/Thousand</f>
        <v>-284.0832209416</v>
      </c>
      <c r="DL73" s="48" t="n">
        <f aca="false">-In_Var_Opex*DL71*DL69/Thousand</f>
        <v>-287.239701174284</v>
      </c>
      <c r="DM73" s="48" t="n">
        <f aca="false">-In_Var_Opex*DM71*DM69/Thousand</f>
        <v>-290.396181406969</v>
      </c>
      <c r="DN73" s="48" t="n">
        <f aca="false">-In_Var_Opex*DN71*DN69/Thousand</f>
        <v>-289.524992862748</v>
      </c>
      <c r="DO73" s="48" t="n">
        <f aca="false">-In_Var_Opex*DO71*DO69/Thousand</f>
        <v>-290.311745560744</v>
      </c>
      <c r="DP73" s="48" t="n">
        <f aca="false">-In_Var_Opex*DP71*DP69/Thousand</f>
        <v>-293.53743162253</v>
      </c>
      <c r="DQ73" s="48" t="n">
        <f aca="false">-In_Var_Opex*DQ71*DQ69/Thousand</f>
        <v>-296.763117684316</v>
      </c>
      <c r="DR73" s="48" t="n">
        <f aca="false">-In_Var_Opex*DR71*DR69/Thousand</f>
        <v>-295.872828331263</v>
      </c>
      <c r="DS73" s="48" t="n">
        <f aca="false">-In_Var_Opex*DS71*DS69/Thousand</f>
        <v>-296.676830582163</v>
      </c>
      <c r="DT73" s="48" t="n">
        <f aca="false">-In_Var_Opex*DT71*DT69/Thousand</f>
        <v>-299.973239810854</v>
      </c>
      <c r="DU73" s="48" t="n">
        <f aca="false">-In_Var_Opex*DU71*DU69/Thousand</f>
        <v>-303.269649039545</v>
      </c>
      <c r="DV73" s="48" t="n">
        <f aca="false">-In_Var_Opex*DV71*DV69/Thousand</f>
        <v>-302.359840092426</v>
      </c>
      <c r="DW73" s="48" t="n">
        <f aca="false">-In_Var_Opex*DW71*DW69/Thousand</f>
        <v>-306.550153093707</v>
      </c>
      <c r="DX73" s="48" t="n">
        <f aca="false">-In_Var_Opex*DX71*DX69/Thousand</f>
        <v>-306.550153093707</v>
      </c>
      <c r="DY73" s="48" t="n">
        <f aca="false">-In_Var_Opex*DY71*DY69/Thousand</f>
        <v>-309.918836094737</v>
      </c>
      <c r="DZ73" s="48" t="n">
        <f aca="false">-In_Var_Opex*DZ71*DZ69/Thousand</f>
        <v>-308.989079586453</v>
      </c>
      <c r="EA73" s="48" t="n">
        <f aca="false">-In_Var_Opex*EA71*EA69/Thousand</f>
        <v>-309.828723824459</v>
      </c>
      <c r="EB73" s="48" t="n">
        <f aca="false">-In_Var_Opex*EB71*EB69/Thousand</f>
        <v>-313.271265200287</v>
      </c>
      <c r="EC73" s="48" t="n">
        <f aca="false">-In_Var_Opex*EC71*EC69/Thousand</f>
        <v>-316.713806576114</v>
      </c>
      <c r="ED73" s="48" t="n">
        <f aca="false">-In_Var_Opex*ED71*ED69/Thousand</f>
        <v>-315.763665156386</v>
      </c>
      <c r="EE73" s="48" t="n">
        <f aca="false">-In_Var_Opex*EE71*EE69/Thousand</f>
        <v>-316.621718594311</v>
      </c>
      <c r="EF73" s="48" t="n">
        <f aca="false">-In_Var_Opex*EF71*EF69/Thousand</f>
        <v>-320.139737689803</v>
      </c>
      <c r="EG73" s="48" t="n">
        <f aca="false">-In_Var_Opex*EG71*EG69/Thousand</f>
        <v>-323.657756785295</v>
      </c>
      <c r="EH73" s="48" t="n">
        <f aca="false">-In_Var_Opex*EH71*EH69/Thousand</f>
        <v>-322.686783514939</v>
      </c>
      <c r="EI73" s="48" t="n">
        <f aca="false">-In_Var_Opex*EI71*EI69/Thousand</f>
        <v>-323.563649774491</v>
      </c>
      <c r="EJ73" s="48" t="n">
        <f aca="false">-In_Var_Opex*EJ71*EJ69/Thousand</f>
        <v>-327.158801438652</v>
      </c>
      <c r="EK73" s="48" t="n">
        <f aca="false">-In_Var_Opex*EK71*EK69/Thousand</f>
        <v>-330.753953102813</v>
      </c>
      <c r="EL73" s="48" t="n">
        <f aca="false">-In_Var_Opex*EL71*EL69/Thousand</f>
        <v>-329.761691243504</v>
      </c>
      <c r="EM73" s="48" t="n">
        <f aca="false">-In_Var_Opex*EM71*EM69/Thousand</f>
        <v>-334.331758160194</v>
      </c>
      <c r="EN73" s="48" t="n">
        <f aca="false">-In_Var_Opex*EN71*EN69/Thousand</f>
        <v>-334.331758160194</v>
      </c>
      <c r="EO73" s="48" t="n">
        <f aca="false">-In_Var_Opex*EO71*EO69/Thousand</f>
        <v>-338.005733524592</v>
      </c>
    </row>
    <row r="74" customFormat="false" ht="15" hidden="false" customHeight="false" outlineLevel="0" collapsed="false">
      <c r="C74" s="1" t="s">
        <v>434</v>
      </c>
      <c r="D74" s="12" t="s">
        <v>33</v>
      </c>
      <c r="I74" s="48" t="n">
        <f aca="false">SUM(J74:EO74)</f>
        <v>-60869.5202640337</v>
      </c>
      <c r="J74" s="48" t="n">
        <f aca="false">-(In_Fixed_Opex*$F24+In_Admin)*J69*J15*J$6</f>
        <v>-0</v>
      </c>
      <c r="K74" s="48" t="n">
        <f aca="false">-(In_Fixed_Opex*$F24+In_Admin)*K69*K15*K$6</f>
        <v>-0</v>
      </c>
      <c r="L74" s="48" t="n">
        <f aca="false">-(In_Fixed_Opex*$F24+In_Admin)*L69*L15*L$6</f>
        <v>-0</v>
      </c>
      <c r="M74" s="48" t="n">
        <f aca="false">-(In_Fixed_Opex*$F24+In_Admin)*M69*M15*M$6</f>
        <v>-0</v>
      </c>
      <c r="N74" s="48" t="n">
        <f aca="false">-(In_Fixed_Opex*$F24+In_Admin)*N69*N15*N$6</f>
        <v>-0</v>
      </c>
      <c r="O74" s="48" t="n">
        <f aca="false">-(In_Fixed_Opex*$F24+In_Admin)*O69*O15*O$6</f>
        <v>-0</v>
      </c>
      <c r="P74" s="48" t="n">
        <f aca="false">-(In_Fixed_Opex*$F24+In_Admin)*P69*P15*P$6</f>
        <v>-0</v>
      </c>
      <c r="Q74" s="48" t="n">
        <f aca="false">-(In_Fixed_Opex*$F24+In_Admin)*Q69*Q15*Q$6</f>
        <v>-0</v>
      </c>
      <c r="R74" s="48" t="n">
        <f aca="false">-(In_Fixed_Opex*$F24+In_Admin)*R69*R15*R$6</f>
        <v>-0</v>
      </c>
      <c r="S74" s="48" t="n">
        <f aca="false">-(In_Fixed_Opex*$F24+In_Admin)*S69*S15*S$6</f>
        <v>-0</v>
      </c>
      <c r="T74" s="48" t="n">
        <f aca="false">-(In_Fixed_Opex*$F24+In_Admin)*T69*T15*T$6</f>
        <v>-0</v>
      </c>
      <c r="U74" s="48" t="n">
        <f aca="false">-(In_Fixed_Opex*$F24+In_Admin)*U69*U15*U$6</f>
        <v>-0</v>
      </c>
      <c r="V74" s="48" t="n">
        <f aca="false">-(In_Fixed_Opex*$F24+In_Admin)*V69*V15*V$6</f>
        <v>-0</v>
      </c>
      <c r="W74" s="48" t="n">
        <f aca="false">-(In_Fixed_Opex*$F24+In_Admin)*W69*W15*W$6</f>
        <v>-0</v>
      </c>
      <c r="X74" s="48" t="n">
        <f aca="false">-(In_Fixed_Opex*$F24+In_Admin)*X69*X15*X$6</f>
        <v>-0</v>
      </c>
      <c r="Y74" s="48" t="n">
        <f aca="false">-(In_Fixed_Opex*$F24+In_Admin)*Y69*Y15*Y$6</f>
        <v>-0</v>
      </c>
      <c r="Z74" s="48" t="n">
        <f aca="false">-(In_Fixed_Opex*$F24+In_Admin)*Z69*Z15*Z$6</f>
        <v>-342.794520547945</v>
      </c>
      <c r="AA74" s="48" t="n">
        <f aca="false">-(In_Fixed_Opex*$F24+In_Admin)*AA69*AA15*AA$6</f>
        <v>-343.72602739726</v>
      </c>
      <c r="AB74" s="48" t="n">
        <f aca="false">-(In_Fixed_Opex*$F24+In_Admin)*AB69*AB15*AB$6</f>
        <v>-347.545205479452</v>
      </c>
      <c r="AC74" s="48" t="n">
        <f aca="false">-(In_Fixed_Opex*$F24+In_Admin)*AC69*AC15*AC$6</f>
        <v>-351.364383561644</v>
      </c>
      <c r="AD74" s="48" t="n">
        <f aca="false">-(In_Fixed_Opex*$F24+In_Admin)*AD69*AD15*AD$6</f>
        <v>-351.364383561644</v>
      </c>
      <c r="AE74" s="48" t="n">
        <f aca="false">-(In_Fixed_Opex*$F24+In_Admin)*AE69*AE15*AE$6</f>
        <v>-356.233835616438</v>
      </c>
      <c r="AF74" s="48" t="n">
        <f aca="false">-(In_Fixed_Opex*$F24+In_Admin)*AF69*AF15*AF$6</f>
        <v>-356.233835616438</v>
      </c>
      <c r="AG74" s="48" t="n">
        <f aca="false">-(In_Fixed_Opex*$F24+In_Admin)*AG69*AG15*AG$6</f>
        <v>-360.148493150685</v>
      </c>
      <c r="AH74" s="48" t="n">
        <f aca="false">-(In_Fixed_Opex*$F24+In_Admin)*AH69*AH15*AH$6</f>
        <v>-360.148493150685</v>
      </c>
      <c r="AI74" s="48" t="n">
        <f aca="false">-(In_Fixed_Opex*$F24+In_Admin)*AI69*AI15*AI$6</f>
        <v>-361.127157534246</v>
      </c>
      <c r="AJ74" s="48" t="n">
        <f aca="false">-(In_Fixed_Opex*$F24+In_Admin)*AJ69*AJ15*AJ$6</f>
        <v>-365.139681506849</v>
      </c>
      <c r="AK74" s="48" t="n">
        <f aca="false">-(In_Fixed_Opex*$F24+In_Admin)*AK69*AK15*AK$6</f>
        <v>-369.152205479452</v>
      </c>
      <c r="AL74" s="48" t="n">
        <f aca="false">-(In_Fixed_Opex*$F24+In_Admin)*AL69*AL15*AL$6</f>
        <v>-369.152205479452</v>
      </c>
      <c r="AM74" s="48" t="n">
        <f aca="false">-(In_Fixed_Opex*$F24+In_Admin)*AM69*AM15*AM$6</f>
        <v>-370.155336472603</v>
      </c>
      <c r="AN74" s="48" t="n">
        <f aca="false">-(In_Fixed_Opex*$F24+In_Admin)*AN69*AN15*AN$6</f>
        <v>-374.268173544521</v>
      </c>
      <c r="AO74" s="48" t="n">
        <f aca="false">-(In_Fixed_Opex*$F24+In_Admin)*AO69*AO15*AO$6</f>
        <v>-378.381010616438</v>
      </c>
      <c r="AP74" s="48" t="n">
        <f aca="false">-(In_Fixed_Opex*$F24+In_Admin)*AP69*AP15*AP$6</f>
        <v>-378.381010616438</v>
      </c>
      <c r="AQ74" s="48" t="n">
        <f aca="false">-(In_Fixed_Opex*$F24+In_Admin)*AQ69*AQ15*AQ$6</f>
        <v>-379.409219884418</v>
      </c>
      <c r="AR74" s="48" t="n">
        <f aca="false">-(In_Fixed_Opex*$F24+In_Admin)*AR69*AR15*AR$6</f>
        <v>-383.624877883134</v>
      </c>
      <c r="AS74" s="48" t="n">
        <f aca="false">-(In_Fixed_Opex*$F24+In_Admin)*AS69*AS15*AS$6</f>
        <v>-387.840535881849</v>
      </c>
      <c r="AT74" s="48" t="n">
        <f aca="false">-(In_Fixed_Opex*$F24+In_Admin)*AT69*AT15*AT$6</f>
        <v>-387.840535881849</v>
      </c>
      <c r="AU74" s="48" t="n">
        <f aca="false">-(In_Fixed_Opex*$F24+In_Admin)*AU69*AU15*AU$6</f>
        <v>-393.215499830212</v>
      </c>
      <c r="AV74" s="48" t="n">
        <f aca="false">-(In_Fixed_Opex*$F24+In_Admin)*AV69*AV15*AV$6</f>
        <v>-393.215499830212</v>
      </c>
      <c r="AW74" s="48" t="n">
        <f aca="false">-(In_Fixed_Opex*$F24+In_Admin)*AW69*AW15*AW$6</f>
        <v>-397.536549278895</v>
      </c>
      <c r="AX74" s="48" t="n">
        <f aca="false">-(In_Fixed_Opex*$F24+In_Admin)*AX69*AX15*AX$6</f>
        <v>-397.536549278895</v>
      </c>
      <c r="AY74" s="48" t="n">
        <f aca="false">-(In_Fixed_Opex*$F24+In_Admin)*AY69*AY15*AY$6</f>
        <v>-398.616811641066</v>
      </c>
      <c r="AZ74" s="48" t="n">
        <f aca="false">-(In_Fixed_Opex*$F24+In_Admin)*AZ69*AZ15*AZ$6</f>
        <v>-403.045887325967</v>
      </c>
      <c r="BA74" s="48" t="n">
        <f aca="false">-(In_Fixed_Opex*$F24+In_Admin)*BA69*BA15*BA$6</f>
        <v>-407.474963010868</v>
      </c>
      <c r="BB74" s="48" t="n">
        <f aca="false">-(In_Fixed_Opex*$F24+In_Admin)*BB69*BB15*BB$6</f>
        <v>-407.474963010868</v>
      </c>
      <c r="BC74" s="48" t="n">
        <f aca="false">-(In_Fixed_Opex*$F24+In_Admin)*BC69*BC15*BC$6</f>
        <v>-408.582231932093</v>
      </c>
      <c r="BD74" s="48" t="n">
        <f aca="false">-(In_Fixed_Opex*$F24+In_Admin)*BD69*BD15*BD$6</f>
        <v>-413.122034509116</v>
      </c>
      <c r="BE74" s="48" t="n">
        <f aca="false">-(In_Fixed_Opex*$F24+In_Admin)*BE69*BE15*BE$6</f>
        <v>-417.661837086139</v>
      </c>
      <c r="BF74" s="48" t="n">
        <f aca="false">-(In_Fixed_Opex*$F24+In_Admin)*BF69*BF15*BF$6</f>
        <v>-417.661837086139</v>
      </c>
      <c r="BG74" s="48" t="n">
        <f aca="false">-(In_Fixed_Opex*$F24+In_Admin)*BG69*BG15*BG$6</f>
        <v>-418.796787730395</v>
      </c>
      <c r="BH74" s="48" t="n">
        <f aca="false">-(In_Fixed_Opex*$F24+In_Admin)*BH69*BH15*BH$6</f>
        <v>-423.450085371844</v>
      </c>
      <c r="BI74" s="48" t="n">
        <f aca="false">-(In_Fixed_Opex*$F24+In_Admin)*BI69*BI15*BI$6</f>
        <v>-428.103383013293</v>
      </c>
      <c r="BJ74" s="48" t="n">
        <f aca="false">-(In_Fixed_Opex*$F24+In_Admin)*BJ69*BJ15*BJ$6</f>
        <v>-428.103383013293</v>
      </c>
      <c r="BK74" s="48" t="n">
        <f aca="false">-(In_Fixed_Opex*$F24+In_Admin)*BK69*BK15*BK$6</f>
        <v>-434.03633750614</v>
      </c>
      <c r="BL74" s="48" t="n">
        <f aca="false">-(In_Fixed_Opex*$F24+In_Admin)*BL69*BL15*BL$6</f>
        <v>-434.03633750614</v>
      </c>
      <c r="BM74" s="48" t="n">
        <f aca="false">-(In_Fixed_Opex*$F24+In_Admin)*BM69*BM15*BM$6</f>
        <v>-438.805967588625</v>
      </c>
      <c r="BN74" s="48" t="n">
        <f aca="false">-(In_Fixed_Opex*$F24+In_Admin)*BN69*BN15*BN$6</f>
        <v>-438.805967588625</v>
      </c>
      <c r="BO74" s="48" t="n">
        <f aca="false">-(In_Fixed_Opex*$F24+In_Admin)*BO69*BO15*BO$6</f>
        <v>-439.998375109246</v>
      </c>
      <c r="BP74" s="48" t="n">
        <f aca="false">-(In_Fixed_Opex*$F24+In_Admin)*BP69*BP15*BP$6</f>
        <v>-444.887245943794</v>
      </c>
      <c r="BQ74" s="48" t="n">
        <f aca="false">-(In_Fixed_Opex*$F24+In_Admin)*BQ69*BQ15*BQ$6</f>
        <v>-449.776116778341</v>
      </c>
      <c r="BR74" s="48" t="n">
        <f aca="false">-(In_Fixed_Opex*$F24+In_Admin)*BR69*BR15*BR$6</f>
        <v>-449.776116778341</v>
      </c>
      <c r="BS74" s="48" t="n">
        <f aca="false">-(In_Fixed_Opex*$F24+In_Admin)*BS69*BS15*BS$6</f>
        <v>-450.998334486977</v>
      </c>
      <c r="BT74" s="48" t="n">
        <f aca="false">-(In_Fixed_Opex*$F24+In_Admin)*BT69*BT15*BT$6</f>
        <v>-456.009427092388</v>
      </c>
      <c r="BU74" s="48" t="n">
        <f aca="false">-(In_Fixed_Opex*$F24+In_Admin)*BU69*BU15*BU$6</f>
        <v>-461.020519697799</v>
      </c>
      <c r="BV74" s="48" t="n">
        <f aca="false">-(In_Fixed_Opex*$F24+In_Admin)*BV69*BV15*BV$6</f>
        <v>-461.020519697799</v>
      </c>
      <c r="BW74" s="48" t="n">
        <f aca="false">-(In_Fixed_Opex*$F24+In_Admin)*BW69*BW15*BW$6</f>
        <v>-462.273292849152</v>
      </c>
      <c r="BX74" s="48" t="n">
        <f aca="false">-(In_Fixed_Opex*$F24+In_Admin)*BX69*BX15*BX$6</f>
        <v>-467.409662769698</v>
      </c>
      <c r="BY74" s="48" t="n">
        <f aca="false">-(In_Fixed_Opex*$F24+In_Admin)*BY69*BY15*BY$6</f>
        <v>-472.546032690244</v>
      </c>
      <c r="BZ74" s="48" t="n">
        <f aca="false">-(In_Fixed_Opex*$F24+In_Admin)*BZ69*BZ15*BZ$6</f>
        <v>-472.546032690244</v>
      </c>
      <c r="CA74" s="48" t="n">
        <f aca="false">-(In_Fixed_Opex*$F24+In_Admin)*CA69*CA15*CA$6</f>
        <v>-479.09490433894</v>
      </c>
      <c r="CB74" s="48" t="n">
        <f aca="false">-(In_Fixed_Opex*$F24+In_Admin)*CB69*CB15*CB$6</f>
        <v>-479.09490433894</v>
      </c>
      <c r="CC74" s="48" t="n">
        <f aca="false">-(In_Fixed_Opex*$F24+In_Admin)*CC69*CC15*CC$6</f>
        <v>-484.3596835075</v>
      </c>
      <c r="CD74" s="48" t="n">
        <f aca="false">-(In_Fixed_Opex*$F24+In_Admin)*CD69*CD15*CD$6</f>
        <v>-484.3596835075</v>
      </c>
      <c r="CE74" s="48" t="n">
        <f aca="false">-(In_Fixed_Opex*$F24+In_Admin)*CE69*CE15*CE$6</f>
        <v>-485.67587829964</v>
      </c>
      <c r="CF74" s="48" t="n">
        <f aca="false">-(In_Fixed_Opex*$F24+In_Admin)*CF69*CF15*CF$6</f>
        <v>-491.072276947414</v>
      </c>
      <c r="CG74" s="48" t="n">
        <f aca="false">-(In_Fixed_Opex*$F24+In_Admin)*CG69*CG15*CG$6</f>
        <v>-496.468675595188</v>
      </c>
      <c r="CH74" s="48" t="n">
        <f aca="false">-(In_Fixed_Opex*$F24+In_Admin)*CH69*CH15*CH$6</f>
        <v>-496.468675595188</v>
      </c>
      <c r="CI74" s="48" t="n">
        <f aca="false">-(In_Fixed_Opex*$F24+In_Admin)*CI69*CI15*CI$6</f>
        <v>-497.817775257131</v>
      </c>
      <c r="CJ74" s="48" t="n">
        <f aca="false">-(In_Fixed_Opex*$F24+In_Admin)*CJ69*CJ15*CJ$6</f>
        <v>-503.349083871099</v>
      </c>
      <c r="CK74" s="48" t="n">
        <f aca="false">-(In_Fixed_Opex*$F24+In_Admin)*CK69*CK15*CK$6</f>
        <v>-508.880392485067</v>
      </c>
      <c r="CL74" s="48" t="n">
        <f aca="false">-(In_Fixed_Opex*$F24+In_Admin)*CL69*CL15*CL$6</f>
        <v>-508.880392485067</v>
      </c>
      <c r="CM74" s="48" t="n">
        <f aca="false">-(In_Fixed_Opex*$F24+In_Admin)*CM69*CM15*CM$6</f>
        <v>-510.263219638559</v>
      </c>
      <c r="CN74" s="48" t="n">
        <f aca="false">-(In_Fixed_Opex*$F24+In_Admin)*CN69*CN15*CN$6</f>
        <v>-515.932810967877</v>
      </c>
      <c r="CO74" s="48" t="n">
        <f aca="false">-(In_Fixed_Opex*$F24+In_Admin)*CO69*CO15*CO$6</f>
        <v>-521.602402297194</v>
      </c>
      <c r="CP74" s="48" t="n">
        <f aca="false">-(In_Fixed_Opex*$F24+In_Admin)*CP69*CP15*CP$6</f>
        <v>-521.602402297194</v>
      </c>
      <c r="CQ74" s="48" t="n">
        <f aca="false">-(In_Fixed_Opex*$F24+In_Admin)*CQ69*CQ15*CQ$6</f>
        <v>-528.831131242074</v>
      </c>
      <c r="CR74" s="48" t="n">
        <f aca="false">-(In_Fixed_Opex*$F24+In_Admin)*CR69*CR15*CR$6</f>
        <v>-528.831131242074</v>
      </c>
      <c r="CS74" s="48" t="n">
        <f aca="false">-(In_Fixed_Opex*$F24+In_Admin)*CS69*CS15*CS$6</f>
        <v>-534.642462354624</v>
      </c>
      <c r="CT74" s="48" t="n">
        <f aca="false">-(In_Fixed_Opex*$F24+In_Admin)*CT69*CT15*CT$6</f>
        <v>-534.642462354624</v>
      </c>
      <c r="CU74" s="48" t="n">
        <f aca="false">-(In_Fixed_Opex*$F24+In_Admin)*CU69*CU15*CU$6</f>
        <v>-536.095295132761</v>
      </c>
      <c r="CV74" s="48" t="n">
        <f aca="false">-(In_Fixed_Opex*$F24+In_Admin)*CV69*CV15*CV$6</f>
        <v>-542.051909523125</v>
      </c>
      <c r="CW74" s="48" t="n">
        <f aca="false">-(In_Fixed_Opex*$F24+In_Admin)*CW69*CW15*CW$6</f>
        <v>-548.008523913489</v>
      </c>
      <c r="CX74" s="48" t="n">
        <f aca="false">-(In_Fixed_Opex*$F24+In_Admin)*CX69*CX15*CX$6</f>
        <v>-548.008523913489</v>
      </c>
      <c r="CY74" s="48" t="n">
        <f aca="false">-(In_Fixed_Opex*$F24+In_Admin)*CY69*CY15*CY$6</f>
        <v>-549.49767751108</v>
      </c>
      <c r="CZ74" s="48" t="n">
        <f aca="false">-(In_Fixed_Opex*$F24+In_Admin)*CZ69*CZ15*CZ$6</f>
        <v>-555.603207261203</v>
      </c>
      <c r="DA74" s="48" t="n">
        <f aca="false">-(In_Fixed_Opex*$F24+In_Admin)*DA69*DA15*DA$6</f>
        <v>-561.708737011326</v>
      </c>
      <c r="DB74" s="48" t="n">
        <f aca="false">-(In_Fixed_Opex*$F24+In_Admin)*DB69*DB15*DB$6</f>
        <v>-561.708737011326</v>
      </c>
      <c r="DC74" s="48" t="n">
        <f aca="false">-(In_Fixed_Opex*$F24+In_Admin)*DC69*DC15*DC$6</f>
        <v>-563.235119448857</v>
      </c>
      <c r="DD74" s="48" t="n">
        <f aca="false">-(In_Fixed_Opex*$F24+In_Admin)*DD69*DD15*DD$6</f>
        <v>-569.493287442734</v>
      </c>
      <c r="DE74" s="48" t="n">
        <f aca="false">-(In_Fixed_Opex*$F24+In_Admin)*DE69*DE15*DE$6</f>
        <v>-575.75145543661</v>
      </c>
      <c r="DF74" s="48" t="n">
        <f aca="false">-(In_Fixed_Opex*$F24+In_Admin)*DF69*DF15*DF$6</f>
        <v>-575.75145543661</v>
      </c>
      <c r="DG74" s="48" t="n">
        <f aca="false">-(In_Fixed_Opex*$F24+In_Admin)*DG69*DG15*DG$6</f>
        <v>-583.730619628802</v>
      </c>
      <c r="DH74" s="48" t="n">
        <f aca="false">-(In_Fixed_Opex*$F24+In_Admin)*DH69*DH15*DH$6</f>
        <v>-583.730619628802</v>
      </c>
      <c r="DI74" s="48" t="n">
        <f aca="false">-(In_Fixed_Opex*$F24+In_Admin)*DI69*DI15*DI$6</f>
        <v>-590.145241822525</v>
      </c>
      <c r="DJ74" s="48" t="n">
        <f aca="false">-(In_Fixed_Opex*$F24+In_Admin)*DJ69*DJ15*DJ$6</f>
        <v>-590.145241822525</v>
      </c>
      <c r="DK74" s="48" t="n">
        <f aca="false">-(In_Fixed_Opex*$F24+In_Admin)*DK69*DK15*DK$6</f>
        <v>-591.748897370955</v>
      </c>
      <c r="DL74" s="48" t="n">
        <f aca="false">-(In_Fixed_Opex*$F24+In_Admin)*DL69*DL15*DL$6</f>
        <v>-598.323885119522</v>
      </c>
      <c r="DM74" s="48" t="n">
        <f aca="false">-(In_Fixed_Opex*$F24+In_Admin)*DM69*DM15*DM$6</f>
        <v>-604.898872868088</v>
      </c>
      <c r="DN74" s="48" t="n">
        <f aca="false">-(In_Fixed_Opex*$F24+In_Admin)*DN69*DN15*DN$6</f>
        <v>-604.898872868088</v>
      </c>
      <c r="DO74" s="48" t="n">
        <f aca="false">-(In_Fixed_Opex*$F24+In_Admin)*DO69*DO15*DO$6</f>
        <v>-606.542619805229</v>
      </c>
      <c r="DP74" s="48" t="n">
        <f aca="false">-(In_Fixed_Opex*$F24+In_Admin)*DP69*DP15*DP$6</f>
        <v>-613.28198224751</v>
      </c>
      <c r="DQ74" s="48" t="n">
        <f aca="false">-(In_Fixed_Opex*$F24+In_Admin)*DQ69*DQ15*DQ$6</f>
        <v>-620.02134468979</v>
      </c>
      <c r="DR74" s="48" t="n">
        <f aca="false">-(In_Fixed_Opex*$F24+In_Admin)*DR69*DR15*DR$6</f>
        <v>-620.02134468979</v>
      </c>
      <c r="DS74" s="48" t="n">
        <f aca="false">-(In_Fixed_Opex*$F24+In_Admin)*DS69*DS15*DS$6</f>
        <v>-621.70618530036</v>
      </c>
      <c r="DT74" s="48" t="n">
        <f aca="false">-(In_Fixed_Opex*$F24+In_Admin)*DT69*DT15*DT$6</f>
        <v>-628.614031803698</v>
      </c>
      <c r="DU74" s="48" t="n">
        <f aca="false">-(In_Fixed_Opex*$F24+In_Admin)*DU69*DU15*DU$6</f>
        <v>-635.521878307035</v>
      </c>
      <c r="DV74" s="48" t="n">
        <f aca="false">-(In_Fixed_Opex*$F24+In_Admin)*DV69*DV15*DV$6</f>
        <v>-635.521878307035</v>
      </c>
      <c r="DW74" s="48" t="n">
        <f aca="false">-(In_Fixed_Opex*$F24+In_Admin)*DW69*DW15*DW$6</f>
        <v>-644.32938259879</v>
      </c>
      <c r="DX74" s="48" t="n">
        <f aca="false">-(In_Fixed_Opex*$F24+In_Admin)*DX69*DX15*DX$6</f>
        <v>-644.32938259879</v>
      </c>
      <c r="DY74" s="48" t="n">
        <f aca="false">-(In_Fixed_Opex*$F24+In_Admin)*DY69*DY15*DY$6</f>
        <v>-651.409925264711</v>
      </c>
      <c r="DZ74" s="48" t="n">
        <f aca="false">-(In_Fixed_Opex*$F24+In_Admin)*DZ69*DZ15*DZ$6</f>
        <v>-651.409925264711</v>
      </c>
      <c r="EA74" s="48" t="n">
        <f aca="false">-(In_Fixed_Opex*$F24+In_Admin)*EA69*EA15*EA$6</f>
        <v>-653.180060931191</v>
      </c>
      <c r="EB74" s="48" t="n">
        <f aca="false">-(In_Fixed_Opex*$F24+In_Admin)*EB69*EB15*EB$6</f>
        <v>-660.43761716376</v>
      </c>
      <c r="EC74" s="48" t="n">
        <f aca="false">-(In_Fixed_Opex*$F24+In_Admin)*EC69*EC15*EC$6</f>
        <v>-667.695173396328</v>
      </c>
      <c r="ED74" s="48" t="n">
        <f aca="false">-(In_Fixed_Opex*$F24+In_Admin)*ED69*ED15*ED$6</f>
        <v>-667.695173396328</v>
      </c>
      <c r="EE74" s="48" t="n">
        <f aca="false">-(In_Fixed_Opex*$F24+In_Admin)*EE69*EE15*EE$6</f>
        <v>-669.50956245447</v>
      </c>
      <c r="EF74" s="48" t="n">
        <f aca="false">-(In_Fixed_Opex*$F24+In_Admin)*EF69*EF15*EF$6</f>
        <v>-676.948557592854</v>
      </c>
      <c r="EG74" s="48" t="n">
        <f aca="false">-(In_Fixed_Opex*$F24+In_Admin)*EG69*EG15*EG$6</f>
        <v>-684.387552731237</v>
      </c>
      <c r="EH74" s="48" t="n">
        <f aca="false">-(In_Fixed_Opex*$F24+In_Admin)*EH69*EH15*EH$6</f>
        <v>-684.387552731237</v>
      </c>
      <c r="EI74" s="48" t="n">
        <f aca="false">-(In_Fixed_Opex*$F24+In_Admin)*EI69*EI15*EI$6</f>
        <v>-686.247301515832</v>
      </c>
      <c r="EJ74" s="48" t="n">
        <f aca="false">-(In_Fixed_Opex*$F24+In_Admin)*EJ69*EJ15*EJ$6</f>
        <v>-693.872271532675</v>
      </c>
      <c r="EK74" s="48" t="n">
        <f aca="false">-(In_Fixed_Opex*$F24+In_Admin)*EK69*EK15*EK$6</f>
        <v>-701.497241549517</v>
      </c>
      <c r="EL74" s="48" t="n">
        <f aca="false">-(In_Fixed_Opex*$F24+In_Admin)*EL69*EL15*EL$6</f>
        <v>-701.497241549517</v>
      </c>
      <c r="EM74" s="48" t="n">
        <f aca="false">-(In_Fixed_Opex*$F24+In_Admin)*EM69*EM15*EM$6</f>
        <v>-711.219078320991</v>
      </c>
      <c r="EN74" s="48" t="n">
        <f aca="false">-(In_Fixed_Opex*$F24+In_Admin)*EN69*EN15*EN$6</f>
        <v>-711.219078320991</v>
      </c>
      <c r="EO74" s="48" t="n">
        <f aca="false">-(In_Fixed_Opex*$F24+In_Admin)*EO69*EO15*EO$6</f>
        <v>-719.034672588255</v>
      </c>
    </row>
    <row r="75" customFormat="false" ht="15" hidden="false" customHeight="false" outlineLevel="0" collapsed="false">
      <c r="C75" s="1" t="s">
        <v>435</v>
      </c>
      <c r="D75" s="12" t="s">
        <v>33</v>
      </c>
      <c r="I75" s="48" t="n">
        <f aca="false">SUM(J75:EO75)</f>
        <v>-7708.87664873263</v>
      </c>
      <c r="J75" s="48" t="n">
        <f aca="false">-In_Lease*$F24*J69*J16*J$6</f>
        <v>-0</v>
      </c>
      <c r="K75" s="48" t="n">
        <f aca="false">-In_Lease*$F24*K69*K16*K$6</f>
        <v>-0</v>
      </c>
      <c r="L75" s="48" t="n">
        <f aca="false">-In_Lease*$F24*L69*L16*L$6</f>
        <v>-0</v>
      </c>
      <c r="M75" s="48" t="n">
        <f aca="false">-In_Lease*$F24*M69*M16*M$6</f>
        <v>-0</v>
      </c>
      <c r="N75" s="48" t="n">
        <f aca="false">-In_Lease*$F24*N69*N16*N$6</f>
        <v>-0</v>
      </c>
      <c r="O75" s="48" t="n">
        <f aca="false">-In_Lease*$F24*O69*O16*O$6</f>
        <v>-0</v>
      </c>
      <c r="P75" s="48" t="n">
        <f aca="false">-In_Lease*$F24*P69*P16*P$6</f>
        <v>-0</v>
      </c>
      <c r="Q75" s="48" t="n">
        <f aca="false">-In_Lease*$F24*Q69*Q16*Q$6</f>
        <v>-0</v>
      </c>
      <c r="R75" s="48" t="n">
        <f aca="false">-In_Lease*$F24*R69*R16*R$6</f>
        <v>-39.5850480389201</v>
      </c>
      <c r="S75" s="48" t="n">
        <f aca="false">-In_Lease*$F24*S69*S16*S$6</f>
        <v>-39.6926161042432</v>
      </c>
      <c r="T75" s="48" t="n">
        <f aca="false">-In_Lease*$F24*T69*T16*T$6</f>
        <v>-40.1336451720682</v>
      </c>
      <c r="U75" s="48" t="n">
        <f aca="false">-In_Lease*$F24*U69*U16*U$6</f>
        <v>-40.5746742398931</v>
      </c>
      <c r="V75" s="48" t="n">
        <f aca="false">-In_Lease*$F24*V69*V16*V$6</f>
        <v>-40.5746742398931</v>
      </c>
      <c r="W75" s="48" t="n">
        <f aca="false">-In_Lease*$F24*W69*W16*W$6</f>
        <v>-40.6849315068493</v>
      </c>
      <c r="X75" s="48" t="n">
        <f aca="false">-In_Lease*$F24*X69*X16*X$6</f>
        <v>-41.1369863013699</v>
      </c>
      <c r="Y75" s="48" t="n">
        <f aca="false">-In_Lease*$F24*Y69*Y16*Y$6</f>
        <v>-41.5890410958904</v>
      </c>
      <c r="Z75" s="48" t="n">
        <f aca="false">-In_Lease*$F24*Z69*Z16*Z$6</f>
        <v>-41.5890410958904</v>
      </c>
      <c r="AA75" s="48" t="n">
        <f aca="false">-In_Lease*$F24*AA69*AA16*AA$6</f>
        <v>-41.7020547945206</v>
      </c>
      <c r="AB75" s="48" t="n">
        <f aca="false">-In_Lease*$F24*AB69*AB16*AB$6</f>
        <v>-42.1654109589041</v>
      </c>
      <c r="AC75" s="48" t="n">
        <f aca="false">-In_Lease*$F24*AC69*AC16*AC$6</f>
        <v>-42.6287671232877</v>
      </c>
      <c r="AD75" s="48" t="n">
        <f aca="false">-In_Lease*$F24*AD69*AD16*AD$6</f>
        <v>-42.6287671232877</v>
      </c>
      <c r="AE75" s="48" t="n">
        <f aca="false">-In_Lease*$F24*AE69*AE16*AE$6</f>
        <v>-43.2195462328767</v>
      </c>
      <c r="AF75" s="48" t="n">
        <f aca="false">-In_Lease*$F24*AF69*AF16*AF$6</f>
        <v>-43.2195462328767</v>
      </c>
      <c r="AG75" s="48" t="n">
        <f aca="false">-In_Lease*$F24*AG69*AG16*AG$6</f>
        <v>-43.6944863013699</v>
      </c>
      <c r="AH75" s="48" t="n">
        <f aca="false">-In_Lease*$F24*AH69*AH16*AH$6</f>
        <v>-43.6944863013699</v>
      </c>
      <c r="AI75" s="48" t="n">
        <f aca="false">-In_Lease*$F24*AI69*AI16*AI$6</f>
        <v>-43.8132213184931</v>
      </c>
      <c r="AJ75" s="48" t="n">
        <f aca="false">-In_Lease*$F24*AJ69*AJ16*AJ$6</f>
        <v>-44.3000348886986</v>
      </c>
      <c r="AK75" s="48" t="n">
        <f aca="false">-In_Lease*$F24*AK69*AK16*AK$6</f>
        <v>-44.7868484589041</v>
      </c>
      <c r="AL75" s="48" t="n">
        <f aca="false">-In_Lease*$F24*AL69*AL16*AL$6</f>
        <v>-44.7868484589041</v>
      </c>
      <c r="AM75" s="48" t="n">
        <f aca="false">-In_Lease*$F24*AM69*AM16*AM$6</f>
        <v>-44.9085518514555</v>
      </c>
      <c r="AN75" s="48" t="n">
        <f aca="false">-In_Lease*$F24*AN69*AN16*AN$6</f>
        <v>-45.4075357609161</v>
      </c>
      <c r="AO75" s="48" t="n">
        <f aca="false">-In_Lease*$F24*AO69*AO16*AO$6</f>
        <v>-45.9065196703767</v>
      </c>
      <c r="AP75" s="48" t="n">
        <f aca="false">-In_Lease*$F24*AP69*AP16*AP$6</f>
        <v>-45.9065196703767</v>
      </c>
      <c r="AQ75" s="48" t="n">
        <f aca="false">-In_Lease*$F24*AQ69*AQ16*AQ$6</f>
        <v>-46.0312656477419</v>
      </c>
      <c r="AR75" s="48" t="n">
        <f aca="false">-In_Lease*$F24*AR69*AR16*AR$6</f>
        <v>-46.542724154939</v>
      </c>
      <c r="AS75" s="48" t="n">
        <f aca="false">-In_Lease*$F24*AS69*AS16*AS$6</f>
        <v>-47.0541826621361</v>
      </c>
      <c r="AT75" s="48" t="n">
        <f aca="false">-In_Lease*$F24*AT69*AT16*AT$6</f>
        <v>-47.0541826621361</v>
      </c>
      <c r="AU75" s="48" t="n">
        <f aca="false">-In_Lease*$F24*AU69*AU16*AU$6</f>
        <v>-47.7062922588125</v>
      </c>
      <c r="AV75" s="48" t="n">
        <f aca="false">-In_Lease*$F24*AV69*AV16*AV$6</f>
        <v>-47.7062922588125</v>
      </c>
      <c r="AW75" s="48" t="n">
        <f aca="false">-In_Lease*$F24*AW69*AW16*AW$6</f>
        <v>-48.2305372286895</v>
      </c>
      <c r="AX75" s="48" t="n">
        <f aca="false">-In_Lease*$F24*AX69*AX16*AX$6</f>
        <v>-48.2305372286895</v>
      </c>
      <c r="AY75" s="48" t="n">
        <f aca="false">-In_Lease*$F24*AY69*AY16*AY$6</f>
        <v>-48.3615984711588</v>
      </c>
      <c r="AZ75" s="48" t="n">
        <f aca="false">-In_Lease*$F24*AZ69*AZ16*AZ$6</f>
        <v>-48.8989495652828</v>
      </c>
      <c r="BA75" s="48" t="n">
        <f aca="false">-In_Lease*$F24*BA69*BA16*BA$6</f>
        <v>-49.4363006594068</v>
      </c>
      <c r="BB75" s="48" t="n">
        <f aca="false">-In_Lease*$F24*BB69*BB16*BB$6</f>
        <v>-49.4363006594068</v>
      </c>
      <c r="BC75" s="48" t="n">
        <f aca="false">-In_Lease*$F24*BC69*BC16*BC$6</f>
        <v>-49.5706384329377</v>
      </c>
      <c r="BD75" s="48" t="n">
        <f aca="false">-In_Lease*$F24*BD69*BD16*BD$6</f>
        <v>-50.1214233044148</v>
      </c>
      <c r="BE75" s="48" t="n">
        <f aca="false">-In_Lease*$F24*BE69*BE16*BE$6</f>
        <v>-50.6722081758919</v>
      </c>
      <c r="BF75" s="48" t="n">
        <f aca="false">-In_Lease*$F24*BF69*BF16*BF$6</f>
        <v>-50.6722081758919</v>
      </c>
      <c r="BG75" s="48" t="n">
        <f aca="false">-In_Lease*$F24*BG69*BG16*BG$6</f>
        <v>-50.8099043937612</v>
      </c>
      <c r="BH75" s="48" t="n">
        <f aca="false">-In_Lease*$F24*BH69*BH16*BH$6</f>
        <v>-51.3744588870252</v>
      </c>
      <c r="BI75" s="48" t="n">
        <f aca="false">-In_Lease*$F24*BI69*BI16*BI$6</f>
        <v>-51.9390133802892</v>
      </c>
      <c r="BJ75" s="48" t="n">
        <f aca="false">-In_Lease*$F24*BJ69*BJ16*BJ$6</f>
        <v>-51.9390133802892</v>
      </c>
      <c r="BK75" s="48" t="n">
        <f aca="false">-In_Lease*$F24*BK69*BK16*BK$6</f>
        <v>-52.6588203592008</v>
      </c>
      <c r="BL75" s="48" t="n">
        <f aca="false">-In_Lease*$F24*BL69*BL16*BL$6</f>
        <v>-52.6588203592008</v>
      </c>
      <c r="BM75" s="48" t="n">
        <f aca="false">-In_Lease*$F24*BM69*BM16*BM$6</f>
        <v>-53.2374887147964</v>
      </c>
      <c r="BN75" s="48" t="n">
        <f aca="false">-In_Lease*$F24*BN69*BN16*BN$6</f>
        <v>-53.2374887147964</v>
      </c>
      <c r="BO75" s="48" t="n">
        <f aca="false">-In_Lease*$F24*BO69*BO16*BO$6</f>
        <v>-53.3821558036953</v>
      </c>
      <c r="BP75" s="48" t="n">
        <f aca="false">-In_Lease*$F24*BP69*BP16*BP$6</f>
        <v>-53.9752908681808</v>
      </c>
      <c r="BQ75" s="48" t="n">
        <f aca="false">-In_Lease*$F24*BQ69*BQ16*BQ$6</f>
        <v>-54.5684259326664</v>
      </c>
      <c r="BR75" s="48" t="n">
        <f aca="false">-In_Lease*$F24*BR69*BR16*BR$6</f>
        <v>-54.5684259326664</v>
      </c>
      <c r="BS75" s="48" t="n">
        <f aca="false">-In_Lease*$F24*BS69*BS16*BS$6</f>
        <v>-54.7167096987877</v>
      </c>
      <c r="BT75" s="48" t="n">
        <f aca="false">-In_Lease*$F24*BT69*BT16*BT$6</f>
        <v>-55.3246731398854</v>
      </c>
      <c r="BU75" s="48" t="n">
        <f aca="false">-In_Lease*$F24*BU69*BU16*BU$6</f>
        <v>-55.932636580983</v>
      </c>
      <c r="BV75" s="48" t="n">
        <f aca="false">-In_Lease*$F24*BV69*BV16*BV$6</f>
        <v>-55.932636580983</v>
      </c>
      <c r="BW75" s="48" t="n">
        <f aca="false">-In_Lease*$F24*BW69*BW16*BW$6</f>
        <v>-56.0846274412574</v>
      </c>
      <c r="BX75" s="48" t="n">
        <f aca="false">-In_Lease*$F24*BX69*BX16*BX$6</f>
        <v>-56.7077899683825</v>
      </c>
      <c r="BY75" s="48" t="n">
        <f aca="false">-In_Lease*$F24*BY69*BY16*BY$6</f>
        <v>-57.3309524955076</v>
      </c>
      <c r="BZ75" s="48" t="n">
        <f aca="false">-In_Lease*$F24*BZ69*BZ16*BZ$6</f>
        <v>-57.3309524955076</v>
      </c>
      <c r="CA75" s="48" t="n">
        <f aca="false">-In_Lease*$F24*CA69*CA16*CA$6</f>
        <v>-58.125484717592</v>
      </c>
      <c r="CB75" s="48" t="n">
        <f aca="false">-In_Lease*$F24*CB69*CB16*CB$6</f>
        <v>-58.125484717592</v>
      </c>
      <c r="CC75" s="48" t="n">
        <f aca="false">-In_Lease*$F24*CC69*CC16*CC$6</f>
        <v>-58.7642263078953</v>
      </c>
      <c r="CD75" s="48" t="n">
        <f aca="false">-In_Lease*$F24*CD69*CD16*CD$6</f>
        <v>-58.7642263078953</v>
      </c>
      <c r="CE75" s="48" t="n">
        <f aca="false">-In_Lease*$F24*CE69*CE16*CE$6</f>
        <v>-58.923911705471</v>
      </c>
      <c r="CF75" s="48" t="n">
        <f aca="false">-In_Lease*$F24*CF69*CF16*CF$6</f>
        <v>-59.5786218355318</v>
      </c>
      <c r="CG75" s="48" t="n">
        <f aca="false">-In_Lease*$F24*CG69*CG16*CG$6</f>
        <v>-60.2333319655926</v>
      </c>
      <c r="CH75" s="48" t="n">
        <f aca="false">-In_Lease*$F24*CH69*CH16*CH$6</f>
        <v>-60.2333319655926</v>
      </c>
      <c r="CI75" s="48" t="n">
        <f aca="false">-In_Lease*$F24*CI69*CI16*CI$6</f>
        <v>-60.3970094981078</v>
      </c>
      <c r="CJ75" s="48" t="n">
        <f aca="false">-In_Lease*$F24*CJ69*CJ16*CJ$6</f>
        <v>-61.0680873814201</v>
      </c>
      <c r="CK75" s="48" t="n">
        <f aca="false">-In_Lease*$F24*CK69*CK16*CK$6</f>
        <v>-61.7391652647324</v>
      </c>
      <c r="CL75" s="48" t="n">
        <f aca="false">-In_Lease*$F24*CL69*CL16*CL$6</f>
        <v>-61.7391652647324</v>
      </c>
      <c r="CM75" s="48" t="n">
        <f aca="false">-In_Lease*$F24*CM69*CM16*CM$6</f>
        <v>-61.9069347355605</v>
      </c>
      <c r="CN75" s="48" t="n">
        <f aca="false">-In_Lease*$F24*CN69*CN16*CN$6</f>
        <v>-62.5947895659556</v>
      </c>
      <c r="CO75" s="48" t="n">
        <f aca="false">-In_Lease*$F24*CO69*CO16*CO$6</f>
        <v>-63.2826443963507</v>
      </c>
      <c r="CP75" s="48" t="n">
        <f aca="false">-In_Lease*$F24*CP69*CP16*CP$6</f>
        <v>-63.2826443963507</v>
      </c>
      <c r="CQ75" s="48" t="n">
        <f aca="false">-In_Lease*$F24*CQ69*CQ16*CQ$6</f>
        <v>-64.1596593051045</v>
      </c>
      <c r="CR75" s="48" t="n">
        <f aca="false">-In_Lease*$F24*CR69*CR16*CR$6</f>
        <v>-64.1596593051045</v>
      </c>
      <c r="CS75" s="48" t="n">
        <f aca="false">-In_Lease*$F24*CS69*CS16*CS$6</f>
        <v>-64.8647105062595</v>
      </c>
      <c r="CT75" s="48" t="n">
        <f aca="false">-In_Lease*$F24*CT69*CT16*CT$6</f>
        <v>-64.8647105062595</v>
      </c>
      <c r="CU75" s="48" t="n">
        <f aca="false">-In_Lease*$F24*CU69*CU16*CU$6</f>
        <v>-65.0409733065482</v>
      </c>
      <c r="CV75" s="48" t="n">
        <f aca="false">-In_Lease*$F24*CV69*CV16*CV$6</f>
        <v>-65.7636507877321</v>
      </c>
      <c r="CW75" s="48" t="n">
        <f aca="false">-In_Lease*$F24*CW69*CW16*CW$6</f>
        <v>-66.486328268916</v>
      </c>
      <c r="CX75" s="48" t="n">
        <f aca="false">-In_Lease*$F24*CX69*CX16*CX$6</f>
        <v>-66.486328268916</v>
      </c>
      <c r="CY75" s="48" t="n">
        <f aca="false">-In_Lease*$F24*CY69*CY16*CY$6</f>
        <v>-66.6669976392119</v>
      </c>
      <c r="CZ75" s="48" t="n">
        <f aca="false">-In_Lease*$F24*CZ69*CZ16*CZ$6</f>
        <v>-67.4077420574254</v>
      </c>
      <c r="DA75" s="48" t="n">
        <f aca="false">-In_Lease*$F24*DA69*DA16*DA$6</f>
        <v>-68.1484864756389</v>
      </c>
      <c r="DB75" s="48" t="n">
        <f aca="false">-In_Lease*$F24*DB69*DB16*DB$6</f>
        <v>-68.1484864756389</v>
      </c>
      <c r="DC75" s="48" t="n">
        <f aca="false">-In_Lease*$F24*DC69*DC16*DC$6</f>
        <v>-68.3336725801922</v>
      </c>
      <c r="DD75" s="48" t="n">
        <f aca="false">-In_Lease*$F24*DD69*DD16*DD$6</f>
        <v>-69.0929356088611</v>
      </c>
      <c r="DE75" s="48" t="n">
        <f aca="false">-In_Lease*$F24*DE69*DE16*DE$6</f>
        <v>-69.8521986375299</v>
      </c>
      <c r="DF75" s="48" t="n">
        <f aca="false">-In_Lease*$F24*DF69*DF16*DF$6</f>
        <v>-69.8521986375299</v>
      </c>
      <c r="DG75" s="48" t="n">
        <f aca="false">-In_Lease*$F24*DG69*DG16*DG$6</f>
        <v>-70.8202589990826</v>
      </c>
      <c r="DH75" s="48" t="n">
        <f aca="false">-In_Lease*$F24*DH69*DH16*DH$6</f>
        <v>-70.8202589990826</v>
      </c>
      <c r="DI75" s="48" t="n">
        <f aca="false">-In_Lease*$F24*DI69*DI16*DI$6</f>
        <v>-71.5985036034681</v>
      </c>
      <c r="DJ75" s="48" t="n">
        <f aca="false">-In_Lease*$F24*DJ69*DJ16*DJ$6</f>
        <v>-71.5985036034681</v>
      </c>
      <c r="DK75" s="48" t="n">
        <f aca="false">-In_Lease*$F24*DK69*DK16*DK$6</f>
        <v>-71.7930647545645</v>
      </c>
      <c r="DL75" s="48" t="n">
        <f aca="false">-In_Lease*$F24*DL69*DL16*DL$6</f>
        <v>-72.5907654740596</v>
      </c>
      <c r="DM75" s="48" t="n">
        <f aca="false">-In_Lease*$F24*DM69*DM16*DM$6</f>
        <v>-73.3884661935548</v>
      </c>
      <c r="DN75" s="48" t="n">
        <f aca="false">-In_Lease*$F24*DN69*DN16*DN$6</f>
        <v>-73.3884661935548</v>
      </c>
      <c r="DO75" s="48" t="n">
        <f aca="false">-In_Lease*$F24*DO69*DO16*DO$6</f>
        <v>-73.5878913734286</v>
      </c>
      <c r="DP75" s="48" t="n">
        <f aca="false">-In_Lease*$F24*DP69*DP16*DP$6</f>
        <v>-74.4055346109111</v>
      </c>
      <c r="DQ75" s="48" t="n">
        <f aca="false">-In_Lease*$F24*DQ69*DQ16*DQ$6</f>
        <v>-75.2231778483937</v>
      </c>
      <c r="DR75" s="48" t="n">
        <f aca="false">-In_Lease*$F24*DR69*DR16*DR$6</f>
        <v>-75.2231778483937</v>
      </c>
      <c r="DS75" s="48" t="n">
        <f aca="false">-In_Lease*$F24*DS69*DS16*DS$6</f>
        <v>-75.4275886577643</v>
      </c>
      <c r="DT75" s="48" t="n">
        <f aca="false">-In_Lease*$F24*DT69*DT16*DT$6</f>
        <v>-76.2656729761839</v>
      </c>
      <c r="DU75" s="48" t="n">
        <f aca="false">-In_Lease*$F24*DU69*DU16*DU$6</f>
        <v>-77.1037572946035</v>
      </c>
      <c r="DV75" s="48" t="n">
        <f aca="false">-In_Lease*$F24*DV69*DV16*DV$6</f>
        <v>-77.1037572946035</v>
      </c>
      <c r="DW75" s="48" t="n">
        <f aca="false">-In_Lease*$F24*DW69*DW16*DW$6</f>
        <v>-78.1723148005885</v>
      </c>
      <c r="DX75" s="48" t="n">
        <f aca="false">-In_Lease*$F24*DX69*DX16*DX$6</f>
        <v>-78.1723148005885</v>
      </c>
      <c r="DY75" s="48" t="n">
        <f aca="false">-In_Lease*$F24*DY69*DY16*DY$6</f>
        <v>-79.0313512269686</v>
      </c>
      <c r="DZ75" s="48" t="n">
        <f aca="false">-In_Lease*$F24*DZ69*DZ16*DZ$6</f>
        <v>-79.0313512269686</v>
      </c>
      <c r="EA75" s="48" t="n">
        <f aca="false">-In_Lease*$F24*EA69*EA16*EA$6</f>
        <v>-79.2461103335636</v>
      </c>
      <c r="EB75" s="48" t="n">
        <f aca="false">-In_Lease*$F24*EB69*EB16*EB$6</f>
        <v>-80.1266226706032</v>
      </c>
      <c r="EC75" s="48" t="n">
        <f aca="false">-In_Lease*$F24*EC69*EC16*EC$6</f>
        <v>-81.0071350076428</v>
      </c>
      <c r="ED75" s="48" t="n">
        <f aca="false">-In_Lease*$F24*ED69*ED16*ED$6</f>
        <v>-81.0071350076428</v>
      </c>
      <c r="EE75" s="48" t="n">
        <f aca="false">-In_Lease*$F24*EE69*EE16*EE$6</f>
        <v>-81.2272630919027</v>
      </c>
      <c r="EF75" s="48" t="n">
        <f aca="false">-In_Lease*$F24*EF69*EF16*EF$6</f>
        <v>-82.1297882373683</v>
      </c>
      <c r="EG75" s="48" t="n">
        <f aca="false">-In_Lease*$F24*EG69*EG16*EG$6</f>
        <v>-83.0323133828338</v>
      </c>
      <c r="EH75" s="48" t="n">
        <f aca="false">-In_Lease*$F24*EH69*EH16*EH$6</f>
        <v>-83.0323133828338</v>
      </c>
      <c r="EI75" s="48" t="n">
        <f aca="false">-In_Lease*$F24*EI69*EI16*EI$6</f>
        <v>-83.2579446692002</v>
      </c>
      <c r="EJ75" s="48" t="n">
        <f aca="false">-In_Lease*$F24*EJ69*EJ16*EJ$6</f>
        <v>-84.1830329433024</v>
      </c>
      <c r="EK75" s="48" t="n">
        <f aca="false">-In_Lease*$F24*EK69*EK16*EK$6</f>
        <v>-85.1081212174047</v>
      </c>
      <c r="EL75" s="48" t="n">
        <f aca="false">-In_Lease*$F24*EL69*EL16*EL$6</f>
        <v>-85.1081212174047</v>
      </c>
      <c r="EM75" s="48" t="n">
        <f aca="false">-In_Lease*$F24*EM69*EM16*EM$6</f>
        <v>-86.287608766885</v>
      </c>
      <c r="EN75" s="48" t="n">
        <f aca="false">-In_Lease*$F24*EN69*EN16*EN$6</f>
        <v>-86.287608766885</v>
      </c>
      <c r="EO75" s="48" t="n">
        <f aca="false">-In_Lease*$F24*EO69*EO16*EO$6</f>
        <v>-87.2358242478398</v>
      </c>
    </row>
    <row r="76" customFormat="false" ht="15" hidden="false" customHeight="false" outlineLevel="0" collapsed="false">
      <c r="C76" s="1" t="s">
        <v>436</v>
      </c>
      <c r="D76" s="12" t="s">
        <v>33</v>
      </c>
      <c r="I76" s="48" t="n">
        <f aca="false">SUM(J76:EO76)</f>
        <v>-10098.0650826636</v>
      </c>
      <c r="J76" s="48" t="n">
        <f aca="false">-J72*(In_MEKH+In_HIPA+In_Innovation)</f>
        <v>-0</v>
      </c>
      <c r="K76" s="48" t="n">
        <f aca="false">-K72*(In_MEKH+In_HIPA+In_Innovation)</f>
        <v>-0</v>
      </c>
      <c r="L76" s="48" t="n">
        <f aca="false">-L72*(In_MEKH+In_HIPA+In_Innovation)</f>
        <v>-0</v>
      </c>
      <c r="M76" s="48" t="n">
        <f aca="false">-M72*(In_MEKH+In_HIPA+In_Innovation)</f>
        <v>-0</v>
      </c>
      <c r="N76" s="48" t="n">
        <f aca="false">-N72*(In_MEKH+In_HIPA+In_Innovation)</f>
        <v>-0</v>
      </c>
      <c r="O76" s="48" t="n">
        <f aca="false">-O72*(In_MEKH+In_HIPA+In_Innovation)</f>
        <v>-0</v>
      </c>
      <c r="P76" s="48" t="n">
        <f aca="false">-P72*(In_MEKH+In_HIPA+In_Innovation)</f>
        <v>-0</v>
      </c>
      <c r="Q76" s="48" t="n">
        <f aca="false">-Q72*(In_MEKH+In_HIPA+In_Innovation)</f>
        <v>-0</v>
      </c>
      <c r="R76" s="48" t="n">
        <f aca="false">-R72*(In_MEKH+In_HIPA+In_Innovation)</f>
        <v>-0</v>
      </c>
      <c r="S76" s="48" t="n">
        <f aca="false">-S72*(In_MEKH+In_HIPA+In_Innovation)</f>
        <v>-0</v>
      </c>
      <c r="T76" s="48" t="n">
        <f aca="false">-T72*(In_MEKH+In_HIPA+In_Innovation)</f>
        <v>-0</v>
      </c>
      <c r="U76" s="48" t="n">
        <f aca="false">-U72*(In_MEKH+In_HIPA+In_Innovation)</f>
        <v>-0</v>
      </c>
      <c r="V76" s="48" t="n">
        <f aca="false">-V72*(In_MEKH+In_HIPA+In_Innovation)</f>
        <v>-0</v>
      </c>
      <c r="W76" s="48" t="n">
        <f aca="false">-W72*(In_MEKH+In_HIPA+In_Innovation)</f>
        <v>-0</v>
      </c>
      <c r="X76" s="48" t="n">
        <f aca="false">-X72*(In_MEKH+In_HIPA+In_Innovation)</f>
        <v>-0</v>
      </c>
      <c r="Y76" s="48" t="n">
        <f aca="false">-Y72*(In_MEKH+In_HIPA+In_Innovation)</f>
        <v>-0</v>
      </c>
      <c r="Z76" s="48" t="n">
        <f aca="false">-Z72*(In_MEKH+In_HIPA+In_Innovation)</f>
        <v>-75.950784</v>
      </c>
      <c r="AA76" s="48" t="n">
        <f aca="false">-AA72*(In_MEKH+In_HIPA+In_Innovation)</f>
        <v>-75.0426768</v>
      </c>
      <c r="AB76" s="48" t="n">
        <f aca="false">-AB72*(In_MEKH+In_HIPA+In_Innovation)</f>
        <v>-75.87648432</v>
      </c>
      <c r="AC76" s="48" t="n">
        <f aca="false">-AC72*(In_MEKH+In_HIPA+In_Innovation)</f>
        <v>-76.71029184</v>
      </c>
      <c r="AD76" s="48" t="n">
        <f aca="false">-AD72*(In_MEKH+In_HIPA+In_Innovation)</f>
        <v>-76.48016096448</v>
      </c>
      <c r="AE76" s="48" t="n">
        <f aca="false">-AE72*(In_MEKH+In_HIPA+In_Innovation)</f>
        <v>-76.4053434157104</v>
      </c>
      <c r="AF76" s="48" t="n">
        <f aca="false">-AF72*(In_MEKH+In_HIPA+In_Innovation)</f>
        <v>-76.4053434157104</v>
      </c>
      <c r="AG76" s="48" t="n">
        <f aca="false">-AG72*(In_MEKH+In_HIPA+In_Innovation)</f>
        <v>-77.2449625741248</v>
      </c>
      <c r="AH76" s="48" t="n">
        <f aca="false">-AH72*(In_MEKH+In_HIPA+In_Innovation)</f>
        <v>-77.0132276864024</v>
      </c>
      <c r="AI76" s="48" t="n">
        <f aca="false">-AI72*(In_MEKH+In_HIPA+In_Innovation)</f>
        <v>-76.0924173553694</v>
      </c>
      <c r="AJ76" s="48" t="n">
        <f aca="false">-AJ72*(In_MEKH+In_HIPA+In_Innovation)</f>
        <v>-76.9378886593179</v>
      </c>
      <c r="AK76" s="48" t="n">
        <f aca="false">-AK72*(In_MEKH+In_HIPA+In_Innovation)</f>
        <v>-77.7833599632665</v>
      </c>
      <c r="AL76" s="48" t="n">
        <f aca="false">-AL72*(In_MEKH+In_HIPA+In_Innovation)</f>
        <v>-77.5500098833767</v>
      </c>
      <c r="AM76" s="48" t="n">
        <f aca="false">-AM72*(In_MEKH+In_HIPA+In_Innovation)</f>
        <v>-76.6227815043363</v>
      </c>
      <c r="AN76" s="48" t="n">
        <f aca="false">-AN72*(In_MEKH+In_HIPA+In_Innovation)</f>
        <v>-77.4741457432734</v>
      </c>
      <c r="AO76" s="48" t="n">
        <f aca="false">-AO72*(In_MEKH+In_HIPA+In_Innovation)</f>
        <v>-78.3255099822104</v>
      </c>
      <c r="AP76" s="48" t="n">
        <f aca="false">-AP72*(In_MEKH+In_HIPA+In_Innovation)</f>
        <v>-78.0905334522638</v>
      </c>
      <c r="AQ76" s="48" t="n">
        <f aca="false">-AQ72*(In_MEKH+In_HIPA+In_Innovation)</f>
        <v>-77.1568422914215</v>
      </c>
      <c r="AR76" s="48" t="n">
        <f aca="false">-AR72*(In_MEKH+In_HIPA+In_Innovation)</f>
        <v>-78.014140539104</v>
      </c>
      <c r="AS76" s="48" t="n">
        <f aca="false">-AS72*(In_MEKH+In_HIPA+In_Innovation)</f>
        <v>-78.8714387867865</v>
      </c>
      <c r="AT76" s="48" t="n">
        <f aca="false">-AT72*(In_MEKH+In_HIPA+In_Innovation)</f>
        <v>-78.6348244704261</v>
      </c>
      <c r="AU76" s="48" t="n">
        <f aca="false">-AU72*(In_MEKH+In_HIPA+In_Innovation)</f>
        <v>-78.5578990986615</v>
      </c>
      <c r="AV76" s="48" t="n">
        <f aca="false">-AV72*(In_MEKH+In_HIPA+In_Innovation)</f>
        <v>-78.5578990986615</v>
      </c>
      <c r="AW76" s="48" t="n">
        <f aca="false">-AW72*(In_MEKH+In_HIPA+In_Innovation)</f>
        <v>-79.4211727151304</v>
      </c>
      <c r="AX76" s="48" t="n">
        <f aca="false">-AX72*(In_MEKH+In_HIPA+In_Innovation)</f>
        <v>-79.182909196985</v>
      </c>
      <c r="AY76" s="48" t="n">
        <f aca="false">-AY72*(In_MEKH+In_HIPA+In_Innovation)</f>
        <v>-78.2361570218036</v>
      </c>
      <c r="AZ76" s="48" t="n">
        <f aca="false">-AZ72*(In_MEKH+In_HIPA+In_Innovation)</f>
        <v>-79.1054476553792</v>
      </c>
      <c r="BA76" s="48" t="n">
        <f aca="false">-BA72*(In_MEKH+In_HIPA+In_Innovation)</f>
        <v>-79.9747382889548</v>
      </c>
      <c r="BB76" s="48" t="n">
        <f aca="false">-BB72*(In_MEKH+In_HIPA+In_Innovation)</f>
        <v>-79.7348140740879</v>
      </c>
      <c r="BC76" s="48" t="n">
        <f aca="false">-BC72*(In_MEKH+In_HIPA+In_Innovation)</f>
        <v>-78.7814630362456</v>
      </c>
      <c r="BD76" s="48" t="n">
        <f aca="false">-BD72*(In_MEKH+In_HIPA+In_Innovation)</f>
        <v>-79.6568126255372</v>
      </c>
      <c r="BE76" s="48" t="n">
        <f aca="false">-BE72*(In_MEKH+In_HIPA+In_Innovation)</f>
        <v>-80.5321622148288</v>
      </c>
      <c r="BF76" s="48" t="n">
        <f aca="false">-BF72*(In_MEKH+In_HIPA+In_Innovation)</f>
        <v>-80.2905657281844</v>
      </c>
      <c r="BG76" s="48" t="n">
        <f aca="false">-BG72*(In_MEKH+In_HIPA+In_Innovation)</f>
        <v>-79.3305698336082</v>
      </c>
      <c r="BH76" s="48" t="n">
        <f aca="false">-BH72*(In_MEKH+In_HIPA+In_Innovation)</f>
        <v>-80.2120206095372</v>
      </c>
      <c r="BI76" s="48" t="n">
        <f aca="false">-BI72*(In_MEKH+In_HIPA+In_Innovation)</f>
        <v>-81.0934713854662</v>
      </c>
      <c r="BJ76" s="48" t="n">
        <f aca="false">-BJ72*(In_MEKH+In_HIPA+In_Innovation)</f>
        <v>-80.8501909713098</v>
      </c>
      <c r="BK76" s="48" t="n">
        <f aca="false">-BK72*(In_MEKH+In_HIPA+In_Innovation)</f>
        <v>-80.7710983931857</v>
      </c>
      <c r="BL76" s="48" t="n">
        <f aca="false">-BL72*(In_MEKH+In_HIPA+In_Innovation)</f>
        <v>-80.7710983931857</v>
      </c>
      <c r="BM76" s="48" t="n">
        <f aca="false">-BM72*(In_MEKH+In_HIPA+In_Innovation)</f>
        <v>-81.6586928810229</v>
      </c>
      <c r="BN76" s="48" t="n">
        <f aca="false">-BN72*(In_MEKH+In_HIPA+In_Innovation)</f>
        <v>-81.4137168023798</v>
      </c>
      <c r="BO76" s="48" t="n">
        <f aca="false">-BO72*(In_MEKH+In_HIPA+In_Innovation)</f>
        <v>-80.4402919275687</v>
      </c>
      <c r="BP76" s="48" t="n">
        <f aca="false">-BP72*(In_MEKH+In_HIPA+In_Innovation)</f>
        <v>-81.3340729489862</v>
      </c>
      <c r="BQ76" s="48" t="n">
        <f aca="false">-BQ72*(In_MEKH+In_HIPA+In_Innovation)</f>
        <v>-82.2278539704036</v>
      </c>
      <c r="BR76" s="48" t="n">
        <f aca="false">-BR72*(In_MEKH+In_HIPA+In_Innovation)</f>
        <v>-81.9811704084924</v>
      </c>
      <c r="BS76" s="48" t="n">
        <f aca="false">-BS72*(In_MEKH+In_HIPA+In_Innovation)</f>
        <v>-81.0009607623039</v>
      </c>
      <c r="BT76" s="48" t="n">
        <f aca="false">-BT72*(In_MEKH+In_HIPA+In_Innovation)</f>
        <v>-81.9009714374406</v>
      </c>
      <c r="BU76" s="48" t="n">
        <f aca="false">-BU72*(In_MEKH+In_HIPA+In_Innovation)</f>
        <v>-82.8009821125773</v>
      </c>
      <c r="BV76" s="48" t="n">
        <f aca="false">-BV72*(In_MEKH+In_HIPA+In_Innovation)</f>
        <v>-82.5525791662396</v>
      </c>
      <c r="BW76" s="48" t="n">
        <f aca="false">-BW72*(In_MEKH+In_HIPA+In_Innovation)</f>
        <v>-81.5655374588172</v>
      </c>
      <c r="BX76" s="48" t="n">
        <f aca="false">-BX72*(In_MEKH+In_HIPA+In_Innovation)</f>
        <v>-82.4718212083596</v>
      </c>
      <c r="BY76" s="48" t="n">
        <f aca="false">-BY72*(In_MEKH+In_HIPA+In_Innovation)</f>
        <v>-83.378104957902</v>
      </c>
      <c r="BZ76" s="48" t="n">
        <f aca="false">-BZ72*(In_MEKH+In_HIPA+In_Innovation)</f>
        <v>-83.1279706430283</v>
      </c>
      <c r="CA76" s="48" t="n">
        <f aca="false">-CA72*(In_MEKH+In_HIPA+In_Innovation)</f>
        <v>-83.0466498021818</v>
      </c>
      <c r="CB76" s="48" t="n">
        <f aca="false">-CB72*(In_MEKH+In_HIPA+In_Innovation)</f>
        <v>-83.0466498021818</v>
      </c>
      <c r="CC76" s="48" t="n">
        <f aca="false">-CC72*(In_MEKH+In_HIPA+In_Innovation)</f>
        <v>-83.9592503494586</v>
      </c>
      <c r="CD76" s="48" t="n">
        <f aca="false">-CD72*(In_MEKH+In_HIPA+In_Innovation)</f>
        <v>-83.7073725984102</v>
      </c>
      <c r="CE76" s="48" t="n">
        <f aca="false">-CE72*(In_MEKH+In_HIPA+In_Innovation)</f>
        <v>-82.7065235782118</v>
      </c>
      <c r="CF76" s="48" t="n">
        <f aca="false">-CF72*(In_MEKH+In_HIPA+In_Innovation)</f>
        <v>-83.625484951303</v>
      </c>
      <c r="CG76" s="48" t="n">
        <f aca="false">-CG72*(In_MEKH+In_HIPA+In_Innovation)</f>
        <v>-84.5444463243943</v>
      </c>
      <c r="CH76" s="48" t="n">
        <f aca="false">-CH72*(In_MEKH+In_HIPA+In_Innovation)</f>
        <v>-84.2908129854211</v>
      </c>
      <c r="CI76" s="48" t="n">
        <f aca="false">-CI72*(In_MEKH+In_HIPA+In_Innovation)</f>
        <v>-83.2829880475519</v>
      </c>
      <c r="CJ76" s="48" t="n">
        <f aca="false">-CJ72*(In_MEKH+In_HIPA+In_Innovation)</f>
        <v>-84.2083545814136</v>
      </c>
      <c r="CK76" s="48" t="n">
        <f aca="false">-CK72*(In_MEKH+In_HIPA+In_Innovation)</f>
        <v>-85.1337211152753</v>
      </c>
      <c r="CL76" s="48" t="n">
        <f aca="false">-CL72*(In_MEKH+In_HIPA+In_Innovation)</f>
        <v>-84.8783199519295</v>
      </c>
      <c r="CM76" s="48" t="n">
        <f aca="false">-CM72*(In_MEKH+In_HIPA+In_Innovation)</f>
        <v>-83.8634704742434</v>
      </c>
      <c r="CN76" s="48" t="n">
        <f aca="false">-CN72*(In_MEKH+In_HIPA+In_Innovation)</f>
        <v>-84.7952868128461</v>
      </c>
      <c r="CO76" s="48" t="n">
        <f aca="false">-CO72*(In_MEKH+In_HIPA+In_Innovation)</f>
        <v>-85.7271031514488</v>
      </c>
      <c r="CP76" s="48" t="n">
        <f aca="false">-CP72*(In_MEKH+In_HIPA+In_Innovation)</f>
        <v>-85.4699218419945</v>
      </c>
      <c r="CQ76" s="48" t="n">
        <f aca="false">-CQ72*(In_MEKH+In_HIPA+In_Innovation)</f>
        <v>-85.3863099619316</v>
      </c>
      <c r="CR76" s="48" t="n">
        <f aca="false">-CR72*(In_MEKH+In_HIPA+In_Innovation)</f>
        <v>-85.3863099619316</v>
      </c>
      <c r="CS76" s="48" t="n">
        <f aca="false">-CS72*(In_MEKH+In_HIPA+In_Innovation)</f>
        <v>-86.3246210604144</v>
      </c>
      <c r="CT76" s="48" t="n">
        <f aca="false">-CT72*(In_MEKH+In_HIPA+In_Innovation)</f>
        <v>-86.0656471972332</v>
      </c>
      <c r="CU76" s="48" t="n">
        <f aca="false">-CU72*(In_MEKH+In_HIPA+In_Innovation)</f>
        <v>-85.0366014155271</v>
      </c>
      <c r="CV76" s="48" t="n">
        <f aca="false">-CV72*(In_MEKH+In_HIPA+In_Innovation)</f>
        <v>-85.9814525423663</v>
      </c>
      <c r="CW76" s="48" t="n">
        <f aca="false">-CW72*(In_MEKH+In_HIPA+In_Innovation)</f>
        <v>-86.9263036692055</v>
      </c>
      <c r="CX76" s="48" t="n">
        <f aca="false">-CX72*(In_MEKH+In_HIPA+In_Innovation)</f>
        <v>-86.6655247581979</v>
      </c>
      <c r="CY76" s="48" t="n">
        <f aca="false">-CY72*(In_MEKH+In_HIPA+In_Innovation)</f>
        <v>-85.6293065273933</v>
      </c>
      <c r="CZ76" s="48" t="n">
        <f aca="false">-CZ72*(In_MEKH+In_HIPA+In_Innovation)</f>
        <v>-86.5807432665866</v>
      </c>
      <c r="DA76" s="48" t="n">
        <f aca="false">-DA72*(In_MEKH+In_HIPA+In_Innovation)</f>
        <v>-87.5321800057799</v>
      </c>
      <c r="DB76" s="48" t="n">
        <f aca="false">-DB72*(In_MEKH+In_HIPA+In_Innovation)</f>
        <v>-87.2695834657625</v>
      </c>
      <c r="DC76" s="48" t="n">
        <f aca="false">-DC72*(In_MEKH+In_HIPA+In_Innovation)</f>
        <v>-86.2261427938893</v>
      </c>
      <c r="DD76" s="48" t="n">
        <f aca="false">-DD72*(In_MEKH+In_HIPA+In_Innovation)</f>
        <v>-87.1842110471547</v>
      </c>
      <c r="DE76" s="48" t="n">
        <f aca="false">-DE72*(In_MEKH+In_HIPA+In_Innovation)</f>
        <v>-88.1422793004201</v>
      </c>
      <c r="DF76" s="48" t="n">
        <f aca="false">-DF72*(In_MEKH+In_HIPA+In_Innovation)</f>
        <v>-87.8778524625189</v>
      </c>
      <c r="DG76" s="48" t="n">
        <f aca="false">-DG72*(In_MEKH+In_HIPA+In_Innovation)</f>
        <v>-87.7918849981534</v>
      </c>
      <c r="DH76" s="48" t="n">
        <f aca="false">-DH72*(In_MEKH+In_HIPA+In_Innovation)</f>
        <v>-87.7918849981534</v>
      </c>
      <c r="DI76" s="48" t="n">
        <f aca="false">-DI72*(In_MEKH+In_HIPA+In_Innovation)</f>
        <v>-88.7566309871441</v>
      </c>
      <c r="DJ76" s="48" t="n">
        <f aca="false">-DJ72*(In_MEKH+In_HIPA+In_Innovation)</f>
        <v>-88.4903610941826</v>
      </c>
      <c r="DK76" s="48" t="n">
        <f aca="false">-DK72*(In_MEKH+In_HIPA+In_Innovation)</f>
        <v>-87.4323241680565</v>
      </c>
      <c r="DL76" s="48" t="n">
        <f aca="false">-DL72*(In_MEKH+In_HIPA+In_Innovation)</f>
        <v>-88.4037944365905</v>
      </c>
      <c r="DM76" s="48" t="n">
        <f aca="false">-DM72*(In_MEKH+In_HIPA+In_Innovation)</f>
        <v>-89.3752647051245</v>
      </c>
      <c r="DN76" s="48" t="n">
        <f aca="false">-DN72*(In_MEKH+In_HIPA+In_Innovation)</f>
        <v>-89.1071389110091</v>
      </c>
      <c r="DO76" s="48" t="n">
        <f aca="false">-DO72*(In_MEKH+In_HIPA+In_Innovation)</f>
        <v>-88.0417274675079</v>
      </c>
      <c r="DP76" s="48" t="n">
        <f aca="false">-DP72*(In_MEKH+In_HIPA+In_Innovation)</f>
        <v>-89.0199688838135</v>
      </c>
      <c r="DQ76" s="48" t="n">
        <f aca="false">-DQ72*(In_MEKH+In_HIPA+In_Innovation)</f>
        <v>-89.9982103001192</v>
      </c>
      <c r="DR76" s="48" t="n">
        <f aca="false">-DR72*(In_MEKH+In_HIPA+In_Innovation)</f>
        <v>-89.7282156692188</v>
      </c>
      <c r="DS76" s="48" t="n">
        <f aca="false">-DS72*(In_MEKH+In_HIPA+In_Innovation)</f>
        <v>-88.6553783079564</v>
      </c>
      <c r="DT76" s="48" t="n">
        <f aca="false">-DT72*(In_MEKH+In_HIPA+In_Innovation)</f>
        <v>-89.6404380669337</v>
      </c>
      <c r="DU76" s="48" t="n">
        <f aca="false">-DU72*(In_MEKH+In_HIPA+In_Innovation)</f>
        <v>-90.625497825911</v>
      </c>
      <c r="DV76" s="48" t="n">
        <f aca="false">-DV72*(In_MEKH+In_HIPA+In_Innovation)</f>
        <v>-90.3536213324333</v>
      </c>
      <c r="DW76" s="48" t="n">
        <f aca="false">-DW72*(In_MEKH+In_HIPA+In_Innovation)</f>
        <v>-90.2652319202602</v>
      </c>
      <c r="DX76" s="48" t="n">
        <f aca="false">-DX72*(In_MEKH+In_HIPA+In_Innovation)</f>
        <v>-90.2652319202602</v>
      </c>
      <c r="DY76" s="48" t="n">
        <f aca="false">-DY72*(In_MEKH+In_HIPA+In_Innovation)</f>
        <v>-91.2571575457576</v>
      </c>
      <c r="DZ76" s="48" t="n">
        <f aca="false">-DZ72*(In_MEKH+In_HIPA+In_Innovation)</f>
        <v>-90.9833860731203</v>
      </c>
      <c r="EA76" s="48" t="n">
        <f aca="false">-EA72*(In_MEKH+In_HIPA+In_Innovation)</f>
        <v>-89.8955412396374</v>
      </c>
      <c r="EB76" s="48" t="n">
        <f aca="false">-EB72*(In_MEKH+In_HIPA+In_Innovation)</f>
        <v>-90.8943805867445</v>
      </c>
      <c r="EC76" s="48" t="n">
        <f aca="false">-EC72*(In_MEKH+In_HIPA+In_Innovation)</f>
        <v>-91.8932199338516</v>
      </c>
      <c r="ED76" s="48" t="n">
        <f aca="false">-ED72*(In_MEKH+In_HIPA+In_Innovation)</f>
        <v>-91.61754027405</v>
      </c>
      <c r="EE76" s="48" t="n">
        <f aca="false">-EE72*(In_MEKH+In_HIPA+In_Innovation)</f>
        <v>-90.5221131620776</v>
      </c>
      <c r="EF76" s="48" t="n">
        <f aca="false">-EF72*(In_MEKH+In_HIPA+In_Innovation)</f>
        <v>-91.5279144194341</v>
      </c>
      <c r="EG76" s="48" t="n">
        <f aca="false">-EG72*(In_MEKH+In_HIPA+In_Innovation)</f>
        <v>-92.5337156767905</v>
      </c>
      <c r="EH76" s="48" t="n">
        <f aca="false">-EH72*(In_MEKH+In_HIPA+In_Innovation)</f>
        <v>-92.2561145297601</v>
      </c>
      <c r="EI76" s="48" t="n">
        <f aca="false">-EI72*(In_MEKH+In_HIPA+In_Innovation)</f>
        <v>-91.1530522908173</v>
      </c>
      <c r="EJ76" s="48" t="n">
        <f aca="false">-EJ72*(In_MEKH+In_HIPA+In_Innovation)</f>
        <v>-92.1658639829375</v>
      </c>
      <c r="EK76" s="48" t="n">
        <f aca="false">-EK72*(In_MEKH+In_HIPA+In_Innovation)</f>
        <v>-93.1786756750577</v>
      </c>
      <c r="EL76" s="48" t="n">
        <f aca="false">-EL72*(In_MEKH+In_HIPA+In_Innovation)</f>
        <v>-92.8991396480325</v>
      </c>
      <c r="EM76" s="48" t="n">
        <f aca="false">-EM72*(In_MEKH+In_HIPA+In_Innovation)</f>
        <v>-92.8082600548986</v>
      </c>
      <c r="EN76" s="48" t="n">
        <f aca="false">-EN72*(In_MEKH+In_HIPA+In_Innovation)</f>
        <v>-92.8082600548986</v>
      </c>
      <c r="EO76" s="48" t="n">
        <f aca="false">-EO72*(In_MEKH+In_HIPA+In_Innovation)</f>
        <v>-93.8281310445129</v>
      </c>
    </row>
    <row r="77" customFormat="false" ht="15" hidden="false" customHeight="false" outlineLevel="0" collapsed="false">
      <c r="C77" s="1" t="s">
        <v>319</v>
      </c>
      <c r="D77" s="12" t="s">
        <v>33</v>
      </c>
      <c r="I77" s="48" t="n">
        <f aca="false">SUM(J77:EO77)</f>
        <v>-4936.62840952233</v>
      </c>
      <c r="J77" s="48" t="n">
        <f aca="false">In_Opex_Contingency*(J73+J74+J75-J72*In_MEKH)</f>
        <v>-0</v>
      </c>
      <c r="K77" s="48" t="n">
        <f aca="false">In_Opex_Contingency*(K73+K74+K75-K72*In_MEKH)</f>
        <v>-0</v>
      </c>
      <c r="L77" s="48" t="n">
        <f aca="false">In_Opex_Contingency*(L73+L74+L75-L72*In_MEKH)</f>
        <v>-0</v>
      </c>
      <c r="M77" s="48" t="n">
        <f aca="false">In_Opex_Contingency*(M73+M74+M75-M72*In_MEKH)</f>
        <v>-0</v>
      </c>
      <c r="N77" s="48" t="n">
        <f aca="false">In_Opex_Contingency*(N73+N74+N75-N72*In_MEKH)</f>
        <v>-0</v>
      </c>
      <c r="O77" s="48" t="n">
        <f aca="false">In_Opex_Contingency*(O73+O74+O75-O72*In_MEKH)</f>
        <v>-0</v>
      </c>
      <c r="P77" s="48" t="n">
        <f aca="false">In_Opex_Contingency*(P73+P74+P75-P72*In_MEKH)</f>
        <v>-0</v>
      </c>
      <c r="Q77" s="48" t="n">
        <f aca="false">In_Opex_Contingency*(Q73+Q74+Q75-Q72*In_MEKH)</f>
        <v>-0</v>
      </c>
      <c r="R77" s="48" t="n">
        <f aca="false">In_Opex_Contingency*(R73+R74+R75-R72*In_MEKH)</f>
        <v>-1.979252401946</v>
      </c>
      <c r="S77" s="48" t="n">
        <f aca="false">In_Opex_Contingency*(S73+S74+S75-S72*In_MEKH)</f>
        <v>-1.98463080521216</v>
      </c>
      <c r="T77" s="48" t="n">
        <f aca="false">In_Opex_Contingency*(T73+T74+T75-T72*In_MEKH)</f>
        <v>-2.00668225860341</v>
      </c>
      <c r="U77" s="48" t="n">
        <f aca="false">In_Opex_Contingency*(U73+U74+U75-U72*In_MEKH)</f>
        <v>-2.02873371199466</v>
      </c>
      <c r="V77" s="48" t="n">
        <f aca="false">In_Opex_Contingency*(V73+V74+V75-V72*In_MEKH)</f>
        <v>-2.02873371199466</v>
      </c>
      <c r="W77" s="48" t="n">
        <f aca="false">In_Opex_Contingency*(W73+W74+W75-W72*In_MEKH)</f>
        <v>-2.03424657534247</v>
      </c>
      <c r="X77" s="48" t="n">
        <f aca="false">In_Opex_Contingency*(X73+X74+X75-X72*In_MEKH)</f>
        <v>-2.05684931506849</v>
      </c>
      <c r="Y77" s="48" t="n">
        <f aca="false">In_Opex_Contingency*(Y73+Y74+Y75-Y72*In_MEKH)</f>
        <v>-2.07945205479452</v>
      </c>
      <c r="Z77" s="48" t="n">
        <f aca="false">In_Opex_Contingency*(Z73+Z74+Z75-Z72*In_MEKH)</f>
        <v>-28.1680088821918</v>
      </c>
      <c r="AA77" s="48" t="n">
        <f aca="false">In_Opex_Contingency*(AA73+AA74+AA75-AA72*In_MEKH)</f>
        <v>-28.242230519589</v>
      </c>
      <c r="AB77" s="48" t="n">
        <f aca="false">In_Opex_Contingency*(AB73+AB74+AB75-AB72*In_MEKH)</f>
        <v>-28.5560330809178</v>
      </c>
      <c r="AC77" s="48" t="n">
        <f aca="false">In_Opex_Contingency*(AC73+AC74+AC75-AC72*In_MEKH)</f>
        <v>-28.8698356422466</v>
      </c>
      <c r="AD77" s="48" t="n">
        <f aca="false">In_Opex_Contingency*(AD73+AD74+AD75-AD72*In_MEKH)</f>
        <v>-28.8423251079226</v>
      </c>
      <c r="AE77" s="48" t="n">
        <f aca="false">In_Opex_Contingency*(AE73+AE74+AE75-AE72*In_MEKH)</f>
        <v>-29.2396780867797</v>
      </c>
      <c r="AF77" s="48" t="n">
        <f aca="false">In_Opex_Contingency*(AF73+AF74+AF75-AF72*In_MEKH)</f>
        <v>-29.2396780867797</v>
      </c>
      <c r="AG77" s="48" t="n">
        <f aca="false">In_Opex_Contingency*(AG73+AG74+AG75-AG72*In_MEKH)</f>
        <v>-29.5609932305905</v>
      </c>
      <c r="AH77" s="48" t="n">
        <f aca="false">In_Opex_Contingency*(AH73+AH74+AH75-AH72*In_MEKH)</f>
        <v>-29.5328866978166</v>
      </c>
      <c r="AI77" s="48" t="n">
        <f aca="false">In_Opex_Contingency*(AI73+AI74+AI75-AI72*In_MEKH)</f>
        <v>-29.6107847627251</v>
      </c>
      <c r="AJ77" s="48" t="n">
        <f aca="false">In_Opex_Contingency*(AJ73+AJ74+AJ75-AJ72*In_MEKH)</f>
        <v>-29.9397934823109</v>
      </c>
      <c r="AK77" s="48" t="n">
        <f aca="false">In_Opex_Contingency*(AK73+AK74+AK75-AK72*In_MEKH)</f>
        <v>-30.2688022018968</v>
      </c>
      <c r="AL77" s="48" t="n">
        <f aca="false">In_Opex_Contingency*(AL73+AL74+AL75-AL72*In_MEKH)</f>
        <v>-30.2400866533818</v>
      </c>
      <c r="AM77" s="48" t="n">
        <f aca="false">In_Opex_Contingency*(AM73+AM74+AM75-AM72*In_MEKH)</f>
        <v>-30.3198900475182</v>
      </c>
      <c r="AN77" s="48" t="n">
        <f aca="false">In_Opex_Contingency*(AN73+AN74+AN75-AN72*In_MEKH)</f>
        <v>-30.6567777147129</v>
      </c>
      <c r="AO77" s="48" t="n">
        <f aca="false">In_Opex_Contingency*(AO73+AO74+AO75-AO72*In_MEKH)</f>
        <v>-30.9936653819075</v>
      </c>
      <c r="AP77" s="48" t="n">
        <f aca="false">In_Opex_Contingency*(AP73+AP74+AP75-AP72*In_MEKH)</f>
        <v>-30.9643275153048</v>
      </c>
      <c r="AQ77" s="48" t="n">
        <f aca="false">In_Opex_Contingency*(AQ73+AQ74+AQ75-AQ72*In_MEKH)</f>
        <v>-31.0460824311036</v>
      </c>
      <c r="AR77" s="48" t="n">
        <f aca="false">In_Opex_Contingency*(AR73+AR74+AR75-AR72*In_MEKH)</f>
        <v>-31.3910389025603</v>
      </c>
      <c r="AS77" s="48" t="n">
        <f aca="false">In_Opex_Contingency*(AS73+AS74+AS75-AS72*In_MEKH)</f>
        <v>-31.735995374017</v>
      </c>
      <c r="AT77" s="48" t="n">
        <f aca="false">In_Opex_Contingency*(AT73+AT74+AT75-AT72*In_MEKH)</f>
        <v>-31.7060215956766</v>
      </c>
      <c r="AU77" s="48" t="n">
        <f aca="false">In_Opex_Contingency*(AU73+AU74+AU75-AU72*In_MEKH)</f>
        <v>-32.1429950712461</v>
      </c>
      <c r="AV77" s="48" t="n">
        <f aca="false">In_Opex_Contingency*(AV73+AV74+AV75-AV72*In_MEKH)</f>
        <v>-32.1429950712461</v>
      </c>
      <c r="AW77" s="48" t="n">
        <f aca="false">In_Opex_Contingency*(AW73+AW74+AW75-AW72*In_MEKH)</f>
        <v>-32.4962147973038</v>
      </c>
      <c r="AX77" s="48" t="n">
        <f aca="false">In_Opex_Contingency*(AX73+AX74+AX75-AX72*In_MEKH)</f>
        <v>-32.465591215888</v>
      </c>
      <c r="AY77" s="48" t="n">
        <f aca="false">In_Opex_Contingency*(AY73+AY74+AY75-AY72*In_MEKH)</f>
        <v>-32.5513922579734</v>
      </c>
      <c r="AZ77" s="48" t="n">
        <f aca="false">In_Opex_Contingency*(AZ73+AZ74+AZ75-AZ72*In_MEKH)</f>
        <v>-32.9130743941731</v>
      </c>
      <c r="BA77" s="48" t="n">
        <f aca="false">In_Opex_Contingency*(BA73+BA74+BA75-BA72*In_MEKH)</f>
        <v>-33.2747565303728</v>
      </c>
      <c r="BB77" s="48" t="n">
        <f aca="false">In_Opex_Contingency*(BB73+BB74+BB75-BB72*In_MEKH)</f>
        <v>-33.2434689503322</v>
      </c>
      <c r="BC77" s="48" t="n">
        <f aca="false">In_Opex_Contingency*(BC73+BC74+BC75-BC72*In_MEKH)</f>
        <v>-33.331366918517</v>
      </c>
      <c r="BD77" s="48" t="n">
        <f aca="false">In_Opex_Contingency*(BD73+BD74+BD75-BD72*In_MEKH)</f>
        <v>-33.7017154398339</v>
      </c>
      <c r="BE77" s="48" t="n">
        <f aca="false">In_Opex_Contingency*(BE73+BE74+BE75-BE72*In_MEKH)</f>
        <v>-34.0720639611507</v>
      </c>
      <c r="BF77" s="48" t="n">
        <f aca="false">In_Opex_Contingency*(BF73+BF74+BF75-BF72*In_MEKH)</f>
        <v>-34.0400978760566</v>
      </c>
      <c r="BG77" s="48" t="n">
        <f aca="false">In_Opex_Contingency*(BG73+BG74+BG75-BG72*In_MEKH)</f>
        <v>-34.1301436070664</v>
      </c>
      <c r="BH77" s="48" t="n">
        <f aca="false">In_Opex_Contingency*(BH73+BH74+BH75-BH72*In_MEKH)</f>
        <v>-34.5093674249227</v>
      </c>
      <c r="BI77" s="48" t="n">
        <f aca="false">In_Opex_Contingency*(BI73+BI74+BI75-BI72*In_MEKH)</f>
        <v>-34.888591242779</v>
      </c>
      <c r="BJ77" s="48" t="n">
        <f aca="false">In_Opex_Contingency*(BJ73+BJ74+BJ75-BJ72*In_MEKH)</f>
        <v>-34.8559318285097</v>
      </c>
      <c r="BK77" s="48" t="n">
        <f aca="false">In_Opex_Contingency*(BK73+BK74+BK75-BK72*In_MEKH)</f>
        <v>-35.3364904736268</v>
      </c>
      <c r="BL77" s="48" t="n">
        <f aca="false">In_Opex_Contingency*(BL73+BL74+BL75-BL72*In_MEKH)</f>
        <v>-35.3364904736268</v>
      </c>
      <c r="BM77" s="48" t="n">
        <f aca="false">In_Opex_Contingency*(BM73+BM74+BM75-BM72*In_MEKH)</f>
        <v>-35.7248035557546</v>
      </c>
      <c r="BN77" s="48" t="n">
        <f aca="false">In_Opex_Contingency*(BN73+BN74+BN75-BN72*In_MEKH)</f>
        <v>-35.6914356635328</v>
      </c>
      <c r="BO77" s="48" t="n">
        <f aca="false">In_Opex_Contingency*(BO73+BO74+BO75-BO72*In_MEKH)</f>
        <v>-35.785934390026</v>
      </c>
      <c r="BP77" s="48" t="n">
        <f aca="false">In_Opex_Contingency*(BP73+BP74+BP75-BP72*In_MEKH)</f>
        <v>-36.1835558832485</v>
      </c>
      <c r="BQ77" s="48" t="n">
        <f aca="false">In_Opex_Contingency*(BQ73+BQ74+BQ75-BQ72*In_MEKH)</f>
        <v>-36.5811773764711</v>
      </c>
      <c r="BR77" s="48" t="n">
        <f aca="false">In_Opex_Contingency*(BR73+BR74+BR75-BR72*In_MEKH)</f>
        <v>-36.5470855257483</v>
      </c>
      <c r="BS77" s="48" t="n">
        <f aca="false">In_Opex_Contingency*(BS73+BS74+BS75-BS72*In_MEKH)</f>
        <v>-36.6438920403098</v>
      </c>
      <c r="BT77" s="48" t="n">
        <f aca="false">In_Opex_Contingency*(BT73+BT74+BT75-BT72*In_MEKH)</f>
        <v>-37.0510463963133</v>
      </c>
      <c r="BU77" s="48" t="n">
        <f aca="false">In_Opex_Contingency*(BU73+BU74+BU75-BU72*In_MEKH)</f>
        <v>-37.4582007523167</v>
      </c>
      <c r="BV77" s="48" t="n">
        <f aca="false">In_Opex_Contingency*(BV73+BV74+BV75-BV72*In_MEKH)</f>
        <v>-37.4233691235016</v>
      </c>
      <c r="BW77" s="48" t="n">
        <f aca="false">In_Opex_Contingency*(BW73+BW74+BW75-BW72*In_MEKH)</f>
        <v>-37.5225393751534</v>
      </c>
      <c r="BX77" s="48" t="n">
        <f aca="false">In_Opex_Contingency*(BX73+BX74+BX75-BX72*In_MEKH)</f>
        <v>-37.9394564793218</v>
      </c>
      <c r="BY77" s="48" t="n">
        <f aca="false">In_Opex_Contingency*(BY73+BY74+BY75-BY72*In_MEKH)</f>
        <v>-38.3563735834902</v>
      </c>
      <c r="BZ77" s="48" t="n">
        <f aca="false">In_Opex_Contingency*(BZ73+BZ74+BZ75-BZ72*In_MEKH)</f>
        <v>-38.3207860105176</v>
      </c>
      <c r="CA77" s="48" t="n">
        <f aca="false">In_Opex_Contingency*(CA73+CA74+CA75-CA72*In_MEKH)</f>
        <v>-38.8492926083099</v>
      </c>
      <c r="CB77" s="48" t="n">
        <f aca="false">In_Opex_Contingency*(CB73+CB74+CB75-CB72*In_MEKH)</f>
        <v>-38.8492926083099</v>
      </c>
      <c r="CC77" s="48" t="n">
        <f aca="false">In_Opex_Contingency*(CC73+CC74+CC75-CC72*In_MEKH)</f>
        <v>-39.2762079116979</v>
      </c>
      <c r="CD77" s="48" t="n">
        <f aca="false">In_Opex_Contingency*(CD73+CD74+CD75-CD72*In_MEKH)</f>
        <v>-39.2398478744351</v>
      </c>
      <c r="CE77" s="48" t="n">
        <f aca="false">In_Opex_Contingency*(CE73+CE74+CE75-CE72*In_MEKH)</f>
        <v>-39.343918906861</v>
      </c>
      <c r="CF77" s="48" t="n">
        <f aca="false">In_Opex_Contingency*(CF73+CF74+CF75-CF72*In_MEKH)</f>
        <v>-39.7810735613816</v>
      </c>
      <c r="CG77" s="48" t="n">
        <f aca="false">In_Opex_Contingency*(CG73+CG74+CG75-CG72*In_MEKH)</f>
        <v>-40.2182282159023</v>
      </c>
      <c r="CH77" s="48" t="n">
        <f aca="false">In_Opex_Contingency*(CH73+CH74+CH75-CH72*In_MEKH)</f>
        <v>-40.1810788323887</v>
      </c>
      <c r="CI77" s="48" t="n">
        <f aca="false">In_Opex_Contingency*(CI73+CI74+CI75-CI72*In_MEKH)</f>
        <v>-40.2876897214819</v>
      </c>
      <c r="CJ77" s="48" t="n">
        <f aca="false">In_Opex_Contingency*(CJ73+CJ74+CJ75-CJ72*In_MEKH)</f>
        <v>-40.7353307183873</v>
      </c>
      <c r="CK77" s="48" t="n">
        <f aca="false">In_Opex_Contingency*(CK73+CK74+CK75-CK72*In_MEKH)</f>
        <v>-41.1829717152927</v>
      </c>
      <c r="CL77" s="48" t="n">
        <f aca="false">In_Opex_Contingency*(CL73+CL74+CL75-CL72*In_MEKH)</f>
        <v>-41.1450157338092</v>
      </c>
      <c r="CM77" s="48" t="n">
        <f aca="false">In_Opex_Contingency*(CM73+CM74+CM75-CM72*In_MEKH)</f>
        <v>-41.2542280561852</v>
      </c>
      <c r="CN77" s="48" t="n">
        <f aca="false">In_Opex_Contingency*(CN73+CN74+CN75-CN72*In_MEKH)</f>
        <v>-41.7126083679206</v>
      </c>
      <c r="CO77" s="48" t="n">
        <f aca="false">In_Opex_Contingency*(CO73+CO74+CO75-CO72*In_MEKH)</f>
        <v>-42.170988679656</v>
      </c>
      <c r="CP77" s="48" t="n">
        <f aca="false">In_Opex_Contingency*(CP73+CP74+CP75-CP72*In_MEKH)</f>
        <v>-42.132208470621</v>
      </c>
      <c r="CQ77" s="48" t="n">
        <f aca="false">In_Opex_Contingency*(CQ73+CQ74+CQ75-CQ72*In_MEKH)</f>
        <v>-42.7134640218145</v>
      </c>
      <c r="CR77" s="48" t="n">
        <f aca="false">In_Opex_Contingency*(CR73+CR74+CR75-CR72*In_MEKH)</f>
        <v>-42.7134640218145</v>
      </c>
      <c r="CS77" s="48" t="n">
        <f aca="false">In_Opex_Contingency*(CS73+CS74+CS75-CS72*In_MEKH)</f>
        <v>-43.182842747329</v>
      </c>
      <c r="CT77" s="48" t="n">
        <f aca="false">In_Opex_Contingency*(CT73+CT74+CT75-CT72*In_MEKH)</f>
        <v>-43.1432202950161</v>
      </c>
      <c r="CU77" s="48" t="n">
        <f aca="false">In_Opex_Contingency*(CU73+CU74+CU75-CU72*In_MEKH)</f>
        <v>-43.2578262237228</v>
      </c>
      <c r="CV77" s="48" t="n">
        <f aca="false">In_Opex_Contingency*(CV73+CV74+CV75-CV72*In_MEKH)</f>
        <v>-43.7384687373197</v>
      </c>
      <c r="CW77" s="48" t="n">
        <f aca="false">In_Opex_Contingency*(CW73+CW74+CW75-CW72*In_MEKH)</f>
        <v>-44.2191112509166</v>
      </c>
      <c r="CX77" s="48" t="n">
        <f aca="false">In_Opex_Contingency*(CX73+CX74+CX75-CX72*In_MEKH)</f>
        <v>-44.1786281449912</v>
      </c>
      <c r="CY77" s="48" t="n">
        <f aca="false">In_Opex_Contingency*(CY73+CY74+CY75-CY72*In_MEKH)</f>
        <v>-44.2960293433376</v>
      </c>
      <c r="CZ77" s="48" t="n">
        <f aca="false">In_Opex_Contingency*(CZ73+CZ74+CZ75-CZ72*In_MEKH)</f>
        <v>-44.7882074471524</v>
      </c>
      <c r="DA77" s="48" t="n">
        <f aca="false">In_Opex_Contingency*(DA73+DA74+DA75-DA72*In_MEKH)</f>
        <v>-45.2803855509673</v>
      </c>
      <c r="DB77" s="48" t="n">
        <f aca="false">In_Opex_Contingency*(DB73+DB74+DB75-DB72*In_MEKH)</f>
        <v>-45.2390229778375</v>
      </c>
      <c r="DC77" s="48" t="n">
        <f aca="false">In_Opex_Contingency*(DC73+DC74+DC75-DC72*In_MEKH)</f>
        <v>-45.3592872174131</v>
      </c>
      <c r="DD77" s="48" t="n">
        <f aca="false">In_Opex_Contingency*(DD73+DD74+DD75-DD72*In_MEKH)</f>
        <v>-45.8632792976066</v>
      </c>
      <c r="DE77" s="48" t="n">
        <f aca="false">In_Opex_Contingency*(DE73+DE74+DE75-DE72*In_MEKH)</f>
        <v>-46.3672713778001</v>
      </c>
      <c r="DF77" s="48" t="n">
        <f aca="false">In_Opex_Contingency*(DF73+DF74+DF75-DF72*In_MEKH)</f>
        <v>-46.3250101117778</v>
      </c>
      <c r="DG77" s="48" t="n">
        <f aca="false">In_Opex_Contingency*(DG73+DG74+DG75-DG72*In_MEKH)</f>
        <v>-46.9642979949254</v>
      </c>
      <c r="DH77" s="48" t="n">
        <f aca="false">In_Opex_Contingency*(DH73+DH74+DH75-DH72*In_MEKH)</f>
        <v>-46.9642979949254</v>
      </c>
      <c r="DI77" s="48" t="n">
        <f aca="false">In_Opex_Contingency*(DI73+DI74+DI75-DI72*In_MEKH)</f>
        <v>-47.4803891816828</v>
      </c>
      <c r="DJ77" s="48" t="n">
        <f aca="false">In_Opex_Contingency*(DJ73+DJ74+DJ75-DJ72*In_MEKH)</f>
        <v>-47.4372095759517</v>
      </c>
      <c r="DK77" s="48" t="n">
        <f aca="false">In_Opex_Contingency*(DK73+DK74+DK75-DK72*In_MEKH)</f>
        <v>-47.5634098287061</v>
      </c>
      <c r="DL77" s="48" t="n">
        <f aca="false">In_Opex_Contingency*(DL73+DL74+DL75-DL72*In_MEKH)</f>
        <v>-48.0918921601362</v>
      </c>
      <c r="DM77" s="48" t="n">
        <f aca="false">In_Opex_Contingency*(DM73+DM74+DM75-DM72*In_MEKH)</f>
        <v>-48.6203744915662</v>
      </c>
      <c r="DN77" s="48" t="n">
        <f aca="false">In_Opex_Contingency*(DN73+DN74+DN75-DN72*In_MEKH)</f>
        <v>-48.5762564689508</v>
      </c>
      <c r="DO77" s="48" t="n">
        <f aca="false">In_Opex_Contingency*(DO73+DO74+DO75-DO72*In_MEKH)</f>
        <v>-48.7055331025274</v>
      </c>
      <c r="DP77" s="48" t="n">
        <f aca="false">In_Opex_Contingency*(DP73+DP74+DP75-DP72*In_MEKH)</f>
        <v>-49.2467056925555</v>
      </c>
      <c r="DQ77" s="48" t="n">
        <f aca="false">In_Opex_Contingency*(DQ73+DQ74+DQ75-DQ72*In_MEKH)</f>
        <v>-49.7878782825836</v>
      </c>
      <c r="DR77" s="48" t="n">
        <f aca="false">In_Opex_Contingency*(DR73+DR74+DR75-DR72*In_MEKH)</f>
        <v>-49.7428013261166</v>
      </c>
      <c r="DS77" s="48" t="n">
        <f aca="false">In_Opex_Contingency*(DS73+DS74+DS75-DS72*In_MEKH)</f>
        <v>-49.8752289318226</v>
      </c>
      <c r="DT77" s="48" t="n">
        <f aca="false">In_Opex_Contingency*(DT73+DT74+DT75-DT72*In_MEKH)</f>
        <v>-50.4293981421762</v>
      </c>
      <c r="DU77" s="48" t="n">
        <f aca="false">In_Opex_Contingency*(DU73+DU74+DU75-DU72*In_MEKH)</f>
        <v>-50.9835673525298</v>
      </c>
      <c r="DV77" s="48" t="n">
        <f aca="false">In_Opex_Contingency*(DV73+DV74+DV75-DV72*In_MEKH)</f>
        <v>-50.9375104958125</v>
      </c>
      <c r="DW77" s="48" t="n">
        <f aca="false">In_Opex_Contingency*(DW73+DW74+DW75-DW72*In_MEKH)</f>
        <v>-51.6406450911548</v>
      </c>
      <c r="DX77" s="48" t="n">
        <f aca="false">In_Opex_Contingency*(DX73+DX74+DX75-DX72*In_MEKH)</f>
        <v>-51.6406450911548</v>
      </c>
      <c r="DY77" s="48" t="n">
        <f aca="false">In_Opex_Contingency*(DY73+DY74+DY75-DY72*In_MEKH)</f>
        <v>-52.2081247075411</v>
      </c>
      <c r="DZ77" s="48" t="n">
        <f aca="false">In_Opex_Contingency*(DZ73+DZ74+DZ75-DZ72*In_MEKH)</f>
        <v>-52.1610665248923</v>
      </c>
      <c r="EA77" s="48" t="n">
        <f aca="false">In_Opex_Contingency*(EA73+EA74+EA75-EA72*In_MEKH)</f>
        <v>-52.3000271320433</v>
      </c>
      <c r="EB77" s="48" t="n">
        <f aca="false">In_Opex_Contingency*(EB73+EB74+EB75-EB72*In_MEKH)</f>
        <v>-52.8811385446215</v>
      </c>
      <c r="EC77" s="48" t="n">
        <f aca="false">In_Opex_Contingency*(EC73+EC74+EC75-EC72*In_MEKH)</f>
        <v>-53.4622499571998</v>
      </c>
      <c r="ED77" s="48" t="n">
        <f aca="false">In_Opex_Contingency*(ED73+ED74+ED75-ED72*In_MEKH)</f>
        <v>-53.4141685535888</v>
      </c>
      <c r="EE77" s="48" t="n">
        <f aca="false">In_Opex_Contingency*(EE73+EE74+EE75-EE72*In_MEKH)</f>
        <v>-53.5565149427885</v>
      </c>
      <c r="EF77" s="48" t="n">
        <f aca="false">In_Opex_Contingency*(EF73+EF74+EF75-EF72*In_MEKH)</f>
        <v>-54.1515873310417</v>
      </c>
      <c r="EG77" s="48" t="n">
        <f aca="false">In_Opex_Contingency*(EG73+EG74+EG75-EG72*In_MEKH)</f>
        <v>-54.7466597192949</v>
      </c>
      <c r="EH77" s="48" t="n">
        <f aca="false">In_Opex_Contingency*(EH73+EH74+EH75-EH72*In_MEKH)</f>
        <v>-54.6975327200541</v>
      </c>
      <c r="EI77" s="48" t="n">
        <f aca="false">In_Opex_Contingency*(EI73+EI74+EI75-EI72*In_MEKH)</f>
        <v>-54.8433469902487</v>
      </c>
      <c r="EJ77" s="48" t="n">
        <f aca="false">In_Opex_Contingency*(EJ73+EJ74+EJ75-EJ72*In_MEKH)</f>
        <v>-55.4527175123626</v>
      </c>
      <c r="EK77" s="48" t="n">
        <f aca="false">In_Opex_Contingency*(EK73+EK74+EK75-EK72*In_MEKH)</f>
        <v>-56.0620880344765</v>
      </c>
      <c r="EL77" s="48" t="n">
        <f aca="false">In_Opex_Contingency*(EL73+EL74+EL75-EL72*In_MEKH)</f>
        <v>-56.0118925747881</v>
      </c>
      <c r="EM77" s="48" t="n">
        <f aca="false">In_Opex_Contingency*(EM73+EM74+EM75-EM72*In_MEKH)</f>
        <v>-56.7852728041846</v>
      </c>
      <c r="EN77" s="48" t="n">
        <f aca="false">In_Opex_Contingency*(EN73+EN74+EN75-EN72*In_MEKH)</f>
        <v>-56.7852728041846</v>
      </c>
      <c r="EO77" s="48" t="n">
        <f aca="false">In_Opex_Contingency*(EO73+EO74+EO75-EO72*In_MEKH)</f>
        <v>-57.4092867910437</v>
      </c>
    </row>
    <row r="78" customFormat="false" ht="15" hidden="false" customHeight="false" outlineLevel="0" collapsed="false">
      <c r="C78" s="1" t="s">
        <v>23</v>
      </c>
      <c r="D78" s="12" t="s">
        <v>33</v>
      </c>
      <c r="I78" s="48" t="n">
        <f aca="false">SUM(J78:EO78)</f>
        <v>-12032.8750809572</v>
      </c>
      <c r="J78" s="48" t="n">
        <f aca="false">-$E32*J71/Thousand</f>
        <v>-0</v>
      </c>
      <c r="K78" s="48" t="n">
        <f aca="false">-$E32*K71/Thousand</f>
        <v>-0</v>
      </c>
      <c r="L78" s="48" t="n">
        <f aca="false">-$E32*L71/Thousand</f>
        <v>-0</v>
      </c>
      <c r="M78" s="48" t="n">
        <f aca="false">-$E32*M71/Thousand</f>
        <v>-0</v>
      </c>
      <c r="N78" s="48" t="n">
        <f aca="false">-$E32*N71/Thousand</f>
        <v>-0</v>
      </c>
      <c r="O78" s="48" t="n">
        <f aca="false">-$E32*O71/Thousand</f>
        <v>-0</v>
      </c>
      <c r="P78" s="48" t="n">
        <f aca="false">-$E32*P71/Thousand</f>
        <v>-0</v>
      </c>
      <c r="Q78" s="48" t="n">
        <f aca="false">-$E32*Q71/Thousand</f>
        <v>-0</v>
      </c>
      <c r="R78" s="48" t="n">
        <f aca="false">-$E32*R71/Thousand</f>
        <v>-0</v>
      </c>
      <c r="S78" s="48" t="n">
        <f aca="false">-$E32*S71/Thousand</f>
        <v>-0</v>
      </c>
      <c r="T78" s="48" t="n">
        <f aca="false">-$E32*T71/Thousand</f>
        <v>-0</v>
      </c>
      <c r="U78" s="48" t="n">
        <f aca="false">-$E32*U71/Thousand</f>
        <v>-0</v>
      </c>
      <c r="V78" s="48" t="n">
        <f aca="false">-$E32*V71/Thousand</f>
        <v>-0</v>
      </c>
      <c r="W78" s="48" t="n">
        <f aca="false">-$E32*W71/Thousand</f>
        <v>-0</v>
      </c>
      <c r="X78" s="48" t="n">
        <f aca="false">-$E32*X71/Thousand</f>
        <v>-0</v>
      </c>
      <c r="Y78" s="48" t="n">
        <f aca="false">-$E32*Y71/Thousand</f>
        <v>-0</v>
      </c>
      <c r="Z78" s="48" t="n">
        <f aca="false">-$E32*Z71/Thousand</f>
        <v>-105.4872</v>
      </c>
      <c r="AA78" s="48" t="n">
        <f aca="false">-$E32*AA71/Thousand</f>
        <v>-103.194</v>
      </c>
      <c r="AB78" s="48" t="n">
        <f aca="false">-$E32*AB71/Thousand</f>
        <v>-104.3406</v>
      </c>
      <c r="AC78" s="48" t="n">
        <f aca="false">-$E32*AC71/Thousand</f>
        <v>-105.4872</v>
      </c>
      <c r="AD78" s="48" t="n">
        <f aca="false">-$E32*AD71/Thousand</f>
        <v>-105.1707384</v>
      </c>
      <c r="AE78" s="48" t="n">
        <f aca="false">-$E32*AE71/Thousand</f>
        <v>-104.0275782</v>
      </c>
      <c r="AF78" s="48" t="n">
        <f aca="false">-$E32*AF71/Thousand</f>
        <v>-104.0275782</v>
      </c>
      <c r="AG78" s="48" t="n">
        <f aca="false">-$E32*AG71/Thousand</f>
        <v>-105.1707384</v>
      </c>
      <c r="AH78" s="48" t="n">
        <f aca="false">-$E32*AH71/Thousand</f>
        <v>-104.8552261848</v>
      </c>
      <c r="AI78" s="48" t="n">
        <f aca="false">-$E32*AI71/Thousand</f>
        <v>-102.575764746</v>
      </c>
      <c r="AJ78" s="48" t="n">
        <f aca="false">-$E32*AJ71/Thousand</f>
        <v>-103.7154954654</v>
      </c>
      <c r="AK78" s="48" t="n">
        <f aca="false">-$E32*AK71/Thousand</f>
        <v>-104.8552261848</v>
      </c>
      <c r="AL78" s="48" t="n">
        <f aca="false">-$E32*AL71/Thousand</f>
        <v>-104.540660506246</v>
      </c>
      <c r="AM78" s="48" t="n">
        <f aca="false">-$E32*AM71/Thousand</f>
        <v>-102.268037451762</v>
      </c>
      <c r="AN78" s="48" t="n">
        <f aca="false">-$E32*AN71/Thousand</f>
        <v>-103.404348979004</v>
      </c>
      <c r="AO78" s="48" t="n">
        <f aca="false">-$E32*AO71/Thousand</f>
        <v>-104.540660506246</v>
      </c>
      <c r="AP78" s="48" t="n">
        <f aca="false">-$E32*AP71/Thousand</f>
        <v>-104.227038524727</v>
      </c>
      <c r="AQ78" s="48" t="n">
        <f aca="false">-$E32*AQ71/Thousand</f>
        <v>-101.961233339407</v>
      </c>
      <c r="AR78" s="48" t="n">
        <f aca="false">-$E32*AR71/Thousand</f>
        <v>-103.094135932067</v>
      </c>
      <c r="AS78" s="48" t="n">
        <f aca="false">-$E32*AS71/Thousand</f>
        <v>-104.227038524727</v>
      </c>
      <c r="AT78" s="48" t="n">
        <f aca="false">-$E32*AT71/Thousand</f>
        <v>-103.914357409153</v>
      </c>
      <c r="AU78" s="48" t="n">
        <f aca="false">-$E32*AU71/Thousand</f>
        <v>-102.784853524271</v>
      </c>
      <c r="AV78" s="48" t="n">
        <f aca="false">-$E32*AV71/Thousand</f>
        <v>-102.784853524271</v>
      </c>
      <c r="AW78" s="48" t="n">
        <f aca="false">-$E32*AW71/Thousand</f>
        <v>-103.914357409153</v>
      </c>
      <c r="AX78" s="48" t="n">
        <f aca="false">-$E32*AX71/Thousand</f>
        <v>-103.602614336925</v>
      </c>
      <c r="AY78" s="48" t="n">
        <f aca="false">-$E32*AY71/Thousand</f>
        <v>-101.35038359047</v>
      </c>
      <c r="AZ78" s="48" t="n">
        <f aca="false">-$E32*AZ71/Thousand</f>
        <v>-102.476498963698</v>
      </c>
      <c r="BA78" s="48" t="n">
        <f aca="false">-$E32*BA71/Thousand</f>
        <v>-103.602614336925</v>
      </c>
      <c r="BB78" s="48" t="n">
        <f aca="false">-$E32*BB71/Thousand</f>
        <v>-103.291806493914</v>
      </c>
      <c r="BC78" s="48" t="n">
        <f aca="false">-$E32*BC71/Thousand</f>
        <v>-101.046332439699</v>
      </c>
      <c r="BD78" s="48" t="n">
        <f aca="false">-$E32*BD71/Thousand</f>
        <v>-102.169069466807</v>
      </c>
      <c r="BE78" s="48" t="n">
        <f aca="false">-$E32*BE71/Thousand</f>
        <v>-103.291806493914</v>
      </c>
      <c r="BF78" s="48" t="n">
        <f aca="false">-$E32*BF71/Thousand</f>
        <v>-102.981931074433</v>
      </c>
      <c r="BG78" s="48" t="n">
        <f aca="false">-$E32*BG71/Thousand</f>
        <v>-100.74319344238</v>
      </c>
      <c r="BH78" s="48" t="n">
        <f aca="false">-$E32*BH71/Thousand</f>
        <v>-101.862562258406</v>
      </c>
      <c r="BI78" s="48" t="n">
        <f aca="false">-$E32*BI71/Thousand</f>
        <v>-102.981931074433</v>
      </c>
      <c r="BJ78" s="48" t="n">
        <f aca="false">-$E32*BJ71/Thousand</f>
        <v>-102.672985281209</v>
      </c>
      <c r="BK78" s="48" t="n">
        <f aca="false">-$E32*BK71/Thousand</f>
        <v>-101.556974571631</v>
      </c>
      <c r="BL78" s="48" t="n">
        <f aca="false">-$E32*BL71/Thousand</f>
        <v>-101.556974571631</v>
      </c>
      <c r="BM78" s="48" t="n">
        <f aca="false">-$E32*BM71/Thousand</f>
        <v>-102.672985281209</v>
      </c>
      <c r="BN78" s="48" t="n">
        <f aca="false">-$E32*BN71/Thousand</f>
        <v>-102.364966325366</v>
      </c>
      <c r="BO78" s="48" t="n">
        <f aca="false">-$E32*BO71/Thousand</f>
        <v>-100.139640970467</v>
      </c>
      <c r="BP78" s="48" t="n">
        <f aca="false">-$E32*BP71/Thousand</f>
        <v>-101.252303647916</v>
      </c>
      <c r="BQ78" s="48" t="n">
        <f aca="false">-$E32*BQ71/Thousand</f>
        <v>-102.364966325366</v>
      </c>
      <c r="BR78" s="48" t="n">
        <f aca="false">-$E32*BR71/Thousand</f>
        <v>-102.05787142639</v>
      </c>
      <c r="BS78" s="48" t="n">
        <f aca="false">-$E32*BS71/Thousand</f>
        <v>-99.8392220475551</v>
      </c>
      <c r="BT78" s="48" t="n">
        <f aca="false">-$E32*BT71/Thousand</f>
        <v>-100.948546736972</v>
      </c>
      <c r="BU78" s="48" t="n">
        <f aca="false">-$E32*BU71/Thousand</f>
        <v>-102.05787142639</v>
      </c>
      <c r="BV78" s="48" t="n">
        <f aca="false">-$E32*BV71/Thousand</f>
        <v>-101.751697812111</v>
      </c>
      <c r="BW78" s="48" t="n">
        <f aca="false">-$E32*BW71/Thousand</f>
        <v>-99.5397043814125</v>
      </c>
      <c r="BX78" s="48" t="n">
        <f aca="false">-$E32*BX71/Thousand</f>
        <v>-100.645701096762</v>
      </c>
      <c r="BY78" s="48" t="n">
        <f aca="false">-$E32*BY71/Thousand</f>
        <v>-101.751697812111</v>
      </c>
      <c r="BZ78" s="48" t="n">
        <f aca="false">-$E32*BZ71/Thousand</f>
        <v>-101.446442718674</v>
      </c>
      <c r="CA78" s="48" t="n">
        <f aca="false">-$E32*CA71/Thousand</f>
        <v>-100.343763993471</v>
      </c>
      <c r="CB78" s="48" t="n">
        <f aca="false">-$E32*CB71/Thousand</f>
        <v>-100.343763993471</v>
      </c>
      <c r="CC78" s="48" t="n">
        <f aca="false">-$E32*CC71/Thousand</f>
        <v>-101.446442718674</v>
      </c>
      <c r="CD78" s="48" t="n">
        <f aca="false">-$E32*CD71/Thousand</f>
        <v>-101.142103390518</v>
      </c>
      <c r="CE78" s="48" t="n">
        <f aca="false">-$E32*CE71/Thousand</f>
        <v>-98.9433620124634</v>
      </c>
      <c r="CF78" s="48" t="n">
        <f aca="false">-$E32*CF71/Thousand</f>
        <v>-100.042732701491</v>
      </c>
      <c r="CG78" s="48" t="n">
        <f aca="false">-$E32*CG71/Thousand</f>
        <v>-101.142103390518</v>
      </c>
      <c r="CH78" s="48" t="n">
        <f aca="false">-$E32*CH71/Thousand</f>
        <v>-100.838677080347</v>
      </c>
      <c r="CI78" s="48" t="n">
        <f aca="false">-$E32*CI71/Thousand</f>
        <v>-98.646531926426</v>
      </c>
      <c r="CJ78" s="48" t="n">
        <f aca="false">-$E32*CJ71/Thousand</f>
        <v>-99.7426045033863</v>
      </c>
      <c r="CK78" s="48" t="n">
        <f aca="false">-$E32*CK71/Thousand</f>
        <v>-100.838677080347</v>
      </c>
      <c r="CL78" s="48" t="n">
        <f aca="false">-$E32*CL71/Thousand</f>
        <v>-100.536161049106</v>
      </c>
      <c r="CM78" s="48" t="n">
        <f aca="false">-$E32*CM71/Thousand</f>
        <v>-98.3505923306468</v>
      </c>
      <c r="CN78" s="48" t="n">
        <f aca="false">-$E32*CN71/Thousand</f>
        <v>-99.4433766898762</v>
      </c>
      <c r="CO78" s="48" t="n">
        <f aca="false">-$E32*CO71/Thousand</f>
        <v>-100.536161049106</v>
      </c>
      <c r="CP78" s="48" t="n">
        <f aca="false">-$E32*CP71/Thousand</f>
        <v>-100.234552565958</v>
      </c>
      <c r="CQ78" s="48" t="n">
        <f aca="false">-$E32*CQ71/Thousand</f>
        <v>-99.1450465598065</v>
      </c>
      <c r="CR78" s="48" t="n">
        <f aca="false">-$E32*CR71/Thousand</f>
        <v>-99.1450465598065</v>
      </c>
      <c r="CS78" s="48" t="n">
        <f aca="false">-$E32*CS71/Thousand</f>
        <v>-100.234552565958</v>
      </c>
      <c r="CT78" s="48" t="n">
        <f aca="false">-$E32*CT71/Thousand</f>
        <v>-99.9338489082604</v>
      </c>
      <c r="CU78" s="48" t="n">
        <f aca="false">-$E32*CU71/Thousand</f>
        <v>-97.7613739319939</v>
      </c>
      <c r="CV78" s="48" t="n">
        <f aca="false">-$E32*CV71/Thousand</f>
        <v>-98.8476114201271</v>
      </c>
      <c r="CW78" s="48" t="n">
        <f aca="false">-$E32*CW71/Thousand</f>
        <v>-99.9338489082604</v>
      </c>
      <c r="CX78" s="48" t="n">
        <f aca="false">-$E32*CX71/Thousand</f>
        <v>-99.6340473615356</v>
      </c>
      <c r="CY78" s="48" t="n">
        <f aca="false">-$E32*CY71/Thousand</f>
        <v>-97.4680898101979</v>
      </c>
      <c r="CZ78" s="48" t="n">
        <f aca="false">-$E32*CZ71/Thousand</f>
        <v>-98.5510685858667</v>
      </c>
      <c r="DA78" s="48" t="n">
        <f aca="false">-$E32*DA71/Thousand</f>
        <v>-99.6340473615356</v>
      </c>
      <c r="DB78" s="48" t="n">
        <f aca="false">-$E32*DB71/Thousand</f>
        <v>-99.335145219451</v>
      </c>
      <c r="DC78" s="48" t="n">
        <f aca="false">-$E32*DC71/Thousand</f>
        <v>-97.1756855407673</v>
      </c>
      <c r="DD78" s="48" t="n">
        <f aca="false">-$E32*DD71/Thousand</f>
        <v>-98.2554153801091</v>
      </c>
      <c r="DE78" s="48" t="n">
        <f aca="false">-$E32*DE71/Thousand</f>
        <v>-99.335145219451</v>
      </c>
      <c r="DF78" s="48" t="n">
        <f aca="false">-$E32*DF71/Thousand</f>
        <v>-99.0371397837927</v>
      </c>
      <c r="DG78" s="48" t="n">
        <f aca="false">-$E32*DG71/Thousand</f>
        <v>-97.9606491339688</v>
      </c>
      <c r="DH78" s="48" t="n">
        <f aca="false">-$E32*DH71/Thousand</f>
        <v>-97.9606491339688</v>
      </c>
      <c r="DI78" s="48" t="n">
        <f aca="false">-$E32*DI71/Thousand</f>
        <v>-99.0371397837927</v>
      </c>
      <c r="DJ78" s="48" t="n">
        <f aca="false">-$E32*DJ71/Thousand</f>
        <v>-98.7400283644413</v>
      </c>
      <c r="DK78" s="48" t="n">
        <f aca="false">-$E32*DK71/Thousand</f>
        <v>-96.5935060086926</v>
      </c>
      <c r="DL78" s="48" t="n">
        <f aca="false">-$E32*DL71/Thousand</f>
        <v>-97.6667671865669</v>
      </c>
      <c r="DM78" s="48" t="n">
        <f aca="false">-$E32*DM71/Thousand</f>
        <v>-98.7400283644413</v>
      </c>
      <c r="DN78" s="48" t="n">
        <f aca="false">-$E32*DN71/Thousand</f>
        <v>-98.443808279348</v>
      </c>
      <c r="DO78" s="48" t="n">
        <f aca="false">-$E32*DO71/Thousand</f>
        <v>-96.3037254906665</v>
      </c>
      <c r="DP78" s="48" t="n">
        <f aca="false">-$E32*DP71/Thousand</f>
        <v>-97.3737668850072</v>
      </c>
      <c r="DQ78" s="48" t="n">
        <f aca="false">-$E32*DQ71/Thousand</f>
        <v>-98.443808279348</v>
      </c>
      <c r="DR78" s="48" t="n">
        <f aca="false">-$E32*DR71/Thousand</f>
        <v>-98.1484768545099</v>
      </c>
      <c r="DS78" s="48" t="n">
        <f aca="false">-$E32*DS71/Thousand</f>
        <v>-96.0148143141945</v>
      </c>
      <c r="DT78" s="48" t="n">
        <f aca="false">-$E32*DT71/Thousand</f>
        <v>-97.0816455843522</v>
      </c>
      <c r="DU78" s="48" t="n">
        <f aca="false">-$E32*DU71/Thousand</f>
        <v>-98.1484768545099</v>
      </c>
      <c r="DV78" s="48" t="n">
        <f aca="false">-$E32*DV71/Thousand</f>
        <v>-97.8540314239464</v>
      </c>
      <c r="DW78" s="48" t="n">
        <f aca="false">-$E32*DW71/Thousand</f>
        <v>-96.7904006475991</v>
      </c>
      <c r="DX78" s="48" t="n">
        <f aca="false">-$E32*DX71/Thousand</f>
        <v>-96.7904006475991</v>
      </c>
      <c r="DY78" s="48" t="n">
        <f aca="false">-$E32*DY71/Thousand</f>
        <v>-97.8540314239464</v>
      </c>
      <c r="DZ78" s="48" t="n">
        <f aca="false">-$E32*DZ71/Thousand</f>
        <v>-97.5604693296746</v>
      </c>
      <c r="EA78" s="48" t="n">
        <f aca="false">-$E32*EA71/Thousand</f>
        <v>-95.4395895616381</v>
      </c>
      <c r="EB78" s="48" t="n">
        <f aca="false">-$E32*EB71/Thousand</f>
        <v>-96.5000294456563</v>
      </c>
      <c r="EC78" s="48" t="n">
        <f aca="false">-$E32*EC71/Thousand</f>
        <v>-97.5604693296746</v>
      </c>
      <c r="ED78" s="48" t="n">
        <f aca="false">-$E32*ED71/Thousand</f>
        <v>-97.2677879216855</v>
      </c>
      <c r="EE78" s="48" t="n">
        <f aca="false">-$E32*EE71/Thousand</f>
        <v>-95.1532707929532</v>
      </c>
      <c r="EF78" s="48" t="n">
        <f aca="false">-$E32*EF71/Thousand</f>
        <v>-96.2105293573194</v>
      </c>
      <c r="EG78" s="48" t="n">
        <f aca="false">-$E32*EG71/Thousand</f>
        <v>-97.2677879216855</v>
      </c>
      <c r="EH78" s="48" t="n">
        <f aca="false">-$E32*EH71/Thousand</f>
        <v>-96.9759845579205</v>
      </c>
      <c r="EI78" s="48" t="n">
        <f aca="false">-$E32*EI71/Thousand</f>
        <v>-94.8678109805744</v>
      </c>
      <c r="EJ78" s="48" t="n">
        <f aca="false">-$E32*EJ71/Thousand</f>
        <v>-95.9218977692474</v>
      </c>
      <c r="EK78" s="48" t="n">
        <f aca="false">-$E32*EK71/Thousand</f>
        <v>-96.9759845579205</v>
      </c>
      <c r="EL78" s="48" t="n">
        <f aca="false">-$E32*EL71/Thousand</f>
        <v>-96.6850566042467</v>
      </c>
      <c r="EM78" s="48" t="n">
        <f aca="false">-$E32*EM71/Thousand</f>
        <v>-95.6341320759397</v>
      </c>
      <c r="EN78" s="48" t="n">
        <f aca="false">-$E32*EN71/Thousand</f>
        <v>-95.6341320759397</v>
      </c>
      <c r="EO78" s="48" t="n">
        <f aca="false">-$E32*EO71/Thousand</f>
        <v>-96.6850566042467</v>
      </c>
    </row>
    <row r="79" customFormat="false" ht="15" hidden="false" customHeight="false" outlineLevel="0" collapsed="false">
      <c r="C79" s="26" t="s">
        <v>437</v>
      </c>
      <c r="D79" s="12" t="s">
        <v>33</v>
      </c>
      <c r="E79" s="57" t="n">
        <f aca="false">SUMIF($J$7:$EO$7,YEAR(In_COD)+1,$J79:$EO79)</f>
        <v>9556.88408374485</v>
      </c>
      <c r="I79" s="57" t="n">
        <f aca="false">SUM(J79:EO79)</f>
        <v>295373.32772584</v>
      </c>
      <c r="J79" s="57" t="n">
        <f aca="false">SUM(J72:J78)</f>
        <v>0</v>
      </c>
      <c r="K79" s="57" t="n">
        <f aca="false">SUM(K72:K78)</f>
        <v>0</v>
      </c>
      <c r="L79" s="57" t="n">
        <f aca="false">SUM(L72:L78)</f>
        <v>0</v>
      </c>
      <c r="M79" s="57" t="n">
        <f aca="false">SUM(M72:M78)</f>
        <v>0</v>
      </c>
      <c r="N79" s="57" t="n">
        <f aca="false">SUM(N72:N78)</f>
        <v>0</v>
      </c>
      <c r="O79" s="57" t="n">
        <f aca="false">SUM(O72:O78)</f>
        <v>0</v>
      </c>
      <c r="P79" s="57" t="n">
        <f aca="false">SUM(P72:P78)</f>
        <v>0</v>
      </c>
      <c r="Q79" s="57" t="n">
        <f aca="false">SUM(Q72:Q78)</f>
        <v>0</v>
      </c>
      <c r="R79" s="57" t="n">
        <f aca="false">SUM(R72:R78)</f>
        <v>-41.5643004408661</v>
      </c>
      <c r="S79" s="57" t="n">
        <f aca="false">SUM(S72:S78)</f>
        <v>-41.6772469094554</v>
      </c>
      <c r="T79" s="57" t="n">
        <f aca="false">SUM(T72:T78)</f>
        <v>-42.1403274306716</v>
      </c>
      <c r="U79" s="57" t="n">
        <f aca="false">SUM(U72:U78)</f>
        <v>-42.6034079518878</v>
      </c>
      <c r="V79" s="57" t="n">
        <f aca="false">SUM(V72:V78)</f>
        <v>-42.6034079518878</v>
      </c>
      <c r="W79" s="57" t="n">
        <f aca="false">SUM(W72:W78)</f>
        <v>-42.7191780821918</v>
      </c>
      <c r="X79" s="57" t="n">
        <f aca="false">SUM(X72:X78)</f>
        <v>-43.1938356164384</v>
      </c>
      <c r="Y79" s="57" t="n">
        <f aca="false">SUM(Y72:Y78)</f>
        <v>-43.6684931506849</v>
      </c>
      <c r="Z79" s="57" t="n">
        <f aca="false">SUM(Z72:Z78)</f>
        <v>2394.81444547397</v>
      </c>
      <c r="AA79" s="57" t="n">
        <f aca="false">SUM(AA72:AA78)</f>
        <v>2358.58146048863</v>
      </c>
      <c r="AB79" s="57" t="n">
        <f aca="false">SUM(AB72:AB78)</f>
        <v>2384.78792116073</v>
      </c>
      <c r="AC79" s="57" t="n">
        <f aca="false">SUM(AC72:AC78)</f>
        <v>2410.99438183282</v>
      </c>
      <c r="AD79" s="57" t="n">
        <f aca="false">SUM(AD72:AD78)</f>
        <v>2402.52032026267</v>
      </c>
      <c r="AE79" s="57" t="n">
        <f aca="false">SUM(AE72:AE78)</f>
        <v>2392.27337019217</v>
      </c>
      <c r="AF79" s="57" t="n">
        <f aca="false">SUM(AF72:AF78)</f>
        <v>2392.27337019217</v>
      </c>
      <c r="AG79" s="57" t="n">
        <f aca="false">SUM(AG72:AG78)</f>
        <v>2418.56208854593</v>
      </c>
      <c r="AH79" s="57" t="n">
        <f aca="false">SUM(AH72:AH78)</f>
        <v>2410.03429689502</v>
      </c>
      <c r="AI79" s="57" t="n">
        <f aca="false">SUM(AI72:AI78)</f>
        <v>2373.19324507827</v>
      </c>
      <c r="AJ79" s="57" t="n">
        <f aca="false">SUM(AJ72:AJ78)</f>
        <v>2399.56205891247</v>
      </c>
      <c r="AK79" s="57" t="n">
        <f aca="false">SUM(AK72:AK78)</f>
        <v>2425.93087274668</v>
      </c>
      <c r="AL79" s="57" t="n">
        <f aca="false">SUM(AL72:AL78)</f>
        <v>2417.34917210853</v>
      </c>
      <c r="AM79" s="57" t="n">
        <f aca="false">SUM(AM72:AM78)</f>
        <v>2380.20000195605</v>
      </c>
      <c r="AN79" s="57" t="n">
        <f aca="false">SUM(AN72:AN78)</f>
        <v>2406.64666864445</v>
      </c>
      <c r="AO79" s="57" t="n">
        <f aca="false">SUM(AO72:AO78)</f>
        <v>2433.09333533285</v>
      </c>
      <c r="AP79" s="57" t="n">
        <f aca="false">SUM(AP72:AP78)</f>
        <v>2424.45754960645</v>
      </c>
      <c r="AQ79" s="57" t="n">
        <f aca="false">SUM(AQ72:AQ78)</f>
        <v>2386.99749055404</v>
      </c>
      <c r="AR79" s="57" t="n">
        <f aca="false">SUM(AR72:AR78)</f>
        <v>2413.51968489352</v>
      </c>
      <c r="AS79" s="57" t="n">
        <f aca="false">SUM(AS72:AS78)</f>
        <v>2440.04187923301</v>
      </c>
      <c r="AT79" s="57" t="n">
        <f aca="false">SUM(AT72:AT78)</f>
        <v>2431.3518352319</v>
      </c>
      <c r="AU79" s="57" t="n">
        <f aca="false">SUM(AU72:AU78)</f>
        <v>2420.17339245424</v>
      </c>
      <c r="AV79" s="57" t="n">
        <f aca="false">SUM(AV72:AV78)</f>
        <v>2420.17339245424</v>
      </c>
      <c r="AW79" s="57" t="n">
        <f aca="false">SUM(AW72:AW78)</f>
        <v>2446.76870445923</v>
      </c>
      <c r="AX79" s="57" t="n">
        <f aca="false">SUM(AX72:AX78)</f>
        <v>2438.02423202336</v>
      </c>
      <c r="AY79" s="57" t="n">
        <f aca="false">SUM(AY72:AY78)</f>
        <v>2399.93393775468</v>
      </c>
      <c r="AZ79" s="57" t="n">
        <f aca="false">SUM(AZ72:AZ78)</f>
        <v>2426.5998703964</v>
      </c>
      <c r="BA79" s="57" t="n">
        <f aca="false">SUM(BA72:BA78)</f>
        <v>2453.26580303812</v>
      </c>
      <c r="BB79" s="57" t="n">
        <f aca="false">SUM(BB72:BB78)</f>
        <v>2444.46673514844</v>
      </c>
      <c r="BC79" s="57" t="n">
        <f aca="false">SUM(BC72:BC78)</f>
        <v>2406.05702003861</v>
      </c>
      <c r="BD79" s="57" t="n">
        <f aca="false">SUM(BD72:BD78)</f>
        <v>2432.79098692793</v>
      </c>
      <c r="BE79" s="57" t="n">
        <f aca="false">SUM(BE72:BE78)</f>
        <v>2459.52495381724</v>
      </c>
      <c r="BF79" s="57" t="n">
        <f aca="false">SUM(BF72:BF78)</f>
        <v>2450.67112671322</v>
      </c>
      <c r="BG79" s="57" t="n">
        <f aca="false">SUM(BG72:BG78)</f>
        <v>2411.93907111903</v>
      </c>
      <c r="BH79" s="57" t="n">
        <f aca="false">SUM(BH72:BH78)</f>
        <v>2438.73839413146</v>
      </c>
      <c r="BI79" s="57" t="n">
        <f aca="false">SUM(BI72:BI78)</f>
        <v>2465.5377171439</v>
      </c>
      <c r="BJ79" s="57" t="n">
        <f aca="false">SUM(BJ72:BJ78)</f>
        <v>2456.62897044382</v>
      </c>
      <c r="BK79" s="57" t="n">
        <f aca="false">SUM(BK72:BK78)</f>
        <v>2444.43352257147</v>
      </c>
      <c r="BL79" s="57" t="n">
        <f aca="false">SUM(BL72:BL78)</f>
        <v>2444.43352257147</v>
      </c>
      <c r="BM79" s="57" t="n">
        <f aca="false">SUM(BM72:BM78)</f>
        <v>2471.29542941292</v>
      </c>
      <c r="BN79" s="57" t="n">
        <f aca="false">SUM(BN72:BN78)</f>
        <v>2462.33160623732</v>
      </c>
      <c r="BO79" s="57" t="n">
        <f aca="false">SUM(BO72:BO78)</f>
        <v>2422.9459540571</v>
      </c>
      <c r="BP79" s="57" t="n">
        <f aca="false">SUM(BP72:BP78)</f>
        <v>2449.86757576884</v>
      </c>
      <c r="BQ79" s="57" t="n">
        <f aca="false">SUM(BQ72:BQ78)</f>
        <v>2476.78919748059</v>
      </c>
      <c r="BR79" s="57" t="n">
        <f aca="false">SUM(BR72:BR78)</f>
        <v>2467.77014457861</v>
      </c>
      <c r="BS79" s="57" t="n">
        <f aca="false">SUM(BS72:BS78)</f>
        <v>2428.05315613806</v>
      </c>
      <c r="BT79" s="57" t="n">
        <f aca="false">SUM(BT72:BT78)</f>
        <v>2455.03152453959</v>
      </c>
      <c r="BU79" s="57" t="n">
        <f aca="false">SUM(BU72:BU78)</f>
        <v>2482.00989294113</v>
      </c>
      <c r="BV79" s="57" t="n">
        <f aca="false">SUM(BV72:BV78)</f>
        <v>2472.93546082003</v>
      </c>
      <c r="BW79" s="57" t="n">
        <f aca="false">SUM(BW72:BW78)</f>
        <v>2432.88405612638</v>
      </c>
      <c r="BX79" s="57" t="n">
        <f aca="false">SUM(BX72:BX78)</f>
        <v>2459.91610119445</v>
      </c>
      <c r="BY79" s="57" t="n">
        <f aca="false">SUM(BY72:BY78)</f>
        <v>2486.94814626252</v>
      </c>
      <c r="BZ79" s="57" t="n">
        <f aca="false">SUM(BZ72:BZ78)</f>
        <v>2477.8181893204</v>
      </c>
      <c r="CA79" s="57" t="n">
        <f aca="false">SUM(CA72:CA78)</f>
        <v>2464.51179359584</v>
      </c>
      <c r="CB79" s="57" t="n">
        <f aca="false">SUM(CB72:CB78)</f>
        <v>2464.51179359584</v>
      </c>
      <c r="CC79" s="57" t="n">
        <f aca="false">SUM(CC72:CC78)</f>
        <v>2491.59434077821</v>
      </c>
      <c r="CD79" s="57" t="n">
        <f aca="false">SUM(CD72:CD78)</f>
        <v>2482.40871743996</v>
      </c>
      <c r="CE79" s="57" t="n">
        <f aca="false">SUM(CE72:CE78)</f>
        <v>2441.67907160649</v>
      </c>
      <c r="CF79" s="57" t="n">
        <f aca="false">SUM(CF72:CF78)</f>
        <v>2468.80883906879</v>
      </c>
      <c r="CG79" s="57" t="n">
        <f aca="false">SUM(CG72:CG78)</f>
        <v>2495.93860653108</v>
      </c>
      <c r="CH79" s="57" t="n">
        <f aca="false">SUM(CH72:CH78)</f>
        <v>2486.69717938767</v>
      </c>
      <c r="CI79" s="57" t="n">
        <f aca="false">SUM(CI72:CI78)</f>
        <v>2445.62362235821</v>
      </c>
      <c r="CJ79" s="57" t="n">
        <f aca="false">SUM(CJ72:CJ78)</f>
        <v>2472.79721816219</v>
      </c>
      <c r="CK79" s="57" t="n">
        <f aca="false">SUM(CK72:CK78)</f>
        <v>2499.97081396617</v>
      </c>
      <c r="CL79" s="57" t="n">
        <f aca="false">SUM(CL72:CL78)</f>
        <v>2490.67344991736</v>
      </c>
      <c r="CM79" s="57" t="n">
        <f aca="false">SUM(CM72:CM78)</f>
        <v>2449.25272904512</v>
      </c>
      <c r="CN79" s="57" t="n">
        <f aca="false">SUM(CN72:CN78)</f>
        <v>2476.46664825673</v>
      </c>
      <c r="CO79" s="57" t="n">
        <f aca="false">SUM(CO72:CO78)</f>
        <v>2503.68056746835</v>
      </c>
      <c r="CP79" s="57" t="n">
        <f aca="false">SUM(CP72:CP78)</f>
        <v>2494.32713786886</v>
      </c>
      <c r="CQ79" s="57" t="n">
        <f aca="false">SUM(CQ72:CQ78)</f>
        <v>2479.80657701572</v>
      </c>
      <c r="CR79" s="57" t="n">
        <f aca="false">SUM(CR72:CR78)</f>
        <v>2479.80657701572</v>
      </c>
      <c r="CS79" s="57" t="n">
        <f aca="false">SUM(CS72:CS78)</f>
        <v>2507.05719874117</v>
      </c>
      <c r="CT79" s="57" t="n">
        <f aca="false">SUM(CT72:CT78)</f>
        <v>2497.64757955043</v>
      </c>
      <c r="CU79" s="57" t="n">
        <f aca="false">SUM(CU72:CU78)</f>
        <v>2455.52259132691</v>
      </c>
      <c r="CV79" s="57" t="n">
        <f aca="false">SUM(CV72:CV78)</f>
        <v>2482.80617567499</v>
      </c>
      <c r="CW79" s="57" t="n">
        <f aca="false">SUM(CW72:CW78)</f>
        <v>2510.08976002306</v>
      </c>
      <c r="CX79" s="57" t="n">
        <f aca="false">SUM(CX72:CX78)</f>
        <v>2500.62383195862</v>
      </c>
      <c r="CY79" s="57" t="n">
        <f aca="false">SUM(CY72:CY78)</f>
        <v>2458.14164719902</v>
      </c>
      <c r="CZ79" s="57" t="n">
        <f aca="false">SUM(CZ72:CZ78)</f>
        <v>2485.45433216789</v>
      </c>
      <c r="DA79" s="57" t="n">
        <f aca="false">SUM(DA72:DA78)</f>
        <v>2512.76701713677</v>
      </c>
      <c r="DB79" s="57" t="n">
        <f aca="false">SUM(DB72:DB78)</f>
        <v>2503.24466583138</v>
      </c>
      <c r="DC79" s="57" t="n">
        <f aca="false">SUM(DC72:DC78)</f>
        <v>2460.4018457948</v>
      </c>
      <c r="DD79" s="57" t="n">
        <f aca="false">SUM(DD72:DD78)</f>
        <v>2487.73964408141</v>
      </c>
      <c r="DE79" s="57" t="n">
        <f aca="false">SUM(DE72:DE78)</f>
        <v>2515.07744236802</v>
      </c>
      <c r="DF79" s="57" t="n">
        <f aca="false">SUM(DF72:DF78)</f>
        <v>2505.49855853058</v>
      </c>
      <c r="DG79" s="57" t="n">
        <f aca="false">SUM(DG72:DG78)</f>
        <v>2489.65041143909</v>
      </c>
      <c r="DH79" s="57" t="n">
        <f aca="false">SUM(DH72:DH78)</f>
        <v>2489.65041143909</v>
      </c>
      <c r="DI79" s="57" t="n">
        <f aca="false">SUM(DI72:DI78)</f>
        <v>2517.00920716919</v>
      </c>
      <c r="DJ79" s="57" t="n">
        <f aca="false">SUM(DJ72:DJ78)</f>
        <v>2507.37368674959</v>
      </c>
      <c r="DK79" s="57" t="n">
        <f aca="false">SUM(DK72:DK78)</f>
        <v>2463.79908392978</v>
      </c>
      <c r="DL79" s="57" t="n">
        <f aca="false">SUM(DL72:DL78)</f>
        <v>2491.17462930678</v>
      </c>
      <c r="DM79" s="57" t="n">
        <f aca="false">SUM(DM72:DM78)</f>
        <v>2518.55017468378</v>
      </c>
      <c r="DN79" s="57" t="n">
        <f aca="false">SUM(DN72:DN78)</f>
        <v>2508.85791904168</v>
      </c>
      <c r="DO79" s="57" t="n">
        <f aca="false">SUM(DO72:DO78)</f>
        <v>2464.91206834606</v>
      </c>
      <c r="DP79" s="57" t="n">
        <f aca="false">SUM(DP72:DP78)</f>
        <v>2492.29998021657</v>
      </c>
      <c r="DQ79" s="57" t="n">
        <f aca="false">SUM(DQ72:DQ78)</f>
        <v>2519.68789208708</v>
      </c>
      <c r="DR79" s="57" t="n">
        <f aca="false">SUM(DR72:DR78)</f>
        <v>2509.93880816483</v>
      </c>
      <c r="DS79" s="57" t="n">
        <f aca="false">SUM(DS72:DS78)</f>
        <v>2465.61807007059</v>
      </c>
      <c r="DT79" s="57" t="n">
        <f aca="false">SUM(DT72:DT78)</f>
        <v>2493.01382640471</v>
      </c>
      <c r="DU79" s="57" t="n">
        <f aca="false">SUM(DU72:DU78)</f>
        <v>2520.40958273882</v>
      </c>
      <c r="DV79" s="57" t="n">
        <f aca="false">SUM(DV72:DV78)</f>
        <v>2510.60358323846</v>
      </c>
      <c r="DW79" s="57" t="n">
        <f aca="false">SUM(DW72:DW78)</f>
        <v>2493.30320185874</v>
      </c>
      <c r="DX79" s="57" t="n">
        <f aca="false">SUM(DX72:DX78)</f>
        <v>2493.30320185874</v>
      </c>
      <c r="DY79" s="57" t="n">
        <f aca="false">SUM(DY72:DY78)</f>
        <v>2520.70213814291</v>
      </c>
      <c r="DZ79" s="57" t="n">
        <f aca="false">SUM(DZ72:DZ78)</f>
        <v>2510.83914170753</v>
      </c>
      <c r="EA79" s="57" t="n">
        <f aca="false">SUM(EA72:EA78)</f>
        <v>2465.75749862902</v>
      </c>
      <c r="EB79" s="57" t="n">
        <f aca="false">SUM(EB72:EB78)</f>
        <v>2493.15480416935</v>
      </c>
      <c r="EC79" s="57" t="n">
        <f aca="false">SUM(EC72:EC78)</f>
        <v>2520.55210970967</v>
      </c>
      <c r="ED79" s="57" t="n">
        <f aca="false">SUM(ED72:ED78)</f>
        <v>2510.63204110907</v>
      </c>
      <c r="EE79" s="57" t="n">
        <f aca="false">SUM(EE72:EE78)</f>
        <v>2465.16427204807</v>
      </c>
      <c r="EF79" s="57" t="n">
        <f aca="false">SUM(EF72:EF78)</f>
        <v>2492.55498618193</v>
      </c>
      <c r="EG79" s="57" t="n">
        <f aca="false">SUM(EG72:EG78)</f>
        <v>2519.9457003158</v>
      </c>
      <c r="EH79" s="57" t="n">
        <f aca="false">SUM(EH72:EH78)</f>
        <v>2509.96849063659</v>
      </c>
      <c r="EI79" s="57" t="n">
        <f aca="false">SUM(EI72:EI78)</f>
        <v>2464.11073922956</v>
      </c>
      <c r="EJ79" s="57" t="n">
        <f aca="false">SUM(EJ72:EJ78)</f>
        <v>2491.48974744322</v>
      </c>
      <c r="EK79" s="57" t="n">
        <f aca="false">SUM(EK72:EK78)</f>
        <v>2518.86875565688</v>
      </c>
      <c r="EL79" s="57" t="n">
        <f aca="false">SUM(EL72:EL78)</f>
        <v>2508.8343424972</v>
      </c>
      <c r="EM79" s="57" t="n">
        <f aca="false">SUM(EM72:EM78)</f>
        <v>2489.94472543768</v>
      </c>
      <c r="EN79" s="57" t="n">
        <f aca="false">SUM(EN72:EN78)</f>
        <v>2489.94472543768</v>
      </c>
      <c r="EO79" s="57" t="n">
        <f aca="false">SUM(EO72:EO78)</f>
        <v>2517.30675538755</v>
      </c>
    </row>
    <row r="81" customFormat="false" ht="15" hidden="false" customHeight="false" outlineLevel="0" collapsed="false">
      <c r="A81" s="10" t="s">
        <v>13</v>
      </c>
      <c r="B81" s="10"/>
      <c r="C81" s="10" t="s">
        <v>438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/>
      <c r="CW81" s="10"/>
      <c r="CX81" s="10"/>
      <c r="CY81" s="10"/>
      <c r="CZ81" s="10"/>
      <c r="DA81" s="10"/>
      <c r="DB81" s="10"/>
      <c r="DC81" s="10"/>
      <c r="DD81" s="10"/>
      <c r="DE81" s="10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customFormat="false" ht="15" hidden="false" customHeight="false" outlineLevel="0" collapsed="false">
      <c r="C82" s="1" t="s">
        <v>439</v>
      </c>
      <c r="D82" s="12" t="s">
        <v>33</v>
      </c>
      <c r="J82" s="58" t="n">
        <v>0</v>
      </c>
      <c r="K82" s="58" t="n">
        <v>0</v>
      </c>
      <c r="L82" s="58" t="n">
        <v>0</v>
      </c>
      <c r="M82" s="58" t="n">
        <v>0</v>
      </c>
      <c r="N82" s="58" t="n">
        <v>0</v>
      </c>
      <c r="O82" s="58" t="n">
        <v>0</v>
      </c>
      <c r="P82" s="58" t="n">
        <v>0</v>
      </c>
      <c r="Q82" s="58" t="n">
        <v>0</v>
      </c>
      <c r="R82" s="58" t="n">
        <v>0</v>
      </c>
      <c r="S82" s="58" t="n">
        <v>0</v>
      </c>
      <c r="T82" s="58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-60.3480198379648</v>
      </c>
      <c r="AA82" s="58" t="n">
        <v>-59.711329371295</v>
      </c>
      <c r="AB82" s="58" t="n">
        <v>-61.1586785137932</v>
      </c>
      <c r="AC82" s="58" t="n">
        <v>-62.6193733011918</v>
      </c>
      <c r="AD82" s="58" t="n">
        <v>-71.793043790825</v>
      </c>
      <c r="AE82" s="58" t="n">
        <v>-125.642580743623</v>
      </c>
      <c r="AF82" s="58" t="n">
        <v>-126.345297170465</v>
      </c>
      <c r="AG82" s="58" t="n">
        <v>-129.272627376548</v>
      </c>
      <c r="AH82" s="58" t="n">
        <v>-128.730349161133</v>
      </c>
      <c r="AI82" s="58" t="n">
        <v>-127.398297463808</v>
      </c>
      <c r="AJ82" s="58" t="n">
        <v>-135.323682667617</v>
      </c>
      <c r="AK82" s="58" t="n">
        <v>-138.377367965308</v>
      </c>
      <c r="AL82" s="58" t="n">
        <v>-137.887673834152</v>
      </c>
      <c r="AM82" s="58" t="n">
        <v>-136.461450560655</v>
      </c>
      <c r="AN82" s="58" t="n">
        <v>-139.541261362179</v>
      </c>
      <c r="AO82" s="58" t="n">
        <v>-142.648182936782</v>
      </c>
      <c r="AP82" s="58" t="n">
        <v>-142.192472092425</v>
      </c>
      <c r="AQ82" s="58" t="n">
        <v>-140.762172543874</v>
      </c>
      <c r="AR82" s="58" t="n">
        <v>-143.896174404767</v>
      </c>
      <c r="AS82" s="58" t="n">
        <v>-147.057838606592</v>
      </c>
      <c r="AT82" s="58" t="n">
        <v>-146.637960554751</v>
      </c>
      <c r="AU82" s="58" t="n">
        <v>-147.522052083637</v>
      </c>
      <c r="AV82" s="58" t="n">
        <v>-148.412782043794</v>
      </c>
      <c r="AW82" s="58" t="n">
        <v>-151.630977731727</v>
      </c>
      <c r="AX82" s="58" t="n">
        <v>-151.249081076473</v>
      </c>
      <c r="AY82" s="58" t="n">
        <v>-149.815354813568</v>
      </c>
      <c r="AZ82" s="58" t="n">
        <v>-153.062700863409</v>
      </c>
      <c r="BA82" s="58" t="n">
        <v>-156.338879045821</v>
      </c>
      <c r="BB82" s="58" t="n">
        <v>-155.99678419407</v>
      </c>
      <c r="BC82" s="58" t="n">
        <v>-154.563665940036</v>
      </c>
      <c r="BD82" s="58" t="n">
        <v>-157.870107881744</v>
      </c>
      <c r="BE82" s="58" t="n">
        <v>-161.205999706884</v>
      </c>
      <c r="BF82" s="58" t="n">
        <v>-160.905824494039</v>
      </c>
      <c r="BG82" s="58" t="n">
        <v>-159.475043792974</v>
      </c>
      <c r="BH82" s="58" t="n">
        <v>-162.842371050624</v>
      </c>
      <c r="BI82" s="58" t="n">
        <v>-166.239790024845</v>
      </c>
      <c r="BJ82" s="58" t="n">
        <v>-165.983749984157</v>
      </c>
      <c r="BK82" s="58" t="n">
        <v>-166.914109039967</v>
      </c>
      <c r="BL82" s="58" t="n">
        <v>-168.005355455095</v>
      </c>
      <c r="BM82" s="58" t="n">
        <v>-171.466414851144</v>
      </c>
      <c r="BN82" s="58" t="n">
        <v>-171.257043565077</v>
      </c>
      <c r="BO82" s="58" t="n">
        <v>-169.836719367438</v>
      </c>
      <c r="BP82" s="58" t="n">
        <v>-173.331752070124</v>
      </c>
      <c r="BQ82" s="58" t="n">
        <v>-176.858239495156</v>
      </c>
      <c r="BR82" s="58" t="n">
        <v>-176.697756204507</v>
      </c>
      <c r="BS82" s="58" t="n">
        <v>-175.28554160696</v>
      </c>
      <c r="BT82" s="58" t="n">
        <v>-178.847367710211</v>
      </c>
      <c r="BU82" s="58" t="n">
        <v>-182.441369616409</v>
      </c>
      <c r="BV82" s="58" t="n">
        <v>-182.332311480932</v>
      </c>
      <c r="BW82" s="58" t="n">
        <v>-180.930334074286</v>
      </c>
      <c r="BX82" s="58" t="n">
        <v>-184.561111179407</v>
      </c>
      <c r="BY82" s="58" t="n">
        <v>-188.224814024749</v>
      </c>
      <c r="BZ82" s="58" t="n">
        <v>-188.169835361648</v>
      </c>
      <c r="CA82" s="58" t="n">
        <v>-189.170410612416</v>
      </c>
      <c r="CB82" s="58" t="n">
        <v>-190.500601798589</v>
      </c>
      <c r="CC82" s="58" t="n">
        <v>-194.236511952706</v>
      </c>
      <c r="CD82" s="58" t="n">
        <v>-194.238607154903</v>
      </c>
      <c r="CE82" s="58" t="n">
        <v>-192.864158911984</v>
      </c>
      <c r="CF82" s="58" t="n">
        <v>-196.639953096259</v>
      </c>
      <c r="CG82" s="58" t="n">
        <v>-200.450267495875</v>
      </c>
      <c r="CH82" s="58" t="n">
        <v>-200.512134723504</v>
      </c>
      <c r="CI82" s="58" t="n">
        <v>-199.155008627306</v>
      </c>
      <c r="CJ82" s="58" t="n">
        <v>-203.006879854031</v>
      </c>
      <c r="CK82" s="58" t="n">
        <v>-206.894116209574</v>
      </c>
      <c r="CL82" s="58" t="n">
        <v>-207.018795455534</v>
      </c>
      <c r="CM82" s="58" t="n">
        <v>-205.681599467637</v>
      </c>
      <c r="CN82" s="58" t="n">
        <v>-209.612152215341</v>
      </c>
      <c r="CO82" s="58" t="n">
        <v>-213.578949610713</v>
      </c>
      <c r="CP82" s="58" t="n">
        <v>-213.769621414545</v>
      </c>
      <c r="CQ82" s="58" t="n">
        <v>-214.870385645277</v>
      </c>
      <c r="CR82" s="58" t="n">
        <v>-216.485446580064</v>
      </c>
      <c r="CS82" s="58" t="n">
        <v>-220.534787667373</v>
      </c>
      <c r="CT82" s="58" t="n">
        <v>-220.794998393365</v>
      </c>
      <c r="CU82" s="58" t="n">
        <v>-217.82086186721</v>
      </c>
      <c r="CV82" s="58" t="n">
        <v>-220.241093665735</v>
      </c>
      <c r="CW82" s="58" t="n">
        <v>-222.661325464259</v>
      </c>
      <c r="CX82" s="58" t="n">
        <v>-221.241436254592</v>
      </c>
      <c r="CY82" s="58" t="n">
        <v>-218.213720248026</v>
      </c>
      <c r="CZ82" s="58" t="n">
        <v>-220.63831713967</v>
      </c>
      <c r="DA82" s="58" t="n">
        <v>-223.062914031315</v>
      </c>
      <c r="DB82" s="58" t="n">
        <v>-375.486699874706</v>
      </c>
      <c r="DC82" s="58" t="n">
        <v>-369.06027686922</v>
      </c>
      <c r="DD82" s="58" t="n">
        <v>-373.160946612211</v>
      </c>
      <c r="DE82" s="58" t="n">
        <v>-377.261616355202</v>
      </c>
      <c r="DF82" s="58" t="n">
        <v>-375.824783779587</v>
      </c>
      <c r="DG82" s="58" t="n">
        <v>-373.447561715863</v>
      </c>
      <c r="DH82" s="58" t="n">
        <v>-373.447561715863</v>
      </c>
      <c r="DI82" s="58" t="n">
        <v>-377.551381075378</v>
      </c>
      <c r="DJ82" s="58" t="n">
        <v>-376.106053012438</v>
      </c>
      <c r="DK82" s="58" t="n">
        <v>-369.569862589467</v>
      </c>
      <c r="DL82" s="58" t="n">
        <v>-373.676194396016</v>
      </c>
      <c r="DM82" s="58" t="n">
        <v>-377.782526202566</v>
      </c>
      <c r="DN82" s="58" t="n">
        <v>-376.328687856252</v>
      </c>
      <c r="DO82" s="58" t="n">
        <v>-369.736810251908</v>
      </c>
      <c r="DP82" s="58" t="n">
        <v>-373.844997032485</v>
      </c>
      <c r="DQ82" s="58" t="n">
        <v>-377.953183813062</v>
      </c>
      <c r="DR82" s="58" t="n">
        <v>-376.490821224723</v>
      </c>
      <c r="DS82" s="58" t="n">
        <v>-369.842710510588</v>
      </c>
      <c r="DT82" s="58" t="n">
        <v>-373.952073960706</v>
      </c>
      <c r="DU82" s="58" t="n">
        <v>-378.061437410823</v>
      </c>
      <c r="DV82" s="58" t="n">
        <v>-376.590537485769</v>
      </c>
      <c r="DW82" s="58" t="n">
        <v>-373.995480278811</v>
      </c>
      <c r="DX82" s="58" t="n">
        <v>-373.995480278811</v>
      </c>
      <c r="DY82" s="58" t="n">
        <v>-378.105320721436</v>
      </c>
      <c r="DZ82" s="58" t="n">
        <v>-376.625871256129</v>
      </c>
      <c r="EA82" s="58" t="n">
        <v>-369.863624794353</v>
      </c>
      <c r="EB82" s="58" t="n">
        <v>-373.973220625402</v>
      </c>
      <c r="EC82" s="58" t="n">
        <v>-378.08281645645</v>
      </c>
      <c r="ED82" s="58" t="n">
        <v>-376.59480616636</v>
      </c>
      <c r="EE82" s="58" t="n">
        <v>-369.774640807209</v>
      </c>
      <c r="EF82" s="58" t="n">
        <v>-373.883247927289</v>
      </c>
      <c r="EG82" s="58" t="n">
        <v>-377.99185504737</v>
      </c>
      <c r="EH82" s="58" t="n">
        <v>-376.495273595489</v>
      </c>
      <c r="EI82" s="58" t="n">
        <v>-369.616610884433</v>
      </c>
      <c r="EJ82" s="58" t="n">
        <v>-373.723462116483</v>
      </c>
      <c r="EK82" s="58" t="n">
        <v>-377.830313348532</v>
      </c>
      <c r="EL82" s="58" t="n">
        <v>-376.325151374579</v>
      </c>
      <c r="EM82" s="58" t="n">
        <v>-373.491708815652</v>
      </c>
      <c r="EN82" s="58" t="n">
        <v>-373.491708815652</v>
      </c>
      <c r="EO82" s="58" t="n">
        <v>-377.596013308131</v>
      </c>
    </row>
    <row r="83" customFormat="false" ht="15" hidden="false" customHeight="false" outlineLevel="0" collapsed="false">
      <c r="C83" s="1" t="s">
        <v>440</v>
      </c>
      <c r="D83" s="12" t="s">
        <v>33</v>
      </c>
      <c r="I83" s="48" t="n">
        <f aca="false">SUM(J83:EO83)</f>
        <v>266918.240536922</v>
      </c>
      <c r="J83" s="48" t="n">
        <f aca="false">(J79+J55+J82)*(J$4&gt;In_COD)</f>
        <v>-0</v>
      </c>
      <c r="K83" s="48" t="n">
        <f aca="false">(K79+K55+K82)*(K$4&gt;In_COD)</f>
        <v>-0</v>
      </c>
      <c r="L83" s="48" t="n">
        <f aca="false">(L79+L55+L82)*(L$4&gt;In_COD)</f>
        <v>-0</v>
      </c>
      <c r="M83" s="48" t="n">
        <f aca="false">(M79+M55+M82)*(M$4&gt;In_COD)</f>
        <v>-0</v>
      </c>
      <c r="N83" s="48" t="n">
        <f aca="false">(N79+N55+N82)*(N$4&gt;In_COD)</f>
        <v>-0</v>
      </c>
      <c r="O83" s="48" t="n">
        <f aca="false">(O79+O55+O82)*(O$4&gt;In_COD)</f>
        <v>-0</v>
      </c>
      <c r="P83" s="48" t="n">
        <f aca="false">(P79+P55+P82)*(P$4&gt;In_COD)</f>
        <v>-0</v>
      </c>
      <c r="Q83" s="48" t="n">
        <f aca="false">(Q79+Q55+Q82)*(Q$4&gt;In_COD)</f>
        <v>-0</v>
      </c>
      <c r="R83" s="48" t="n">
        <f aca="false">(R79+R55+R82)*(R$4&gt;In_COD)</f>
        <v>-0</v>
      </c>
      <c r="S83" s="48" t="n">
        <f aca="false">(S79+S55+S82)*(S$4&gt;In_COD)</f>
        <v>-0</v>
      </c>
      <c r="T83" s="48" t="n">
        <f aca="false">(T79+T55+T82)*(T$4&gt;In_COD)</f>
        <v>-0</v>
      </c>
      <c r="U83" s="48" t="n">
        <f aca="false">(U79+U55+U82)*(U$4&gt;In_COD)</f>
        <v>-0</v>
      </c>
      <c r="V83" s="48" t="n">
        <f aca="false">(V79+V55+V82)*(V$4&gt;In_COD)</f>
        <v>-0</v>
      </c>
      <c r="W83" s="48" t="n">
        <f aca="false">(W79+W55+W82)*(W$4&gt;In_COD)</f>
        <v>-0</v>
      </c>
      <c r="X83" s="48" t="n">
        <f aca="false">(X79+X55+X82)*(X$4&gt;In_COD)</f>
        <v>-0</v>
      </c>
      <c r="Y83" s="48" t="n">
        <f aca="false">(Y79+Y55+Y82)*(Y$4&gt;In_COD)</f>
        <v>-0</v>
      </c>
      <c r="Z83" s="48" t="n">
        <f aca="false">(Z79+Z55+Z82)*(Z$4&gt;In_COD)</f>
        <v>2300.94659077018</v>
      </c>
      <c r="AA83" s="48" t="n">
        <f aca="false">(AA79+AA55+AA82)*(AA$4&gt;In_COD)</f>
        <v>2266.07898831381</v>
      </c>
      <c r="AB83" s="48" t="n">
        <f aca="false">(AB79+AB55+AB82)*(AB$4&gt;In_COD)</f>
        <v>2290.47375381226</v>
      </c>
      <c r="AC83" s="48" t="n">
        <f aca="false">(AC79+AC55+AC82)*(AC$4&gt;In_COD)</f>
        <v>2314.8551736658</v>
      </c>
      <c r="AD83" s="48" t="n">
        <f aca="false">(AD79+AD55+AD82)*(AD$4&gt;In_COD)</f>
        <v>2297.20744160601</v>
      </c>
      <c r="AE83" s="48" t="n">
        <f aca="false">(AE79+AE55+AE82)*(AE$4&gt;In_COD)</f>
        <v>2233.47530061387</v>
      </c>
      <c r="AF83" s="48" t="n">
        <f aca="false">(AF79+AF55+AF82)*(AF$4&gt;In_COD)</f>
        <v>2232.77258418703</v>
      </c>
      <c r="AG83" s="48" t="n">
        <f aca="false">(AG79+AG55+AG82)*(AG$4&gt;In_COD)</f>
        <v>2255.76962630355</v>
      </c>
      <c r="AH83" s="48" t="n">
        <f aca="false">(AH79+AH55+AH82)*(AH$4&gt;In_COD)</f>
        <v>2247.78411286806</v>
      </c>
      <c r="AI83" s="48" t="n">
        <f aca="false">(AI79+AI55+AI82)*(AI$4&gt;In_COD)</f>
        <v>2213.00380481093</v>
      </c>
      <c r="AJ83" s="48" t="n">
        <f aca="false">(AJ79+AJ55+AJ82)*(AJ$4&gt;In_COD)</f>
        <v>2264.23837624485</v>
      </c>
      <c r="AK83" s="48" t="n">
        <f aca="false">(AK79+AK55+AK82)*(AK$4&gt;In_COD)</f>
        <v>2287.55350478137</v>
      </c>
      <c r="AL83" s="48" t="n">
        <f aca="false">(AL79+AL55+AL82)*(AL$4&gt;In_COD)</f>
        <v>2279.46149827438</v>
      </c>
      <c r="AM83" s="48" t="n">
        <f aca="false">(AM79+AM55+AM82)*(AM$4&gt;In_COD)</f>
        <v>2243.73855139539</v>
      </c>
      <c r="AN83" s="48" t="n">
        <f aca="false">(AN79+AN55+AN82)*(AN$4&gt;In_COD)</f>
        <v>2267.10540728227</v>
      </c>
      <c r="AO83" s="48" t="n">
        <f aca="false">(AO79+AO55+AO82)*(AO$4&gt;In_COD)</f>
        <v>2290.44515239606</v>
      </c>
      <c r="AP83" s="48" t="n">
        <f aca="false">(AP79+AP55+AP82)*(AP$4&gt;In_COD)</f>
        <v>2282.26507751402</v>
      </c>
      <c r="AQ83" s="48" t="n">
        <f aca="false">(AQ79+AQ55+AQ82)*(AQ$4&gt;In_COD)</f>
        <v>2246.23531801016</v>
      </c>
      <c r="AR83" s="48" t="n">
        <f aca="false">(AR79+AR55+AR82)*(AR$4&gt;In_COD)</f>
        <v>2269.62351048876</v>
      </c>
      <c r="AS83" s="48" t="n">
        <f aca="false">(AS79+AS55+AS82)*(AS$4&gt;In_COD)</f>
        <v>2292.98404062642</v>
      </c>
      <c r="AT83" s="48" t="n">
        <f aca="false">(AT79+AT55+AT82)*(AT$4&gt;In_COD)</f>
        <v>2284.71387467715</v>
      </c>
      <c r="AU83" s="48" t="n">
        <f aca="false">(AU79+AU55+AU82)*(AU$4&gt;In_COD)</f>
        <v>2272.6513403706</v>
      </c>
      <c r="AV83" s="48" t="n">
        <f aca="false">(AV79+AV55+AV82)*(AV$4&gt;In_COD)</f>
        <v>2271.76061041045</v>
      </c>
      <c r="AW83" s="48" t="n">
        <f aca="false">(AW79+AW55+AW82)*(AW$4&gt;In_COD)</f>
        <v>2295.13772672751</v>
      </c>
      <c r="AX83" s="48" t="n">
        <f aca="false">(AX79+AX55+AX82)*(AX$4&gt;In_COD)</f>
        <v>2286.77515094688</v>
      </c>
      <c r="AY83" s="48" t="n">
        <f aca="false">(AY79+AY55+AY82)*(AY$4&gt;In_COD)</f>
        <v>2250.11858294111</v>
      </c>
      <c r="AZ83" s="48" t="n">
        <f aca="false">(AZ79+AZ55+AZ82)*(AZ$4&gt;In_COD)</f>
        <v>2273.53716953299</v>
      </c>
      <c r="BA83" s="48" t="n">
        <f aca="false">(BA79+BA55+BA82)*(BA$4&gt;In_COD)</f>
        <v>2296.92692399229</v>
      </c>
      <c r="BB83" s="48" t="n">
        <f aca="false">(BB79+BB55+BB82)*(BB$4&gt;In_COD)</f>
        <v>2288.46995095437</v>
      </c>
      <c r="BC83" s="48" t="n">
        <f aca="false">(BC79+BC55+BC82)*(BC$4&gt;In_COD)</f>
        <v>2251.49335409857</v>
      </c>
      <c r="BD83" s="48" t="n">
        <f aca="false">(BD79+BD55+BD82)*(BD$4&gt;In_COD)</f>
        <v>2274.92087904618</v>
      </c>
      <c r="BE83" s="48" t="n">
        <f aca="false">(BE79+BE55+BE82)*(BE$4&gt;In_COD)</f>
        <v>2298.31895411036</v>
      </c>
      <c r="BF83" s="48" t="n">
        <f aca="false">(BF79+BF55+BF82)*(BF$4&gt;In_COD)</f>
        <v>2289.76530221918</v>
      </c>
      <c r="BG83" s="48" t="n">
        <f aca="false">(BG79+BG55+BG82)*(BG$4&gt;In_COD)</f>
        <v>2252.46402732605</v>
      </c>
      <c r="BH83" s="48" t="n">
        <f aca="false">(BH79+BH55+BH82)*(BH$4&gt;In_COD)</f>
        <v>2275.89602308084</v>
      </c>
      <c r="BI83" s="48" t="n">
        <f aca="false">(BI79+BI55+BI82)*(BI$4&gt;In_COD)</f>
        <v>2299.29792711905</v>
      </c>
      <c r="BJ83" s="48" t="n">
        <f aca="false">(BJ79+BJ55+BJ82)*(BJ$4&gt;In_COD)</f>
        <v>2290.64522045967</v>
      </c>
      <c r="BK83" s="48" t="n">
        <f aca="false">(BK79+BK55+BK82)*(BK$4&gt;In_COD)</f>
        <v>2277.51941353151</v>
      </c>
      <c r="BL83" s="48" t="n">
        <f aca="false">(BL79+BL55+BL82)*(BL$4&gt;In_COD)</f>
        <v>2276.42816711638</v>
      </c>
      <c r="BM83" s="48" t="n">
        <f aca="false">(BM79+BM55+BM82)*(BM$4&gt;In_COD)</f>
        <v>2299.82901456177</v>
      </c>
      <c r="BN83" s="48" t="n">
        <f aca="false">(BN79+BN55+BN82)*(BN$4&gt;In_COD)</f>
        <v>2291.07456267225</v>
      </c>
      <c r="BO83" s="48" t="n">
        <f aca="false">(BO79+BO55+BO82)*(BO$4&gt;In_COD)</f>
        <v>2253.10923468966</v>
      </c>
      <c r="BP83" s="48" t="n">
        <f aca="false">(BP79+BP55+BP82)*(BP$4&gt;In_COD)</f>
        <v>2276.53582369872</v>
      </c>
      <c r="BQ83" s="48" t="n">
        <f aca="false">(BQ79+BQ55+BQ82)*(BQ$4&gt;In_COD)</f>
        <v>2299.93095798543</v>
      </c>
      <c r="BR83" s="48" t="n">
        <f aca="false">(BR79+BR55+BR82)*(BR$4&gt;In_COD)</f>
        <v>2291.0723883741</v>
      </c>
      <c r="BS83" s="48" t="n">
        <f aca="false">(BS79+BS55+BS82)*(BS$4&gt;In_COD)</f>
        <v>2252.7676145311</v>
      </c>
      <c r="BT83" s="48" t="n">
        <f aca="false">(BT79+BT55+BT82)*(BT$4&gt;In_COD)</f>
        <v>2276.18415682938</v>
      </c>
      <c r="BU83" s="48" t="n">
        <f aca="false">(BU79+BU55+BU82)*(BU$4&gt;In_COD)</f>
        <v>2299.56852332472</v>
      </c>
      <c r="BV83" s="48" t="n">
        <f aca="false">(BV79+BV55+BV82)*(BV$4&gt;In_COD)</f>
        <v>2290.60314933909</v>
      </c>
      <c r="BW83" s="48" t="n">
        <f aca="false">(BW79+BW55+BW82)*(BW$4&gt;In_COD)</f>
        <v>2251.95372205209</v>
      </c>
      <c r="BX83" s="48" t="n">
        <f aca="false">(BX79+BX55+BX82)*(BX$4&gt;In_COD)</f>
        <v>2275.35499001504</v>
      </c>
      <c r="BY83" s="48" t="n">
        <f aca="false">(BY79+BY55+BY82)*(BY$4&gt;In_COD)</f>
        <v>2298.72333223777</v>
      </c>
      <c r="BZ83" s="48" t="n">
        <f aca="false">(BZ79+BZ55+BZ82)*(BZ$4&gt;In_COD)</f>
        <v>2289.64835395875</v>
      </c>
      <c r="CA83" s="48" t="n">
        <f aca="false">(CA79+CA55+CA82)*(CA$4&gt;In_COD)</f>
        <v>2275.34138298342</v>
      </c>
      <c r="CB83" s="48" t="n">
        <f aca="false">(CB79+CB55+CB82)*(CB$4&gt;In_COD)</f>
        <v>2274.01119179725</v>
      </c>
      <c r="CC83" s="48" t="n">
        <f aca="false">(CC79+CC55+CC82)*(CC$4&gt;In_COD)</f>
        <v>2297.35782882551</v>
      </c>
      <c r="CD83" s="48" t="n">
        <f aca="false">(CD79+CD55+CD82)*(CD$4&gt;In_COD)</f>
        <v>2288.17011028506</v>
      </c>
      <c r="CE83" s="48" t="n">
        <f aca="false">(CE79+CE55+CE82)*(CE$4&gt;In_COD)</f>
        <v>2248.81491269451</v>
      </c>
      <c r="CF83" s="48" t="n">
        <f aca="false">(CF79+CF55+CF82)*(CF$4&gt;In_COD)</f>
        <v>2272.16888597253</v>
      </c>
      <c r="CG83" s="48" t="n">
        <f aca="false">(CG79+CG55+CG82)*(CG$4&gt;In_COD)</f>
        <v>2295.48833903521</v>
      </c>
      <c r="CH83" s="48" t="n">
        <f aca="false">(CH79+CH55+CH82)*(CH$4&gt;In_COD)</f>
        <v>2286.18504466417</v>
      </c>
      <c r="CI83" s="48" t="n">
        <f aca="false">(CI79+CI55+CI82)*(CI$4&gt;In_COD)</f>
        <v>2246.46861373091</v>
      </c>
      <c r="CJ83" s="48" t="n">
        <f aca="false">(CJ79+CJ55+CJ82)*(CJ$4&gt;In_COD)</f>
        <v>2269.79033830816</v>
      </c>
      <c r="CK83" s="48" t="n">
        <f aca="false">(CK79+CK55+CK82)*(CK$4&gt;In_COD)</f>
        <v>2293.0766977566</v>
      </c>
      <c r="CL83" s="48" t="n">
        <f aca="false">(CL79+CL55+CL82)*(CL$4&gt;In_COD)</f>
        <v>2283.65465446183</v>
      </c>
      <c r="CM83" s="48" t="n">
        <f aca="false">(CM79+CM55+CM82)*(CM$4&gt;In_COD)</f>
        <v>2243.57112957748</v>
      </c>
      <c r="CN83" s="48" t="n">
        <f aca="false">(CN79+CN55+CN82)*(CN$4&gt;In_COD)</f>
        <v>2266.85449604139</v>
      </c>
      <c r="CO83" s="48" t="n">
        <f aca="false">(CO79+CO55+CO82)*(CO$4&gt;In_COD)</f>
        <v>2290.10161785763</v>
      </c>
      <c r="CP83" s="48" t="n">
        <f aca="false">(CP79+CP55+CP82)*(CP$4&gt;In_COD)</f>
        <v>2280.55751645431</v>
      </c>
      <c r="CQ83" s="48" t="n">
        <f aca="false">(CQ79+CQ55+CQ82)*(CQ$4&gt;In_COD)</f>
        <v>2264.93619137044</v>
      </c>
      <c r="CR83" s="48" t="n">
        <f aca="false">(CR79+CR55+CR82)*(CR$4&gt;In_COD)</f>
        <v>2263.32113043566</v>
      </c>
      <c r="CS83" s="48" t="n">
        <f aca="false">(CS79+CS55+CS82)*(CS$4&gt;In_COD)</f>
        <v>2286.5224110738</v>
      </c>
      <c r="CT83" s="48" t="n">
        <f aca="false">(CT79+CT55+CT82)*(CT$4&gt;In_COD)</f>
        <v>2276.85258115707</v>
      </c>
      <c r="CU83" s="48" t="n">
        <f aca="false">(CU79+CU55+CU82)*(CU$4&gt;In_COD)</f>
        <v>2237.7017294597</v>
      </c>
      <c r="CV83" s="48" t="n">
        <f aca="false">(CV79+CV55+CV82)*(CV$4&gt;In_COD)</f>
        <v>2262.56508200925</v>
      </c>
      <c r="CW83" s="48" t="n">
        <f aca="false">(CW79+CW55+CW82)*(CW$4&gt;In_COD)</f>
        <v>2287.42843455881</v>
      </c>
      <c r="CX83" s="48" t="n">
        <f aca="false">(CX79+CX55+CX82)*(CX$4&gt;In_COD)</f>
        <v>2279.38239570403</v>
      </c>
      <c r="CY83" s="48" t="n">
        <f aca="false">(CY79+CY55+CY82)*(CY$4&gt;In_COD)</f>
        <v>2239.92792695099</v>
      </c>
      <c r="CZ83" s="48" t="n">
        <f aca="false">(CZ79+CZ55+CZ82)*(CZ$4&gt;In_COD)</f>
        <v>2264.81601502822</v>
      </c>
      <c r="DA83" s="48" t="n">
        <f aca="false">(DA79+DA55+DA82)*(DA$4&gt;In_COD)</f>
        <v>2289.70410310546</v>
      </c>
      <c r="DB83" s="48" t="n">
        <f aca="false">(DB79+DB55+DB82)*(DB$4&gt;In_COD)</f>
        <v>2127.75796595667</v>
      </c>
      <c r="DC83" s="48" t="n">
        <f aca="false">(DC79+DC55+DC82)*(DC$4&gt;In_COD)</f>
        <v>2091.34156892558</v>
      </c>
      <c r="DD83" s="48" t="n">
        <f aca="false">(DD79+DD55+DD82)*(DD$4&gt;In_COD)</f>
        <v>2114.5786974692</v>
      </c>
      <c r="DE83" s="48" t="n">
        <f aca="false">(DE79+DE55+DE82)*(DE$4&gt;In_COD)</f>
        <v>2137.81582601281</v>
      </c>
      <c r="DF83" s="48" t="n">
        <f aca="false">(DF79+DF55+DF82)*(DF$4&gt;In_COD)</f>
        <v>2129.67377475099</v>
      </c>
      <c r="DG83" s="48" t="n">
        <f aca="false">(DG79+DG55+DG82)*(DG$4&gt;In_COD)</f>
        <v>2116.20284972323</v>
      </c>
      <c r="DH83" s="48" t="n">
        <f aca="false">(DH79+DH55+DH82)*(DH$4&gt;In_COD)</f>
        <v>2116.20284972323</v>
      </c>
      <c r="DI83" s="48" t="n">
        <f aca="false">(DI79+DI55+DI82)*(DI$4&gt;In_COD)</f>
        <v>2139.45782609381</v>
      </c>
      <c r="DJ83" s="48" t="n">
        <f aca="false">(DJ79+DJ55+DJ82)*(DJ$4&gt;In_COD)</f>
        <v>2131.26763373715</v>
      </c>
      <c r="DK83" s="48" t="n">
        <f aca="false">(DK79+DK55+DK82)*(DK$4&gt;In_COD)</f>
        <v>2094.22922134031</v>
      </c>
      <c r="DL83" s="48" t="n">
        <f aca="false">(DL79+DL55+DL82)*(DL$4&gt;In_COD)</f>
        <v>2117.49843491076</v>
      </c>
      <c r="DM83" s="48" t="n">
        <f aca="false">(DM79+DM55+DM82)*(DM$4&gt;In_COD)</f>
        <v>2140.76764848121</v>
      </c>
      <c r="DN83" s="48" t="n">
        <f aca="false">(DN79+DN55+DN82)*(DN$4&gt;In_COD)</f>
        <v>2132.52923118543</v>
      </c>
      <c r="DO83" s="48" t="n">
        <f aca="false">(DO79+DO55+DO82)*(DO$4&gt;In_COD)</f>
        <v>2095.17525809415</v>
      </c>
      <c r="DP83" s="48" t="n">
        <f aca="false">(DP79+DP55+DP82)*(DP$4&gt;In_COD)</f>
        <v>2118.45498318408</v>
      </c>
      <c r="DQ83" s="48" t="n">
        <f aca="false">(DQ79+DQ55+DQ82)*(DQ$4&gt;In_COD)</f>
        <v>2141.73470827402</v>
      </c>
      <c r="DR83" s="48" t="n">
        <f aca="false">(DR79+DR55+DR82)*(DR$4&gt;In_COD)</f>
        <v>2133.4479869401</v>
      </c>
      <c r="DS83" s="48" t="n">
        <f aca="false">(DS79+DS55+DS82)*(DS$4&gt;In_COD)</f>
        <v>2095.77535956</v>
      </c>
      <c r="DT83" s="48" t="n">
        <f aca="false">(DT79+DT55+DT82)*(DT$4&gt;In_COD)</f>
        <v>2119.061752444</v>
      </c>
      <c r="DU83" s="48" t="n">
        <f aca="false">(DU79+DU55+DU82)*(DU$4&gt;In_COD)</f>
        <v>2142.348145328</v>
      </c>
      <c r="DV83" s="48" t="n">
        <f aca="false">(DV79+DV55+DV82)*(DV$4&gt;In_COD)</f>
        <v>2134.01304575269</v>
      </c>
      <c r="DW83" s="48" t="n">
        <f aca="false">(DW79+DW55+DW82)*(DW$4&gt;In_COD)</f>
        <v>2119.30772157993</v>
      </c>
      <c r="DX83" s="48" t="n">
        <f aca="false">(DX79+DX55+DX82)*(DX$4&gt;In_COD)</f>
        <v>2119.30772157993</v>
      </c>
      <c r="DY83" s="48" t="n">
        <f aca="false">(DY79+DY55+DY82)*(DY$4&gt;In_COD)</f>
        <v>2142.59681742147</v>
      </c>
      <c r="DZ83" s="48" t="n">
        <f aca="false">(DZ79+DZ55+DZ82)*(DZ$4&gt;In_COD)</f>
        <v>2134.2132704514</v>
      </c>
      <c r="EA83" s="48" t="n">
        <f aca="false">(EA79+EA55+EA82)*(EA$4&gt;In_COD)</f>
        <v>2095.89387383467</v>
      </c>
      <c r="EB83" s="48" t="n">
        <f aca="false">(EB79+EB55+EB82)*(EB$4&gt;In_COD)</f>
        <v>2119.18158354395</v>
      </c>
      <c r="EC83" s="48" t="n">
        <f aca="false">(EC79+EC55+EC82)*(EC$4&gt;In_COD)</f>
        <v>2142.46929325322</v>
      </c>
      <c r="ED83" s="48" t="n">
        <f aca="false">(ED79+ED55+ED82)*(ED$4&gt;In_COD)</f>
        <v>2134.03723494271</v>
      </c>
      <c r="EE83" s="48" t="n">
        <f aca="false">(EE79+EE55+EE82)*(EE$4&gt;In_COD)</f>
        <v>2095.38963124086</v>
      </c>
      <c r="EF83" s="48" t="n">
        <f aca="false">(EF79+EF55+EF82)*(EF$4&gt;In_COD)</f>
        <v>2118.67173825464</v>
      </c>
      <c r="EG83" s="48" t="n">
        <f aca="false">(EG79+EG55+EG82)*(EG$4&gt;In_COD)</f>
        <v>2141.95384526843</v>
      </c>
      <c r="EH83" s="48" t="n">
        <f aca="false">(EH79+EH55+EH82)*(EH$4&gt;In_COD)</f>
        <v>2133.4732170411</v>
      </c>
      <c r="EI83" s="48" t="n">
        <f aca="false">(EI79+EI55+EI82)*(EI$4&gt;In_COD)</f>
        <v>2094.49412834513</v>
      </c>
      <c r="EJ83" s="48" t="n">
        <f aca="false">(EJ79+EJ55+EJ82)*(EJ$4&gt;In_COD)</f>
        <v>2117.76628532674</v>
      </c>
      <c r="EK83" s="48" t="n">
        <f aca="false">(EK79+EK55+EK82)*(EK$4&gt;In_COD)</f>
        <v>2141.03844230835</v>
      </c>
      <c r="EL83" s="48" t="n">
        <f aca="false">(EL79+EL55+EL82)*(EL$4&gt;In_COD)</f>
        <v>2132.50919112262</v>
      </c>
      <c r="EM83" s="48" t="n">
        <f aca="false">(EM79+EM55+EM82)*(EM$4&gt;In_COD)</f>
        <v>2116.45301662203</v>
      </c>
      <c r="EN83" s="48" t="n">
        <f aca="false">(EN79+EN55+EN82)*(EN$4&gt;In_COD)</f>
        <v>2116.45301662203</v>
      </c>
      <c r="EO83" s="48" t="n">
        <f aca="false">(EO79+EO55+EO82)*(EO$4&gt;In_COD)</f>
        <v>2139.71074207941</v>
      </c>
    </row>
    <row r="84" customFormat="false" ht="15" hidden="false" customHeight="false" outlineLevel="0" collapsed="false">
      <c r="C84" s="1" t="s">
        <v>441</v>
      </c>
      <c r="D84" s="12" t="s">
        <v>33</v>
      </c>
      <c r="E84" s="48" t="n">
        <f aca="false">SUMPRODUCT($J84:$EO84/$J21:$EO21)*$E21</f>
        <v>89663.7581285872</v>
      </c>
      <c r="I84" s="48" t="n">
        <f aca="false">SUM(J84:EO84)</f>
        <v>136546.338941852</v>
      </c>
      <c r="J84" s="48" t="n">
        <f aca="false">J83/In_DSCR*J17</f>
        <v>-0</v>
      </c>
      <c r="K84" s="48" t="n">
        <f aca="false">K83/In_DSCR*K17</f>
        <v>-0</v>
      </c>
      <c r="L84" s="48" t="n">
        <f aca="false">L83/In_DSCR*L17</f>
        <v>-0</v>
      </c>
      <c r="M84" s="48" t="n">
        <f aca="false">M83/In_DSCR*M17</f>
        <v>-0</v>
      </c>
      <c r="N84" s="48" t="n">
        <f aca="false">N83/In_DSCR*N17</f>
        <v>-0</v>
      </c>
      <c r="O84" s="48" t="n">
        <f aca="false">O83/In_DSCR*O17</f>
        <v>-0</v>
      </c>
      <c r="P84" s="48" t="n">
        <f aca="false">P83/In_DSCR*P17</f>
        <v>-0</v>
      </c>
      <c r="Q84" s="48" t="n">
        <f aca="false">Q83/In_DSCR*Q17</f>
        <v>-0</v>
      </c>
      <c r="R84" s="48" t="n">
        <f aca="false">R83/In_DSCR*R17</f>
        <v>-0</v>
      </c>
      <c r="S84" s="48" t="n">
        <f aca="false">S83/In_DSCR*S17</f>
        <v>-0</v>
      </c>
      <c r="T84" s="48" t="n">
        <f aca="false">T83/In_DSCR*T17</f>
        <v>-0</v>
      </c>
      <c r="U84" s="48" t="n">
        <f aca="false">U83/In_DSCR*U17</f>
        <v>-0</v>
      </c>
      <c r="V84" s="48" t="n">
        <f aca="false">V83/In_DSCR*V17</f>
        <v>-0</v>
      </c>
      <c r="W84" s="48" t="n">
        <f aca="false">W83/In_DSCR*W17</f>
        <v>-0</v>
      </c>
      <c r="X84" s="48" t="n">
        <f aca="false">X83/In_DSCR*X17</f>
        <v>-0</v>
      </c>
      <c r="Y84" s="48" t="n">
        <f aca="false">Y83/In_DSCR*Y17</f>
        <v>-0</v>
      </c>
      <c r="Z84" s="48" t="n">
        <f aca="false">Z83/In_DSCR*Z17</f>
        <v>1917.45549230848</v>
      </c>
      <c r="AA84" s="48" t="n">
        <f aca="false">AA83/In_DSCR*AA17</f>
        <v>1888.39915692817</v>
      </c>
      <c r="AB84" s="48" t="n">
        <f aca="false">AB83/In_DSCR*AB17</f>
        <v>1908.72812817688</v>
      </c>
      <c r="AC84" s="48" t="n">
        <f aca="false">AC83/In_DSCR*AC17</f>
        <v>1929.04597805484</v>
      </c>
      <c r="AD84" s="48" t="n">
        <f aca="false">AD83/In_DSCR*AD17</f>
        <v>1914.33953467168</v>
      </c>
      <c r="AE84" s="48" t="n">
        <f aca="false">AE83/In_DSCR*AE17</f>
        <v>1861.22941717822</v>
      </c>
      <c r="AF84" s="48" t="n">
        <f aca="false">AF83/In_DSCR*AF17</f>
        <v>1860.64382015586</v>
      </c>
      <c r="AG84" s="48" t="n">
        <f aca="false">AG83/In_DSCR*AG17</f>
        <v>1879.80802191963</v>
      </c>
      <c r="AH84" s="48" t="n">
        <f aca="false">AH83/In_DSCR*AH17</f>
        <v>1873.15342739005</v>
      </c>
      <c r="AI84" s="48" t="n">
        <f aca="false">AI83/In_DSCR*AI17</f>
        <v>1844.16983734244</v>
      </c>
      <c r="AJ84" s="48" t="n">
        <f aca="false">AJ83/In_DSCR*AJ17</f>
        <v>1886.86531353738</v>
      </c>
      <c r="AK84" s="48" t="n">
        <f aca="false">AK83/In_DSCR*AK17</f>
        <v>1906.29458731781</v>
      </c>
      <c r="AL84" s="48" t="n">
        <f aca="false">AL83/In_DSCR*AL17</f>
        <v>1899.55124856198</v>
      </c>
      <c r="AM84" s="48" t="n">
        <f aca="false">AM83/In_DSCR*AM17</f>
        <v>1869.78212616283</v>
      </c>
      <c r="AN84" s="48" t="n">
        <f aca="false">AN83/In_DSCR*AN17</f>
        <v>1889.25450606856</v>
      </c>
      <c r="AO84" s="48" t="n">
        <f aca="false">AO83/In_DSCR*AO17</f>
        <v>1908.70429366339</v>
      </c>
      <c r="AP84" s="48" t="n">
        <f aca="false">AP83/In_DSCR*AP17</f>
        <v>1901.88756459502</v>
      </c>
      <c r="AQ84" s="48" t="n">
        <f aca="false">AQ83/In_DSCR*AQ17</f>
        <v>1871.86276500847</v>
      </c>
      <c r="AR84" s="48" t="n">
        <f aca="false">AR83/In_DSCR*AR17</f>
        <v>1891.3529254073</v>
      </c>
      <c r="AS84" s="48" t="n">
        <f aca="false">AS83/In_DSCR*AS17</f>
        <v>1910.82003385535</v>
      </c>
      <c r="AT84" s="48" t="n">
        <f aca="false">AT83/In_DSCR*AT17</f>
        <v>1903.92822889763</v>
      </c>
      <c r="AU84" s="48" t="n">
        <f aca="false">AU83/In_DSCR*AU17</f>
        <v>1893.8761169755</v>
      </c>
      <c r="AV84" s="48" t="n">
        <f aca="false">AV83/In_DSCR*AV17</f>
        <v>1893.13384200871</v>
      </c>
      <c r="AW84" s="48" t="n">
        <f aca="false">AW83/In_DSCR*AW17</f>
        <v>1912.61477227292</v>
      </c>
      <c r="AX84" s="48" t="n">
        <f aca="false">AX83/In_DSCR*AX17</f>
        <v>1905.6459591224</v>
      </c>
      <c r="AY84" s="48" t="n">
        <f aca="false">AY83/In_DSCR*AY17</f>
        <v>1875.09881911759</v>
      </c>
      <c r="AZ84" s="48" t="n">
        <f aca="false">AZ83/In_DSCR*AZ17</f>
        <v>1894.61430794416</v>
      </c>
      <c r="BA84" s="48" t="n">
        <f aca="false">BA83/In_DSCR*BA17</f>
        <v>1914.10576999358</v>
      </c>
      <c r="BB84" s="48" t="n">
        <f aca="false">BB83/In_DSCR*BB17</f>
        <v>1907.05829246197</v>
      </c>
      <c r="BC84" s="48" t="n">
        <f aca="false">BC83/In_DSCR*BC17</f>
        <v>1876.24446174881</v>
      </c>
      <c r="BD84" s="48" t="n">
        <f aca="false">BD83/In_DSCR*BD17</f>
        <v>1895.76739920515</v>
      </c>
      <c r="BE84" s="48" t="n">
        <f aca="false">BE83/In_DSCR*BE17</f>
        <v>1915.26579509197</v>
      </c>
      <c r="BF84" s="48" t="n">
        <f aca="false">BF83/In_DSCR*BF17</f>
        <v>1908.13775184932</v>
      </c>
      <c r="BG84" s="48" t="n">
        <f aca="false">BG83/In_DSCR*BG17</f>
        <v>1877.05335610505</v>
      </c>
      <c r="BH84" s="48" t="n">
        <f aca="false">BH83/In_DSCR*BH17</f>
        <v>1896.58001923403</v>
      </c>
      <c r="BI84" s="48" t="n">
        <f aca="false">BI83/In_DSCR*BI17</f>
        <v>1916.08160593254</v>
      </c>
      <c r="BJ84" s="48" t="n">
        <f aca="false">BJ83/In_DSCR*BJ17</f>
        <v>1908.87101704972</v>
      </c>
      <c r="BK84" s="48" t="n">
        <f aca="false">BK83/In_DSCR*BK17</f>
        <v>1897.93284460959</v>
      </c>
      <c r="BL84" s="48" t="n">
        <f aca="false">BL83/In_DSCR*BL17</f>
        <v>1897.02347259698</v>
      </c>
      <c r="BM84" s="48" t="n">
        <f aca="false">BM83/In_DSCR*BM17</f>
        <v>1916.52417880148</v>
      </c>
      <c r="BN84" s="48" t="n">
        <f aca="false">BN83/In_DSCR*BN17</f>
        <v>1909.22880222687</v>
      </c>
      <c r="BO84" s="48" t="n">
        <f aca="false">BO83/In_DSCR*BO17</f>
        <v>1877.59102890805</v>
      </c>
      <c r="BP84" s="48" t="n">
        <f aca="false">BP83/In_DSCR*BP17</f>
        <v>1897.1131864156</v>
      </c>
      <c r="BQ84" s="48" t="n">
        <f aca="false">BQ83/In_DSCR*BQ17</f>
        <v>1916.60913165453</v>
      </c>
      <c r="BR84" s="48" t="n">
        <f aca="false">BR83/In_DSCR*BR17</f>
        <v>1909.22699031175</v>
      </c>
      <c r="BS84" s="48" t="n">
        <f aca="false">BS83/In_DSCR*BS17</f>
        <v>1877.30634544258</v>
      </c>
      <c r="BT84" s="48" t="n">
        <f aca="false">BT83/In_DSCR*BT17</f>
        <v>1896.82013069115</v>
      </c>
      <c r="BU84" s="48" t="n">
        <f aca="false">BU83/In_DSCR*BU17</f>
        <v>1916.3071027706</v>
      </c>
      <c r="BV84" s="48" t="n">
        <f aca="false">BV83/In_DSCR*BV17</f>
        <v>1908.83595778258</v>
      </c>
      <c r="BW84" s="48" t="n">
        <f aca="false">BW83/In_DSCR*BW17</f>
        <v>1876.62810171008</v>
      </c>
      <c r="BX84" s="48" t="n">
        <f aca="false">BX83/In_DSCR*BX17</f>
        <v>1896.12915834587</v>
      </c>
      <c r="BY84" s="48" t="n">
        <f aca="false">BY83/In_DSCR*BY17</f>
        <v>1915.60277686481</v>
      </c>
      <c r="BZ84" s="48" t="n">
        <f aca="false">BZ83/In_DSCR*BZ17</f>
        <v>1908.04029496563</v>
      </c>
      <c r="CA84" s="48" t="n">
        <f aca="false">CA83/In_DSCR*CA17</f>
        <v>1896.11781915285</v>
      </c>
      <c r="CB84" s="48" t="n">
        <f aca="false">CB83/In_DSCR*CB17</f>
        <v>1895.00932649771</v>
      </c>
      <c r="CC84" s="48" t="n">
        <f aca="false">CC83/In_DSCR*CC17</f>
        <v>1914.46485735459</v>
      </c>
      <c r="CD84" s="48" t="n">
        <f aca="false">CD83/In_DSCR*CD17</f>
        <v>1906.80842523755</v>
      </c>
      <c r="CE84" s="48" t="n">
        <f aca="false">CE83/In_DSCR*CE17</f>
        <v>1874.01242724543</v>
      </c>
      <c r="CF84" s="48" t="n">
        <f aca="false">CF83/In_DSCR*CF17</f>
        <v>1893.47407164378</v>
      </c>
      <c r="CG84" s="48" t="n">
        <f aca="false">CG83/In_DSCR*CG17</f>
        <v>1912.90694919601</v>
      </c>
      <c r="CH84" s="48" t="n">
        <f aca="false">CH83/In_DSCR*CH17</f>
        <v>1905.15420388681</v>
      </c>
      <c r="CI84" s="48" t="n">
        <f aca="false">CI83/In_DSCR*CI17</f>
        <v>1872.05717810909</v>
      </c>
      <c r="CJ84" s="48" t="n">
        <f aca="false">CJ83/In_DSCR*CJ17</f>
        <v>1891.49194859014</v>
      </c>
      <c r="CK84" s="48" t="n">
        <f aca="false">CK83/In_DSCR*CK17</f>
        <v>1910.8972481305</v>
      </c>
      <c r="CL84" s="48" t="n">
        <f aca="false">CL83/In_DSCR*CL17</f>
        <v>1903.04554538486</v>
      </c>
      <c r="CM84" s="48" t="n">
        <f aca="false">CM83/In_DSCR*CM17</f>
        <v>1869.64260798124</v>
      </c>
      <c r="CN84" s="48" t="n">
        <f aca="false">CN83/In_DSCR*CN17</f>
        <v>1889.04541336783</v>
      </c>
      <c r="CO84" s="48" t="n">
        <f aca="false">CO83/In_DSCR*CO17</f>
        <v>1908.41801488136</v>
      </c>
      <c r="CP84" s="48" t="n">
        <f aca="false">CP83/In_DSCR*CP17</f>
        <v>1900.46459704526</v>
      </c>
      <c r="CQ84" s="48" t="n">
        <f aca="false">CQ83/In_DSCR*CQ17</f>
        <v>1887.44682614204</v>
      </c>
      <c r="CR84" s="48" t="n">
        <f aca="false">CR83/In_DSCR*CR17</f>
        <v>1886.10094202971</v>
      </c>
      <c r="CS84" s="48" t="n">
        <f aca="false">CS83/In_DSCR*CS17</f>
        <v>1905.4353425615</v>
      </c>
      <c r="CT84" s="48" t="n">
        <f aca="false">CT83/In_DSCR*CT17</f>
        <v>0</v>
      </c>
      <c r="CU84" s="48" t="n">
        <f aca="false">CU83/In_DSCR*CU17</f>
        <v>0</v>
      </c>
      <c r="CV84" s="48" t="n">
        <f aca="false">CV83/In_DSCR*CV17</f>
        <v>0</v>
      </c>
      <c r="CW84" s="48" t="n">
        <f aca="false">CW83/In_DSCR*CW17</f>
        <v>0</v>
      </c>
      <c r="CX84" s="48" t="n">
        <f aca="false">CX83/In_DSCR*CX17</f>
        <v>0</v>
      </c>
      <c r="CY84" s="48" t="n">
        <f aca="false">CY83/In_DSCR*CY17</f>
        <v>0</v>
      </c>
      <c r="CZ84" s="48" t="n">
        <f aca="false">CZ83/In_DSCR*CZ17</f>
        <v>0</v>
      </c>
      <c r="DA84" s="48" t="n">
        <f aca="false">DA83/In_DSCR*DA17</f>
        <v>0</v>
      </c>
      <c r="DB84" s="48" t="n">
        <f aca="false">DB83/In_DSCR*DB17</f>
        <v>0</v>
      </c>
      <c r="DC84" s="48" t="n">
        <f aca="false">DC83/In_DSCR*DC17</f>
        <v>0</v>
      </c>
      <c r="DD84" s="48" t="n">
        <f aca="false">DD83/In_DSCR*DD17</f>
        <v>0</v>
      </c>
      <c r="DE84" s="48" t="n">
        <f aca="false">DE83/In_DSCR*DE17</f>
        <v>0</v>
      </c>
      <c r="DF84" s="48" t="n">
        <f aca="false">DF83/In_DSCR*DF17</f>
        <v>0</v>
      </c>
      <c r="DG84" s="48" t="n">
        <f aca="false">DG83/In_DSCR*DG17</f>
        <v>0</v>
      </c>
      <c r="DH84" s="48" t="n">
        <f aca="false">DH83/In_DSCR*DH17</f>
        <v>0</v>
      </c>
      <c r="DI84" s="48" t="n">
        <f aca="false">DI83/In_DSCR*DI17</f>
        <v>0</v>
      </c>
      <c r="DJ84" s="48" t="n">
        <f aca="false">DJ83/In_DSCR*DJ17</f>
        <v>0</v>
      </c>
      <c r="DK84" s="48" t="n">
        <f aca="false">DK83/In_DSCR*DK17</f>
        <v>0</v>
      </c>
      <c r="DL84" s="48" t="n">
        <f aca="false">DL83/In_DSCR*DL17</f>
        <v>0</v>
      </c>
      <c r="DM84" s="48" t="n">
        <f aca="false">DM83/In_DSCR*DM17</f>
        <v>0</v>
      </c>
      <c r="DN84" s="48" t="n">
        <f aca="false">DN83/In_DSCR*DN17</f>
        <v>0</v>
      </c>
      <c r="DO84" s="48" t="n">
        <f aca="false">DO83/In_DSCR*DO17</f>
        <v>0</v>
      </c>
      <c r="DP84" s="48" t="n">
        <f aca="false">DP83/In_DSCR*DP17</f>
        <v>0</v>
      </c>
      <c r="DQ84" s="48" t="n">
        <f aca="false">DQ83/In_DSCR*DQ17</f>
        <v>0</v>
      </c>
      <c r="DR84" s="48" t="n">
        <f aca="false">DR83/In_DSCR*DR17</f>
        <v>0</v>
      </c>
      <c r="DS84" s="48" t="n">
        <f aca="false">DS83/In_DSCR*DS17</f>
        <v>0</v>
      </c>
      <c r="DT84" s="48" t="n">
        <f aca="false">DT83/In_DSCR*DT17</f>
        <v>0</v>
      </c>
      <c r="DU84" s="48" t="n">
        <f aca="false">DU83/In_DSCR*DU17</f>
        <v>0</v>
      </c>
      <c r="DV84" s="48" t="n">
        <f aca="false">DV83/In_DSCR*DV17</f>
        <v>0</v>
      </c>
      <c r="DW84" s="48" t="n">
        <f aca="false">DW83/In_DSCR*DW17</f>
        <v>0</v>
      </c>
      <c r="DX84" s="48" t="n">
        <f aca="false">DX83/In_DSCR*DX17</f>
        <v>0</v>
      </c>
      <c r="DY84" s="48" t="n">
        <f aca="false">DY83/In_DSCR*DY17</f>
        <v>0</v>
      </c>
      <c r="DZ84" s="48" t="n">
        <f aca="false">DZ83/In_DSCR*DZ17</f>
        <v>0</v>
      </c>
      <c r="EA84" s="48" t="n">
        <f aca="false">EA83/In_DSCR*EA17</f>
        <v>0</v>
      </c>
      <c r="EB84" s="48" t="n">
        <f aca="false">EB83/In_DSCR*EB17</f>
        <v>0</v>
      </c>
      <c r="EC84" s="48" t="n">
        <f aca="false">EC83/In_DSCR*EC17</f>
        <v>0</v>
      </c>
      <c r="ED84" s="48" t="n">
        <f aca="false">ED83/In_DSCR*ED17</f>
        <v>0</v>
      </c>
      <c r="EE84" s="48" t="n">
        <f aca="false">EE83/In_DSCR*EE17</f>
        <v>0</v>
      </c>
      <c r="EF84" s="48" t="n">
        <f aca="false">EF83/In_DSCR*EF17</f>
        <v>0</v>
      </c>
      <c r="EG84" s="48" t="n">
        <f aca="false">EG83/In_DSCR*EG17</f>
        <v>0</v>
      </c>
      <c r="EH84" s="48" t="n">
        <f aca="false">EH83/In_DSCR*EH17</f>
        <v>0</v>
      </c>
      <c r="EI84" s="48" t="n">
        <f aca="false">EI83/In_DSCR*EI17</f>
        <v>0</v>
      </c>
      <c r="EJ84" s="48" t="n">
        <f aca="false">EJ83/In_DSCR*EJ17</f>
        <v>0</v>
      </c>
      <c r="EK84" s="48" t="n">
        <f aca="false">EK83/In_DSCR*EK17</f>
        <v>0</v>
      </c>
      <c r="EL84" s="48" t="n">
        <f aca="false">EL83/In_DSCR*EL17</f>
        <v>0</v>
      </c>
      <c r="EM84" s="48" t="n">
        <f aca="false">EM83/In_DSCR*EM17</f>
        <v>0</v>
      </c>
      <c r="EN84" s="48" t="n">
        <f aca="false">EN83/In_DSCR*EN17</f>
        <v>0</v>
      </c>
      <c r="EO84" s="48" t="n">
        <f aca="false">EO83/In_DSCR*EO17</f>
        <v>0</v>
      </c>
    </row>
    <row r="85" customFormat="false" ht="15" hidden="false" customHeight="false" outlineLevel="0" collapsed="false">
      <c r="C85" s="26" t="s">
        <v>442</v>
      </c>
      <c r="D85" s="12" t="s">
        <v>27</v>
      </c>
      <c r="E85" s="34" t="n">
        <f aca="false">MIN(In_Gearing,$E84/-$E66)</f>
        <v>0.55</v>
      </c>
      <c r="F85" s="34" t="n">
        <f aca="false">$E85*-$E66/$E84</f>
        <v>0.473746301595619</v>
      </c>
    </row>
    <row r="87" customFormat="false" ht="15" hidden="false" customHeight="false" outlineLevel="0" collapsed="false">
      <c r="A87" s="10" t="s">
        <v>13</v>
      </c>
      <c r="B87" s="10"/>
      <c r="C87" s="10" t="s">
        <v>329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  <c r="DA87" s="10"/>
      <c r="DB87" s="10"/>
      <c r="DC87" s="10"/>
      <c r="DD87" s="10"/>
      <c r="DE87" s="10"/>
      <c r="DF87" s="10"/>
      <c r="DG87" s="10"/>
      <c r="DH87" s="10"/>
      <c r="DI87" s="10"/>
      <c r="DJ87" s="10"/>
      <c r="DK87" s="10"/>
      <c r="DL87" s="10"/>
      <c r="DM87" s="10"/>
      <c r="DN87" s="10"/>
      <c r="DO87" s="10"/>
      <c r="DP87" s="10"/>
      <c r="DQ87" s="10"/>
      <c r="DR87" s="10"/>
      <c r="DS87" s="10"/>
      <c r="DT87" s="10"/>
      <c r="DU87" s="10"/>
      <c r="DV87" s="10"/>
      <c r="DW87" s="10"/>
      <c r="DX87" s="10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customFormat="false" ht="15" hidden="false" customHeight="false" outlineLevel="0" collapsed="false">
      <c r="C88" s="1" t="s">
        <v>443</v>
      </c>
      <c r="D88" s="12" t="s">
        <v>33</v>
      </c>
      <c r="I88" s="48" t="n">
        <f aca="false">SUM(J88:EO88)</f>
        <v>-22210.4492695421</v>
      </c>
      <c r="J88" s="48" t="n">
        <f aca="false">-I94*$F21*(J$4&gt;In_COD)</f>
        <v>-0</v>
      </c>
      <c r="K88" s="48" t="n">
        <f aca="false">-J94*$F21*(K$4&gt;In_COD)</f>
        <v>-0</v>
      </c>
      <c r="L88" s="48" t="n">
        <f aca="false">-K94*$F21*(L$4&gt;In_COD)</f>
        <v>-0</v>
      </c>
      <c r="M88" s="48" t="n">
        <f aca="false">-L94*$F21*(M$4&gt;In_COD)</f>
        <v>-0</v>
      </c>
      <c r="N88" s="48" t="n">
        <f aca="false">-M94*$F21*(N$4&gt;In_COD)</f>
        <v>-0</v>
      </c>
      <c r="O88" s="48" t="n">
        <f aca="false">-N94*$F21*(O$4&gt;In_COD)</f>
        <v>-0</v>
      </c>
      <c r="P88" s="48" t="n">
        <f aca="false">-O94*$F21*(P$4&gt;In_COD)</f>
        <v>-0</v>
      </c>
      <c r="Q88" s="48" t="n">
        <f aca="false">-P94*$F21*(Q$4&gt;In_COD)</f>
        <v>-0</v>
      </c>
      <c r="R88" s="48" t="n">
        <f aca="false">-Q94*$F21*(R$4&gt;In_COD)</f>
        <v>-0</v>
      </c>
      <c r="S88" s="48" t="n">
        <f aca="false">-R94*$F21*(S$4&gt;In_COD)</f>
        <v>-0</v>
      </c>
      <c r="T88" s="48" t="n">
        <f aca="false">-S94*$F21*(T$4&gt;In_COD)</f>
        <v>-0</v>
      </c>
      <c r="U88" s="48" t="n">
        <f aca="false">-T94*$F21*(U$4&gt;In_COD)</f>
        <v>-0</v>
      </c>
      <c r="V88" s="48" t="n">
        <f aca="false">-U94*$F21*(V$4&gt;In_COD)</f>
        <v>-0</v>
      </c>
      <c r="W88" s="48" t="n">
        <f aca="false">-V94*$F21*(W$4&gt;In_COD)</f>
        <v>-0</v>
      </c>
      <c r="X88" s="48" t="n">
        <f aca="false">-W94*$F21*(X$4&gt;In_COD)</f>
        <v>-0</v>
      </c>
      <c r="Y88" s="48" t="n">
        <f aca="false">-X94*$F21*(Y$4&gt;In_COD)</f>
        <v>-0</v>
      </c>
      <c r="Z88" s="48" t="n">
        <f aca="false">-Y94*$F21*(Z$4&gt;In_COD)</f>
        <v>-530.973422507279</v>
      </c>
      <c r="AA88" s="48" t="n">
        <f aca="false">-Z94*$F21*(AA$4&gt;In_COD)</f>
        <v>-526.255747189178</v>
      </c>
      <c r="AB88" s="48" t="n">
        <f aca="false">-AA94*$F21*(AB$4&gt;In_COD)</f>
        <v>-521.651167572405</v>
      </c>
      <c r="AC88" s="48" t="n">
        <f aca="false">-AB94*$F21*(AC$4&gt;In_COD)</f>
        <v>-516.868646023619</v>
      </c>
      <c r="AD88" s="48" t="n">
        <f aca="false">-AC94*$F21*(AD$4&gt;In_COD)</f>
        <v>-511.906024127522</v>
      </c>
      <c r="AE88" s="48" t="n">
        <f aca="false">-AD94*$F21*(AE$4&gt;In_COD)</f>
        <v>-506.968458497254</v>
      </c>
      <c r="AF88" s="48" t="n">
        <f aca="false">-AE94*$F21*(AF$4&gt;In_COD)</f>
        <v>-502.283682318355</v>
      </c>
      <c r="AG88" s="48" t="n">
        <f aca="false">-AF94*$F21*(AG$4&gt;In_COD)</f>
        <v>-497.543814242514</v>
      </c>
      <c r="AH88" s="48" t="n">
        <f aca="false">-AG94*$F21*(AH$4&gt;In_COD)</f>
        <v>-492.631210694368</v>
      </c>
      <c r="AI88" s="48" t="n">
        <f aca="false">-AH94*$F21*(AI$4&gt;In_COD)</f>
        <v>-487.696606971208</v>
      </c>
      <c r="AJ88" s="48" t="n">
        <f aca="false">-AI94*$F21*(AJ$4&gt;In_COD)</f>
        <v>-482.871956558908</v>
      </c>
      <c r="AK88" s="48" t="n">
        <f aca="false">-AJ94*$F21*(AK$4&gt;In_COD)</f>
        <v>-477.734162717177</v>
      </c>
      <c r="AL88" s="48" t="n">
        <f aca="false">-AK94*$F21*(AL$4&gt;In_COD)</f>
        <v>-472.417089619973</v>
      </c>
      <c r="AM88" s="48" t="n">
        <f aca="false">-AL94*$F21*(AM$4&gt;In_COD)</f>
        <v>-467.073486006503</v>
      </c>
      <c r="AN88" s="48" t="n">
        <f aca="false">-AM94*$F21*(AN$4&gt;In_COD)</f>
        <v>-461.839374993343</v>
      </c>
      <c r="AO88" s="48" t="n">
        <f aca="false">-AN94*$F21*(AO$4&gt;In_COD)</f>
        <v>-456.424525492975</v>
      </c>
      <c r="AP88" s="48" t="n">
        <f aca="false">-AO94*$F21*(AP$4&gt;In_COD)</f>
        <v>-450.826812062103</v>
      </c>
      <c r="AQ88" s="48" t="n">
        <f aca="false">-AP94*$F21*(AQ$4&gt;In_COD)</f>
        <v>-445.19949471566</v>
      </c>
      <c r="AR88" s="48" t="n">
        <f aca="false">-AQ94*$F21*(AR$4&gt;In_COD)</f>
        <v>-439.679637624389</v>
      </c>
      <c r="AS88" s="48" t="n">
        <f aca="false">-AR94*$F21*(AS$4&gt;In_COD)</f>
        <v>-433.975364926897</v>
      </c>
      <c r="AT88" s="48" t="n">
        <f aca="false">-AS94*$F21*(AT$4&gt;In_COD)</f>
        <v>-428.084507937811</v>
      </c>
      <c r="AU88" s="48" t="n">
        <f aca="false">-AT94*$F21*(AU$4&gt;In_COD)</f>
        <v>-422.160827325236</v>
      </c>
      <c r="AV88" s="48" t="n">
        <f aca="false">-AU94*$F21*(AV$4&gt;In_COD)</f>
        <v>-416.222627590584</v>
      </c>
      <c r="AW88" s="48" t="n">
        <f aca="false">-AV94*$F21*(AW$4&gt;In_COD)</f>
        <v>-410.214595984502</v>
      </c>
      <c r="AX88" s="48" t="n">
        <f aca="false">-AW94*$F21*(AX$4&gt;In_COD)</f>
        <v>-404.016101250041</v>
      </c>
      <c r="AY88" s="48" t="n">
        <f aca="false">-AX94*$F21*(AY$4&gt;In_COD)</f>
        <v>-397.781393449605</v>
      </c>
      <c r="AZ88" s="48" t="n">
        <f aca="false">-AY94*$F21*(AZ$4&gt;In_COD)</f>
        <v>-391.649646734184</v>
      </c>
      <c r="BA88" s="48" t="n">
        <f aca="false">-AZ94*$F21*(BA$4&gt;In_COD)</f>
        <v>-385.325685801628</v>
      </c>
      <c r="BB88" s="48" t="n">
        <f aca="false">-BA94*$F21*(BB$4&gt;In_COD)</f>
        <v>-378.807250256682</v>
      </c>
      <c r="BC88" s="48" t="n">
        <f aca="false">-BB94*$F21*(BC$4&gt;In_COD)</f>
        <v>-372.249068222627</v>
      </c>
      <c r="BD88" s="48" t="n">
        <f aca="false">-BC94*$F21*(BD$4&gt;In_COD)</f>
        <v>-365.791383142375</v>
      </c>
      <c r="BE88" s="48" t="n">
        <f aca="false">-BD94*$F21*(BE$4&gt;In_COD)</f>
        <v>-359.137365505917</v>
      </c>
      <c r="BF88" s="48" t="n">
        <f aca="false">-BE94*$F21*(BF$4&gt;In_COD)</f>
        <v>-352.284706487274</v>
      </c>
      <c r="BG88" s="48" t="n">
        <f aca="false">-BF94*$F21*(BG$4&gt;In_COD)</f>
        <v>-345.388600282445</v>
      </c>
      <c r="BH88" s="48" t="n">
        <f aca="false">-BG94*$F21*(BH$4&gt;In_COD)</f>
        <v>-338.59036921907</v>
      </c>
      <c r="BI88" s="48" t="n">
        <f aca="false">-BH94*$F21*(BI$4&gt;In_COD)</f>
        <v>-331.591526711905</v>
      </c>
      <c r="BJ88" s="48" t="n">
        <f aca="false">-BI94*$F21*(BJ$4&gt;In_COD)</f>
        <v>-324.38971361623</v>
      </c>
      <c r="BK88" s="48" t="n">
        <f aca="false">-BJ94*$F21*(BK$4&gt;In_COD)</f>
        <v>-317.140577729553</v>
      </c>
      <c r="BL88" s="48" t="n">
        <f aca="false">-BK94*$F21*(BL$4&gt;In_COD)</f>
        <v>-309.865601628539</v>
      </c>
      <c r="BM88" s="48" t="n">
        <f aca="false">-BL94*$F21*(BM$4&gt;In_COD)</f>
        <v>-302.50507347161</v>
      </c>
      <c r="BN88" s="48" t="n">
        <f aca="false">-BM94*$F21*(BN$4&gt;In_COD)</f>
        <v>-294.937058869683</v>
      </c>
      <c r="BO88" s="48" t="n">
        <f aca="false">-BN94*$F21*(BO$4&gt;In_COD)</f>
        <v>-287.317646056118</v>
      </c>
      <c r="BP88" s="48" t="n">
        <f aca="false">-BO94*$F21*(BP$4&gt;In_COD)</f>
        <v>-279.790344058641</v>
      </c>
      <c r="BQ88" s="48" t="n">
        <f aca="false">-BP94*$F21*(BQ$4&gt;In_COD)</f>
        <v>-272.053343912216</v>
      </c>
      <c r="BR88" s="48" t="n">
        <f aca="false">-BQ94*$F21*(BR$4&gt;In_COD)</f>
        <v>-264.104179614547</v>
      </c>
      <c r="BS88" s="48" t="n">
        <f aca="false">-BR94*$F21*(BS$4&gt;In_COD)</f>
        <v>-256.099366540145</v>
      </c>
      <c r="BT88" s="48" t="n">
        <f aca="false">-BS94*$F21*(BT$4&gt;In_COD)</f>
        <v>-248.183521895454</v>
      </c>
      <c r="BU88" s="48" t="n">
        <f aca="false">-BT94*$F21*(BU$4&gt;In_COD)</f>
        <v>-240.053171897809</v>
      </c>
      <c r="BV88" s="48" t="n">
        <f aca="false">-BU94*$F21*(BV$4&gt;In_COD)</f>
        <v>-231.705794013294</v>
      </c>
      <c r="BW88" s="48" t="n">
        <f aca="false">-BV94*$F21*(BW$4&gt;In_COD)</f>
        <v>-223.298316746557</v>
      </c>
      <c r="BX88" s="48" t="n">
        <f aca="false">-BW94*$F21*(BX$4&gt;In_COD)</f>
        <v>-214.976475422695</v>
      </c>
      <c r="BY88" s="48" t="n">
        <f aca="false">-BX94*$F21*(BY$4&gt;In_COD)</f>
        <v>-206.435129164054</v>
      </c>
      <c r="BZ88" s="48" t="n">
        <f aca="false">-BY94*$F21*(BZ$4&gt;In_COD)</f>
        <v>-197.67169664278</v>
      </c>
      <c r="CA88" s="48" t="n">
        <f aca="false">-BZ94*$F21*(CA$4&gt;In_COD)</f>
        <v>-188.843504937872</v>
      </c>
      <c r="CB88" s="48" t="n">
        <f aca="false">-CA94*$F21*(CB$4&gt;In_COD)</f>
        <v>-179.97556369693</v>
      </c>
      <c r="CC88" s="48" t="n">
        <f aca="false">-CB94*$F21*(CC$4&gt;In_COD)</f>
        <v>-171.003337494173</v>
      </c>
      <c r="CD88" s="48" t="n">
        <f aca="false">-CC94*$F21*(CD$4&gt;In_COD)</f>
        <v>-161.803746141519</v>
      </c>
      <c r="CE88" s="48" t="n">
        <f aca="false">-CD94*$F21*(CE$4&gt;In_COD)</f>
        <v>-152.534499976942</v>
      </c>
      <c r="CF88" s="48" t="n">
        <f aca="false">-CE94*$F21*(CF$4&gt;In_COD)</f>
        <v>-143.343600519757</v>
      </c>
      <c r="CG88" s="48" t="n">
        <f aca="false">-CF94*$F21*(CG$4&gt;In_COD)</f>
        <v>-133.922566293649</v>
      </c>
      <c r="CH88" s="48" t="n">
        <f aca="false">-CG94*$F21*(CH$4&gt;In_COD)</f>
        <v>-124.268690966342</v>
      </c>
      <c r="CI88" s="48" t="n">
        <f aca="false">-CH94*$F21*(CI$4&gt;In_COD)</f>
        <v>-114.540052627662</v>
      </c>
      <c r="CJ88" s="48" t="n">
        <f aca="false">-CI94*$F21*(CJ$4&gt;In_COD)</f>
        <v>-104.885801229199</v>
      </c>
      <c r="CK88" s="48" t="n">
        <f aca="false">-CJ94*$F21*(CK$4&gt;In_COD)</f>
        <v>-94.9957823052833</v>
      </c>
      <c r="CL88" s="48" t="n">
        <f aca="false">-CK94*$F21*(CL$4&gt;In_COD)</f>
        <v>-84.8672232837109</v>
      </c>
      <c r="CM88" s="48" t="n">
        <f aca="false">-CL94*$F21*(CM$4&gt;In_COD)</f>
        <v>-74.6585537135812</v>
      </c>
      <c r="CN88" s="48" t="n">
        <f aca="false">-CM94*$F21*(CN$4&gt;In_COD)</f>
        <v>-64.5200822495422</v>
      </c>
      <c r="CO88" s="48" t="n">
        <f aca="false">-CN94*$F21*(CO$4&gt;In_COD)</f>
        <v>-54.1399798010467</v>
      </c>
      <c r="CP88" s="48" t="n">
        <f aca="false">-CO94*$F21*(CP$4&gt;In_COD)</f>
        <v>-43.5154048429536</v>
      </c>
      <c r="CQ88" s="48" t="n">
        <f aca="false">-CP94*$F21*(CQ$4&gt;In_COD)</f>
        <v>-32.8051214764455</v>
      </c>
      <c r="CR88" s="48" t="n">
        <f aca="false">-CQ94*$F21*(CR$4&gt;In_COD)</f>
        <v>-22.0380485781113</v>
      </c>
      <c r="CS88" s="48" t="n">
        <f aca="false">-CR94*$F21*(CS$4&gt;In_COD)</f>
        <v>-11.1443573638053</v>
      </c>
      <c r="CT88" s="48" t="n">
        <f aca="false">-CS94*$F21*(CT$4&gt;In_COD)</f>
        <v>-1.75788272827049E-012</v>
      </c>
      <c r="CU88" s="48" t="n">
        <f aca="false">-CT94*$F21*(CU$4&gt;In_COD)</f>
        <v>-1.77985626237387E-012</v>
      </c>
      <c r="CV88" s="48" t="n">
        <f aca="false">-CU94*$F21*(CV$4&gt;In_COD)</f>
        <v>-1.80210446565354E-012</v>
      </c>
      <c r="CW88" s="48" t="n">
        <f aca="false">-CV94*$F21*(CW$4&gt;In_COD)</f>
        <v>-1.82463077147421E-012</v>
      </c>
      <c r="CX88" s="48" t="n">
        <f aca="false">-CW94*$F21*(CX$4&gt;In_COD)</f>
        <v>-1.84743865611764E-012</v>
      </c>
      <c r="CY88" s="48" t="n">
        <f aca="false">-CX94*$F21*(CY$4&gt;In_COD)</f>
        <v>-1.87053163931911E-012</v>
      </c>
      <c r="CZ88" s="48" t="n">
        <f aca="false">-CY94*$F21*(CZ$4&gt;In_COD)</f>
        <v>-1.8939132848106E-012</v>
      </c>
      <c r="DA88" s="48" t="n">
        <f aca="false">-CZ94*$F21*(DA$4&gt;In_COD)</f>
        <v>-1.91758720087073E-012</v>
      </c>
      <c r="DB88" s="48" t="n">
        <f aca="false">-DA94*$F21*(DB$4&gt;In_COD)</f>
        <v>-1.94155704088162E-012</v>
      </c>
      <c r="DC88" s="48" t="n">
        <f aca="false">-DB94*$F21*(DC$4&gt;In_COD)</f>
        <v>-1.96582650389264E-012</v>
      </c>
      <c r="DD88" s="48" t="n">
        <f aca="false">-DC94*$F21*(DD$4&gt;In_COD)</f>
        <v>-1.99039933519129E-012</v>
      </c>
      <c r="DE88" s="48" t="n">
        <f aca="false">-DD94*$F21*(DE$4&gt;In_COD)</f>
        <v>-2.01527932688119E-012</v>
      </c>
      <c r="DF88" s="48" t="n">
        <f aca="false">-DE94*$F21*(DF$4&gt;In_COD)</f>
        <v>-2.0404703184672E-012</v>
      </c>
      <c r="DG88" s="48" t="n">
        <f aca="false">-DF94*$F21*(DG$4&gt;In_COD)</f>
        <v>-2.06597619744804E-012</v>
      </c>
      <c r="DH88" s="48" t="n">
        <f aca="false">-DG94*$F21*(DH$4&gt;In_COD)</f>
        <v>-2.09180089991614E-012</v>
      </c>
      <c r="DI88" s="48" t="n">
        <f aca="false">-DH94*$F21*(DI$4&gt;In_COD)</f>
        <v>-2.11794841116509E-012</v>
      </c>
      <c r="DJ88" s="48" t="n">
        <f aca="false">-DI94*$F21*(DJ$4&gt;In_COD)</f>
        <v>-2.14442276630466E-012</v>
      </c>
      <c r="DK88" s="48" t="n">
        <f aca="false">-DJ94*$F21*(DK$4&gt;In_COD)</f>
        <v>-2.17122805088346E-012</v>
      </c>
      <c r="DL88" s="48" t="n">
        <f aca="false">-DK94*$F21*(DL$4&gt;In_COD)</f>
        <v>-2.19836840151951E-012</v>
      </c>
      <c r="DM88" s="48" t="n">
        <f aca="false">-DL94*$F21*(DM$4&gt;In_COD)</f>
        <v>-2.2258480065385E-012</v>
      </c>
      <c r="DN88" s="48" t="n">
        <f aca="false">-DM94*$F21*(DN$4&gt;In_COD)</f>
        <v>-2.25367110662023E-012</v>
      </c>
      <c r="DO88" s="48" t="n">
        <f aca="false">-DN94*$F21*(DO$4&gt;In_COD)</f>
        <v>-2.28184199545299E-012</v>
      </c>
      <c r="DP88" s="48" t="n">
        <f aca="false">-DO94*$F21*(DP$4&gt;In_COD)</f>
        <v>-2.31036502039615E-012</v>
      </c>
      <c r="DQ88" s="48" t="n">
        <f aca="false">-DP94*$F21*(DQ$4&gt;In_COD)</f>
        <v>-2.3392445831511E-012</v>
      </c>
      <c r="DR88" s="48" t="n">
        <f aca="false">-DQ94*$F21*(DR$4&gt;In_COD)</f>
        <v>-2.36848514044049E-012</v>
      </c>
      <c r="DS88" s="48" t="n">
        <f aca="false">-DR94*$F21*(DS$4&gt;In_COD)</f>
        <v>-2.398091204696E-012</v>
      </c>
      <c r="DT88" s="48" t="n">
        <f aca="false">-DS94*$F21*(DT$4&gt;In_COD)</f>
        <v>-2.4280673447547E-012</v>
      </c>
      <c r="DU88" s="48" t="n">
        <f aca="false">-DT94*$F21*(DU$4&gt;In_COD)</f>
        <v>-2.45841818656413E-012</v>
      </c>
      <c r="DV88" s="48" t="n">
        <f aca="false">-DU94*$F21*(DV$4&gt;In_COD)</f>
        <v>-2.48914841389618E-012</v>
      </c>
      <c r="DW88" s="48" t="n">
        <f aca="false">-DV94*$F21*(DW$4&gt;In_COD)</f>
        <v>-2.52026276906988E-012</v>
      </c>
      <c r="DX88" s="48" t="n">
        <f aca="false">-DW94*$F21*(DX$4&gt;In_COD)</f>
        <v>-2.55176605368326E-012</v>
      </c>
      <c r="DY88" s="48" t="n">
        <f aca="false">-DX94*$F21*(DY$4&gt;In_COD)</f>
        <v>-2.5836631293543E-012</v>
      </c>
      <c r="DZ88" s="48" t="n">
        <f aca="false">-DY94*$F21*(DZ$4&gt;In_COD)</f>
        <v>-2.61595891847123E-012</v>
      </c>
      <c r="EA88" s="48" t="n">
        <f aca="false">-DZ94*$F21*(EA$4&gt;In_COD)</f>
        <v>-2.64865840495212E-012</v>
      </c>
      <c r="EB88" s="48" t="n">
        <f aca="false">-EA94*$F21*(EB$4&gt;In_COD)</f>
        <v>-2.68176663501402E-012</v>
      </c>
      <c r="EC88" s="48" t="n">
        <f aca="false">-EB94*$F21*(EC$4&gt;In_COD)</f>
        <v>-2.71528871795169E-012</v>
      </c>
      <c r="ED88" s="48" t="n">
        <f aca="false">-EC94*$F21*(ED$4&gt;In_COD)</f>
        <v>-2.74922982692609E-012</v>
      </c>
      <c r="EE88" s="48" t="n">
        <f aca="false">-ED94*$F21*(EE$4&gt;In_COD)</f>
        <v>-2.78359519976267E-012</v>
      </c>
      <c r="EF88" s="48" t="n">
        <f aca="false">-EE94*$F21*(EF$4&gt;In_COD)</f>
        <v>-2.8183901397597E-012</v>
      </c>
      <c r="EG88" s="48" t="n">
        <f aca="false">-EF94*$F21*(EG$4&gt;In_COD)</f>
        <v>-2.85362001650669E-012</v>
      </c>
      <c r="EH88" s="48" t="n">
        <f aca="false">-EG94*$F21*(EH$4&gt;In_COD)</f>
        <v>-2.88929026671303E-012</v>
      </c>
      <c r="EI88" s="48" t="n">
        <f aca="false">-EH94*$F21*(EI$4&gt;In_COD)</f>
        <v>-2.92540639504694E-012</v>
      </c>
      <c r="EJ88" s="48" t="n">
        <f aca="false">-EI94*$F21*(EJ$4&gt;In_COD)</f>
        <v>-2.96197397498503E-012</v>
      </c>
      <c r="EK88" s="48" t="n">
        <f aca="false">-EJ94*$F21*(EK$4&gt;In_COD)</f>
        <v>-2.99899864967234E-012</v>
      </c>
      <c r="EL88" s="48" t="n">
        <f aca="false">-EK94*$F21*(EL$4&gt;In_COD)</f>
        <v>-3.03648613279325E-012</v>
      </c>
      <c r="EM88" s="48" t="n">
        <f aca="false">-EL94*$F21*(EM$4&gt;In_COD)</f>
        <v>-3.07444220945316E-012</v>
      </c>
      <c r="EN88" s="48" t="n">
        <f aca="false">-EM94*$F21*(EN$4&gt;In_COD)</f>
        <v>-3.11287273707133E-012</v>
      </c>
      <c r="EO88" s="48" t="n">
        <f aca="false">-EN94*$F21*(EO$4&gt;In_COD)</f>
        <v>-3.15178364628472E-012</v>
      </c>
    </row>
    <row r="89" customFormat="false" ht="15" hidden="false" customHeight="false" outlineLevel="0" collapsed="false">
      <c r="C89" s="1" t="s">
        <v>444</v>
      </c>
      <c r="D89" s="12" t="s">
        <v>33</v>
      </c>
      <c r="I89" s="48" t="n">
        <f aca="false">SUM(J89:EO89)</f>
        <v>-64688.3230701241</v>
      </c>
      <c r="J89" s="48" t="n">
        <f aca="false">-J84*$F85</f>
        <v>0</v>
      </c>
      <c r="K89" s="48" t="n">
        <f aca="false">-K84*$F85</f>
        <v>0</v>
      </c>
      <c r="L89" s="48" t="n">
        <f aca="false">-L84*$F85</f>
        <v>0</v>
      </c>
      <c r="M89" s="48" t="n">
        <f aca="false">-M84*$F85</f>
        <v>0</v>
      </c>
      <c r="N89" s="48" t="n">
        <f aca="false">-N84*$F85</f>
        <v>0</v>
      </c>
      <c r="O89" s="48" t="n">
        <f aca="false">-O84*$F85</f>
        <v>0</v>
      </c>
      <c r="P89" s="48" t="n">
        <f aca="false">-P84*$F85</f>
        <v>0</v>
      </c>
      <c r="Q89" s="48" t="n">
        <f aca="false">-Q84*$F85</f>
        <v>0</v>
      </c>
      <c r="R89" s="48" t="n">
        <f aca="false">-R84*$F85</f>
        <v>0</v>
      </c>
      <c r="S89" s="48" t="n">
        <f aca="false">-S84*$F85</f>
        <v>0</v>
      </c>
      <c r="T89" s="48" t="n">
        <f aca="false">-T84*$F85</f>
        <v>0</v>
      </c>
      <c r="U89" s="48" t="n">
        <f aca="false">-U84*$F85</f>
        <v>0</v>
      </c>
      <c r="V89" s="48" t="n">
        <f aca="false">-V84*$F85</f>
        <v>0</v>
      </c>
      <c r="W89" s="48" t="n">
        <f aca="false">-W84*$F85</f>
        <v>0</v>
      </c>
      <c r="X89" s="48" t="n">
        <f aca="false">-X84*$F85</f>
        <v>0</v>
      </c>
      <c r="Y89" s="48" t="n">
        <f aca="false">-Y84*$F85</f>
        <v>0</v>
      </c>
      <c r="Z89" s="48" t="n">
        <f aca="false">-Z84*$F85</f>
        <v>-908.387447955351</v>
      </c>
      <c r="AA89" s="48" t="n">
        <f aca="false">-AA84*$F85</f>
        <v>-894.622116531008</v>
      </c>
      <c r="AB89" s="48" t="n">
        <f aca="false">-AB84*$F85</f>
        <v>-904.252891475325</v>
      </c>
      <c r="AC89" s="48" t="n">
        <f aca="false">-AC84*$F85</f>
        <v>-913.878397711382</v>
      </c>
      <c r="AD89" s="48" t="n">
        <f aca="false">-AD84*$F85</f>
        <v>-906.911274548986</v>
      </c>
      <c r="AE89" s="48" t="n">
        <f aca="false">-AE84*$F85</f>
        <v>-881.750552809154</v>
      </c>
      <c r="AF89" s="48" t="n">
        <f aca="false">-AF84*$F85</f>
        <v>-881.473128385581</v>
      </c>
      <c r="AG89" s="48" t="n">
        <f aca="false">-AG84*$F85</f>
        <v>-890.552098094201</v>
      </c>
      <c r="AH89" s="48" t="n">
        <f aca="false">-AH84*$F85</f>
        <v>-887.399508547193</v>
      </c>
      <c r="AI89" s="48" t="n">
        <f aca="false">-AI84*$F85</f>
        <v>-873.668639955177</v>
      </c>
      <c r="AJ89" s="48" t="n">
        <f aca="false">-AJ84*$F85</f>
        <v>-893.895463897392</v>
      </c>
      <c r="AK89" s="48" t="n">
        <f aca="false">-AK84*$F85</f>
        <v>-903.100010493558</v>
      </c>
      <c r="AL89" s="48" t="n">
        <f aca="false">-AL84*$F85</f>
        <v>-899.905378697579</v>
      </c>
      <c r="AM89" s="48" t="n">
        <f aca="false">-AM84*$F85</f>
        <v>-885.802367059232</v>
      </c>
      <c r="AN89" s="48" t="n">
        <f aca="false">-AN84*$F85</f>
        <v>-895.027335022837</v>
      </c>
      <c r="AO89" s="48" t="n">
        <f aca="false">-AO84*$F85</f>
        <v>-904.241599962708</v>
      </c>
      <c r="AP89" s="48" t="n">
        <f aca="false">-AP84*$F85</f>
        <v>-901.012199777588</v>
      </c>
      <c r="AQ89" s="48" t="n">
        <f aca="false">-AQ84*$F85</f>
        <v>-886.788062017311</v>
      </c>
      <c r="AR89" s="48" t="n">
        <f aca="false">-AR84*$F85</f>
        <v>-896.021453423763</v>
      </c>
      <c r="AS89" s="48" t="n">
        <f aca="false">-AS84*$F85</f>
        <v>-905.243924053789</v>
      </c>
      <c r="AT89" s="48" t="n">
        <f aca="false">-AT84*$F85</f>
        <v>-901.978956943748</v>
      </c>
      <c r="AU89" s="48" t="n">
        <f aca="false">-AU84*$F85</f>
        <v>-897.216806097417</v>
      </c>
      <c r="AV89" s="48" t="n">
        <f aca="false">-AV84*$F85</f>
        <v>-896.86515607713</v>
      </c>
      <c r="AW89" s="48" t="n">
        <f aca="false">-AW84*$F85</f>
        <v>-906.094174741444</v>
      </c>
      <c r="AX89" s="48" t="n">
        <f aca="false">-AX84*$F85</f>
        <v>-902.792725284875</v>
      </c>
      <c r="AY89" s="48" t="n">
        <f aca="false">-AY84*$F85</f>
        <v>-888.321130683272</v>
      </c>
      <c r="AZ89" s="48" t="n">
        <f aca="false">-AZ84*$F85</f>
        <v>-897.566521338687</v>
      </c>
      <c r="BA89" s="48" t="n">
        <f aca="false">-BA84*$F85</f>
        <v>-906.800529397293</v>
      </c>
      <c r="BB89" s="48" t="n">
        <f aca="false">-BB84*$F85</f>
        <v>-903.461812981117</v>
      </c>
      <c r="BC89" s="48" t="n">
        <f aca="false">-BC84*$F85</f>
        <v>-888.863874642762</v>
      </c>
      <c r="BD89" s="48" t="n">
        <f aca="false">-BD84*$F85</f>
        <v>-898.112794058986</v>
      </c>
      <c r="BE89" s="48" t="n">
        <f aca="false">-BE84*$F85</f>
        <v>-907.350086997412</v>
      </c>
      <c r="BF89" s="48" t="n">
        <f aca="false">-BF84*$F85</f>
        <v>-903.973202873592</v>
      </c>
      <c r="BG89" s="48" t="n">
        <f aca="false">-BG84*$F85</f>
        <v>-889.24708535241</v>
      </c>
      <c r="BH89" s="48" t="n">
        <f aca="false">-BH84*$F85</f>
        <v>-898.49776979227</v>
      </c>
      <c r="BI89" s="48" t="n">
        <f aca="false">-BI84*$F85</f>
        <v>-907.736574365936</v>
      </c>
      <c r="BJ89" s="48" t="n">
        <f aca="false">-BJ84*$F85</f>
        <v>-904.320584550374</v>
      </c>
      <c r="BK89" s="48" t="n">
        <f aca="false">-BK84*$F85</f>
        <v>-899.138665810645</v>
      </c>
      <c r="BL89" s="48" t="n">
        <f aca="false">-BL84*$F85</f>
        <v>-898.707854182898</v>
      </c>
      <c r="BM89" s="48" t="n">
        <f aca="false">-BM84*$F85</f>
        <v>-907.946241625782</v>
      </c>
      <c r="BN89" s="48" t="n">
        <f aca="false">-BN84*$F85</f>
        <v>-904.490083954814</v>
      </c>
      <c r="BO89" s="48" t="n">
        <f aca="false">-BO84*$F85</f>
        <v>-889.501805854301</v>
      </c>
      <c r="BP89" s="48" t="n">
        <f aca="false">-BP84*$F85</f>
        <v>-898.75035577267</v>
      </c>
      <c r="BQ89" s="48" t="n">
        <f aca="false">-BQ84*$F85</f>
        <v>-907.986487725723</v>
      </c>
      <c r="BR89" s="48" t="n">
        <f aca="false">-BR84*$F85</f>
        <v>-904.489225566727</v>
      </c>
      <c r="BS89" s="48" t="n">
        <f aca="false">-BS84*$F85</f>
        <v>-889.366938115411</v>
      </c>
      <c r="BT89" s="48" t="n">
        <f aca="false">-BT84*$F85</f>
        <v>-898.611521707052</v>
      </c>
      <c r="BU89" s="48" t="n">
        <f aca="false">-BU84*$F85</f>
        <v>-907.843402658988</v>
      </c>
      <c r="BV89" s="48" t="n">
        <f aca="false">-BV84*$F85</f>
        <v>-904.303975352228</v>
      </c>
      <c r="BW89" s="48" t="n">
        <f aca="false">-BW84*$F85</f>
        <v>-889.045622655557</v>
      </c>
      <c r="BX89" s="48" t="n">
        <f aca="false">-BX84*$F85</f>
        <v>-898.28417611397</v>
      </c>
      <c r="BY89" s="48" t="n">
        <f aca="false">-BY84*$F85</f>
        <v>-907.509730866002</v>
      </c>
      <c r="BZ89" s="48" t="n">
        <f aca="false">-BZ84*$F85</f>
        <v>-903.92703303538</v>
      </c>
      <c r="CA89" s="48" t="n">
        <f aca="false">-CA84*$F85</f>
        <v>-898.278804213215</v>
      </c>
      <c r="CB89" s="48" t="n">
        <f aca="false">-CB84*$F85</f>
        <v>-897.753659917495</v>
      </c>
      <c r="CC89" s="48" t="n">
        <f aca="false">-CC84*$F85</f>
        <v>-906.970645706521</v>
      </c>
      <c r="CD89" s="48" t="n">
        <f aca="false">-CD84*$F85</f>
        <v>-903.343439307654</v>
      </c>
      <c r="CE89" s="48" t="n">
        <f aca="false">-CE84*$F85</f>
        <v>-887.80645655175</v>
      </c>
      <c r="CF89" s="48" t="n">
        <f aca="false">-CF84*$F85</f>
        <v>-897.026338608437</v>
      </c>
      <c r="CG89" s="48" t="n">
        <f aca="false">-CG84*$F85</f>
        <v>-906.232592478168</v>
      </c>
      <c r="CH89" s="48" t="n">
        <f aca="false">-CH84*$F85</f>
        <v>-902.559758060722</v>
      </c>
      <c r="CI89" s="48" t="n">
        <f aca="false">-CI84*$F85</f>
        <v>-886.880164504712</v>
      </c>
      <c r="CJ89" s="48" t="n">
        <f aca="false">-CJ84*$F85</f>
        <v>-896.087315142468</v>
      </c>
      <c r="CK89" s="48" t="n">
        <f aca="false">-CK84*$F85</f>
        <v>-905.280504031071</v>
      </c>
      <c r="CL89" s="48" t="n">
        <f aca="false">-CL84*$F85</f>
        <v>-901.560788894095</v>
      </c>
      <c r="CM89" s="48" t="n">
        <f aca="false">-CM84*$F85</f>
        <v>-885.736270836699</v>
      </c>
      <c r="CN89" s="48" t="n">
        <f aca="false">-CN84*$F85</f>
        <v>-894.928278129176</v>
      </c>
      <c r="CO89" s="48" t="n">
        <f aca="false">-CO84*$F85</f>
        <v>-904.105976448498</v>
      </c>
      <c r="CP89" s="48" t="n">
        <f aca="false">-CP84*$F85</f>
        <v>-900.338074163601</v>
      </c>
      <c r="CQ89" s="48" t="n">
        <f aca="false">-CQ84*$F85</f>
        <v>-894.17095334318</v>
      </c>
      <c r="CR89" s="48" t="n">
        <f aca="false">-CR84*$F85</f>
        <v>-893.533345722591</v>
      </c>
      <c r="CS89" s="48" t="n">
        <f aca="false">-CS84*$F85</f>
        <v>-902.692946468091</v>
      </c>
      <c r="CT89" s="48" t="n">
        <f aca="false">-CT84*$F85</f>
        <v>-0</v>
      </c>
      <c r="CU89" s="48" t="n">
        <f aca="false">-CU84*$F85</f>
        <v>-0</v>
      </c>
      <c r="CV89" s="48" t="n">
        <f aca="false">-CV84*$F85</f>
        <v>-0</v>
      </c>
      <c r="CW89" s="48" t="n">
        <f aca="false">-CW84*$F85</f>
        <v>-0</v>
      </c>
      <c r="CX89" s="48" t="n">
        <f aca="false">-CX84*$F85</f>
        <v>-0</v>
      </c>
      <c r="CY89" s="48" t="n">
        <f aca="false">-CY84*$F85</f>
        <v>-0</v>
      </c>
      <c r="CZ89" s="48" t="n">
        <f aca="false">-CZ84*$F85</f>
        <v>-0</v>
      </c>
      <c r="DA89" s="48" t="n">
        <f aca="false">-DA84*$F85</f>
        <v>-0</v>
      </c>
      <c r="DB89" s="48" t="n">
        <f aca="false">-DB84*$F85</f>
        <v>-0</v>
      </c>
      <c r="DC89" s="48" t="n">
        <f aca="false">-DC84*$F85</f>
        <v>-0</v>
      </c>
      <c r="DD89" s="48" t="n">
        <f aca="false">-DD84*$F85</f>
        <v>-0</v>
      </c>
      <c r="DE89" s="48" t="n">
        <f aca="false">-DE84*$F85</f>
        <v>-0</v>
      </c>
      <c r="DF89" s="48" t="n">
        <f aca="false">-DF84*$F85</f>
        <v>-0</v>
      </c>
      <c r="DG89" s="48" t="n">
        <f aca="false">-DG84*$F85</f>
        <v>-0</v>
      </c>
      <c r="DH89" s="48" t="n">
        <f aca="false">-DH84*$F85</f>
        <v>-0</v>
      </c>
      <c r="DI89" s="48" t="n">
        <f aca="false">-DI84*$F85</f>
        <v>-0</v>
      </c>
      <c r="DJ89" s="48" t="n">
        <f aca="false">-DJ84*$F85</f>
        <v>-0</v>
      </c>
      <c r="DK89" s="48" t="n">
        <f aca="false">-DK84*$F85</f>
        <v>-0</v>
      </c>
      <c r="DL89" s="48" t="n">
        <f aca="false">-DL84*$F85</f>
        <v>-0</v>
      </c>
      <c r="DM89" s="48" t="n">
        <f aca="false">-DM84*$F85</f>
        <v>-0</v>
      </c>
      <c r="DN89" s="48" t="n">
        <f aca="false">-DN84*$F85</f>
        <v>-0</v>
      </c>
      <c r="DO89" s="48" t="n">
        <f aca="false">-DO84*$F85</f>
        <v>-0</v>
      </c>
      <c r="DP89" s="48" t="n">
        <f aca="false">-DP84*$F85</f>
        <v>-0</v>
      </c>
      <c r="DQ89" s="48" t="n">
        <f aca="false">-DQ84*$F85</f>
        <v>-0</v>
      </c>
      <c r="DR89" s="48" t="n">
        <f aca="false">-DR84*$F85</f>
        <v>-0</v>
      </c>
      <c r="DS89" s="48" t="n">
        <f aca="false">-DS84*$F85</f>
        <v>-0</v>
      </c>
      <c r="DT89" s="48" t="n">
        <f aca="false">-DT84*$F85</f>
        <v>-0</v>
      </c>
      <c r="DU89" s="48" t="n">
        <f aca="false">-DU84*$F85</f>
        <v>-0</v>
      </c>
      <c r="DV89" s="48" t="n">
        <f aca="false">-DV84*$F85</f>
        <v>-0</v>
      </c>
      <c r="DW89" s="48" t="n">
        <f aca="false">-DW84*$F85</f>
        <v>-0</v>
      </c>
      <c r="DX89" s="48" t="n">
        <f aca="false">-DX84*$F85</f>
        <v>-0</v>
      </c>
      <c r="DY89" s="48" t="n">
        <f aca="false">-DY84*$F85</f>
        <v>-0</v>
      </c>
      <c r="DZ89" s="48" t="n">
        <f aca="false">-DZ84*$F85</f>
        <v>-0</v>
      </c>
      <c r="EA89" s="48" t="n">
        <f aca="false">-EA84*$F85</f>
        <v>-0</v>
      </c>
      <c r="EB89" s="48" t="n">
        <f aca="false">-EB84*$F85</f>
        <v>-0</v>
      </c>
      <c r="EC89" s="48" t="n">
        <f aca="false">-EC84*$F85</f>
        <v>-0</v>
      </c>
      <c r="ED89" s="48" t="n">
        <f aca="false">-ED84*$F85</f>
        <v>-0</v>
      </c>
      <c r="EE89" s="48" t="n">
        <f aca="false">-EE84*$F85</f>
        <v>-0</v>
      </c>
      <c r="EF89" s="48" t="n">
        <f aca="false">-EF84*$F85</f>
        <v>-0</v>
      </c>
      <c r="EG89" s="48" t="n">
        <f aca="false">-EG84*$F85</f>
        <v>-0</v>
      </c>
      <c r="EH89" s="48" t="n">
        <f aca="false">-EH84*$F85</f>
        <v>-0</v>
      </c>
      <c r="EI89" s="48" t="n">
        <f aca="false">-EI84*$F85</f>
        <v>-0</v>
      </c>
      <c r="EJ89" s="48" t="n">
        <f aca="false">-EJ84*$F85</f>
        <v>-0</v>
      </c>
      <c r="EK89" s="48" t="n">
        <f aca="false">-EK84*$F85</f>
        <v>-0</v>
      </c>
      <c r="EL89" s="48" t="n">
        <f aca="false">-EL84*$F85</f>
        <v>-0</v>
      </c>
      <c r="EM89" s="48" t="n">
        <f aca="false">-EM84*$F85</f>
        <v>-0</v>
      </c>
      <c r="EN89" s="48" t="n">
        <f aca="false">-EN84*$F85</f>
        <v>-0</v>
      </c>
      <c r="EO89" s="48" t="n">
        <f aca="false">-EO84*$F85</f>
        <v>-0</v>
      </c>
    </row>
    <row r="90" customFormat="false" ht="15" hidden="false" customHeight="false" outlineLevel="0" collapsed="false">
      <c r="C90" s="1" t="s">
        <v>445</v>
      </c>
      <c r="D90" s="12" t="s">
        <v>33</v>
      </c>
      <c r="J90" s="19" t="n">
        <f aca="false">I94</f>
        <v>0</v>
      </c>
      <c r="K90" s="19" t="n">
        <f aca="false">J94</f>
        <v>0</v>
      </c>
      <c r="L90" s="19" t="n">
        <f aca="false">K94</f>
        <v>0</v>
      </c>
      <c r="M90" s="19" t="n">
        <f aca="false">L94</f>
        <v>0</v>
      </c>
      <c r="N90" s="19" t="n">
        <f aca="false">M94</f>
        <v>0</v>
      </c>
      <c r="O90" s="19" t="n">
        <f aca="false">N94</f>
        <v>0</v>
      </c>
      <c r="P90" s="19" t="n">
        <f aca="false">O94</f>
        <v>0</v>
      </c>
      <c r="Q90" s="19" t="n">
        <f aca="false">P94</f>
        <v>0</v>
      </c>
      <c r="R90" s="19" t="n">
        <f aca="false">Q94</f>
        <v>0</v>
      </c>
      <c r="S90" s="19" t="n">
        <f aca="false">R94</f>
        <v>4374.90719178082</v>
      </c>
      <c r="T90" s="19" t="n">
        <f aca="false">S94</f>
        <v>13194.5467782534</v>
      </c>
      <c r="U90" s="19" t="n">
        <f aca="false">T94</f>
        <v>17686.8324657213</v>
      </c>
      <c r="V90" s="19" t="n">
        <f aca="false">U94</f>
        <v>22282.8250633237</v>
      </c>
      <c r="W90" s="19" t="n">
        <f aca="false">V94</f>
        <v>26936.267568396</v>
      </c>
      <c r="X90" s="19" t="n">
        <f aca="false">W94</f>
        <v>31552.7714266996</v>
      </c>
      <c r="Y90" s="19" t="n">
        <f aca="false">X94</f>
        <v>36274.5349222731</v>
      </c>
      <c r="Z90" s="19" t="n">
        <f aca="false">Y94</f>
        <v>42477.8738005823</v>
      </c>
      <c r="AA90" s="19" t="n">
        <f aca="false">Z94</f>
        <v>42100.4597751342</v>
      </c>
      <c r="AB90" s="19" t="n">
        <f aca="false">AA94</f>
        <v>41732.0934057924</v>
      </c>
      <c r="AC90" s="19" t="n">
        <f aca="false">AB94</f>
        <v>41349.4916818895</v>
      </c>
      <c r="AD90" s="19" t="n">
        <f aca="false">AC94</f>
        <v>40952.4819302017</v>
      </c>
      <c r="AE90" s="19" t="n">
        <f aca="false">AD94</f>
        <v>40557.4766797803</v>
      </c>
      <c r="AF90" s="19" t="n">
        <f aca="false">AE94</f>
        <v>40182.6945854684</v>
      </c>
      <c r="AG90" s="19" t="n">
        <f aca="false">AF94</f>
        <v>39803.5051394011</v>
      </c>
      <c r="AH90" s="19" t="n">
        <f aca="false">AG94</f>
        <v>39410.4968555495</v>
      </c>
      <c r="AI90" s="19" t="n">
        <f aca="false">AH94</f>
        <v>39015.7285576966</v>
      </c>
      <c r="AJ90" s="19" t="n">
        <f aca="false">AI94</f>
        <v>38629.7565247127</v>
      </c>
      <c r="AK90" s="19" t="n">
        <f aca="false">AJ94</f>
        <v>38218.7330173742</v>
      </c>
      <c r="AL90" s="19" t="n">
        <f aca="false">AK94</f>
        <v>37793.3671695978</v>
      </c>
      <c r="AM90" s="19" t="n">
        <f aca="false">AL94</f>
        <v>37365.8788805202</v>
      </c>
      <c r="AN90" s="19" t="n">
        <f aca="false">AM94</f>
        <v>36947.1499994675</v>
      </c>
      <c r="AO90" s="19" t="n">
        <f aca="false">AN94</f>
        <v>36513.962039438</v>
      </c>
      <c r="AP90" s="19" t="n">
        <f aca="false">AO94</f>
        <v>36066.1449649682</v>
      </c>
      <c r="AQ90" s="19" t="n">
        <f aca="false">AP94</f>
        <v>35615.9595772528</v>
      </c>
      <c r="AR90" s="19" t="n">
        <f aca="false">AQ94</f>
        <v>35174.3710099511</v>
      </c>
      <c r="AS90" s="19" t="n">
        <f aca="false">AR94</f>
        <v>34718.0291941517</v>
      </c>
      <c r="AT90" s="19" t="n">
        <f aca="false">AS94</f>
        <v>34246.7606350248</v>
      </c>
      <c r="AU90" s="19" t="n">
        <f aca="false">AT94</f>
        <v>33772.8661860189</v>
      </c>
      <c r="AV90" s="19" t="n">
        <f aca="false">AU94</f>
        <v>33297.8102072467</v>
      </c>
      <c r="AW90" s="19" t="n">
        <f aca="false">AV94</f>
        <v>32817.1676787602</v>
      </c>
      <c r="AX90" s="19" t="n">
        <f aca="false">AW94</f>
        <v>32321.2881000032</v>
      </c>
      <c r="AY90" s="19" t="n">
        <f aca="false">AX94</f>
        <v>31822.5114759684</v>
      </c>
      <c r="AZ90" s="19" t="n">
        <f aca="false">AY94</f>
        <v>31331.9717387347</v>
      </c>
      <c r="BA90" s="19" t="n">
        <f aca="false">AZ94</f>
        <v>30826.0548641302</v>
      </c>
      <c r="BB90" s="19" t="n">
        <f aca="false">BA94</f>
        <v>30304.5800205346</v>
      </c>
      <c r="BC90" s="19" t="n">
        <f aca="false">BB94</f>
        <v>29779.9254578101</v>
      </c>
      <c r="BD90" s="19" t="n">
        <f aca="false">BC94</f>
        <v>29263.31065139</v>
      </c>
      <c r="BE90" s="19" t="n">
        <f aca="false">BD94</f>
        <v>28730.9892404734</v>
      </c>
      <c r="BF90" s="19" t="n">
        <f aca="false">BE94</f>
        <v>28182.7765189819</v>
      </c>
      <c r="BG90" s="19" t="n">
        <f aca="false">BF94</f>
        <v>27631.0880225956</v>
      </c>
      <c r="BH90" s="19" t="n">
        <f aca="false">BG94</f>
        <v>27087.2295375256</v>
      </c>
      <c r="BI90" s="19" t="n">
        <f aca="false">BH94</f>
        <v>26527.3221369524</v>
      </c>
      <c r="BJ90" s="19" t="n">
        <f aca="false">BI94</f>
        <v>25951.1770892984</v>
      </c>
      <c r="BK90" s="19" t="n">
        <f aca="false">BJ94</f>
        <v>25371.2462183642</v>
      </c>
      <c r="BL90" s="19" t="n">
        <f aca="false">BK94</f>
        <v>24789.2481302831</v>
      </c>
      <c r="BM90" s="19" t="n">
        <f aca="false">BL94</f>
        <v>24200.4058777288</v>
      </c>
      <c r="BN90" s="19" t="n">
        <f aca="false">BM94</f>
        <v>23594.9647095746</v>
      </c>
      <c r="BO90" s="19" t="n">
        <f aca="false">BN94</f>
        <v>22985.4116844895</v>
      </c>
      <c r="BP90" s="19" t="n">
        <f aca="false">BO94</f>
        <v>22383.2275246913</v>
      </c>
      <c r="BQ90" s="19" t="n">
        <f aca="false">BP94</f>
        <v>21764.2675129773</v>
      </c>
      <c r="BR90" s="19" t="n">
        <f aca="false">BQ94</f>
        <v>21128.3343691637</v>
      </c>
      <c r="BS90" s="19" t="n">
        <f aca="false">BR94</f>
        <v>20487.9493232116</v>
      </c>
      <c r="BT90" s="19" t="n">
        <f aca="false">BS94</f>
        <v>19854.6817516363</v>
      </c>
      <c r="BU90" s="19" t="n">
        <f aca="false">BT94</f>
        <v>19204.2537518247</v>
      </c>
      <c r="BV90" s="19" t="n">
        <f aca="false">BU94</f>
        <v>18536.4635210635</v>
      </c>
      <c r="BW90" s="19" t="n">
        <f aca="false">BV94</f>
        <v>17863.8653397246</v>
      </c>
      <c r="BX90" s="19" t="n">
        <f aca="false">BW94</f>
        <v>17198.1180338156</v>
      </c>
      <c r="BY90" s="19" t="n">
        <f aca="false">BX94</f>
        <v>16514.8103331243</v>
      </c>
      <c r="BZ90" s="19" t="n">
        <f aca="false">BY94</f>
        <v>15813.7357314224</v>
      </c>
      <c r="CA90" s="19" t="n">
        <f aca="false">BZ94</f>
        <v>15107.4803950298</v>
      </c>
      <c r="CB90" s="19" t="n">
        <f aca="false">CA94</f>
        <v>14398.0450957544</v>
      </c>
      <c r="CC90" s="19" t="n">
        <f aca="false">CB94</f>
        <v>13680.2669995339</v>
      </c>
      <c r="CD90" s="19" t="n">
        <f aca="false">CC94</f>
        <v>12944.2996913215</v>
      </c>
      <c r="CE90" s="19" t="n">
        <f aca="false">CD94</f>
        <v>12202.7599981554</v>
      </c>
      <c r="CF90" s="19" t="n">
        <f aca="false">CE94</f>
        <v>11467.4880415806</v>
      </c>
      <c r="CG90" s="19" t="n">
        <f aca="false">CF94</f>
        <v>10713.8053034919</v>
      </c>
      <c r="CH90" s="19" t="n">
        <f aca="false">CG94</f>
        <v>9941.49527730736</v>
      </c>
      <c r="CI90" s="19" t="n">
        <f aca="false">CH94</f>
        <v>9163.20421021298</v>
      </c>
      <c r="CJ90" s="19" t="n">
        <f aca="false">CI94</f>
        <v>8390.86409833593</v>
      </c>
      <c r="CK90" s="19" t="n">
        <f aca="false">CJ94</f>
        <v>7599.66258442266</v>
      </c>
      <c r="CL90" s="19" t="n">
        <f aca="false">CK94</f>
        <v>6789.37786269687</v>
      </c>
      <c r="CM90" s="19" t="n">
        <f aca="false">CL94</f>
        <v>5972.68429708649</v>
      </c>
      <c r="CN90" s="19" t="n">
        <f aca="false">CM94</f>
        <v>5161.60657996337</v>
      </c>
      <c r="CO90" s="19" t="n">
        <f aca="false">CN94</f>
        <v>4331.19838408374</v>
      </c>
      <c r="CP90" s="19" t="n">
        <f aca="false">CO94</f>
        <v>3481.23238743629</v>
      </c>
      <c r="CQ90" s="19" t="n">
        <f aca="false">CP94</f>
        <v>2624.40971811564</v>
      </c>
      <c r="CR90" s="19" t="n">
        <f aca="false">CQ94</f>
        <v>1763.04388624891</v>
      </c>
      <c r="CS90" s="19" t="n">
        <f aca="false">CR94</f>
        <v>891.548589104426</v>
      </c>
      <c r="CT90" s="19" t="n">
        <f aca="false">CS94</f>
        <v>1.40630618261639E-010</v>
      </c>
      <c r="CU90" s="19" t="n">
        <f aca="false">CT94</f>
        <v>1.4238850098991E-010</v>
      </c>
      <c r="CV90" s="19" t="n">
        <f aca="false">CU94</f>
        <v>1.44168357252283E-010</v>
      </c>
      <c r="CW90" s="19" t="n">
        <f aca="false">CV94</f>
        <v>1.45970461717937E-010</v>
      </c>
      <c r="CX90" s="19" t="n">
        <f aca="false">CW94</f>
        <v>1.47795092489411E-010</v>
      </c>
      <c r="CY90" s="19" t="n">
        <f aca="false">CX94</f>
        <v>1.49642531145529E-010</v>
      </c>
      <c r="CZ90" s="19" t="n">
        <f aca="false">CY94</f>
        <v>1.51513062784848E-010</v>
      </c>
      <c r="DA90" s="19" t="n">
        <f aca="false">CZ94</f>
        <v>1.53406976069659E-010</v>
      </c>
      <c r="DB90" s="19" t="n">
        <f aca="false">DA94</f>
        <v>1.55324563270529E-010</v>
      </c>
      <c r="DC90" s="19" t="n">
        <f aca="false">DB94</f>
        <v>1.57266120311411E-010</v>
      </c>
      <c r="DD90" s="19" t="n">
        <f aca="false">DC94</f>
        <v>1.59231946815304E-010</v>
      </c>
      <c r="DE90" s="19" t="n">
        <f aca="false">DD94</f>
        <v>1.61222346150495E-010</v>
      </c>
      <c r="DF90" s="19" t="n">
        <f aca="false">DE94</f>
        <v>1.63237625477376E-010</v>
      </c>
      <c r="DG90" s="19" t="n">
        <f aca="false">DF94</f>
        <v>1.65278095795843E-010</v>
      </c>
      <c r="DH90" s="19" t="n">
        <f aca="false">DG94</f>
        <v>1.67344071993291E-010</v>
      </c>
      <c r="DI90" s="19" t="n">
        <f aca="false">DH94</f>
        <v>1.69435872893207E-010</v>
      </c>
      <c r="DJ90" s="19" t="n">
        <f aca="false">DI94</f>
        <v>1.71553821304372E-010</v>
      </c>
      <c r="DK90" s="19" t="n">
        <f aca="false">DJ94</f>
        <v>1.73698244070677E-010</v>
      </c>
      <c r="DL90" s="19" t="n">
        <f aca="false">DK94</f>
        <v>1.75869472121561E-010</v>
      </c>
      <c r="DM90" s="19" t="n">
        <f aca="false">DL94</f>
        <v>1.7806784052308E-010</v>
      </c>
      <c r="DN90" s="19" t="n">
        <f aca="false">DM94</f>
        <v>1.80293688529619E-010</v>
      </c>
      <c r="DO90" s="19" t="n">
        <f aca="false">DN94</f>
        <v>1.82547359636239E-010</v>
      </c>
      <c r="DP90" s="19" t="n">
        <f aca="false">DO94</f>
        <v>1.84829201631692E-010</v>
      </c>
      <c r="DQ90" s="19" t="n">
        <f aca="false">DP94</f>
        <v>1.87139566652088E-010</v>
      </c>
      <c r="DR90" s="19" t="n">
        <f aca="false">DQ94</f>
        <v>1.89478811235239E-010</v>
      </c>
      <c r="DS90" s="19" t="n">
        <f aca="false">DR94</f>
        <v>1.9184729637568E-010</v>
      </c>
      <c r="DT90" s="19" t="n">
        <f aca="false">DS94</f>
        <v>1.94245387580376E-010</v>
      </c>
      <c r="DU90" s="19" t="n">
        <f aca="false">DT94</f>
        <v>1.9667345492513E-010</v>
      </c>
      <c r="DV90" s="19" t="n">
        <f aca="false">DU94</f>
        <v>1.99131873111694E-010</v>
      </c>
      <c r="DW90" s="19" t="n">
        <f aca="false">DV94</f>
        <v>2.01621021525591E-010</v>
      </c>
      <c r="DX90" s="19" t="n">
        <f aca="false">DW94</f>
        <v>2.0414128429466E-010</v>
      </c>
      <c r="DY90" s="19" t="n">
        <f aca="false">DX94</f>
        <v>2.06693050348344E-010</v>
      </c>
      <c r="DZ90" s="19" t="n">
        <f aca="false">DY94</f>
        <v>2.09276713477698E-010</v>
      </c>
      <c r="EA90" s="19" t="n">
        <f aca="false">DZ94</f>
        <v>2.11892672396169E-010</v>
      </c>
      <c r="EB90" s="19" t="n">
        <f aca="false">EA94</f>
        <v>2.14541330801121E-010</v>
      </c>
      <c r="EC90" s="19" t="n">
        <f aca="false">EB94</f>
        <v>2.17223097436135E-010</v>
      </c>
      <c r="ED90" s="19" t="n">
        <f aca="false">EC94</f>
        <v>2.19938386154087E-010</v>
      </c>
      <c r="EE90" s="19" t="n">
        <f aca="false">ED94</f>
        <v>2.22687615981013E-010</v>
      </c>
      <c r="EF90" s="19" t="n">
        <f aca="false">EE94</f>
        <v>2.25471211180776E-010</v>
      </c>
      <c r="EG90" s="19" t="n">
        <f aca="false">EF94</f>
        <v>2.28289601320536E-010</v>
      </c>
      <c r="EH90" s="19" t="n">
        <f aca="false">EG94</f>
        <v>2.31143221337042E-010</v>
      </c>
      <c r="EI90" s="19" t="n">
        <f aca="false">EH94</f>
        <v>2.34032511603755E-010</v>
      </c>
      <c r="EJ90" s="19" t="n">
        <f aca="false">EI94</f>
        <v>2.36957917998802E-010</v>
      </c>
      <c r="EK90" s="19" t="n">
        <f aca="false">EJ94</f>
        <v>2.39919891973787E-010</v>
      </c>
      <c r="EL90" s="19" t="n">
        <f aca="false">EK94</f>
        <v>2.4291889062346E-010</v>
      </c>
      <c r="EM90" s="19" t="n">
        <f aca="false">EL94</f>
        <v>2.45955376756253E-010</v>
      </c>
      <c r="EN90" s="19" t="n">
        <f aca="false">EM94</f>
        <v>2.49029818965706E-010</v>
      </c>
      <c r="EO90" s="19" t="n">
        <f aca="false">EN94</f>
        <v>2.52142691702777E-010</v>
      </c>
    </row>
    <row r="91" customFormat="false" ht="15" hidden="false" customHeight="false" outlineLevel="0" collapsed="false">
      <c r="C91" s="1" t="s">
        <v>446</v>
      </c>
      <c r="D91" s="12" t="s">
        <v>33</v>
      </c>
      <c r="I91" s="48" t="n">
        <f aca="false">SUM(J91:EO91)</f>
        <v>40574.0902328767</v>
      </c>
      <c r="J91" s="48" t="n">
        <f aca="false">-$E85*J66</f>
        <v>0</v>
      </c>
      <c r="K91" s="48" t="n">
        <f aca="false">-$E85*K66</f>
        <v>0</v>
      </c>
      <c r="L91" s="48" t="n">
        <f aca="false">-$E85*L66</f>
        <v>0</v>
      </c>
      <c r="M91" s="48" t="n">
        <f aca="false">-$E85*M66</f>
        <v>0</v>
      </c>
      <c r="N91" s="48" t="n">
        <f aca="false">-$E85*N66</f>
        <v>0</v>
      </c>
      <c r="O91" s="48" t="n">
        <f aca="false">-$E85*O66</f>
        <v>0</v>
      </c>
      <c r="P91" s="48" t="n">
        <f aca="false">-$E85*P66</f>
        <v>0</v>
      </c>
      <c r="Q91" s="48" t="n">
        <f aca="false">-$E85*Q66</f>
        <v>0</v>
      </c>
      <c r="R91" s="48" t="n">
        <f aca="false">-$E85*R66</f>
        <v>4374.90719178082</v>
      </c>
      <c r="S91" s="48" t="n">
        <f aca="false">-$E85*S66</f>
        <v>8764.95324657534</v>
      </c>
      <c r="T91" s="48" t="n">
        <f aca="false">-$E85*T66</f>
        <v>4327.35385273973</v>
      </c>
      <c r="U91" s="48" t="n">
        <f aca="false">-$E85*U66</f>
        <v>4374.90719178082</v>
      </c>
      <c r="V91" s="48" t="n">
        <f aca="false">-$E85*V66</f>
        <v>4374.90719178082</v>
      </c>
      <c r="W91" s="48" t="n">
        <f aca="false">-$E85*W66</f>
        <v>4279.80051369863</v>
      </c>
      <c r="X91" s="48" t="n">
        <f aca="false">-$E85*X66</f>
        <v>4327.35385273973</v>
      </c>
      <c r="Y91" s="48" t="n">
        <f aca="false">-$E85*Y66</f>
        <v>5749.90719178082</v>
      </c>
      <c r="Z91" s="48" t="n">
        <f aca="false">-$E85*Z66</f>
        <v>0</v>
      </c>
      <c r="AA91" s="48" t="n">
        <f aca="false">-$E85*AA66</f>
        <v>0</v>
      </c>
      <c r="AB91" s="48" t="n">
        <f aca="false">-$E85*AB66</f>
        <v>0</v>
      </c>
      <c r="AC91" s="48" t="n">
        <f aca="false">-$E85*AC66</f>
        <v>0</v>
      </c>
      <c r="AD91" s="48" t="n">
        <f aca="false">-$E85*AD66</f>
        <v>0</v>
      </c>
      <c r="AE91" s="48" t="n">
        <f aca="false">-$E85*AE66</f>
        <v>0</v>
      </c>
      <c r="AF91" s="48" t="n">
        <f aca="false">-$E85*AF66</f>
        <v>0</v>
      </c>
      <c r="AG91" s="48" t="n">
        <f aca="false">-$E85*AG66</f>
        <v>0</v>
      </c>
      <c r="AH91" s="48" t="n">
        <f aca="false">-$E85*AH66</f>
        <v>0</v>
      </c>
      <c r="AI91" s="48" t="n">
        <f aca="false">-$E85*AI66</f>
        <v>0</v>
      </c>
      <c r="AJ91" s="48" t="n">
        <f aca="false">-$E85*AJ66</f>
        <v>0</v>
      </c>
      <c r="AK91" s="48" t="n">
        <f aca="false">-$E85*AK66</f>
        <v>0</v>
      </c>
      <c r="AL91" s="48" t="n">
        <f aca="false">-$E85*AL66</f>
        <v>0</v>
      </c>
      <c r="AM91" s="48" t="n">
        <f aca="false">-$E85*AM66</f>
        <v>0</v>
      </c>
      <c r="AN91" s="48" t="n">
        <f aca="false">-$E85*AN66</f>
        <v>0</v>
      </c>
      <c r="AO91" s="48" t="n">
        <f aca="false">-$E85*AO66</f>
        <v>0</v>
      </c>
      <c r="AP91" s="48" t="n">
        <f aca="false">-$E85*AP66</f>
        <v>0</v>
      </c>
      <c r="AQ91" s="48" t="n">
        <f aca="false">-$E85*AQ66</f>
        <v>0</v>
      </c>
      <c r="AR91" s="48" t="n">
        <f aca="false">-$E85*AR66</f>
        <v>0</v>
      </c>
      <c r="AS91" s="48" t="n">
        <f aca="false">-$E85*AS66</f>
        <v>0</v>
      </c>
      <c r="AT91" s="48" t="n">
        <f aca="false">-$E85*AT66</f>
        <v>0</v>
      </c>
      <c r="AU91" s="48" t="n">
        <f aca="false">-$E85*AU66</f>
        <v>0</v>
      </c>
      <c r="AV91" s="48" t="n">
        <f aca="false">-$E85*AV66</f>
        <v>0</v>
      </c>
      <c r="AW91" s="48" t="n">
        <f aca="false">-$E85*AW66</f>
        <v>0</v>
      </c>
      <c r="AX91" s="48" t="n">
        <f aca="false">-$E85*AX66</f>
        <v>0</v>
      </c>
      <c r="AY91" s="48" t="n">
        <f aca="false">-$E85*AY66</f>
        <v>0</v>
      </c>
      <c r="AZ91" s="48" t="n">
        <f aca="false">-$E85*AZ66</f>
        <v>0</v>
      </c>
      <c r="BA91" s="48" t="n">
        <f aca="false">-$E85*BA66</f>
        <v>0</v>
      </c>
      <c r="BB91" s="48" t="n">
        <f aca="false">-$E85*BB66</f>
        <v>0</v>
      </c>
      <c r="BC91" s="48" t="n">
        <f aca="false">-$E85*BC66</f>
        <v>0</v>
      </c>
      <c r="BD91" s="48" t="n">
        <f aca="false">-$E85*BD66</f>
        <v>0</v>
      </c>
      <c r="BE91" s="48" t="n">
        <f aca="false">-$E85*BE66</f>
        <v>0</v>
      </c>
      <c r="BF91" s="48" t="n">
        <f aca="false">-$E85*BF66</f>
        <v>0</v>
      </c>
      <c r="BG91" s="48" t="n">
        <f aca="false">-$E85*BG66</f>
        <v>0</v>
      </c>
      <c r="BH91" s="48" t="n">
        <f aca="false">-$E85*BH66</f>
        <v>0</v>
      </c>
      <c r="BI91" s="48" t="n">
        <f aca="false">-$E85*BI66</f>
        <v>0</v>
      </c>
      <c r="BJ91" s="48" t="n">
        <f aca="false">-$E85*BJ66</f>
        <v>0</v>
      </c>
      <c r="BK91" s="48" t="n">
        <f aca="false">-$E85*BK66</f>
        <v>0</v>
      </c>
      <c r="BL91" s="48" t="n">
        <f aca="false">-$E85*BL66</f>
        <v>0</v>
      </c>
      <c r="BM91" s="48" t="n">
        <f aca="false">-$E85*BM66</f>
        <v>0</v>
      </c>
      <c r="BN91" s="48" t="n">
        <f aca="false">-$E85*BN66</f>
        <v>0</v>
      </c>
      <c r="BO91" s="48" t="n">
        <f aca="false">-$E85*BO66</f>
        <v>0</v>
      </c>
      <c r="BP91" s="48" t="n">
        <f aca="false">-$E85*BP66</f>
        <v>0</v>
      </c>
      <c r="BQ91" s="48" t="n">
        <f aca="false">-$E85*BQ66</f>
        <v>0</v>
      </c>
      <c r="BR91" s="48" t="n">
        <f aca="false">-$E85*BR66</f>
        <v>0</v>
      </c>
      <c r="BS91" s="48" t="n">
        <f aca="false">-$E85*BS66</f>
        <v>0</v>
      </c>
      <c r="BT91" s="48" t="n">
        <f aca="false">-$E85*BT66</f>
        <v>0</v>
      </c>
      <c r="BU91" s="48" t="n">
        <f aca="false">-$E85*BU66</f>
        <v>0</v>
      </c>
      <c r="BV91" s="48" t="n">
        <f aca="false">-$E85*BV66</f>
        <v>0</v>
      </c>
      <c r="BW91" s="48" t="n">
        <f aca="false">-$E85*BW66</f>
        <v>0</v>
      </c>
      <c r="BX91" s="48" t="n">
        <f aca="false">-$E85*BX66</f>
        <v>0</v>
      </c>
      <c r="BY91" s="48" t="n">
        <f aca="false">-$E85*BY66</f>
        <v>0</v>
      </c>
      <c r="BZ91" s="48" t="n">
        <f aca="false">-$E85*BZ66</f>
        <v>0</v>
      </c>
      <c r="CA91" s="48" t="n">
        <f aca="false">-$E85*CA66</f>
        <v>0</v>
      </c>
      <c r="CB91" s="48" t="n">
        <f aca="false">-$E85*CB66</f>
        <v>0</v>
      </c>
      <c r="CC91" s="48" t="n">
        <f aca="false">-$E85*CC66</f>
        <v>0</v>
      </c>
      <c r="CD91" s="48" t="n">
        <f aca="false">-$E85*CD66</f>
        <v>0</v>
      </c>
      <c r="CE91" s="48" t="n">
        <f aca="false">-$E85*CE66</f>
        <v>0</v>
      </c>
      <c r="CF91" s="48" t="n">
        <f aca="false">-$E85*CF66</f>
        <v>0</v>
      </c>
      <c r="CG91" s="48" t="n">
        <f aca="false">-$E85*CG66</f>
        <v>0</v>
      </c>
      <c r="CH91" s="48" t="n">
        <f aca="false">-$E85*CH66</f>
        <v>0</v>
      </c>
      <c r="CI91" s="48" t="n">
        <f aca="false">-$E85*CI66</f>
        <v>0</v>
      </c>
      <c r="CJ91" s="48" t="n">
        <f aca="false">-$E85*CJ66</f>
        <v>0</v>
      </c>
      <c r="CK91" s="48" t="n">
        <f aca="false">-$E85*CK66</f>
        <v>0</v>
      </c>
      <c r="CL91" s="48" t="n">
        <f aca="false">-$E85*CL66</f>
        <v>0</v>
      </c>
      <c r="CM91" s="48" t="n">
        <f aca="false">-$E85*CM66</f>
        <v>0</v>
      </c>
      <c r="CN91" s="48" t="n">
        <f aca="false">-$E85*CN66</f>
        <v>0</v>
      </c>
      <c r="CO91" s="48" t="n">
        <f aca="false">-$E85*CO66</f>
        <v>0</v>
      </c>
      <c r="CP91" s="48" t="n">
        <f aca="false">-$E85*CP66</f>
        <v>0</v>
      </c>
      <c r="CQ91" s="48" t="n">
        <f aca="false">-$E85*CQ66</f>
        <v>0</v>
      </c>
      <c r="CR91" s="48" t="n">
        <f aca="false">-$E85*CR66</f>
        <v>0</v>
      </c>
      <c r="CS91" s="48" t="n">
        <f aca="false">-$E85*CS66</f>
        <v>0</v>
      </c>
      <c r="CT91" s="48" t="n">
        <f aca="false">-$E85*CT66</f>
        <v>0</v>
      </c>
      <c r="CU91" s="48" t="n">
        <f aca="false">-$E85*CU66</f>
        <v>0</v>
      </c>
      <c r="CV91" s="48" t="n">
        <f aca="false">-$E85*CV66</f>
        <v>0</v>
      </c>
      <c r="CW91" s="48" t="n">
        <f aca="false">-$E85*CW66</f>
        <v>0</v>
      </c>
      <c r="CX91" s="48" t="n">
        <f aca="false">-$E85*CX66</f>
        <v>0</v>
      </c>
      <c r="CY91" s="48" t="n">
        <f aca="false">-$E85*CY66</f>
        <v>0</v>
      </c>
      <c r="CZ91" s="48" t="n">
        <f aca="false">-$E85*CZ66</f>
        <v>0</v>
      </c>
      <c r="DA91" s="48" t="n">
        <f aca="false">-$E85*DA66</f>
        <v>0</v>
      </c>
      <c r="DB91" s="48" t="n">
        <f aca="false">-$E85*DB66</f>
        <v>0</v>
      </c>
      <c r="DC91" s="48" t="n">
        <f aca="false">-$E85*DC66</f>
        <v>0</v>
      </c>
      <c r="DD91" s="48" t="n">
        <f aca="false">-$E85*DD66</f>
        <v>0</v>
      </c>
      <c r="DE91" s="48" t="n">
        <f aca="false">-$E85*DE66</f>
        <v>0</v>
      </c>
      <c r="DF91" s="48" t="n">
        <f aca="false">-$E85*DF66</f>
        <v>0</v>
      </c>
      <c r="DG91" s="48" t="n">
        <f aca="false">-$E85*DG66</f>
        <v>0</v>
      </c>
      <c r="DH91" s="48" t="n">
        <f aca="false">-$E85*DH66</f>
        <v>0</v>
      </c>
      <c r="DI91" s="48" t="n">
        <f aca="false">-$E85*DI66</f>
        <v>0</v>
      </c>
      <c r="DJ91" s="48" t="n">
        <f aca="false">-$E85*DJ66</f>
        <v>0</v>
      </c>
      <c r="DK91" s="48" t="n">
        <f aca="false">-$E85*DK66</f>
        <v>0</v>
      </c>
      <c r="DL91" s="48" t="n">
        <f aca="false">-$E85*DL66</f>
        <v>0</v>
      </c>
      <c r="DM91" s="48" t="n">
        <f aca="false">-$E85*DM66</f>
        <v>0</v>
      </c>
      <c r="DN91" s="48" t="n">
        <f aca="false">-$E85*DN66</f>
        <v>0</v>
      </c>
      <c r="DO91" s="48" t="n">
        <f aca="false">-$E85*DO66</f>
        <v>0</v>
      </c>
      <c r="DP91" s="48" t="n">
        <f aca="false">-$E85*DP66</f>
        <v>0</v>
      </c>
      <c r="DQ91" s="48" t="n">
        <f aca="false">-$E85*DQ66</f>
        <v>0</v>
      </c>
      <c r="DR91" s="48" t="n">
        <f aca="false">-$E85*DR66</f>
        <v>0</v>
      </c>
      <c r="DS91" s="48" t="n">
        <f aca="false">-$E85*DS66</f>
        <v>0</v>
      </c>
      <c r="DT91" s="48" t="n">
        <f aca="false">-$E85*DT66</f>
        <v>0</v>
      </c>
      <c r="DU91" s="48" t="n">
        <f aca="false">-$E85*DU66</f>
        <v>0</v>
      </c>
      <c r="DV91" s="48" t="n">
        <f aca="false">-$E85*DV66</f>
        <v>0</v>
      </c>
      <c r="DW91" s="48" t="n">
        <f aca="false">-$E85*DW66</f>
        <v>0</v>
      </c>
      <c r="DX91" s="48" t="n">
        <f aca="false">-$E85*DX66</f>
        <v>0</v>
      </c>
      <c r="DY91" s="48" t="n">
        <f aca="false">-$E85*DY66</f>
        <v>0</v>
      </c>
      <c r="DZ91" s="48" t="n">
        <f aca="false">-$E85*DZ66</f>
        <v>0</v>
      </c>
      <c r="EA91" s="48" t="n">
        <f aca="false">-$E85*EA66</f>
        <v>0</v>
      </c>
      <c r="EB91" s="48" t="n">
        <f aca="false">-$E85*EB66</f>
        <v>0</v>
      </c>
      <c r="EC91" s="48" t="n">
        <f aca="false">-$E85*EC66</f>
        <v>0</v>
      </c>
      <c r="ED91" s="48" t="n">
        <f aca="false">-$E85*ED66</f>
        <v>0</v>
      </c>
      <c r="EE91" s="48" t="n">
        <f aca="false">-$E85*EE66</f>
        <v>0</v>
      </c>
      <c r="EF91" s="48" t="n">
        <f aca="false">-$E85*EF66</f>
        <v>0</v>
      </c>
      <c r="EG91" s="48" t="n">
        <f aca="false">-$E85*EG66</f>
        <v>0</v>
      </c>
      <c r="EH91" s="48" t="n">
        <f aca="false">-$E85*EH66</f>
        <v>0</v>
      </c>
      <c r="EI91" s="48" t="n">
        <f aca="false">-$E85*EI66</f>
        <v>0</v>
      </c>
      <c r="EJ91" s="48" t="n">
        <f aca="false">-$E85*EJ66</f>
        <v>0</v>
      </c>
      <c r="EK91" s="48" t="n">
        <f aca="false">-$E85*EK66</f>
        <v>0</v>
      </c>
      <c r="EL91" s="48" t="n">
        <f aca="false">-$E85*EL66</f>
        <v>0</v>
      </c>
      <c r="EM91" s="48" t="n">
        <f aca="false">-$E85*EM66</f>
        <v>0</v>
      </c>
      <c r="EN91" s="48" t="n">
        <f aca="false">-$E85*EN66</f>
        <v>0</v>
      </c>
      <c r="EO91" s="48" t="n">
        <f aca="false">-$E85*EO66</f>
        <v>0</v>
      </c>
    </row>
    <row r="92" customFormat="false" ht="15" hidden="false" customHeight="false" outlineLevel="0" collapsed="false">
      <c r="C92" s="1" t="s">
        <v>447</v>
      </c>
      <c r="D92" s="12" t="s">
        <v>33</v>
      </c>
      <c r="I92" s="48" t="n">
        <f aca="false">SUM(J92:EO92)</f>
        <v>1903.7835677056</v>
      </c>
      <c r="J92" s="48" t="n">
        <f aca="false">J90*$F21*(J$4&lt;=In_COD)</f>
        <v>0</v>
      </c>
      <c r="K92" s="48" t="n">
        <f aca="false">K90*$F21*(K$4&lt;=In_COD)</f>
        <v>0</v>
      </c>
      <c r="L92" s="48" t="n">
        <f aca="false">L90*$F21*(L$4&lt;=In_COD)</f>
        <v>0</v>
      </c>
      <c r="M92" s="48" t="n">
        <f aca="false">M90*$F21*(M$4&lt;=In_COD)</f>
        <v>0</v>
      </c>
      <c r="N92" s="48" t="n">
        <f aca="false">N90*$F21*(N$4&lt;=In_COD)</f>
        <v>0</v>
      </c>
      <c r="O92" s="48" t="n">
        <f aca="false">O90*$F21*(O$4&lt;=In_COD)</f>
        <v>0</v>
      </c>
      <c r="P92" s="48" t="n">
        <f aca="false">P90*$F21*(P$4&lt;=In_COD)</f>
        <v>0</v>
      </c>
      <c r="Q92" s="48" t="n">
        <f aca="false">Q90*$F21*(Q$4&lt;=In_COD)</f>
        <v>0</v>
      </c>
      <c r="R92" s="48" t="n">
        <f aca="false">R90*$F21*(R$4&lt;=In_COD)</f>
        <v>0</v>
      </c>
      <c r="S92" s="48" t="n">
        <f aca="false">S90*$F21*(S$4&lt;=In_COD)</f>
        <v>54.6863398972603</v>
      </c>
      <c r="T92" s="48" t="n">
        <f aca="false">T90*$F21*(T$4&lt;=In_COD)</f>
        <v>164.931834728168</v>
      </c>
      <c r="U92" s="48" t="n">
        <f aca="false">U90*$F21*(U$4&lt;=In_COD)</f>
        <v>221.085405821517</v>
      </c>
      <c r="V92" s="48" t="n">
        <f aca="false">V90*$F21*(V$4&lt;=In_COD)</f>
        <v>278.535313291546</v>
      </c>
      <c r="W92" s="48" t="n">
        <f aca="false">W90*$F21*(W$4&lt;=In_COD)</f>
        <v>336.70334460495</v>
      </c>
      <c r="X92" s="48" t="n">
        <f aca="false">X90*$F21*(X$4&lt;=In_COD)</f>
        <v>394.409642833745</v>
      </c>
      <c r="Y92" s="48" t="n">
        <f aca="false">Y90*$F21*(Y$4&lt;=In_COD)</f>
        <v>453.431686528414</v>
      </c>
      <c r="Z92" s="48" t="n">
        <f aca="false">Z90*$F21*(Z$4&lt;=In_COD)</f>
        <v>0</v>
      </c>
      <c r="AA92" s="48" t="n">
        <f aca="false">AA90*$F21*(AA$4&lt;=In_COD)</f>
        <v>0</v>
      </c>
      <c r="AB92" s="48" t="n">
        <f aca="false">AB90*$F21*(AB$4&lt;=In_COD)</f>
        <v>0</v>
      </c>
      <c r="AC92" s="48" t="n">
        <f aca="false">AC90*$F21*(AC$4&lt;=In_COD)</f>
        <v>0</v>
      </c>
      <c r="AD92" s="48" t="n">
        <f aca="false">AD90*$F21*(AD$4&lt;=In_COD)</f>
        <v>0</v>
      </c>
      <c r="AE92" s="48" t="n">
        <f aca="false">AE90*$F21*(AE$4&lt;=In_COD)</f>
        <v>0</v>
      </c>
      <c r="AF92" s="48" t="n">
        <f aca="false">AF90*$F21*(AF$4&lt;=In_COD)</f>
        <v>0</v>
      </c>
      <c r="AG92" s="48" t="n">
        <f aca="false">AG90*$F21*(AG$4&lt;=In_COD)</f>
        <v>0</v>
      </c>
      <c r="AH92" s="48" t="n">
        <f aca="false">AH90*$F21*(AH$4&lt;=In_COD)</f>
        <v>0</v>
      </c>
      <c r="AI92" s="48" t="n">
        <f aca="false">AI90*$F21*(AI$4&lt;=In_COD)</f>
        <v>0</v>
      </c>
      <c r="AJ92" s="48" t="n">
        <f aca="false">AJ90*$F21*(AJ$4&lt;=In_COD)</f>
        <v>0</v>
      </c>
      <c r="AK92" s="48" t="n">
        <f aca="false">AK90*$F21*(AK$4&lt;=In_COD)</f>
        <v>0</v>
      </c>
      <c r="AL92" s="48" t="n">
        <f aca="false">AL90*$F21*(AL$4&lt;=In_COD)</f>
        <v>0</v>
      </c>
      <c r="AM92" s="48" t="n">
        <f aca="false">AM90*$F21*(AM$4&lt;=In_COD)</f>
        <v>0</v>
      </c>
      <c r="AN92" s="48" t="n">
        <f aca="false">AN90*$F21*(AN$4&lt;=In_COD)</f>
        <v>0</v>
      </c>
      <c r="AO92" s="48" t="n">
        <f aca="false">AO90*$F21*(AO$4&lt;=In_COD)</f>
        <v>0</v>
      </c>
      <c r="AP92" s="48" t="n">
        <f aca="false">AP90*$F21*(AP$4&lt;=In_COD)</f>
        <v>0</v>
      </c>
      <c r="AQ92" s="48" t="n">
        <f aca="false">AQ90*$F21*(AQ$4&lt;=In_COD)</f>
        <v>0</v>
      </c>
      <c r="AR92" s="48" t="n">
        <f aca="false">AR90*$F21*(AR$4&lt;=In_COD)</f>
        <v>0</v>
      </c>
      <c r="AS92" s="48" t="n">
        <f aca="false">AS90*$F21*(AS$4&lt;=In_COD)</f>
        <v>0</v>
      </c>
      <c r="AT92" s="48" t="n">
        <f aca="false">AT90*$F21*(AT$4&lt;=In_COD)</f>
        <v>0</v>
      </c>
      <c r="AU92" s="48" t="n">
        <f aca="false">AU90*$F21*(AU$4&lt;=In_COD)</f>
        <v>0</v>
      </c>
      <c r="AV92" s="48" t="n">
        <f aca="false">AV90*$F21*(AV$4&lt;=In_COD)</f>
        <v>0</v>
      </c>
      <c r="AW92" s="48" t="n">
        <f aca="false">AW90*$F21*(AW$4&lt;=In_COD)</f>
        <v>0</v>
      </c>
      <c r="AX92" s="48" t="n">
        <f aca="false">AX90*$F21*(AX$4&lt;=In_COD)</f>
        <v>0</v>
      </c>
      <c r="AY92" s="48" t="n">
        <f aca="false">AY90*$F21*(AY$4&lt;=In_COD)</f>
        <v>0</v>
      </c>
      <c r="AZ92" s="48" t="n">
        <f aca="false">AZ90*$F21*(AZ$4&lt;=In_COD)</f>
        <v>0</v>
      </c>
      <c r="BA92" s="48" t="n">
        <f aca="false">BA90*$F21*(BA$4&lt;=In_COD)</f>
        <v>0</v>
      </c>
      <c r="BB92" s="48" t="n">
        <f aca="false">BB90*$F21*(BB$4&lt;=In_COD)</f>
        <v>0</v>
      </c>
      <c r="BC92" s="48" t="n">
        <f aca="false">BC90*$F21*(BC$4&lt;=In_COD)</f>
        <v>0</v>
      </c>
      <c r="BD92" s="48" t="n">
        <f aca="false">BD90*$F21*(BD$4&lt;=In_COD)</f>
        <v>0</v>
      </c>
      <c r="BE92" s="48" t="n">
        <f aca="false">BE90*$F21*(BE$4&lt;=In_COD)</f>
        <v>0</v>
      </c>
      <c r="BF92" s="48" t="n">
        <f aca="false">BF90*$F21*(BF$4&lt;=In_COD)</f>
        <v>0</v>
      </c>
      <c r="BG92" s="48" t="n">
        <f aca="false">BG90*$F21*(BG$4&lt;=In_COD)</f>
        <v>0</v>
      </c>
      <c r="BH92" s="48" t="n">
        <f aca="false">BH90*$F21*(BH$4&lt;=In_COD)</f>
        <v>0</v>
      </c>
      <c r="BI92" s="48" t="n">
        <f aca="false">BI90*$F21*(BI$4&lt;=In_COD)</f>
        <v>0</v>
      </c>
      <c r="BJ92" s="48" t="n">
        <f aca="false">BJ90*$F21*(BJ$4&lt;=In_COD)</f>
        <v>0</v>
      </c>
      <c r="BK92" s="48" t="n">
        <f aca="false">BK90*$F21*(BK$4&lt;=In_COD)</f>
        <v>0</v>
      </c>
      <c r="BL92" s="48" t="n">
        <f aca="false">BL90*$F21*(BL$4&lt;=In_COD)</f>
        <v>0</v>
      </c>
      <c r="BM92" s="48" t="n">
        <f aca="false">BM90*$F21*(BM$4&lt;=In_COD)</f>
        <v>0</v>
      </c>
      <c r="BN92" s="48" t="n">
        <f aca="false">BN90*$F21*(BN$4&lt;=In_COD)</f>
        <v>0</v>
      </c>
      <c r="BO92" s="48" t="n">
        <f aca="false">BO90*$F21*(BO$4&lt;=In_COD)</f>
        <v>0</v>
      </c>
      <c r="BP92" s="48" t="n">
        <f aca="false">BP90*$F21*(BP$4&lt;=In_COD)</f>
        <v>0</v>
      </c>
      <c r="BQ92" s="48" t="n">
        <f aca="false">BQ90*$F21*(BQ$4&lt;=In_COD)</f>
        <v>0</v>
      </c>
      <c r="BR92" s="48" t="n">
        <f aca="false">BR90*$F21*(BR$4&lt;=In_COD)</f>
        <v>0</v>
      </c>
      <c r="BS92" s="48" t="n">
        <f aca="false">BS90*$F21*(BS$4&lt;=In_COD)</f>
        <v>0</v>
      </c>
      <c r="BT92" s="48" t="n">
        <f aca="false">BT90*$F21*(BT$4&lt;=In_COD)</f>
        <v>0</v>
      </c>
      <c r="BU92" s="48" t="n">
        <f aca="false">BU90*$F21*(BU$4&lt;=In_COD)</f>
        <v>0</v>
      </c>
      <c r="BV92" s="48" t="n">
        <f aca="false">BV90*$F21*(BV$4&lt;=In_COD)</f>
        <v>0</v>
      </c>
      <c r="BW92" s="48" t="n">
        <f aca="false">BW90*$F21*(BW$4&lt;=In_COD)</f>
        <v>0</v>
      </c>
      <c r="BX92" s="48" t="n">
        <f aca="false">BX90*$F21*(BX$4&lt;=In_COD)</f>
        <v>0</v>
      </c>
      <c r="BY92" s="48" t="n">
        <f aca="false">BY90*$F21*(BY$4&lt;=In_COD)</f>
        <v>0</v>
      </c>
      <c r="BZ92" s="48" t="n">
        <f aca="false">BZ90*$F21*(BZ$4&lt;=In_COD)</f>
        <v>0</v>
      </c>
      <c r="CA92" s="48" t="n">
        <f aca="false">CA90*$F21*(CA$4&lt;=In_COD)</f>
        <v>0</v>
      </c>
      <c r="CB92" s="48" t="n">
        <f aca="false">CB90*$F21*(CB$4&lt;=In_COD)</f>
        <v>0</v>
      </c>
      <c r="CC92" s="48" t="n">
        <f aca="false">CC90*$F21*(CC$4&lt;=In_COD)</f>
        <v>0</v>
      </c>
      <c r="CD92" s="48" t="n">
        <f aca="false">CD90*$F21*(CD$4&lt;=In_COD)</f>
        <v>0</v>
      </c>
      <c r="CE92" s="48" t="n">
        <f aca="false">CE90*$F21*(CE$4&lt;=In_COD)</f>
        <v>0</v>
      </c>
      <c r="CF92" s="48" t="n">
        <f aca="false">CF90*$F21*(CF$4&lt;=In_COD)</f>
        <v>0</v>
      </c>
      <c r="CG92" s="48" t="n">
        <f aca="false">CG90*$F21*(CG$4&lt;=In_COD)</f>
        <v>0</v>
      </c>
      <c r="CH92" s="48" t="n">
        <f aca="false">CH90*$F21*(CH$4&lt;=In_COD)</f>
        <v>0</v>
      </c>
      <c r="CI92" s="48" t="n">
        <f aca="false">CI90*$F21*(CI$4&lt;=In_COD)</f>
        <v>0</v>
      </c>
      <c r="CJ92" s="48" t="n">
        <f aca="false">CJ90*$F21*(CJ$4&lt;=In_COD)</f>
        <v>0</v>
      </c>
      <c r="CK92" s="48" t="n">
        <f aca="false">CK90*$F21*(CK$4&lt;=In_COD)</f>
        <v>0</v>
      </c>
      <c r="CL92" s="48" t="n">
        <f aca="false">CL90*$F21*(CL$4&lt;=In_COD)</f>
        <v>0</v>
      </c>
      <c r="CM92" s="48" t="n">
        <f aca="false">CM90*$F21*(CM$4&lt;=In_COD)</f>
        <v>0</v>
      </c>
      <c r="CN92" s="48" t="n">
        <f aca="false">CN90*$F21*(CN$4&lt;=In_COD)</f>
        <v>0</v>
      </c>
      <c r="CO92" s="48" t="n">
        <f aca="false">CO90*$F21*(CO$4&lt;=In_COD)</f>
        <v>0</v>
      </c>
      <c r="CP92" s="48" t="n">
        <f aca="false">CP90*$F21*(CP$4&lt;=In_COD)</f>
        <v>0</v>
      </c>
      <c r="CQ92" s="48" t="n">
        <f aca="false">CQ90*$F21*(CQ$4&lt;=In_COD)</f>
        <v>0</v>
      </c>
      <c r="CR92" s="48" t="n">
        <f aca="false">CR90*$F21*(CR$4&lt;=In_COD)</f>
        <v>0</v>
      </c>
      <c r="CS92" s="48" t="n">
        <f aca="false">CS90*$F21*(CS$4&lt;=In_COD)</f>
        <v>0</v>
      </c>
      <c r="CT92" s="48" t="n">
        <f aca="false">CT90*$F21*(CT$4&lt;=In_COD)</f>
        <v>0</v>
      </c>
      <c r="CU92" s="48" t="n">
        <f aca="false">CU90*$F21*(CU$4&lt;=In_COD)</f>
        <v>0</v>
      </c>
      <c r="CV92" s="48" t="n">
        <f aca="false">CV90*$F21*(CV$4&lt;=In_COD)</f>
        <v>0</v>
      </c>
      <c r="CW92" s="48" t="n">
        <f aca="false">CW90*$F21*(CW$4&lt;=In_COD)</f>
        <v>0</v>
      </c>
      <c r="CX92" s="48" t="n">
        <f aca="false">CX90*$F21*(CX$4&lt;=In_COD)</f>
        <v>0</v>
      </c>
      <c r="CY92" s="48" t="n">
        <f aca="false">CY90*$F21*(CY$4&lt;=In_COD)</f>
        <v>0</v>
      </c>
      <c r="CZ92" s="48" t="n">
        <f aca="false">CZ90*$F21*(CZ$4&lt;=In_COD)</f>
        <v>0</v>
      </c>
      <c r="DA92" s="48" t="n">
        <f aca="false">DA90*$F21*(DA$4&lt;=In_COD)</f>
        <v>0</v>
      </c>
      <c r="DB92" s="48" t="n">
        <f aca="false">DB90*$F21*(DB$4&lt;=In_COD)</f>
        <v>0</v>
      </c>
      <c r="DC92" s="48" t="n">
        <f aca="false">DC90*$F21*(DC$4&lt;=In_COD)</f>
        <v>0</v>
      </c>
      <c r="DD92" s="48" t="n">
        <f aca="false">DD90*$F21*(DD$4&lt;=In_COD)</f>
        <v>0</v>
      </c>
      <c r="DE92" s="48" t="n">
        <f aca="false">DE90*$F21*(DE$4&lt;=In_COD)</f>
        <v>0</v>
      </c>
      <c r="DF92" s="48" t="n">
        <f aca="false">DF90*$F21*(DF$4&lt;=In_COD)</f>
        <v>0</v>
      </c>
      <c r="DG92" s="48" t="n">
        <f aca="false">DG90*$F21*(DG$4&lt;=In_COD)</f>
        <v>0</v>
      </c>
      <c r="DH92" s="48" t="n">
        <f aca="false">DH90*$F21*(DH$4&lt;=In_COD)</f>
        <v>0</v>
      </c>
      <c r="DI92" s="48" t="n">
        <f aca="false">DI90*$F21*(DI$4&lt;=In_COD)</f>
        <v>0</v>
      </c>
      <c r="DJ92" s="48" t="n">
        <f aca="false">DJ90*$F21*(DJ$4&lt;=In_COD)</f>
        <v>0</v>
      </c>
      <c r="DK92" s="48" t="n">
        <f aca="false">DK90*$F21*(DK$4&lt;=In_COD)</f>
        <v>0</v>
      </c>
      <c r="DL92" s="48" t="n">
        <f aca="false">DL90*$F21*(DL$4&lt;=In_COD)</f>
        <v>0</v>
      </c>
      <c r="DM92" s="48" t="n">
        <f aca="false">DM90*$F21*(DM$4&lt;=In_COD)</f>
        <v>0</v>
      </c>
      <c r="DN92" s="48" t="n">
        <f aca="false">DN90*$F21*(DN$4&lt;=In_COD)</f>
        <v>0</v>
      </c>
      <c r="DO92" s="48" t="n">
        <f aca="false">DO90*$F21*(DO$4&lt;=In_COD)</f>
        <v>0</v>
      </c>
      <c r="DP92" s="48" t="n">
        <f aca="false">DP90*$F21*(DP$4&lt;=In_COD)</f>
        <v>0</v>
      </c>
      <c r="DQ92" s="48" t="n">
        <f aca="false">DQ90*$F21*(DQ$4&lt;=In_COD)</f>
        <v>0</v>
      </c>
      <c r="DR92" s="48" t="n">
        <f aca="false">DR90*$F21*(DR$4&lt;=In_COD)</f>
        <v>0</v>
      </c>
      <c r="DS92" s="48" t="n">
        <f aca="false">DS90*$F21*(DS$4&lt;=In_COD)</f>
        <v>0</v>
      </c>
      <c r="DT92" s="48" t="n">
        <f aca="false">DT90*$F21*(DT$4&lt;=In_COD)</f>
        <v>0</v>
      </c>
      <c r="DU92" s="48" t="n">
        <f aca="false">DU90*$F21*(DU$4&lt;=In_COD)</f>
        <v>0</v>
      </c>
      <c r="DV92" s="48" t="n">
        <f aca="false">DV90*$F21*(DV$4&lt;=In_COD)</f>
        <v>0</v>
      </c>
      <c r="DW92" s="48" t="n">
        <f aca="false">DW90*$F21*(DW$4&lt;=In_COD)</f>
        <v>0</v>
      </c>
      <c r="DX92" s="48" t="n">
        <f aca="false">DX90*$F21*(DX$4&lt;=In_COD)</f>
        <v>0</v>
      </c>
      <c r="DY92" s="48" t="n">
        <f aca="false">DY90*$F21*(DY$4&lt;=In_COD)</f>
        <v>0</v>
      </c>
      <c r="DZ92" s="48" t="n">
        <f aca="false">DZ90*$F21*(DZ$4&lt;=In_COD)</f>
        <v>0</v>
      </c>
      <c r="EA92" s="48" t="n">
        <f aca="false">EA90*$F21*(EA$4&lt;=In_COD)</f>
        <v>0</v>
      </c>
      <c r="EB92" s="48" t="n">
        <f aca="false">EB90*$F21*(EB$4&lt;=In_COD)</f>
        <v>0</v>
      </c>
      <c r="EC92" s="48" t="n">
        <f aca="false">EC90*$F21*(EC$4&lt;=In_COD)</f>
        <v>0</v>
      </c>
      <c r="ED92" s="48" t="n">
        <f aca="false">ED90*$F21*(ED$4&lt;=In_COD)</f>
        <v>0</v>
      </c>
      <c r="EE92" s="48" t="n">
        <f aca="false">EE90*$F21*(EE$4&lt;=In_COD)</f>
        <v>0</v>
      </c>
      <c r="EF92" s="48" t="n">
        <f aca="false">EF90*$F21*(EF$4&lt;=In_COD)</f>
        <v>0</v>
      </c>
      <c r="EG92" s="48" t="n">
        <f aca="false">EG90*$F21*(EG$4&lt;=In_COD)</f>
        <v>0</v>
      </c>
      <c r="EH92" s="48" t="n">
        <f aca="false">EH90*$F21*(EH$4&lt;=In_COD)</f>
        <v>0</v>
      </c>
      <c r="EI92" s="48" t="n">
        <f aca="false">EI90*$F21*(EI$4&lt;=In_COD)</f>
        <v>0</v>
      </c>
      <c r="EJ92" s="48" t="n">
        <f aca="false">EJ90*$F21*(EJ$4&lt;=In_COD)</f>
        <v>0</v>
      </c>
      <c r="EK92" s="48" t="n">
        <f aca="false">EK90*$F21*(EK$4&lt;=In_COD)</f>
        <v>0</v>
      </c>
      <c r="EL92" s="48" t="n">
        <f aca="false">EL90*$F21*(EL$4&lt;=In_COD)</f>
        <v>0</v>
      </c>
      <c r="EM92" s="48" t="n">
        <f aca="false">EM90*$F21*(EM$4&lt;=In_COD)</f>
        <v>0</v>
      </c>
      <c r="EN92" s="48" t="n">
        <f aca="false">EN90*$F21*(EN$4&lt;=In_COD)</f>
        <v>0</v>
      </c>
      <c r="EO92" s="48" t="n">
        <f aca="false">EO90*$F21*(EO$4&lt;=In_COD)</f>
        <v>0</v>
      </c>
    </row>
    <row r="93" customFormat="false" ht="15" hidden="false" customHeight="false" outlineLevel="0" collapsed="false">
      <c r="C93" s="1" t="s">
        <v>448</v>
      </c>
      <c r="D93" s="12" t="s">
        <v>33</v>
      </c>
      <c r="I93" s="48" t="n">
        <f aca="false">SUM(J93:EO93)</f>
        <v>-42477.8738005821</v>
      </c>
      <c r="J93" s="48" t="n">
        <f aca="false">J89-J88</f>
        <v>0</v>
      </c>
      <c r="K93" s="48" t="n">
        <f aca="false">K89-K88</f>
        <v>0</v>
      </c>
      <c r="L93" s="48" t="n">
        <f aca="false">L89-L88</f>
        <v>0</v>
      </c>
      <c r="M93" s="48" t="n">
        <f aca="false">M89-M88</f>
        <v>0</v>
      </c>
      <c r="N93" s="48" t="n">
        <f aca="false">N89-N88</f>
        <v>0</v>
      </c>
      <c r="O93" s="48" t="n">
        <f aca="false">O89-O88</f>
        <v>0</v>
      </c>
      <c r="P93" s="48" t="n">
        <f aca="false">P89-P88</f>
        <v>0</v>
      </c>
      <c r="Q93" s="48" t="n">
        <f aca="false">Q89-Q88</f>
        <v>0</v>
      </c>
      <c r="R93" s="48" t="n">
        <f aca="false">R89-R88</f>
        <v>0</v>
      </c>
      <c r="S93" s="48" t="n">
        <f aca="false">S89-S88</f>
        <v>0</v>
      </c>
      <c r="T93" s="48" t="n">
        <f aca="false">T89-T88</f>
        <v>0</v>
      </c>
      <c r="U93" s="48" t="n">
        <f aca="false">U89-U88</f>
        <v>0</v>
      </c>
      <c r="V93" s="48" t="n">
        <f aca="false">V89-V88</f>
        <v>0</v>
      </c>
      <c r="W93" s="48" t="n">
        <f aca="false">W89-W88</f>
        <v>0</v>
      </c>
      <c r="X93" s="48" t="n">
        <f aca="false">X89-X88</f>
        <v>0</v>
      </c>
      <c r="Y93" s="48" t="n">
        <f aca="false">Y89-Y88</f>
        <v>0</v>
      </c>
      <c r="Z93" s="48" t="n">
        <f aca="false">Z89-Z88</f>
        <v>-377.414025448072</v>
      </c>
      <c r="AA93" s="48" t="n">
        <f aca="false">AA89-AA88</f>
        <v>-368.366369341829</v>
      </c>
      <c r="AB93" s="48" t="n">
        <f aca="false">AB89-AB88</f>
        <v>-382.60172390292</v>
      </c>
      <c r="AC93" s="48" t="n">
        <f aca="false">AC89-AC88</f>
        <v>-397.009751687763</v>
      </c>
      <c r="AD93" s="48" t="n">
        <f aca="false">AD89-AD88</f>
        <v>-395.005250421464</v>
      </c>
      <c r="AE93" s="48" t="n">
        <f aca="false">AE89-AE88</f>
        <v>-374.7820943119</v>
      </c>
      <c r="AF93" s="48" t="n">
        <f aca="false">AF89-AF88</f>
        <v>-379.189446067227</v>
      </c>
      <c r="AG93" s="48" t="n">
        <f aca="false">AG89-AG88</f>
        <v>-393.008283851686</v>
      </c>
      <c r="AH93" s="48" t="n">
        <f aca="false">AH89-AH88</f>
        <v>-394.768297852825</v>
      </c>
      <c r="AI93" s="48" t="n">
        <f aca="false">AI89-AI88</f>
        <v>-385.972032983969</v>
      </c>
      <c r="AJ93" s="48" t="n">
        <f aca="false">AJ89-AJ88</f>
        <v>-411.023507338483</v>
      </c>
      <c r="AK93" s="48" t="n">
        <f aca="false">AK89-AK88</f>
        <v>-425.36584777638</v>
      </c>
      <c r="AL93" s="48" t="n">
        <f aca="false">AL89-AL88</f>
        <v>-427.488289077606</v>
      </c>
      <c r="AM93" s="48" t="n">
        <f aca="false">AM89-AM88</f>
        <v>-418.728881052729</v>
      </c>
      <c r="AN93" s="48" t="n">
        <f aca="false">AN89-AN88</f>
        <v>-433.187960029493</v>
      </c>
      <c r="AO93" s="48" t="n">
        <f aca="false">AO89-AO88</f>
        <v>-447.817074469734</v>
      </c>
      <c r="AP93" s="48" t="n">
        <f aca="false">AP89-AP88</f>
        <v>-450.185387715485</v>
      </c>
      <c r="AQ93" s="48" t="n">
        <f aca="false">AQ89-AQ88</f>
        <v>-441.588567301652</v>
      </c>
      <c r="AR93" s="48" t="n">
        <f aca="false">AR89-AR88</f>
        <v>-456.341815799374</v>
      </c>
      <c r="AS93" s="48" t="n">
        <f aca="false">AS89-AS88</f>
        <v>-471.268559126892</v>
      </c>
      <c r="AT93" s="48" t="n">
        <f aca="false">AT89-AT88</f>
        <v>-473.894449005937</v>
      </c>
      <c r="AU93" s="48" t="n">
        <f aca="false">AU89-AU88</f>
        <v>-475.055978772181</v>
      </c>
      <c r="AV93" s="48" t="n">
        <f aca="false">AV89-AV88</f>
        <v>-480.642528486545</v>
      </c>
      <c r="AW93" s="48" t="n">
        <f aca="false">AW89-AW88</f>
        <v>-495.879578756942</v>
      </c>
      <c r="AX93" s="48" t="n">
        <f aca="false">AX89-AX88</f>
        <v>-498.776624034834</v>
      </c>
      <c r="AY93" s="48" t="n">
        <f aca="false">AY89-AY88</f>
        <v>-490.539737233667</v>
      </c>
      <c r="AZ93" s="48" t="n">
        <f aca="false">AZ89-AZ88</f>
        <v>-505.916874604503</v>
      </c>
      <c r="BA93" s="48" t="n">
        <f aca="false">BA89-BA88</f>
        <v>-521.474843595665</v>
      </c>
      <c r="BB93" s="48" t="n">
        <f aca="false">BB89-BB88</f>
        <v>-524.654562724435</v>
      </c>
      <c r="BC93" s="48" t="n">
        <f aca="false">BC89-BC88</f>
        <v>-516.614806420135</v>
      </c>
      <c r="BD93" s="48" t="n">
        <f aca="false">BD89-BD88</f>
        <v>-532.321410916612</v>
      </c>
      <c r="BE93" s="48" t="n">
        <f aca="false">BE89-BE88</f>
        <v>-548.212721491494</v>
      </c>
      <c r="BF93" s="48" t="n">
        <f aca="false">BF89-BF88</f>
        <v>-551.688496386319</v>
      </c>
      <c r="BG93" s="48" t="n">
        <f aca="false">BG89-BG88</f>
        <v>-543.858485069965</v>
      </c>
      <c r="BH93" s="48" t="n">
        <f aca="false">BH89-BH88</f>
        <v>-559.9074005732</v>
      </c>
      <c r="BI93" s="48" t="n">
        <f aca="false">BI89-BI88</f>
        <v>-576.145047654031</v>
      </c>
      <c r="BJ93" s="48" t="n">
        <f aca="false">BJ89-BJ88</f>
        <v>-579.930870934144</v>
      </c>
      <c r="BK93" s="48" t="n">
        <f aca="false">BK89-BK88</f>
        <v>-581.998088081092</v>
      </c>
      <c r="BL93" s="48" t="n">
        <f aca="false">BL89-BL88</f>
        <v>-588.842252554359</v>
      </c>
      <c r="BM93" s="48" t="n">
        <f aca="false">BM89-BM88</f>
        <v>-605.441168154172</v>
      </c>
      <c r="BN93" s="48" t="n">
        <f aca="false">BN89-BN88</f>
        <v>-609.553025085132</v>
      </c>
      <c r="BO93" s="48" t="n">
        <f aca="false">BO89-BO88</f>
        <v>-602.184159798183</v>
      </c>
      <c r="BP93" s="48" t="n">
        <f aca="false">BP89-BP88</f>
        <v>-618.960011714029</v>
      </c>
      <c r="BQ93" s="48" t="n">
        <f aca="false">BQ89-BQ88</f>
        <v>-635.933143813508</v>
      </c>
      <c r="BR93" s="48" t="n">
        <f aca="false">BR89-BR88</f>
        <v>-640.38504595218</v>
      </c>
      <c r="BS93" s="48" t="n">
        <f aca="false">BS89-BS88</f>
        <v>-633.267571575267</v>
      </c>
      <c r="BT93" s="48" t="n">
        <f aca="false">BT89-BT88</f>
        <v>-650.427999811599</v>
      </c>
      <c r="BU93" s="48" t="n">
        <f aca="false">BU89-BU88</f>
        <v>-667.790230761179</v>
      </c>
      <c r="BV93" s="48" t="n">
        <f aca="false">BV89-BV88</f>
        <v>-672.598181338934</v>
      </c>
      <c r="BW93" s="48" t="n">
        <f aca="false">BW89-BW88</f>
        <v>-665.747305909</v>
      </c>
      <c r="BX93" s="48" t="n">
        <f aca="false">BX89-BX88</f>
        <v>-683.307700691275</v>
      </c>
      <c r="BY93" s="48" t="n">
        <f aca="false">BY89-BY88</f>
        <v>-701.074601701948</v>
      </c>
      <c r="BZ93" s="48" t="n">
        <f aca="false">BZ89-BZ88</f>
        <v>-706.2553363926</v>
      </c>
      <c r="CA93" s="48" t="n">
        <f aca="false">CA89-CA88</f>
        <v>-709.435299275343</v>
      </c>
      <c r="CB93" s="48" t="n">
        <f aca="false">CB89-CB88</f>
        <v>-717.778096220565</v>
      </c>
      <c r="CC93" s="48" t="n">
        <f aca="false">CC89-CC88</f>
        <v>-735.967308212348</v>
      </c>
      <c r="CD93" s="48" t="n">
        <f aca="false">CD89-CD88</f>
        <v>-741.539693166135</v>
      </c>
      <c r="CE93" s="48" t="n">
        <f aca="false">CE89-CE88</f>
        <v>-735.271956574808</v>
      </c>
      <c r="CF93" s="48" t="n">
        <f aca="false">CF89-CF88</f>
        <v>-753.68273808868</v>
      </c>
      <c r="CG93" s="48" t="n">
        <f aca="false">CG89-CG88</f>
        <v>-772.310026184519</v>
      </c>
      <c r="CH93" s="48" t="n">
        <f aca="false">CH89-CH88</f>
        <v>-778.29106709438</v>
      </c>
      <c r="CI93" s="48" t="n">
        <f aca="false">CI89-CI88</f>
        <v>-772.34011187705</v>
      </c>
      <c r="CJ93" s="48" t="n">
        <f aca="false">CJ89-CJ88</f>
        <v>-791.201513913269</v>
      </c>
      <c r="CK93" s="48" t="n">
        <f aca="false">CK89-CK88</f>
        <v>-810.284721725787</v>
      </c>
      <c r="CL93" s="48" t="n">
        <f aca="false">CL89-CL88</f>
        <v>-816.693565610384</v>
      </c>
      <c r="CM93" s="48" t="n">
        <f aca="false">CM89-CM88</f>
        <v>-811.077717123118</v>
      </c>
      <c r="CN93" s="48" t="n">
        <f aca="false">CN89-CN88</f>
        <v>-830.408195879634</v>
      </c>
      <c r="CO93" s="48" t="n">
        <f aca="false">CO89-CO88</f>
        <v>-849.965996647452</v>
      </c>
      <c r="CP93" s="48" t="n">
        <f aca="false">CP89-CP88</f>
        <v>-856.822669320647</v>
      </c>
      <c r="CQ93" s="48" t="n">
        <f aca="false">CQ89-CQ88</f>
        <v>-861.365831866734</v>
      </c>
      <c r="CR93" s="48" t="n">
        <f aca="false">CR89-CR88</f>
        <v>-871.495297144479</v>
      </c>
      <c r="CS93" s="48" t="n">
        <f aca="false">CS89-CS88</f>
        <v>-891.548589104285</v>
      </c>
      <c r="CT93" s="48" t="n">
        <f aca="false">CT89-CT88</f>
        <v>1.75788272827049E-012</v>
      </c>
      <c r="CU93" s="48" t="n">
        <f aca="false">CU89-CU88</f>
        <v>1.77985626237387E-012</v>
      </c>
      <c r="CV93" s="48" t="n">
        <f aca="false">CV89-CV88</f>
        <v>1.80210446565354E-012</v>
      </c>
      <c r="CW93" s="48" t="n">
        <f aca="false">CW89-CW88</f>
        <v>1.82463077147421E-012</v>
      </c>
      <c r="CX93" s="48" t="n">
        <f aca="false">CX89-CX88</f>
        <v>1.84743865611764E-012</v>
      </c>
      <c r="CY93" s="48" t="n">
        <f aca="false">CY89-CY88</f>
        <v>1.87053163931911E-012</v>
      </c>
      <c r="CZ93" s="48" t="n">
        <f aca="false">CZ89-CZ88</f>
        <v>1.8939132848106E-012</v>
      </c>
      <c r="DA93" s="48" t="n">
        <f aca="false">DA89-DA88</f>
        <v>1.91758720087073E-012</v>
      </c>
      <c r="DB93" s="48" t="n">
        <f aca="false">DB89-DB88</f>
        <v>1.94155704088162E-012</v>
      </c>
      <c r="DC93" s="48" t="n">
        <f aca="false">DC89-DC88</f>
        <v>1.96582650389264E-012</v>
      </c>
      <c r="DD93" s="48" t="n">
        <f aca="false">DD89-DD88</f>
        <v>1.99039933519129E-012</v>
      </c>
      <c r="DE93" s="48" t="n">
        <f aca="false">DE89-DE88</f>
        <v>2.01527932688119E-012</v>
      </c>
      <c r="DF93" s="48" t="n">
        <f aca="false">DF89-DF88</f>
        <v>2.0404703184672E-012</v>
      </c>
      <c r="DG93" s="48" t="n">
        <f aca="false">DG89-DG88</f>
        <v>2.06597619744804E-012</v>
      </c>
      <c r="DH93" s="48" t="n">
        <f aca="false">DH89-DH88</f>
        <v>2.09180089991614E-012</v>
      </c>
      <c r="DI93" s="48" t="n">
        <f aca="false">DI89-DI88</f>
        <v>2.11794841116509E-012</v>
      </c>
      <c r="DJ93" s="48" t="n">
        <f aca="false">DJ89-DJ88</f>
        <v>2.14442276630466E-012</v>
      </c>
      <c r="DK93" s="48" t="n">
        <f aca="false">DK89-DK88</f>
        <v>2.17122805088346E-012</v>
      </c>
      <c r="DL93" s="48" t="n">
        <f aca="false">DL89-DL88</f>
        <v>2.19836840151951E-012</v>
      </c>
      <c r="DM93" s="48" t="n">
        <f aca="false">DM89-DM88</f>
        <v>2.2258480065385E-012</v>
      </c>
      <c r="DN93" s="48" t="n">
        <f aca="false">DN89-DN88</f>
        <v>2.25367110662023E-012</v>
      </c>
      <c r="DO93" s="48" t="n">
        <f aca="false">DO89-DO88</f>
        <v>2.28184199545299E-012</v>
      </c>
      <c r="DP93" s="48" t="n">
        <f aca="false">DP89-DP88</f>
        <v>2.31036502039615E-012</v>
      </c>
      <c r="DQ93" s="48" t="n">
        <f aca="false">DQ89-DQ88</f>
        <v>2.3392445831511E-012</v>
      </c>
      <c r="DR93" s="48" t="n">
        <f aca="false">DR89-DR88</f>
        <v>2.36848514044049E-012</v>
      </c>
      <c r="DS93" s="48" t="n">
        <f aca="false">DS89-DS88</f>
        <v>2.398091204696E-012</v>
      </c>
      <c r="DT93" s="48" t="n">
        <f aca="false">DT89-DT88</f>
        <v>2.4280673447547E-012</v>
      </c>
      <c r="DU93" s="48" t="n">
        <f aca="false">DU89-DU88</f>
        <v>2.45841818656413E-012</v>
      </c>
      <c r="DV93" s="48" t="n">
        <f aca="false">DV89-DV88</f>
        <v>2.48914841389618E-012</v>
      </c>
      <c r="DW93" s="48" t="n">
        <f aca="false">DW89-DW88</f>
        <v>2.52026276906988E-012</v>
      </c>
      <c r="DX93" s="48" t="n">
        <f aca="false">DX89-DX88</f>
        <v>2.55176605368326E-012</v>
      </c>
      <c r="DY93" s="48" t="n">
        <f aca="false">DY89-DY88</f>
        <v>2.5836631293543E-012</v>
      </c>
      <c r="DZ93" s="48" t="n">
        <f aca="false">DZ89-DZ88</f>
        <v>2.61595891847123E-012</v>
      </c>
      <c r="EA93" s="48" t="n">
        <f aca="false">EA89-EA88</f>
        <v>2.64865840495212E-012</v>
      </c>
      <c r="EB93" s="48" t="n">
        <f aca="false">EB89-EB88</f>
        <v>2.68176663501402E-012</v>
      </c>
      <c r="EC93" s="48" t="n">
        <f aca="false">EC89-EC88</f>
        <v>2.71528871795169E-012</v>
      </c>
      <c r="ED93" s="48" t="n">
        <f aca="false">ED89-ED88</f>
        <v>2.74922982692609E-012</v>
      </c>
      <c r="EE93" s="48" t="n">
        <f aca="false">EE89-EE88</f>
        <v>2.78359519976267E-012</v>
      </c>
      <c r="EF93" s="48" t="n">
        <f aca="false">EF89-EF88</f>
        <v>2.8183901397597E-012</v>
      </c>
      <c r="EG93" s="48" t="n">
        <f aca="false">EG89-EG88</f>
        <v>2.85362001650669E-012</v>
      </c>
      <c r="EH93" s="48" t="n">
        <f aca="false">EH89-EH88</f>
        <v>2.88929026671303E-012</v>
      </c>
      <c r="EI93" s="48" t="n">
        <f aca="false">EI89-EI88</f>
        <v>2.92540639504694E-012</v>
      </c>
      <c r="EJ93" s="48" t="n">
        <f aca="false">EJ89-EJ88</f>
        <v>2.96197397498503E-012</v>
      </c>
      <c r="EK93" s="48" t="n">
        <f aca="false">EK89-EK88</f>
        <v>2.99899864967234E-012</v>
      </c>
      <c r="EL93" s="48" t="n">
        <f aca="false">EL89-EL88</f>
        <v>3.03648613279325E-012</v>
      </c>
      <c r="EM93" s="48" t="n">
        <f aca="false">EM89-EM88</f>
        <v>3.07444220945316E-012</v>
      </c>
      <c r="EN93" s="48" t="n">
        <f aca="false">EN89-EN88</f>
        <v>3.11287273707133E-012</v>
      </c>
      <c r="EO93" s="48" t="n">
        <f aca="false">EO89-EO88</f>
        <v>3.15178364628472E-012</v>
      </c>
    </row>
    <row r="94" customFormat="false" ht="15" hidden="false" customHeight="false" outlineLevel="0" collapsed="false">
      <c r="C94" s="26" t="s">
        <v>449</v>
      </c>
      <c r="D94" s="12" t="s">
        <v>33</v>
      </c>
      <c r="E94" s="57" t="n">
        <f aca="false">SUMIF($J$4:$EO$4,In_COD,$J94:$EO94)</f>
        <v>42477.8738005823</v>
      </c>
      <c r="I94" s="59"/>
      <c r="J94" s="57" t="n">
        <f aca="false">SUM(J90:J93)</f>
        <v>0</v>
      </c>
      <c r="K94" s="57" t="n">
        <f aca="false">SUM(K90:K93)</f>
        <v>0</v>
      </c>
      <c r="L94" s="57" t="n">
        <f aca="false">SUM(L90:L93)</f>
        <v>0</v>
      </c>
      <c r="M94" s="57" t="n">
        <f aca="false">SUM(M90:M93)</f>
        <v>0</v>
      </c>
      <c r="N94" s="57" t="n">
        <f aca="false">SUM(N90:N93)</f>
        <v>0</v>
      </c>
      <c r="O94" s="57" t="n">
        <f aca="false">SUM(O90:O93)</f>
        <v>0</v>
      </c>
      <c r="P94" s="57" t="n">
        <f aca="false">SUM(P90:P93)</f>
        <v>0</v>
      </c>
      <c r="Q94" s="57" t="n">
        <f aca="false">SUM(Q90:Q93)</f>
        <v>0</v>
      </c>
      <c r="R94" s="57" t="n">
        <f aca="false">SUM(R90:R93)</f>
        <v>4374.90719178082</v>
      </c>
      <c r="S94" s="57" t="n">
        <f aca="false">SUM(S90:S93)</f>
        <v>13194.5467782534</v>
      </c>
      <c r="T94" s="57" t="n">
        <f aca="false">SUM(T90:T93)</f>
        <v>17686.8324657213</v>
      </c>
      <c r="U94" s="57" t="n">
        <f aca="false">SUM(U90:U93)</f>
        <v>22282.8250633237</v>
      </c>
      <c r="V94" s="57" t="n">
        <f aca="false">SUM(V90:V93)</f>
        <v>26936.267568396</v>
      </c>
      <c r="W94" s="57" t="n">
        <f aca="false">SUM(W90:W93)</f>
        <v>31552.7714266996</v>
      </c>
      <c r="X94" s="57" t="n">
        <f aca="false">SUM(X90:X93)</f>
        <v>36274.5349222731</v>
      </c>
      <c r="Y94" s="57" t="n">
        <f aca="false">SUM(Y90:Y93)</f>
        <v>42477.8738005823</v>
      </c>
      <c r="Z94" s="57" t="n">
        <f aca="false">SUM(Z90:Z93)</f>
        <v>42100.4597751342</v>
      </c>
      <c r="AA94" s="57" t="n">
        <f aca="false">SUM(AA90:AA93)</f>
        <v>41732.0934057924</v>
      </c>
      <c r="AB94" s="57" t="n">
        <f aca="false">SUM(AB90:AB93)</f>
        <v>41349.4916818895</v>
      </c>
      <c r="AC94" s="57" t="n">
        <f aca="false">SUM(AC90:AC93)</f>
        <v>40952.4819302017</v>
      </c>
      <c r="AD94" s="57" t="n">
        <f aca="false">SUM(AD90:AD93)</f>
        <v>40557.4766797803</v>
      </c>
      <c r="AE94" s="57" t="n">
        <f aca="false">SUM(AE90:AE93)</f>
        <v>40182.6945854684</v>
      </c>
      <c r="AF94" s="57" t="n">
        <f aca="false">SUM(AF90:AF93)</f>
        <v>39803.5051394011</v>
      </c>
      <c r="AG94" s="57" t="n">
        <f aca="false">SUM(AG90:AG93)</f>
        <v>39410.4968555495</v>
      </c>
      <c r="AH94" s="57" t="n">
        <f aca="false">SUM(AH90:AH93)</f>
        <v>39015.7285576966</v>
      </c>
      <c r="AI94" s="57" t="n">
        <f aca="false">SUM(AI90:AI93)</f>
        <v>38629.7565247127</v>
      </c>
      <c r="AJ94" s="57" t="n">
        <f aca="false">SUM(AJ90:AJ93)</f>
        <v>38218.7330173742</v>
      </c>
      <c r="AK94" s="57" t="n">
        <f aca="false">SUM(AK90:AK93)</f>
        <v>37793.3671695978</v>
      </c>
      <c r="AL94" s="57" t="n">
        <f aca="false">SUM(AL90:AL93)</f>
        <v>37365.8788805202</v>
      </c>
      <c r="AM94" s="57" t="n">
        <f aca="false">SUM(AM90:AM93)</f>
        <v>36947.1499994675</v>
      </c>
      <c r="AN94" s="57" t="n">
        <f aca="false">SUM(AN90:AN93)</f>
        <v>36513.962039438</v>
      </c>
      <c r="AO94" s="57" t="n">
        <f aca="false">SUM(AO90:AO93)</f>
        <v>36066.1449649682</v>
      </c>
      <c r="AP94" s="57" t="n">
        <f aca="false">SUM(AP90:AP93)</f>
        <v>35615.9595772528</v>
      </c>
      <c r="AQ94" s="57" t="n">
        <f aca="false">SUM(AQ90:AQ93)</f>
        <v>35174.3710099511</v>
      </c>
      <c r="AR94" s="57" t="n">
        <f aca="false">SUM(AR90:AR93)</f>
        <v>34718.0291941517</v>
      </c>
      <c r="AS94" s="57" t="n">
        <f aca="false">SUM(AS90:AS93)</f>
        <v>34246.7606350248</v>
      </c>
      <c r="AT94" s="57" t="n">
        <f aca="false">SUM(AT90:AT93)</f>
        <v>33772.8661860189</v>
      </c>
      <c r="AU94" s="57" t="n">
        <f aca="false">SUM(AU90:AU93)</f>
        <v>33297.8102072467</v>
      </c>
      <c r="AV94" s="57" t="n">
        <f aca="false">SUM(AV90:AV93)</f>
        <v>32817.1676787602</v>
      </c>
      <c r="AW94" s="57" t="n">
        <f aca="false">SUM(AW90:AW93)</f>
        <v>32321.2881000032</v>
      </c>
      <c r="AX94" s="57" t="n">
        <f aca="false">SUM(AX90:AX93)</f>
        <v>31822.5114759684</v>
      </c>
      <c r="AY94" s="57" t="n">
        <f aca="false">SUM(AY90:AY93)</f>
        <v>31331.9717387347</v>
      </c>
      <c r="AZ94" s="57" t="n">
        <f aca="false">SUM(AZ90:AZ93)</f>
        <v>30826.0548641302</v>
      </c>
      <c r="BA94" s="57" t="n">
        <f aca="false">SUM(BA90:BA93)</f>
        <v>30304.5800205346</v>
      </c>
      <c r="BB94" s="57" t="n">
        <f aca="false">SUM(BB90:BB93)</f>
        <v>29779.9254578101</v>
      </c>
      <c r="BC94" s="57" t="n">
        <f aca="false">SUM(BC90:BC93)</f>
        <v>29263.31065139</v>
      </c>
      <c r="BD94" s="57" t="n">
        <f aca="false">SUM(BD90:BD93)</f>
        <v>28730.9892404734</v>
      </c>
      <c r="BE94" s="57" t="n">
        <f aca="false">SUM(BE90:BE93)</f>
        <v>28182.7765189819</v>
      </c>
      <c r="BF94" s="57" t="n">
        <f aca="false">SUM(BF90:BF93)</f>
        <v>27631.0880225956</v>
      </c>
      <c r="BG94" s="57" t="n">
        <f aca="false">SUM(BG90:BG93)</f>
        <v>27087.2295375256</v>
      </c>
      <c r="BH94" s="57" t="n">
        <f aca="false">SUM(BH90:BH93)</f>
        <v>26527.3221369524</v>
      </c>
      <c r="BI94" s="57" t="n">
        <f aca="false">SUM(BI90:BI93)</f>
        <v>25951.1770892984</v>
      </c>
      <c r="BJ94" s="57" t="n">
        <f aca="false">SUM(BJ90:BJ93)</f>
        <v>25371.2462183642</v>
      </c>
      <c r="BK94" s="57" t="n">
        <f aca="false">SUM(BK90:BK93)</f>
        <v>24789.2481302831</v>
      </c>
      <c r="BL94" s="57" t="n">
        <f aca="false">SUM(BL90:BL93)</f>
        <v>24200.4058777288</v>
      </c>
      <c r="BM94" s="57" t="n">
        <f aca="false">SUM(BM90:BM93)</f>
        <v>23594.9647095746</v>
      </c>
      <c r="BN94" s="57" t="n">
        <f aca="false">SUM(BN90:BN93)</f>
        <v>22985.4116844895</v>
      </c>
      <c r="BO94" s="57" t="n">
        <f aca="false">SUM(BO90:BO93)</f>
        <v>22383.2275246913</v>
      </c>
      <c r="BP94" s="57" t="n">
        <f aca="false">SUM(BP90:BP93)</f>
        <v>21764.2675129773</v>
      </c>
      <c r="BQ94" s="57" t="n">
        <f aca="false">SUM(BQ90:BQ93)</f>
        <v>21128.3343691637</v>
      </c>
      <c r="BR94" s="57" t="n">
        <f aca="false">SUM(BR90:BR93)</f>
        <v>20487.9493232116</v>
      </c>
      <c r="BS94" s="57" t="n">
        <f aca="false">SUM(BS90:BS93)</f>
        <v>19854.6817516363</v>
      </c>
      <c r="BT94" s="57" t="n">
        <f aca="false">SUM(BT90:BT93)</f>
        <v>19204.2537518247</v>
      </c>
      <c r="BU94" s="57" t="n">
        <f aca="false">SUM(BU90:BU93)</f>
        <v>18536.4635210635</v>
      </c>
      <c r="BV94" s="57" t="n">
        <f aca="false">SUM(BV90:BV93)</f>
        <v>17863.8653397246</v>
      </c>
      <c r="BW94" s="57" t="n">
        <f aca="false">SUM(BW90:BW93)</f>
        <v>17198.1180338156</v>
      </c>
      <c r="BX94" s="57" t="n">
        <f aca="false">SUM(BX90:BX93)</f>
        <v>16514.8103331243</v>
      </c>
      <c r="BY94" s="57" t="n">
        <f aca="false">SUM(BY90:BY93)</f>
        <v>15813.7357314224</v>
      </c>
      <c r="BZ94" s="57" t="n">
        <f aca="false">SUM(BZ90:BZ93)</f>
        <v>15107.4803950298</v>
      </c>
      <c r="CA94" s="57" t="n">
        <f aca="false">SUM(CA90:CA93)</f>
        <v>14398.0450957544</v>
      </c>
      <c r="CB94" s="57" t="n">
        <f aca="false">SUM(CB90:CB93)</f>
        <v>13680.2669995339</v>
      </c>
      <c r="CC94" s="57" t="n">
        <f aca="false">SUM(CC90:CC93)</f>
        <v>12944.2996913215</v>
      </c>
      <c r="CD94" s="57" t="n">
        <f aca="false">SUM(CD90:CD93)</f>
        <v>12202.7599981554</v>
      </c>
      <c r="CE94" s="57" t="n">
        <f aca="false">SUM(CE90:CE93)</f>
        <v>11467.4880415806</v>
      </c>
      <c r="CF94" s="57" t="n">
        <f aca="false">SUM(CF90:CF93)</f>
        <v>10713.8053034919</v>
      </c>
      <c r="CG94" s="57" t="n">
        <f aca="false">SUM(CG90:CG93)</f>
        <v>9941.49527730736</v>
      </c>
      <c r="CH94" s="57" t="n">
        <f aca="false">SUM(CH90:CH93)</f>
        <v>9163.20421021298</v>
      </c>
      <c r="CI94" s="57" t="n">
        <f aca="false">SUM(CI90:CI93)</f>
        <v>8390.86409833593</v>
      </c>
      <c r="CJ94" s="57" t="n">
        <f aca="false">SUM(CJ90:CJ93)</f>
        <v>7599.66258442266</v>
      </c>
      <c r="CK94" s="57" t="n">
        <f aca="false">SUM(CK90:CK93)</f>
        <v>6789.37786269687</v>
      </c>
      <c r="CL94" s="57" t="n">
        <f aca="false">SUM(CL90:CL93)</f>
        <v>5972.68429708649</v>
      </c>
      <c r="CM94" s="57" t="n">
        <f aca="false">SUM(CM90:CM93)</f>
        <v>5161.60657996337</v>
      </c>
      <c r="CN94" s="57" t="n">
        <f aca="false">SUM(CN90:CN93)</f>
        <v>4331.19838408374</v>
      </c>
      <c r="CO94" s="57" t="n">
        <f aca="false">SUM(CO90:CO93)</f>
        <v>3481.23238743629</v>
      </c>
      <c r="CP94" s="57" t="n">
        <f aca="false">SUM(CP90:CP93)</f>
        <v>2624.40971811564</v>
      </c>
      <c r="CQ94" s="57" t="n">
        <f aca="false">SUM(CQ90:CQ93)</f>
        <v>1763.04388624891</v>
      </c>
      <c r="CR94" s="57" t="n">
        <f aca="false">SUM(CR90:CR93)</f>
        <v>891.548589104426</v>
      </c>
      <c r="CS94" s="57" t="n">
        <f aca="false">SUM(CS90:CS93)</f>
        <v>1.40630618261639E-010</v>
      </c>
      <c r="CT94" s="57" t="n">
        <f aca="false">SUM(CT90:CT93)</f>
        <v>1.4238850098991E-010</v>
      </c>
      <c r="CU94" s="57" t="n">
        <f aca="false">SUM(CU90:CU93)</f>
        <v>1.44168357252283E-010</v>
      </c>
      <c r="CV94" s="57" t="n">
        <f aca="false">SUM(CV90:CV93)</f>
        <v>1.45970461717937E-010</v>
      </c>
      <c r="CW94" s="57" t="n">
        <f aca="false">SUM(CW90:CW93)</f>
        <v>1.47795092489411E-010</v>
      </c>
      <c r="CX94" s="57" t="n">
        <f aca="false">SUM(CX90:CX93)</f>
        <v>1.49642531145529E-010</v>
      </c>
      <c r="CY94" s="57" t="n">
        <f aca="false">SUM(CY90:CY93)</f>
        <v>1.51513062784848E-010</v>
      </c>
      <c r="CZ94" s="57" t="n">
        <f aca="false">SUM(CZ90:CZ93)</f>
        <v>1.53406976069659E-010</v>
      </c>
      <c r="DA94" s="57" t="n">
        <f aca="false">SUM(DA90:DA93)</f>
        <v>1.55324563270529E-010</v>
      </c>
      <c r="DB94" s="57" t="n">
        <f aca="false">SUM(DB90:DB93)</f>
        <v>1.57266120311411E-010</v>
      </c>
      <c r="DC94" s="57" t="n">
        <f aca="false">SUM(DC90:DC93)</f>
        <v>1.59231946815304E-010</v>
      </c>
      <c r="DD94" s="57" t="n">
        <f aca="false">SUM(DD90:DD93)</f>
        <v>1.61222346150495E-010</v>
      </c>
      <c r="DE94" s="57" t="n">
        <f aca="false">SUM(DE90:DE93)</f>
        <v>1.63237625477376E-010</v>
      </c>
      <c r="DF94" s="57" t="n">
        <f aca="false">SUM(DF90:DF93)</f>
        <v>1.65278095795843E-010</v>
      </c>
      <c r="DG94" s="57" t="n">
        <f aca="false">SUM(DG90:DG93)</f>
        <v>1.67344071993291E-010</v>
      </c>
      <c r="DH94" s="57" t="n">
        <f aca="false">SUM(DH90:DH93)</f>
        <v>1.69435872893207E-010</v>
      </c>
      <c r="DI94" s="57" t="n">
        <f aca="false">SUM(DI90:DI93)</f>
        <v>1.71553821304372E-010</v>
      </c>
      <c r="DJ94" s="57" t="n">
        <f aca="false">SUM(DJ90:DJ93)</f>
        <v>1.73698244070677E-010</v>
      </c>
      <c r="DK94" s="57" t="n">
        <f aca="false">SUM(DK90:DK93)</f>
        <v>1.75869472121561E-010</v>
      </c>
      <c r="DL94" s="57" t="n">
        <f aca="false">SUM(DL90:DL93)</f>
        <v>1.7806784052308E-010</v>
      </c>
      <c r="DM94" s="57" t="n">
        <f aca="false">SUM(DM90:DM93)</f>
        <v>1.80293688529619E-010</v>
      </c>
      <c r="DN94" s="57" t="n">
        <f aca="false">SUM(DN90:DN93)</f>
        <v>1.82547359636239E-010</v>
      </c>
      <c r="DO94" s="57" t="n">
        <f aca="false">SUM(DO90:DO93)</f>
        <v>1.84829201631692E-010</v>
      </c>
      <c r="DP94" s="57" t="n">
        <f aca="false">SUM(DP90:DP93)</f>
        <v>1.87139566652088E-010</v>
      </c>
      <c r="DQ94" s="57" t="n">
        <f aca="false">SUM(DQ90:DQ93)</f>
        <v>1.89478811235239E-010</v>
      </c>
      <c r="DR94" s="57" t="n">
        <f aca="false">SUM(DR90:DR93)</f>
        <v>1.9184729637568E-010</v>
      </c>
      <c r="DS94" s="57" t="n">
        <f aca="false">SUM(DS90:DS93)</f>
        <v>1.94245387580376E-010</v>
      </c>
      <c r="DT94" s="57" t="n">
        <f aca="false">SUM(DT90:DT93)</f>
        <v>1.9667345492513E-010</v>
      </c>
      <c r="DU94" s="57" t="n">
        <f aca="false">SUM(DU90:DU93)</f>
        <v>1.99131873111694E-010</v>
      </c>
      <c r="DV94" s="57" t="n">
        <f aca="false">SUM(DV90:DV93)</f>
        <v>2.01621021525591E-010</v>
      </c>
      <c r="DW94" s="57" t="n">
        <f aca="false">SUM(DW90:DW93)</f>
        <v>2.0414128429466E-010</v>
      </c>
      <c r="DX94" s="57" t="n">
        <f aca="false">SUM(DX90:DX93)</f>
        <v>2.06693050348344E-010</v>
      </c>
      <c r="DY94" s="57" t="n">
        <f aca="false">SUM(DY90:DY93)</f>
        <v>2.09276713477698E-010</v>
      </c>
      <c r="DZ94" s="57" t="n">
        <f aca="false">SUM(DZ90:DZ93)</f>
        <v>2.11892672396169E-010</v>
      </c>
      <c r="EA94" s="57" t="n">
        <f aca="false">SUM(EA90:EA93)</f>
        <v>2.14541330801121E-010</v>
      </c>
      <c r="EB94" s="57" t="n">
        <f aca="false">SUM(EB90:EB93)</f>
        <v>2.17223097436135E-010</v>
      </c>
      <c r="EC94" s="57" t="n">
        <f aca="false">SUM(EC90:EC93)</f>
        <v>2.19938386154087E-010</v>
      </c>
      <c r="ED94" s="57" t="n">
        <f aca="false">SUM(ED90:ED93)</f>
        <v>2.22687615981013E-010</v>
      </c>
      <c r="EE94" s="57" t="n">
        <f aca="false">SUM(EE90:EE93)</f>
        <v>2.25471211180776E-010</v>
      </c>
      <c r="EF94" s="57" t="n">
        <f aca="false">SUM(EF90:EF93)</f>
        <v>2.28289601320536E-010</v>
      </c>
      <c r="EG94" s="57" t="n">
        <f aca="false">SUM(EG90:EG93)</f>
        <v>2.31143221337042E-010</v>
      </c>
      <c r="EH94" s="57" t="n">
        <f aca="false">SUM(EH90:EH93)</f>
        <v>2.34032511603755E-010</v>
      </c>
      <c r="EI94" s="57" t="n">
        <f aca="false">SUM(EI90:EI93)</f>
        <v>2.36957917998802E-010</v>
      </c>
      <c r="EJ94" s="57" t="n">
        <f aca="false">SUM(EJ90:EJ93)</f>
        <v>2.39919891973787E-010</v>
      </c>
      <c r="EK94" s="57" t="n">
        <f aca="false">SUM(EK90:EK93)</f>
        <v>2.4291889062346E-010</v>
      </c>
      <c r="EL94" s="57" t="n">
        <f aca="false">SUM(EL90:EL93)</f>
        <v>2.45955376756253E-010</v>
      </c>
      <c r="EM94" s="57" t="n">
        <f aca="false">SUM(EM90:EM93)</f>
        <v>2.49029818965706E-010</v>
      </c>
      <c r="EN94" s="57" t="n">
        <f aca="false">SUM(EN90:EN93)</f>
        <v>2.52142691702777E-010</v>
      </c>
      <c r="EO94" s="57" t="n">
        <f aca="false">SUM(EO90:EO93)</f>
        <v>2.55294475349062E-010</v>
      </c>
    </row>
    <row r="95" customFormat="false" ht="15" hidden="false" customHeight="false" outlineLevel="0" collapsed="false">
      <c r="C95" s="1" t="s">
        <v>450</v>
      </c>
      <c r="D95" s="12" t="s">
        <v>33</v>
      </c>
      <c r="I95" s="48" t="n">
        <f aca="false">SUM(J95:EO95)</f>
        <v>-743.362791510191</v>
      </c>
      <c r="J95" s="48" t="n">
        <f aca="false">-In_Upfront_Fee*$E94*(J90=0)*(J91&gt;0)</f>
        <v>-0</v>
      </c>
      <c r="K95" s="48" t="n">
        <f aca="false">-In_Upfront_Fee*$E94*(K90=0)*(K91&gt;0)</f>
        <v>-0</v>
      </c>
      <c r="L95" s="48" t="n">
        <f aca="false">-In_Upfront_Fee*$E94*(L90=0)*(L91&gt;0)</f>
        <v>-0</v>
      </c>
      <c r="M95" s="48" t="n">
        <f aca="false">-In_Upfront_Fee*$E94*(M90=0)*(M91&gt;0)</f>
        <v>-0</v>
      </c>
      <c r="N95" s="48" t="n">
        <f aca="false">-In_Upfront_Fee*$E94*(N90=0)*(N91&gt;0)</f>
        <v>-0</v>
      </c>
      <c r="O95" s="48" t="n">
        <f aca="false">-In_Upfront_Fee*$E94*(O90=0)*(O91&gt;0)</f>
        <v>-0</v>
      </c>
      <c r="P95" s="48" t="n">
        <f aca="false">-In_Upfront_Fee*$E94*(P90=0)*(P91&gt;0)</f>
        <v>-0</v>
      </c>
      <c r="Q95" s="48" t="n">
        <f aca="false">-In_Upfront_Fee*$E94*(Q90=0)*(Q91&gt;0)</f>
        <v>-0</v>
      </c>
      <c r="R95" s="48" t="n">
        <f aca="false">-In_Upfront_Fee*$E94*(R90=0)*(R91&gt;0)</f>
        <v>-743.362791510191</v>
      </c>
      <c r="S95" s="48" t="n">
        <f aca="false">-In_Upfront_Fee*$E94*(S90=0)*(S91&gt;0)</f>
        <v>-0</v>
      </c>
      <c r="T95" s="48" t="n">
        <f aca="false">-In_Upfront_Fee*$E94*(T90=0)*(T91&gt;0)</f>
        <v>-0</v>
      </c>
      <c r="U95" s="48" t="n">
        <f aca="false">-In_Upfront_Fee*$E94*(U90=0)*(U91&gt;0)</f>
        <v>-0</v>
      </c>
      <c r="V95" s="48" t="n">
        <f aca="false">-In_Upfront_Fee*$E94*(V90=0)*(V91&gt;0)</f>
        <v>-0</v>
      </c>
      <c r="W95" s="48" t="n">
        <f aca="false">-In_Upfront_Fee*$E94*(W90=0)*(W91&gt;0)</f>
        <v>-0</v>
      </c>
      <c r="X95" s="48" t="n">
        <f aca="false">-In_Upfront_Fee*$E94*(X90=0)*(X91&gt;0)</f>
        <v>-0</v>
      </c>
      <c r="Y95" s="48" t="n">
        <f aca="false">-In_Upfront_Fee*$E94*(Y90=0)*(Y91&gt;0)</f>
        <v>-0</v>
      </c>
      <c r="Z95" s="48" t="n">
        <f aca="false">-In_Upfront_Fee*$E94*(Z90=0)*(Z91&gt;0)</f>
        <v>-0</v>
      </c>
      <c r="AA95" s="48" t="n">
        <f aca="false">-In_Upfront_Fee*$E94*(AA90=0)*(AA91&gt;0)</f>
        <v>-0</v>
      </c>
      <c r="AB95" s="48" t="n">
        <f aca="false">-In_Upfront_Fee*$E94*(AB90=0)*(AB91&gt;0)</f>
        <v>-0</v>
      </c>
      <c r="AC95" s="48" t="n">
        <f aca="false">-In_Upfront_Fee*$E94*(AC90=0)*(AC91&gt;0)</f>
        <v>-0</v>
      </c>
      <c r="AD95" s="48" t="n">
        <f aca="false">-In_Upfront_Fee*$E94*(AD90=0)*(AD91&gt;0)</f>
        <v>-0</v>
      </c>
      <c r="AE95" s="48" t="n">
        <f aca="false">-In_Upfront_Fee*$E94*(AE90=0)*(AE91&gt;0)</f>
        <v>-0</v>
      </c>
      <c r="AF95" s="48" t="n">
        <f aca="false">-In_Upfront_Fee*$E94*(AF90=0)*(AF91&gt;0)</f>
        <v>-0</v>
      </c>
      <c r="AG95" s="48" t="n">
        <f aca="false">-In_Upfront_Fee*$E94*(AG90=0)*(AG91&gt;0)</f>
        <v>-0</v>
      </c>
      <c r="AH95" s="48" t="n">
        <f aca="false">-In_Upfront_Fee*$E94*(AH90=0)*(AH91&gt;0)</f>
        <v>-0</v>
      </c>
      <c r="AI95" s="48" t="n">
        <f aca="false">-In_Upfront_Fee*$E94*(AI90=0)*(AI91&gt;0)</f>
        <v>-0</v>
      </c>
      <c r="AJ95" s="48" t="n">
        <f aca="false">-In_Upfront_Fee*$E94*(AJ90=0)*(AJ91&gt;0)</f>
        <v>-0</v>
      </c>
      <c r="AK95" s="48" t="n">
        <f aca="false">-In_Upfront_Fee*$E94*(AK90=0)*(AK91&gt;0)</f>
        <v>-0</v>
      </c>
      <c r="AL95" s="48" t="n">
        <f aca="false">-In_Upfront_Fee*$E94*(AL90=0)*(AL91&gt;0)</f>
        <v>-0</v>
      </c>
      <c r="AM95" s="48" t="n">
        <f aca="false">-In_Upfront_Fee*$E94*(AM90=0)*(AM91&gt;0)</f>
        <v>-0</v>
      </c>
      <c r="AN95" s="48" t="n">
        <f aca="false">-In_Upfront_Fee*$E94*(AN90=0)*(AN91&gt;0)</f>
        <v>-0</v>
      </c>
      <c r="AO95" s="48" t="n">
        <f aca="false">-In_Upfront_Fee*$E94*(AO90=0)*(AO91&gt;0)</f>
        <v>-0</v>
      </c>
      <c r="AP95" s="48" t="n">
        <f aca="false">-In_Upfront_Fee*$E94*(AP90=0)*(AP91&gt;0)</f>
        <v>-0</v>
      </c>
      <c r="AQ95" s="48" t="n">
        <f aca="false">-In_Upfront_Fee*$E94*(AQ90=0)*(AQ91&gt;0)</f>
        <v>-0</v>
      </c>
      <c r="AR95" s="48" t="n">
        <f aca="false">-In_Upfront_Fee*$E94*(AR90=0)*(AR91&gt;0)</f>
        <v>-0</v>
      </c>
      <c r="AS95" s="48" t="n">
        <f aca="false">-In_Upfront_Fee*$E94*(AS90=0)*(AS91&gt;0)</f>
        <v>-0</v>
      </c>
      <c r="AT95" s="48" t="n">
        <f aca="false">-In_Upfront_Fee*$E94*(AT90=0)*(AT91&gt;0)</f>
        <v>-0</v>
      </c>
      <c r="AU95" s="48" t="n">
        <f aca="false">-In_Upfront_Fee*$E94*(AU90=0)*(AU91&gt;0)</f>
        <v>-0</v>
      </c>
      <c r="AV95" s="48" t="n">
        <f aca="false">-In_Upfront_Fee*$E94*(AV90=0)*(AV91&gt;0)</f>
        <v>-0</v>
      </c>
      <c r="AW95" s="48" t="n">
        <f aca="false">-In_Upfront_Fee*$E94*(AW90=0)*(AW91&gt;0)</f>
        <v>-0</v>
      </c>
      <c r="AX95" s="48" t="n">
        <f aca="false">-In_Upfront_Fee*$E94*(AX90=0)*(AX91&gt;0)</f>
        <v>-0</v>
      </c>
      <c r="AY95" s="48" t="n">
        <f aca="false">-In_Upfront_Fee*$E94*(AY90=0)*(AY91&gt;0)</f>
        <v>-0</v>
      </c>
      <c r="AZ95" s="48" t="n">
        <f aca="false">-In_Upfront_Fee*$E94*(AZ90=0)*(AZ91&gt;0)</f>
        <v>-0</v>
      </c>
      <c r="BA95" s="48" t="n">
        <f aca="false">-In_Upfront_Fee*$E94*(BA90=0)*(BA91&gt;0)</f>
        <v>-0</v>
      </c>
      <c r="BB95" s="48" t="n">
        <f aca="false">-In_Upfront_Fee*$E94*(BB90=0)*(BB91&gt;0)</f>
        <v>-0</v>
      </c>
      <c r="BC95" s="48" t="n">
        <f aca="false">-In_Upfront_Fee*$E94*(BC90=0)*(BC91&gt;0)</f>
        <v>-0</v>
      </c>
      <c r="BD95" s="48" t="n">
        <f aca="false">-In_Upfront_Fee*$E94*(BD90=0)*(BD91&gt;0)</f>
        <v>-0</v>
      </c>
      <c r="BE95" s="48" t="n">
        <f aca="false">-In_Upfront_Fee*$E94*(BE90=0)*(BE91&gt;0)</f>
        <v>-0</v>
      </c>
      <c r="BF95" s="48" t="n">
        <f aca="false">-In_Upfront_Fee*$E94*(BF90=0)*(BF91&gt;0)</f>
        <v>-0</v>
      </c>
      <c r="BG95" s="48" t="n">
        <f aca="false">-In_Upfront_Fee*$E94*(BG90=0)*(BG91&gt;0)</f>
        <v>-0</v>
      </c>
      <c r="BH95" s="48" t="n">
        <f aca="false">-In_Upfront_Fee*$E94*(BH90=0)*(BH91&gt;0)</f>
        <v>-0</v>
      </c>
      <c r="BI95" s="48" t="n">
        <f aca="false">-In_Upfront_Fee*$E94*(BI90=0)*(BI91&gt;0)</f>
        <v>-0</v>
      </c>
      <c r="BJ95" s="48" t="n">
        <f aca="false">-In_Upfront_Fee*$E94*(BJ90=0)*(BJ91&gt;0)</f>
        <v>-0</v>
      </c>
      <c r="BK95" s="48" t="n">
        <f aca="false">-In_Upfront_Fee*$E94*(BK90=0)*(BK91&gt;0)</f>
        <v>-0</v>
      </c>
      <c r="BL95" s="48" t="n">
        <f aca="false">-In_Upfront_Fee*$E94*(BL90=0)*(BL91&gt;0)</f>
        <v>-0</v>
      </c>
      <c r="BM95" s="48" t="n">
        <f aca="false">-In_Upfront_Fee*$E94*(BM90=0)*(BM91&gt;0)</f>
        <v>-0</v>
      </c>
      <c r="BN95" s="48" t="n">
        <f aca="false">-In_Upfront_Fee*$E94*(BN90=0)*(BN91&gt;0)</f>
        <v>-0</v>
      </c>
      <c r="BO95" s="48" t="n">
        <f aca="false">-In_Upfront_Fee*$E94*(BO90=0)*(BO91&gt;0)</f>
        <v>-0</v>
      </c>
      <c r="BP95" s="48" t="n">
        <f aca="false">-In_Upfront_Fee*$E94*(BP90=0)*(BP91&gt;0)</f>
        <v>-0</v>
      </c>
      <c r="BQ95" s="48" t="n">
        <f aca="false">-In_Upfront_Fee*$E94*(BQ90=0)*(BQ91&gt;0)</f>
        <v>-0</v>
      </c>
      <c r="BR95" s="48" t="n">
        <f aca="false">-In_Upfront_Fee*$E94*(BR90=0)*(BR91&gt;0)</f>
        <v>-0</v>
      </c>
      <c r="BS95" s="48" t="n">
        <f aca="false">-In_Upfront_Fee*$E94*(BS90=0)*(BS91&gt;0)</f>
        <v>-0</v>
      </c>
      <c r="BT95" s="48" t="n">
        <f aca="false">-In_Upfront_Fee*$E94*(BT90=0)*(BT91&gt;0)</f>
        <v>-0</v>
      </c>
      <c r="BU95" s="48" t="n">
        <f aca="false">-In_Upfront_Fee*$E94*(BU90=0)*(BU91&gt;0)</f>
        <v>-0</v>
      </c>
      <c r="BV95" s="48" t="n">
        <f aca="false">-In_Upfront_Fee*$E94*(BV90=0)*(BV91&gt;0)</f>
        <v>-0</v>
      </c>
      <c r="BW95" s="48" t="n">
        <f aca="false">-In_Upfront_Fee*$E94*(BW90=0)*(BW91&gt;0)</f>
        <v>-0</v>
      </c>
      <c r="BX95" s="48" t="n">
        <f aca="false">-In_Upfront_Fee*$E94*(BX90=0)*(BX91&gt;0)</f>
        <v>-0</v>
      </c>
      <c r="BY95" s="48" t="n">
        <f aca="false">-In_Upfront_Fee*$E94*(BY90=0)*(BY91&gt;0)</f>
        <v>-0</v>
      </c>
      <c r="BZ95" s="48" t="n">
        <f aca="false">-In_Upfront_Fee*$E94*(BZ90=0)*(BZ91&gt;0)</f>
        <v>-0</v>
      </c>
      <c r="CA95" s="48" t="n">
        <f aca="false">-In_Upfront_Fee*$E94*(CA90=0)*(CA91&gt;0)</f>
        <v>-0</v>
      </c>
      <c r="CB95" s="48" t="n">
        <f aca="false">-In_Upfront_Fee*$E94*(CB90=0)*(CB91&gt;0)</f>
        <v>-0</v>
      </c>
      <c r="CC95" s="48" t="n">
        <f aca="false">-In_Upfront_Fee*$E94*(CC90=0)*(CC91&gt;0)</f>
        <v>-0</v>
      </c>
      <c r="CD95" s="48" t="n">
        <f aca="false">-In_Upfront_Fee*$E94*(CD90=0)*(CD91&gt;0)</f>
        <v>-0</v>
      </c>
      <c r="CE95" s="48" t="n">
        <f aca="false">-In_Upfront_Fee*$E94*(CE90=0)*(CE91&gt;0)</f>
        <v>-0</v>
      </c>
      <c r="CF95" s="48" t="n">
        <f aca="false">-In_Upfront_Fee*$E94*(CF90=0)*(CF91&gt;0)</f>
        <v>-0</v>
      </c>
      <c r="CG95" s="48" t="n">
        <f aca="false">-In_Upfront_Fee*$E94*(CG90=0)*(CG91&gt;0)</f>
        <v>-0</v>
      </c>
      <c r="CH95" s="48" t="n">
        <f aca="false">-In_Upfront_Fee*$E94*(CH90=0)*(CH91&gt;0)</f>
        <v>-0</v>
      </c>
      <c r="CI95" s="48" t="n">
        <f aca="false">-In_Upfront_Fee*$E94*(CI90=0)*(CI91&gt;0)</f>
        <v>-0</v>
      </c>
      <c r="CJ95" s="48" t="n">
        <f aca="false">-In_Upfront_Fee*$E94*(CJ90=0)*(CJ91&gt;0)</f>
        <v>-0</v>
      </c>
      <c r="CK95" s="48" t="n">
        <f aca="false">-In_Upfront_Fee*$E94*(CK90=0)*(CK91&gt;0)</f>
        <v>-0</v>
      </c>
      <c r="CL95" s="48" t="n">
        <f aca="false">-In_Upfront_Fee*$E94*(CL90=0)*(CL91&gt;0)</f>
        <v>-0</v>
      </c>
      <c r="CM95" s="48" t="n">
        <f aca="false">-In_Upfront_Fee*$E94*(CM90=0)*(CM91&gt;0)</f>
        <v>-0</v>
      </c>
      <c r="CN95" s="48" t="n">
        <f aca="false">-In_Upfront_Fee*$E94*(CN90=0)*(CN91&gt;0)</f>
        <v>-0</v>
      </c>
      <c r="CO95" s="48" t="n">
        <f aca="false">-In_Upfront_Fee*$E94*(CO90=0)*(CO91&gt;0)</f>
        <v>-0</v>
      </c>
      <c r="CP95" s="48" t="n">
        <f aca="false">-In_Upfront_Fee*$E94*(CP90=0)*(CP91&gt;0)</f>
        <v>-0</v>
      </c>
      <c r="CQ95" s="48" t="n">
        <f aca="false">-In_Upfront_Fee*$E94*(CQ90=0)*(CQ91&gt;0)</f>
        <v>-0</v>
      </c>
      <c r="CR95" s="48" t="n">
        <f aca="false">-In_Upfront_Fee*$E94*(CR90=0)*(CR91&gt;0)</f>
        <v>-0</v>
      </c>
      <c r="CS95" s="48" t="n">
        <f aca="false">-In_Upfront_Fee*$E94*(CS90=0)*(CS91&gt;0)</f>
        <v>-0</v>
      </c>
      <c r="CT95" s="48" t="n">
        <f aca="false">-In_Upfront_Fee*$E94*(CT90=0)*(CT91&gt;0)</f>
        <v>-0</v>
      </c>
      <c r="CU95" s="48" t="n">
        <f aca="false">-In_Upfront_Fee*$E94*(CU90=0)*(CU91&gt;0)</f>
        <v>-0</v>
      </c>
      <c r="CV95" s="48" t="n">
        <f aca="false">-In_Upfront_Fee*$E94*(CV90=0)*(CV91&gt;0)</f>
        <v>-0</v>
      </c>
      <c r="CW95" s="48" t="n">
        <f aca="false">-In_Upfront_Fee*$E94*(CW90=0)*(CW91&gt;0)</f>
        <v>-0</v>
      </c>
      <c r="CX95" s="48" t="n">
        <f aca="false">-In_Upfront_Fee*$E94*(CX90=0)*(CX91&gt;0)</f>
        <v>-0</v>
      </c>
      <c r="CY95" s="48" t="n">
        <f aca="false">-In_Upfront_Fee*$E94*(CY90=0)*(CY91&gt;0)</f>
        <v>-0</v>
      </c>
      <c r="CZ95" s="48" t="n">
        <f aca="false">-In_Upfront_Fee*$E94*(CZ90=0)*(CZ91&gt;0)</f>
        <v>-0</v>
      </c>
      <c r="DA95" s="48" t="n">
        <f aca="false">-In_Upfront_Fee*$E94*(DA90=0)*(DA91&gt;0)</f>
        <v>-0</v>
      </c>
      <c r="DB95" s="48" t="n">
        <f aca="false">-In_Upfront_Fee*$E94*(DB90=0)*(DB91&gt;0)</f>
        <v>-0</v>
      </c>
      <c r="DC95" s="48" t="n">
        <f aca="false">-In_Upfront_Fee*$E94*(DC90=0)*(DC91&gt;0)</f>
        <v>-0</v>
      </c>
      <c r="DD95" s="48" t="n">
        <f aca="false">-In_Upfront_Fee*$E94*(DD90=0)*(DD91&gt;0)</f>
        <v>-0</v>
      </c>
      <c r="DE95" s="48" t="n">
        <f aca="false">-In_Upfront_Fee*$E94*(DE90=0)*(DE91&gt;0)</f>
        <v>-0</v>
      </c>
      <c r="DF95" s="48" t="n">
        <f aca="false">-In_Upfront_Fee*$E94*(DF90=0)*(DF91&gt;0)</f>
        <v>-0</v>
      </c>
      <c r="DG95" s="48" t="n">
        <f aca="false">-In_Upfront_Fee*$E94*(DG90=0)*(DG91&gt;0)</f>
        <v>-0</v>
      </c>
      <c r="DH95" s="48" t="n">
        <f aca="false">-In_Upfront_Fee*$E94*(DH90=0)*(DH91&gt;0)</f>
        <v>-0</v>
      </c>
      <c r="DI95" s="48" t="n">
        <f aca="false">-In_Upfront_Fee*$E94*(DI90=0)*(DI91&gt;0)</f>
        <v>-0</v>
      </c>
      <c r="DJ95" s="48" t="n">
        <f aca="false">-In_Upfront_Fee*$E94*(DJ90=0)*(DJ91&gt;0)</f>
        <v>-0</v>
      </c>
      <c r="DK95" s="48" t="n">
        <f aca="false">-In_Upfront_Fee*$E94*(DK90=0)*(DK91&gt;0)</f>
        <v>-0</v>
      </c>
      <c r="DL95" s="48" t="n">
        <f aca="false">-In_Upfront_Fee*$E94*(DL90=0)*(DL91&gt;0)</f>
        <v>-0</v>
      </c>
      <c r="DM95" s="48" t="n">
        <f aca="false">-In_Upfront_Fee*$E94*(DM90=0)*(DM91&gt;0)</f>
        <v>-0</v>
      </c>
      <c r="DN95" s="48" t="n">
        <f aca="false">-In_Upfront_Fee*$E94*(DN90=0)*(DN91&gt;0)</f>
        <v>-0</v>
      </c>
      <c r="DO95" s="48" t="n">
        <f aca="false">-In_Upfront_Fee*$E94*(DO90=0)*(DO91&gt;0)</f>
        <v>-0</v>
      </c>
      <c r="DP95" s="48" t="n">
        <f aca="false">-In_Upfront_Fee*$E94*(DP90=0)*(DP91&gt;0)</f>
        <v>-0</v>
      </c>
      <c r="DQ95" s="48" t="n">
        <f aca="false">-In_Upfront_Fee*$E94*(DQ90=0)*(DQ91&gt;0)</f>
        <v>-0</v>
      </c>
      <c r="DR95" s="48" t="n">
        <f aca="false">-In_Upfront_Fee*$E94*(DR90=0)*(DR91&gt;0)</f>
        <v>-0</v>
      </c>
      <c r="DS95" s="48" t="n">
        <f aca="false">-In_Upfront_Fee*$E94*(DS90=0)*(DS91&gt;0)</f>
        <v>-0</v>
      </c>
      <c r="DT95" s="48" t="n">
        <f aca="false">-In_Upfront_Fee*$E94*(DT90=0)*(DT91&gt;0)</f>
        <v>-0</v>
      </c>
      <c r="DU95" s="48" t="n">
        <f aca="false">-In_Upfront_Fee*$E94*(DU90=0)*(DU91&gt;0)</f>
        <v>-0</v>
      </c>
      <c r="DV95" s="48" t="n">
        <f aca="false">-In_Upfront_Fee*$E94*(DV90=0)*(DV91&gt;0)</f>
        <v>-0</v>
      </c>
      <c r="DW95" s="48" t="n">
        <f aca="false">-In_Upfront_Fee*$E94*(DW90=0)*(DW91&gt;0)</f>
        <v>-0</v>
      </c>
      <c r="DX95" s="48" t="n">
        <f aca="false">-In_Upfront_Fee*$E94*(DX90=0)*(DX91&gt;0)</f>
        <v>-0</v>
      </c>
      <c r="DY95" s="48" t="n">
        <f aca="false">-In_Upfront_Fee*$E94*(DY90=0)*(DY91&gt;0)</f>
        <v>-0</v>
      </c>
      <c r="DZ95" s="48" t="n">
        <f aca="false">-In_Upfront_Fee*$E94*(DZ90=0)*(DZ91&gt;0)</f>
        <v>-0</v>
      </c>
      <c r="EA95" s="48" t="n">
        <f aca="false">-In_Upfront_Fee*$E94*(EA90=0)*(EA91&gt;0)</f>
        <v>-0</v>
      </c>
      <c r="EB95" s="48" t="n">
        <f aca="false">-In_Upfront_Fee*$E94*(EB90=0)*(EB91&gt;0)</f>
        <v>-0</v>
      </c>
      <c r="EC95" s="48" t="n">
        <f aca="false">-In_Upfront_Fee*$E94*(EC90=0)*(EC91&gt;0)</f>
        <v>-0</v>
      </c>
      <c r="ED95" s="48" t="n">
        <f aca="false">-In_Upfront_Fee*$E94*(ED90=0)*(ED91&gt;0)</f>
        <v>-0</v>
      </c>
      <c r="EE95" s="48" t="n">
        <f aca="false">-In_Upfront_Fee*$E94*(EE90=0)*(EE91&gt;0)</f>
        <v>-0</v>
      </c>
      <c r="EF95" s="48" t="n">
        <f aca="false">-In_Upfront_Fee*$E94*(EF90=0)*(EF91&gt;0)</f>
        <v>-0</v>
      </c>
      <c r="EG95" s="48" t="n">
        <f aca="false">-In_Upfront_Fee*$E94*(EG90=0)*(EG91&gt;0)</f>
        <v>-0</v>
      </c>
      <c r="EH95" s="48" t="n">
        <f aca="false">-In_Upfront_Fee*$E94*(EH90=0)*(EH91&gt;0)</f>
        <v>-0</v>
      </c>
      <c r="EI95" s="48" t="n">
        <f aca="false">-In_Upfront_Fee*$E94*(EI90=0)*(EI91&gt;0)</f>
        <v>-0</v>
      </c>
      <c r="EJ95" s="48" t="n">
        <f aca="false">-In_Upfront_Fee*$E94*(EJ90=0)*(EJ91&gt;0)</f>
        <v>-0</v>
      </c>
      <c r="EK95" s="48" t="n">
        <f aca="false">-In_Upfront_Fee*$E94*(EK90=0)*(EK91&gt;0)</f>
        <v>-0</v>
      </c>
      <c r="EL95" s="48" t="n">
        <f aca="false">-In_Upfront_Fee*$E94*(EL90=0)*(EL91&gt;0)</f>
        <v>-0</v>
      </c>
      <c r="EM95" s="48" t="n">
        <f aca="false">-In_Upfront_Fee*$E94*(EM90=0)*(EM91&gt;0)</f>
        <v>-0</v>
      </c>
      <c r="EN95" s="48" t="n">
        <f aca="false">-In_Upfront_Fee*$E94*(EN90=0)*(EN91&gt;0)</f>
        <v>-0</v>
      </c>
      <c r="EO95" s="48" t="n">
        <f aca="false">-In_Upfront_Fee*$E94*(EO90=0)*(EO91&gt;0)</f>
        <v>-0</v>
      </c>
    </row>
    <row r="96" customFormat="false" ht="15" hidden="false" customHeight="false" outlineLevel="0" collapsed="false">
      <c r="C96" s="1" t="s">
        <v>451</v>
      </c>
      <c r="D96" s="12" t="s">
        <v>33</v>
      </c>
      <c r="I96" s="48" t="n">
        <f aca="false">SUM(J96:EO96)</f>
        <v>-396.359732589126</v>
      </c>
      <c r="J96" s="48" t="n">
        <f aca="false">-In_Commitment_Fee*($I91-SUM($J91:J91)+J91)*J$6*(J12&gt;0)</f>
        <v>-0</v>
      </c>
      <c r="K96" s="48" t="n">
        <f aca="false">-In_Commitment_Fee*($I91-SUM($J91:K91)+K91)*K$6*(K12&gt;0)</f>
        <v>-0</v>
      </c>
      <c r="L96" s="48" t="n">
        <f aca="false">-In_Commitment_Fee*($I91-SUM($J91:L91)+L91)*L$6*(L12&gt;0)</f>
        <v>-0</v>
      </c>
      <c r="M96" s="48" t="n">
        <f aca="false">-In_Commitment_Fee*($I91-SUM($J91:M91)+M91)*M$6*(M12&gt;0)</f>
        <v>-0</v>
      </c>
      <c r="N96" s="48" t="n">
        <f aca="false">-In_Commitment_Fee*($I91-SUM($J91:N91)+N91)*N$6*(N12&gt;0)</f>
        <v>-0</v>
      </c>
      <c r="O96" s="48" t="n">
        <f aca="false">-In_Commitment_Fee*($I91-SUM($J91:O91)+O91)*O$6*(O12&gt;0)</f>
        <v>-0</v>
      </c>
      <c r="P96" s="48" t="n">
        <f aca="false">-In_Commitment_Fee*($I91-SUM($J91:P91)+P91)*P$6*(P12&gt;0)</f>
        <v>-0</v>
      </c>
      <c r="Q96" s="48" t="n">
        <f aca="false">-In_Commitment_Fee*($I91-SUM($J91:Q91)+Q91)*Q$6*(Q12&gt;0)</f>
        <v>-0</v>
      </c>
      <c r="R96" s="48" t="n">
        <f aca="false">-In_Commitment_Fee*($I91-SUM($J91:R91)+R91)*R$6*(R12&gt;0)</f>
        <v>-92.0420457885532</v>
      </c>
      <c r="S96" s="48" t="n">
        <f aca="false">-In_Commitment_Fee*($I91-SUM($J91:S91)+S91)*S$6*(S12&gt;0)</f>
        <v>-80.3324335980484</v>
      </c>
      <c r="T96" s="48" t="n">
        <f aca="false">-In_Commitment_Fee*($I91-SUM($J91:T91)+T91)*T$6*(T12&gt;0)</f>
        <v>-61.5579019224996</v>
      </c>
      <c r="U96" s="48" t="n">
        <f aca="false">-In_Commitment_Fee*($I91-SUM($J91:U91)+U91)*U$6*(U12&gt;0)</f>
        <v>-52.4177898076563</v>
      </c>
      <c r="V96" s="48" t="n">
        <f aca="false">-In_Commitment_Fee*($I91-SUM($J91:V91)+V91)*V$6*(V12&gt;0)</f>
        <v>-42.4933428082192</v>
      </c>
      <c r="W96" s="48" t="n">
        <f aca="false">-In_Commitment_Fee*($I91-SUM($J91:W91)+W91)*W$6*(W12&gt;0)</f>
        <v>-31.8608763346782</v>
      </c>
      <c r="X96" s="48" t="n">
        <f aca="false">-In_Commitment_Fee*($I91-SUM($J91:X91)+X91)*X$6*(X12&gt;0)</f>
        <v>-22.611717247842</v>
      </c>
      <c r="Y96" s="48" t="n">
        <f aca="false">-In_Commitment_Fee*($I91-SUM($J91:Y91)+Y91)*Y$6*(Y12&gt;0)</f>
        <v>-13.0436250816288</v>
      </c>
      <c r="Z96" s="48" t="n">
        <f aca="false">-In_Commitment_Fee*($I91-SUM($J91:Z91)+Z91)*Z$6*(Z12&gt;0)</f>
        <v>-0</v>
      </c>
      <c r="AA96" s="48" t="n">
        <f aca="false">-In_Commitment_Fee*($I91-SUM($J91:AA91)+AA91)*AA$6*(AA12&gt;0)</f>
        <v>-0</v>
      </c>
      <c r="AB96" s="48" t="n">
        <f aca="false">-In_Commitment_Fee*($I91-SUM($J91:AB91)+AB91)*AB$6*(AB12&gt;0)</f>
        <v>-0</v>
      </c>
      <c r="AC96" s="48" t="n">
        <f aca="false">-In_Commitment_Fee*($I91-SUM($J91:AC91)+AC91)*AC$6*(AC12&gt;0)</f>
        <v>-0</v>
      </c>
      <c r="AD96" s="48" t="n">
        <f aca="false">-In_Commitment_Fee*($I91-SUM($J91:AD91)+AD91)*AD$6*(AD12&gt;0)</f>
        <v>-0</v>
      </c>
      <c r="AE96" s="48" t="n">
        <f aca="false">-In_Commitment_Fee*($I91-SUM($J91:AE91)+AE91)*AE$6*(AE12&gt;0)</f>
        <v>-0</v>
      </c>
      <c r="AF96" s="48" t="n">
        <f aca="false">-In_Commitment_Fee*($I91-SUM($J91:AF91)+AF91)*AF$6*(AF12&gt;0)</f>
        <v>-0</v>
      </c>
      <c r="AG96" s="48" t="n">
        <f aca="false">-In_Commitment_Fee*($I91-SUM($J91:AG91)+AG91)*AG$6*(AG12&gt;0)</f>
        <v>-0</v>
      </c>
      <c r="AH96" s="48" t="n">
        <f aca="false">-In_Commitment_Fee*($I91-SUM($J91:AH91)+AH91)*AH$6*(AH12&gt;0)</f>
        <v>-0</v>
      </c>
      <c r="AI96" s="48" t="n">
        <f aca="false">-In_Commitment_Fee*($I91-SUM($J91:AI91)+AI91)*AI$6*(AI12&gt;0)</f>
        <v>-0</v>
      </c>
      <c r="AJ96" s="48" t="n">
        <f aca="false">-In_Commitment_Fee*($I91-SUM($J91:AJ91)+AJ91)*AJ$6*(AJ12&gt;0)</f>
        <v>-0</v>
      </c>
      <c r="AK96" s="48" t="n">
        <f aca="false">-In_Commitment_Fee*($I91-SUM($J91:AK91)+AK91)*AK$6*(AK12&gt;0)</f>
        <v>-0</v>
      </c>
      <c r="AL96" s="48" t="n">
        <f aca="false">-In_Commitment_Fee*($I91-SUM($J91:AL91)+AL91)*AL$6*(AL12&gt;0)</f>
        <v>-0</v>
      </c>
      <c r="AM96" s="48" t="n">
        <f aca="false">-In_Commitment_Fee*($I91-SUM($J91:AM91)+AM91)*AM$6*(AM12&gt;0)</f>
        <v>-0</v>
      </c>
      <c r="AN96" s="48" t="n">
        <f aca="false">-In_Commitment_Fee*($I91-SUM($J91:AN91)+AN91)*AN$6*(AN12&gt;0)</f>
        <v>-0</v>
      </c>
      <c r="AO96" s="48" t="n">
        <f aca="false">-In_Commitment_Fee*($I91-SUM($J91:AO91)+AO91)*AO$6*(AO12&gt;0)</f>
        <v>-0</v>
      </c>
      <c r="AP96" s="48" t="n">
        <f aca="false">-In_Commitment_Fee*($I91-SUM($J91:AP91)+AP91)*AP$6*(AP12&gt;0)</f>
        <v>-0</v>
      </c>
      <c r="AQ96" s="48" t="n">
        <f aca="false">-In_Commitment_Fee*($I91-SUM($J91:AQ91)+AQ91)*AQ$6*(AQ12&gt;0)</f>
        <v>-0</v>
      </c>
      <c r="AR96" s="48" t="n">
        <f aca="false">-In_Commitment_Fee*($I91-SUM($J91:AR91)+AR91)*AR$6*(AR12&gt;0)</f>
        <v>-0</v>
      </c>
      <c r="AS96" s="48" t="n">
        <f aca="false">-In_Commitment_Fee*($I91-SUM($J91:AS91)+AS91)*AS$6*(AS12&gt;0)</f>
        <v>-0</v>
      </c>
      <c r="AT96" s="48" t="n">
        <f aca="false">-In_Commitment_Fee*($I91-SUM($J91:AT91)+AT91)*AT$6*(AT12&gt;0)</f>
        <v>-0</v>
      </c>
      <c r="AU96" s="48" t="n">
        <f aca="false">-In_Commitment_Fee*($I91-SUM($J91:AU91)+AU91)*AU$6*(AU12&gt;0)</f>
        <v>-0</v>
      </c>
      <c r="AV96" s="48" t="n">
        <f aca="false">-In_Commitment_Fee*($I91-SUM($J91:AV91)+AV91)*AV$6*(AV12&gt;0)</f>
        <v>-0</v>
      </c>
      <c r="AW96" s="48" t="n">
        <f aca="false">-In_Commitment_Fee*($I91-SUM($J91:AW91)+AW91)*AW$6*(AW12&gt;0)</f>
        <v>-0</v>
      </c>
      <c r="AX96" s="48" t="n">
        <f aca="false">-In_Commitment_Fee*($I91-SUM($J91:AX91)+AX91)*AX$6*(AX12&gt;0)</f>
        <v>-0</v>
      </c>
      <c r="AY96" s="48" t="n">
        <f aca="false">-In_Commitment_Fee*($I91-SUM($J91:AY91)+AY91)*AY$6*(AY12&gt;0)</f>
        <v>-0</v>
      </c>
      <c r="AZ96" s="48" t="n">
        <f aca="false">-In_Commitment_Fee*($I91-SUM($J91:AZ91)+AZ91)*AZ$6*(AZ12&gt;0)</f>
        <v>-0</v>
      </c>
      <c r="BA96" s="48" t="n">
        <f aca="false">-In_Commitment_Fee*($I91-SUM($J91:BA91)+BA91)*BA$6*(BA12&gt;0)</f>
        <v>-0</v>
      </c>
      <c r="BB96" s="48" t="n">
        <f aca="false">-In_Commitment_Fee*($I91-SUM($J91:BB91)+BB91)*BB$6*(BB12&gt;0)</f>
        <v>-0</v>
      </c>
      <c r="BC96" s="48" t="n">
        <f aca="false">-In_Commitment_Fee*($I91-SUM($J91:BC91)+BC91)*BC$6*(BC12&gt;0)</f>
        <v>-0</v>
      </c>
      <c r="BD96" s="48" t="n">
        <f aca="false">-In_Commitment_Fee*($I91-SUM($J91:BD91)+BD91)*BD$6*(BD12&gt;0)</f>
        <v>-0</v>
      </c>
      <c r="BE96" s="48" t="n">
        <f aca="false">-In_Commitment_Fee*($I91-SUM($J91:BE91)+BE91)*BE$6*(BE12&gt;0)</f>
        <v>-0</v>
      </c>
      <c r="BF96" s="48" t="n">
        <f aca="false">-In_Commitment_Fee*($I91-SUM($J91:BF91)+BF91)*BF$6*(BF12&gt;0)</f>
        <v>-0</v>
      </c>
      <c r="BG96" s="48" t="n">
        <f aca="false">-In_Commitment_Fee*($I91-SUM($J91:BG91)+BG91)*BG$6*(BG12&gt;0)</f>
        <v>-0</v>
      </c>
      <c r="BH96" s="48" t="n">
        <f aca="false">-In_Commitment_Fee*($I91-SUM($J91:BH91)+BH91)*BH$6*(BH12&gt;0)</f>
        <v>-0</v>
      </c>
      <c r="BI96" s="48" t="n">
        <f aca="false">-In_Commitment_Fee*($I91-SUM($J91:BI91)+BI91)*BI$6*(BI12&gt;0)</f>
        <v>-0</v>
      </c>
      <c r="BJ96" s="48" t="n">
        <f aca="false">-In_Commitment_Fee*($I91-SUM($J91:BJ91)+BJ91)*BJ$6*(BJ12&gt;0)</f>
        <v>-0</v>
      </c>
      <c r="BK96" s="48" t="n">
        <f aca="false">-In_Commitment_Fee*($I91-SUM($J91:BK91)+BK91)*BK$6*(BK12&gt;0)</f>
        <v>-0</v>
      </c>
      <c r="BL96" s="48" t="n">
        <f aca="false">-In_Commitment_Fee*($I91-SUM($J91:BL91)+BL91)*BL$6*(BL12&gt;0)</f>
        <v>-0</v>
      </c>
      <c r="BM96" s="48" t="n">
        <f aca="false">-In_Commitment_Fee*($I91-SUM($J91:BM91)+BM91)*BM$6*(BM12&gt;0)</f>
        <v>-0</v>
      </c>
      <c r="BN96" s="48" t="n">
        <f aca="false">-In_Commitment_Fee*($I91-SUM($J91:BN91)+BN91)*BN$6*(BN12&gt;0)</f>
        <v>-0</v>
      </c>
      <c r="BO96" s="48" t="n">
        <f aca="false">-In_Commitment_Fee*($I91-SUM($J91:BO91)+BO91)*BO$6*(BO12&gt;0)</f>
        <v>-0</v>
      </c>
      <c r="BP96" s="48" t="n">
        <f aca="false">-In_Commitment_Fee*($I91-SUM($J91:BP91)+BP91)*BP$6*(BP12&gt;0)</f>
        <v>-0</v>
      </c>
      <c r="BQ96" s="48" t="n">
        <f aca="false">-In_Commitment_Fee*($I91-SUM($J91:BQ91)+BQ91)*BQ$6*(BQ12&gt;0)</f>
        <v>-0</v>
      </c>
      <c r="BR96" s="48" t="n">
        <f aca="false">-In_Commitment_Fee*($I91-SUM($J91:BR91)+BR91)*BR$6*(BR12&gt;0)</f>
        <v>-0</v>
      </c>
      <c r="BS96" s="48" t="n">
        <f aca="false">-In_Commitment_Fee*($I91-SUM($J91:BS91)+BS91)*BS$6*(BS12&gt;0)</f>
        <v>-0</v>
      </c>
      <c r="BT96" s="48" t="n">
        <f aca="false">-In_Commitment_Fee*($I91-SUM($J91:BT91)+BT91)*BT$6*(BT12&gt;0)</f>
        <v>-0</v>
      </c>
      <c r="BU96" s="48" t="n">
        <f aca="false">-In_Commitment_Fee*($I91-SUM($J91:BU91)+BU91)*BU$6*(BU12&gt;0)</f>
        <v>-0</v>
      </c>
      <c r="BV96" s="48" t="n">
        <f aca="false">-In_Commitment_Fee*($I91-SUM($J91:BV91)+BV91)*BV$6*(BV12&gt;0)</f>
        <v>-0</v>
      </c>
      <c r="BW96" s="48" t="n">
        <f aca="false">-In_Commitment_Fee*($I91-SUM($J91:BW91)+BW91)*BW$6*(BW12&gt;0)</f>
        <v>-0</v>
      </c>
      <c r="BX96" s="48" t="n">
        <f aca="false">-In_Commitment_Fee*($I91-SUM($J91:BX91)+BX91)*BX$6*(BX12&gt;0)</f>
        <v>-0</v>
      </c>
      <c r="BY96" s="48" t="n">
        <f aca="false">-In_Commitment_Fee*($I91-SUM($J91:BY91)+BY91)*BY$6*(BY12&gt;0)</f>
        <v>-0</v>
      </c>
      <c r="BZ96" s="48" t="n">
        <f aca="false">-In_Commitment_Fee*($I91-SUM($J91:BZ91)+BZ91)*BZ$6*(BZ12&gt;0)</f>
        <v>-0</v>
      </c>
      <c r="CA96" s="48" t="n">
        <f aca="false">-In_Commitment_Fee*($I91-SUM($J91:CA91)+CA91)*CA$6*(CA12&gt;0)</f>
        <v>-0</v>
      </c>
      <c r="CB96" s="48" t="n">
        <f aca="false">-In_Commitment_Fee*($I91-SUM($J91:CB91)+CB91)*CB$6*(CB12&gt;0)</f>
        <v>-0</v>
      </c>
      <c r="CC96" s="48" t="n">
        <f aca="false">-In_Commitment_Fee*($I91-SUM($J91:CC91)+CC91)*CC$6*(CC12&gt;0)</f>
        <v>-0</v>
      </c>
      <c r="CD96" s="48" t="n">
        <f aca="false">-In_Commitment_Fee*($I91-SUM($J91:CD91)+CD91)*CD$6*(CD12&gt;0)</f>
        <v>-0</v>
      </c>
      <c r="CE96" s="48" t="n">
        <f aca="false">-In_Commitment_Fee*($I91-SUM($J91:CE91)+CE91)*CE$6*(CE12&gt;0)</f>
        <v>-0</v>
      </c>
      <c r="CF96" s="48" t="n">
        <f aca="false">-In_Commitment_Fee*($I91-SUM($J91:CF91)+CF91)*CF$6*(CF12&gt;0)</f>
        <v>-0</v>
      </c>
      <c r="CG96" s="48" t="n">
        <f aca="false">-In_Commitment_Fee*($I91-SUM($J91:CG91)+CG91)*CG$6*(CG12&gt;0)</f>
        <v>-0</v>
      </c>
      <c r="CH96" s="48" t="n">
        <f aca="false">-In_Commitment_Fee*($I91-SUM($J91:CH91)+CH91)*CH$6*(CH12&gt;0)</f>
        <v>-0</v>
      </c>
      <c r="CI96" s="48" t="n">
        <f aca="false">-In_Commitment_Fee*($I91-SUM($J91:CI91)+CI91)*CI$6*(CI12&gt;0)</f>
        <v>-0</v>
      </c>
      <c r="CJ96" s="48" t="n">
        <f aca="false">-In_Commitment_Fee*($I91-SUM($J91:CJ91)+CJ91)*CJ$6*(CJ12&gt;0)</f>
        <v>-0</v>
      </c>
      <c r="CK96" s="48" t="n">
        <f aca="false">-In_Commitment_Fee*($I91-SUM($J91:CK91)+CK91)*CK$6*(CK12&gt;0)</f>
        <v>-0</v>
      </c>
      <c r="CL96" s="48" t="n">
        <f aca="false">-In_Commitment_Fee*($I91-SUM($J91:CL91)+CL91)*CL$6*(CL12&gt;0)</f>
        <v>-0</v>
      </c>
      <c r="CM96" s="48" t="n">
        <f aca="false">-In_Commitment_Fee*($I91-SUM($J91:CM91)+CM91)*CM$6*(CM12&gt;0)</f>
        <v>-0</v>
      </c>
      <c r="CN96" s="48" t="n">
        <f aca="false">-In_Commitment_Fee*($I91-SUM($J91:CN91)+CN91)*CN$6*(CN12&gt;0)</f>
        <v>-0</v>
      </c>
      <c r="CO96" s="48" t="n">
        <f aca="false">-In_Commitment_Fee*($I91-SUM($J91:CO91)+CO91)*CO$6*(CO12&gt;0)</f>
        <v>-0</v>
      </c>
      <c r="CP96" s="48" t="n">
        <f aca="false">-In_Commitment_Fee*($I91-SUM($J91:CP91)+CP91)*CP$6*(CP12&gt;0)</f>
        <v>-0</v>
      </c>
      <c r="CQ96" s="48" t="n">
        <f aca="false">-In_Commitment_Fee*($I91-SUM($J91:CQ91)+CQ91)*CQ$6*(CQ12&gt;0)</f>
        <v>-0</v>
      </c>
      <c r="CR96" s="48" t="n">
        <f aca="false">-In_Commitment_Fee*($I91-SUM($J91:CR91)+CR91)*CR$6*(CR12&gt;0)</f>
        <v>-0</v>
      </c>
      <c r="CS96" s="48" t="n">
        <f aca="false">-In_Commitment_Fee*($I91-SUM($J91:CS91)+CS91)*CS$6*(CS12&gt;0)</f>
        <v>-0</v>
      </c>
      <c r="CT96" s="48" t="n">
        <f aca="false">-In_Commitment_Fee*($I91-SUM($J91:CT91)+CT91)*CT$6*(CT12&gt;0)</f>
        <v>-0</v>
      </c>
      <c r="CU96" s="48" t="n">
        <f aca="false">-In_Commitment_Fee*($I91-SUM($J91:CU91)+CU91)*CU$6*(CU12&gt;0)</f>
        <v>-0</v>
      </c>
      <c r="CV96" s="48" t="n">
        <f aca="false">-In_Commitment_Fee*($I91-SUM($J91:CV91)+CV91)*CV$6*(CV12&gt;0)</f>
        <v>-0</v>
      </c>
      <c r="CW96" s="48" t="n">
        <f aca="false">-In_Commitment_Fee*($I91-SUM($J91:CW91)+CW91)*CW$6*(CW12&gt;0)</f>
        <v>-0</v>
      </c>
      <c r="CX96" s="48" t="n">
        <f aca="false">-In_Commitment_Fee*($I91-SUM($J91:CX91)+CX91)*CX$6*(CX12&gt;0)</f>
        <v>-0</v>
      </c>
      <c r="CY96" s="48" t="n">
        <f aca="false">-In_Commitment_Fee*($I91-SUM($J91:CY91)+CY91)*CY$6*(CY12&gt;0)</f>
        <v>-0</v>
      </c>
      <c r="CZ96" s="48" t="n">
        <f aca="false">-In_Commitment_Fee*($I91-SUM($J91:CZ91)+CZ91)*CZ$6*(CZ12&gt;0)</f>
        <v>-0</v>
      </c>
      <c r="DA96" s="48" t="n">
        <f aca="false">-In_Commitment_Fee*($I91-SUM($J91:DA91)+DA91)*DA$6*(DA12&gt;0)</f>
        <v>-0</v>
      </c>
      <c r="DB96" s="48" t="n">
        <f aca="false">-In_Commitment_Fee*($I91-SUM($J91:DB91)+DB91)*DB$6*(DB12&gt;0)</f>
        <v>-0</v>
      </c>
      <c r="DC96" s="48" t="n">
        <f aca="false">-In_Commitment_Fee*($I91-SUM($J91:DC91)+DC91)*DC$6*(DC12&gt;0)</f>
        <v>-0</v>
      </c>
      <c r="DD96" s="48" t="n">
        <f aca="false">-In_Commitment_Fee*($I91-SUM($J91:DD91)+DD91)*DD$6*(DD12&gt;0)</f>
        <v>-0</v>
      </c>
      <c r="DE96" s="48" t="n">
        <f aca="false">-In_Commitment_Fee*($I91-SUM($J91:DE91)+DE91)*DE$6*(DE12&gt;0)</f>
        <v>-0</v>
      </c>
      <c r="DF96" s="48" t="n">
        <f aca="false">-In_Commitment_Fee*($I91-SUM($J91:DF91)+DF91)*DF$6*(DF12&gt;0)</f>
        <v>-0</v>
      </c>
      <c r="DG96" s="48" t="n">
        <f aca="false">-In_Commitment_Fee*($I91-SUM($J91:DG91)+DG91)*DG$6*(DG12&gt;0)</f>
        <v>-0</v>
      </c>
      <c r="DH96" s="48" t="n">
        <f aca="false">-In_Commitment_Fee*($I91-SUM($J91:DH91)+DH91)*DH$6*(DH12&gt;0)</f>
        <v>-0</v>
      </c>
      <c r="DI96" s="48" t="n">
        <f aca="false">-In_Commitment_Fee*($I91-SUM($J91:DI91)+DI91)*DI$6*(DI12&gt;0)</f>
        <v>-0</v>
      </c>
      <c r="DJ96" s="48" t="n">
        <f aca="false">-In_Commitment_Fee*($I91-SUM($J91:DJ91)+DJ91)*DJ$6*(DJ12&gt;0)</f>
        <v>-0</v>
      </c>
      <c r="DK96" s="48" t="n">
        <f aca="false">-In_Commitment_Fee*($I91-SUM($J91:DK91)+DK91)*DK$6*(DK12&gt;0)</f>
        <v>-0</v>
      </c>
      <c r="DL96" s="48" t="n">
        <f aca="false">-In_Commitment_Fee*($I91-SUM($J91:DL91)+DL91)*DL$6*(DL12&gt;0)</f>
        <v>-0</v>
      </c>
      <c r="DM96" s="48" t="n">
        <f aca="false">-In_Commitment_Fee*($I91-SUM($J91:DM91)+DM91)*DM$6*(DM12&gt;0)</f>
        <v>-0</v>
      </c>
      <c r="DN96" s="48" t="n">
        <f aca="false">-In_Commitment_Fee*($I91-SUM($J91:DN91)+DN91)*DN$6*(DN12&gt;0)</f>
        <v>-0</v>
      </c>
      <c r="DO96" s="48" t="n">
        <f aca="false">-In_Commitment_Fee*($I91-SUM($J91:DO91)+DO91)*DO$6*(DO12&gt;0)</f>
        <v>-0</v>
      </c>
      <c r="DP96" s="48" t="n">
        <f aca="false">-In_Commitment_Fee*($I91-SUM($J91:DP91)+DP91)*DP$6*(DP12&gt;0)</f>
        <v>-0</v>
      </c>
      <c r="DQ96" s="48" t="n">
        <f aca="false">-In_Commitment_Fee*($I91-SUM($J91:DQ91)+DQ91)*DQ$6*(DQ12&gt;0)</f>
        <v>-0</v>
      </c>
      <c r="DR96" s="48" t="n">
        <f aca="false">-In_Commitment_Fee*($I91-SUM($J91:DR91)+DR91)*DR$6*(DR12&gt;0)</f>
        <v>-0</v>
      </c>
      <c r="DS96" s="48" t="n">
        <f aca="false">-In_Commitment_Fee*($I91-SUM($J91:DS91)+DS91)*DS$6*(DS12&gt;0)</f>
        <v>-0</v>
      </c>
      <c r="DT96" s="48" t="n">
        <f aca="false">-In_Commitment_Fee*($I91-SUM($J91:DT91)+DT91)*DT$6*(DT12&gt;0)</f>
        <v>-0</v>
      </c>
      <c r="DU96" s="48" t="n">
        <f aca="false">-In_Commitment_Fee*($I91-SUM($J91:DU91)+DU91)*DU$6*(DU12&gt;0)</f>
        <v>-0</v>
      </c>
      <c r="DV96" s="48" t="n">
        <f aca="false">-In_Commitment_Fee*($I91-SUM($J91:DV91)+DV91)*DV$6*(DV12&gt;0)</f>
        <v>-0</v>
      </c>
      <c r="DW96" s="48" t="n">
        <f aca="false">-In_Commitment_Fee*($I91-SUM($J91:DW91)+DW91)*DW$6*(DW12&gt;0)</f>
        <v>-0</v>
      </c>
      <c r="DX96" s="48" t="n">
        <f aca="false">-In_Commitment_Fee*($I91-SUM($J91:DX91)+DX91)*DX$6*(DX12&gt;0)</f>
        <v>-0</v>
      </c>
      <c r="DY96" s="48" t="n">
        <f aca="false">-In_Commitment_Fee*($I91-SUM($J91:DY91)+DY91)*DY$6*(DY12&gt;0)</f>
        <v>-0</v>
      </c>
      <c r="DZ96" s="48" t="n">
        <f aca="false">-In_Commitment_Fee*($I91-SUM($J91:DZ91)+DZ91)*DZ$6*(DZ12&gt;0)</f>
        <v>-0</v>
      </c>
      <c r="EA96" s="48" t="n">
        <f aca="false">-In_Commitment_Fee*($I91-SUM($J91:EA91)+EA91)*EA$6*(EA12&gt;0)</f>
        <v>-0</v>
      </c>
      <c r="EB96" s="48" t="n">
        <f aca="false">-In_Commitment_Fee*($I91-SUM($J91:EB91)+EB91)*EB$6*(EB12&gt;0)</f>
        <v>-0</v>
      </c>
      <c r="EC96" s="48" t="n">
        <f aca="false">-In_Commitment_Fee*($I91-SUM($J91:EC91)+EC91)*EC$6*(EC12&gt;0)</f>
        <v>-0</v>
      </c>
      <c r="ED96" s="48" t="n">
        <f aca="false">-In_Commitment_Fee*($I91-SUM($J91:ED91)+ED91)*ED$6*(ED12&gt;0)</f>
        <v>-0</v>
      </c>
      <c r="EE96" s="48" t="n">
        <f aca="false">-In_Commitment_Fee*($I91-SUM($J91:EE91)+EE91)*EE$6*(EE12&gt;0)</f>
        <v>-0</v>
      </c>
      <c r="EF96" s="48" t="n">
        <f aca="false">-In_Commitment_Fee*($I91-SUM($J91:EF91)+EF91)*EF$6*(EF12&gt;0)</f>
        <v>-0</v>
      </c>
      <c r="EG96" s="48" t="n">
        <f aca="false">-In_Commitment_Fee*($I91-SUM($J91:EG91)+EG91)*EG$6*(EG12&gt;0)</f>
        <v>-0</v>
      </c>
      <c r="EH96" s="48" t="n">
        <f aca="false">-In_Commitment_Fee*($I91-SUM($J91:EH91)+EH91)*EH$6*(EH12&gt;0)</f>
        <v>-0</v>
      </c>
      <c r="EI96" s="48" t="n">
        <f aca="false">-In_Commitment_Fee*($I91-SUM($J91:EI91)+EI91)*EI$6*(EI12&gt;0)</f>
        <v>-0</v>
      </c>
      <c r="EJ96" s="48" t="n">
        <f aca="false">-In_Commitment_Fee*($I91-SUM($J91:EJ91)+EJ91)*EJ$6*(EJ12&gt;0)</f>
        <v>-0</v>
      </c>
      <c r="EK96" s="48" t="n">
        <f aca="false">-In_Commitment_Fee*($I91-SUM($J91:EK91)+EK91)*EK$6*(EK12&gt;0)</f>
        <v>-0</v>
      </c>
      <c r="EL96" s="48" t="n">
        <f aca="false">-In_Commitment_Fee*($I91-SUM($J91:EL91)+EL91)*EL$6*(EL12&gt;0)</f>
        <v>-0</v>
      </c>
      <c r="EM96" s="48" t="n">
        <f aca="false">-In_Commitment_Fee*($I91-SUM($J91:EM91)+EM91)*EM$6*(EM12&gt;0)</f>
        <v>-0</v>
      </c>
      <c r="EN96" s="48" t="n">
        <f aca="false">-In_Commitment_Fee*($I91-SUM($J91:EN91)+EN91)*EN$6*(EN12&gt;0)</f>
        <v>-0</v>
      </c>
      <c r="EO96" s="48" t="n">
        <f aca="false">-In_Commitment_Fee*($I91-SUM($J91:EO91)+EO91)*EO$6*(EO12&gt;0)</f>
        <v>-0</v>
      </c>
    </row>
    <row r="97" customFormat="false" ht="15" hidden="false" customHeight="false" outlineLevel="0" collapsed="false">
      <c r="C97" s="1" t="s">
        <v>452</v>
      </c>
      <c r="D97" s="12" t="s">
        <v>33</v>
      </c>
      <c r="E97" s="48" t="n">
        <f aca="false">-SUMIFS($J89:$EO89,$J$4:$EO$4,"&gt;"&amp;In_COD,$J$4:$EO$4,"&lt;="&amp;EDATE(In_COD,In_DSRA_Months))</f>
        <v>908.387447955351</v>
      </c>
      <c r="I97" s="48" t="n">
        <f aca="false">SUM(J97:EO97)</f>
        <v>0</v>
      </c>
      <c r="J97" s="48" t="n">
        <f aca="false">$E97*(J18-J14)</f>
        <v>0</v>
      </c>
      <c r="K97" s="48" t="n">
        <f aca="false">$E97*(K18-K14)</f>
        <v>0</v>
      </c>
      <c r="L97" s="48" t="n">
        <f aca="false">$E97*(L18-L14)</f>
        <v>0</v>
      </c>
      <c r="M97" s="48" t="n">
        <f aca="false">$E97*(M18-M14)</f>
        <v>0</v>
      </c>
      <c r="N97" s="48" t="n">
        <f aca="false">$E97*(N18-N14)</f>
        <v>0</v>
      </c>
      <c r="O97" s="48" t="n">
        <f aca="false">$E97*(O18-O14)</f>
        <v>0</v>
      </c>
      <c r="P97" s="48" t="n">
        <f aca="false">$E97*(P18-P14)</f>
        <v>0</v>
      </c>
      <c r="Q97" s="48" t="n">
        <f aca="false">$E97*(Q18-Q14)</f>
        <v>0</v>
      </c>
      <c r="R97" s="48" t="n">
        <f aca="false">$E97*(R18-R14)</f>
        <v>0</v>
      </c>
      <c r="S97" s="48" t="n">
        <f aca="false">$E97*(S18-S14)</f>
        <v>0</v>
      </c>
      <c r="T97" s="48" t="n">
        <f aca="false">$E97*(T18-T14)</f>
        <v>0</v>
      </c>
      <c r="U97" s="48" t="n">
        <f aca="false">$E97*(U18-U14)</f>
        <v>0</v>
      </c>
      <c r="V97" s="48" t="n">
        <f aca="false">$E97*(V18-V14)</f>
        <v>0</v>
      </c>
      <c r="W97" s="48" t="n">
        <f aca="false">$E97*(W18-W14)</f>
        <v>0</v>
      </c>
      <c r="X97" s="48" t="n">
        <f aca="false">$E97*(X18-X14)</f>
        <v>0</v>
      </c>
      <c r="Y97" s="48" t="n">
        <f aca="false">$E97*(Y18-Y14)</f>
        <v>-908.387447955351</v>
      </c>
      <c r="Z97" s="48" t="n">
        <f aca="false">$E97*(Z18-Z14)</f>
        <v>0</v>
      </c>
      <c r="AA97" s="48" t="n">
        <f aca="false">$E97*(AA18-AA14)</f>
        <v>0</v>
      </c>
      <c r="AB97" s="48" t="n">
        <f aca="false">$E97*(AB18-AB14)</f>
        <v>0</v>
      </c>
      <c r="AC97" s="48" t="n">
        <f aca="false">$E97*(AC18-AC14)</f>
        <v>0</v>
      </c>
      <c r="AD97" s="48" t="n">
        <f aca="false">$E97*(AD18-AD14)</f>
        <v>0</v>
      </c>
      <c r="AE97" s="48" t="n">
        <f aca="false">$E97*(AE18-AE14)</f>
        <v>0</v>
      </c>
      <c r="AF97" s="48" t="n">
        <f aca="false">$E97*(AF18-AF14)</f>
        <v>0</v>
      </c>
      <c r="AG97" s="48" t="n">
        <f aca="false">$E97*(AG18-AG14)</f>
        <v>0</v>
      </c>
      <c r="AH97" s="48" t="n">
        <f aca="false">$E97*(AH18-AH14)</f>
        <v>0</v>
      </c>
      <c r="AI97" s="48" t="n">
        <f aca="false">$E97*(AI18-AI14)</f>
        <v>0</v>
      </c>
      <c r="AJ97" s="48" t="n">
        <f aca="false">$E97*(AJ18-AJ14)</f>
        <v>0</v>
      </c>
      <c r="AK97" s="48" t="n">
        <f aca="false">$E97*(AK18-AK14)</f>
        <v>0</v>
      </c>
      <c r="AL97" s="48" t="n">
        <f aca="false">$E97*(AL18-AL14)</f>
        <v>0</v>
      </c>
      <c r="AM97" s="48" t="n">
        <f aca="false">$E97*(AM18-AM14)</f>
        <v>0</v>
      </c>
      <c r="AN97" s="48" t="n">
        <f aca="false">$E97*(AN18-AN14)</f>
        <v>0</v>
      </c>
      <c r="AO97" s="48" t="n">
        <f aca="false">$E97*(AO18-AO14)</f>
        <v>0</v>
      </c>
      <c r="AP97" s="48" t="n">
        <f aca="false">$E97*(AP18-AP14)</f>
        <v>0</v>
      </c>
      <c r="AQ97" s="48" t="n">
        <f aca="false">$E97*(AQ18-AQ14)</f>
        <v>0</v>
      </c>
      <c r="AR97" s="48" t="n">
        <f aca="false">$E97*(AR18-AR14)</f>
        <v>0</v>
      </c>
      <c r="AS97" s="48" t="n">
        <f aca="false">$E97*(AS18-AS14)</f>
        <v>0</v>
      </c>
      <c r="AT97" s="48" t="n">
        <f aca="false">$E97*(AT18-AT14)</f>
        <v>0</v>
      </c>
      <c r="AU97" s="48" t="n">
        <f aca="false">$E97*(AU18-AU14)</f>
        <v>0</v>
      </c>
      <c r="AV97" s="48" t="n">
        <f aca="false">$E97*(AV18-AV14)</f>
        <v>0</v>
      </c>
      <c r="AW97" s="48" t="n">
        <f aca="false">$E97*(AW18-AW14)</f>
        <v>0</v>
      </c>
      <c r="AX97" s="48" t="n">
        <f aca="false">$E97*(AX18-AX14)</f>
        <v>0</v>
      </c>
      <c r="AY97" s="48" t="n">
        <f aca="false">$E97*(AY18-AY14)</f>
        <v>0</v>
      </c>
      <c r="AZ97" s="48" t="n">
        <f aca="false">$E97*(AZ18-AZ14)</f>
        <v>0</v>
      </c>
      <c r="BA97" s="48" t="n">
        <f aca="false">$E97*(BA18-BA14)</f>
        <v>0</v>
      </c>
      <c r="BB97" s="48" t="n">
        <f aca="false">$E97*(BB18-BB14)</f>
        <v>0</v>
      </c>
      <c r="BC97" s="48" t="n">
        <f aca="false">$E97*(BC18-BC14)</f>
        <v>0</v>
      </c>
      <c r="BD97" s="48" t="n">
        <f aca="false">$E97*(BD18-BD14)</f>
        <v>0</v>
      </c>
      <c r="BE97" s="48" t="n">
        <f aca="false">$E97*(BE18-BE14)</f>
        <v>0</v>
      </c>
      <c r="BF97" s="48" t="n">
        <f aca="false">$E97*(BF18-BF14)</f>
        <v>0</v>
      </c>
      <c r="BG97" s="48" t="n">
        <f aca="false">$E97*(BG18-BG14)</f>
        <v>0</v>
      </c>
      <c r="BH97" s="48" t="n">
        <f aca="false">$E97*(BH18-BH14)</f>
        <v>0</v>
      </c>
      <c r="BI97" s="48" t="n">
        <f aca="false">$E97*(BI18-BI14)</f>
        <v>0</v>
      </c>
      <c r="BJ97" s="48" t="n">
        <f aca="false">$E97*(BJ18-BJ14)</f>
        <v>0</v>
      </c>
      <c r="BK97" s="48" t="n">
        <f aca="false">$E97*(BK18-BK14)</f>
        <v>0</v>
      </c>
      <c r="BL97" s="48" t="n">
        <f aca="false">$E97*(BL18-BL14)</f>
        <v>0</v>
      </c>
      <c r="BM97" s="48" t="n">
        <f aca="false">$E97*(BM18-BM14)</f>
        <v>0</v>
      </c>
      <c r="BN97" s="48" t="n">
        <f aca="false">$E97*(BN18-BN14)</f>
        <v>0</v>
      </c>
      <c r="BO97" s="48" t="n">
        <f aca="false">$E97*(BO18-BO14)</f>
        <v>0</v>
      </c>
      <c r="BP97" s="48" t="n">
        <f aca="false">$E97*(BP18-BP14)</f>
        <v>0</v>
      </c>
      <c r="BQ97" s="48" t="n">
        <f aca="false">$E97*(BQ18-BQ14)</f>
        <v>0</v>
      </c>
      <c r="BR97" s="48" t="n">
        <f aca="false">$E97*(BR18-BR14)</f>
        <v>0</v>
      </c>
      <c r="BS97" s="48" t="n">
        <f aca="false">$E97*(BS18-BS14)</f>
        <v>0</v>
      </c>
      <c r="BT97" s="48" t="n">
        <f aca="false">$E97*(BT18-BT14)</f>
        <v>0</v>
      </c>
      <c r="BU97" s="48" t="n">
        <f aca="false">$E97*(BU18-BU14)</f>
        <v>0</v>
      </c>
      <c r="BV97" s="48" t="n">
        <f aca="false">$E97*(BV18-BV14)</f>
        <v>0</v>
      </c>
      <c r="BW97" s="48" t="n">
        <f aca="false">$E97*(BW18-BW14)</f>
        <v>0</v>
      </c>
      <c r="BX97" s="48" t="n">
        <f aca="false">$E97*(BX18-BX14)</f>
        <v>0</v>
      </c>
      <c r="BY97" s="48" t="n">
        <f aca="false">$E97*(BY18-BY14)</f>
        <v>0</v>
      </c>
      <c r="BZ97" s="48" t="n">
        <f aca="false">$E97*(BZ18-BZ14)</f>
        <v>0</v>
      </c>
      <c r="CA97" s="48" t="n">
        <f aca="false">$E97*(CA18-CA14)</f>
        <v>0</v>
      </c>
      <c r="CB97" s="48" t="n">
        <f aca="false">$E97*(CB18-CB14)</f>
        <v>0</v>
      </c>
      <c r="CC97" s="48" t="n">
        <f aca="false">$E97*(CC18-CC14)</f>
        <v>0</v>
      </c>
      <c r="CD97" s="48" t="n">
        <f aca="false">$E97*(CD18-CD14)</f>
        <v>0</v>
      </c>
      <c r="CE97" s="48" t="n">
        <f aca="false">$E97*(CE18-CE14)</f>
        <v>0</v>
      </c>
      <c r="CF97" s="48" t="n">
        <f aca="false">$E97*(CF18-CF14)</f>
        <v>0</v>
      </c>
      <c r="CG97" s="48" t="n">
        <f aca="false">$E97*(CG18-CG14)</f>
        <v>0</v>
      </c>
      <c r="CH97" s="48" t="n">
        <f aca="false">$E97*(CH18-CH14)</f>
        <v>0</v>
      </c>
      <c r="CI97" s="48" t="n">
        <f aca="false">$E97*(CI18-CI14)</f>
        <v>0</v>
      </c>
      <c r="CJ97" s="48" t="n">
        <f aca="false">$E97*(CJ18-CJ14)</f>
        <v>0</v>
      </c>
      <c r="CK97" s="48" t="n">
        <f aca="false">$E97*(CK18-CK14)</f>
        <v>0</v>
      </c>
      <c r="CL97" s="48" t="n">
        <f aca="false">$E97*(CL18-CL14)</f>
        <v>0</v>
      </c>
      <c r="CM97" s="48" t="n">
        <f aca="false">$E97*(CM18-CM14)</f>
        <v>0</v>
      </c>
      <c r="CN97" s="48" t="n">
        <f aca="false">$E97*(CN18-CN14)</f>
        <v>0</v>
      </c>
      <c r="CO97" s="48" t="n">
        <f aca="false">$E97*(CO18-CO14)</f>
        <v>0</v>
      </c>
      <c r="CP97" s="48" t="n">
        <f aca="false">$E97*(CP18-CP14)</f>
        <v>0</v>
      </c>
      <c r="CQ97" s="48" t="n">
        <f aca="false">$E97*(CQ18-CQ14)</f>
        <v>0</v>
      </c>
      <c r="CR97" s="48" t="n">
        <f aca="false">$E97*(CR18-CR14)</f>
        <v>0</v>
      </c>
      <c r="CS97" s="48" t="n">
        <f aca="false">$E97*(CS18-CS14)</f>
        <v>908.387447955351</v>
      </c>
      <c r="CT97" s="48" t="n">
        <f aca="false">$E97*(CT18-CT14)</f>
        <v>0</v>
      </c>
      <c r="CU97" s="48" t="n">
        <f aca="false">$E97*(CU18-CU14)</f>
        <v>0</v>
      </c>
      <c r="CV97" s="48" t="n">
        <f aca="false">$E97*(CV18-CV14)</f>
        <v>0</v>
      </c>
      <c r="CW97" s="48" t="n">
        <f aca="false">$E97*(CW18-CW14)</f>
        <v>0</v>
      </c>
      <c r="CX97" s="48" t="n">
        <f aca="false">$E97*(CX18-CX14)</f>
        <v>0</v>
      </c>
      <c r="CY97" s="48" t="n">
        <f aca="false">$E97*(CY18-CY14)</f>
        <v>0</v>
      </c>
      <c r="CZ97" s="48" t="n">
        <f aca="false">$E97*(CZ18-CZ14)</f>
        <v>0</v>
      </c>
      <c r="DA97" s="48" t="n">
        <f aca="false">$E97*(DA18-DA14)</f>
        <v>0</v>
      </c>
      <c r="DB97" s="48" t="n">
        <f aca="false">$E97*(DB18-DB14)</f>
        <v>0</v>
      </c>
      <c r="DC97" s="48" t="n">
        <f aca="false">$E97*(DC18-DC14)</f>
        <v>0</v>
      </c>
      <c r="DD97" s="48" t="n">
        <f aca="false">$E97*(DD18-DD14)</f>
        <v>0</v>
      </c>
      <c r="DE97" s="48" t="n">
        <f aca="false">$E97*(DE18-DE14)</f>
        <v>0</v>
      </c>
      <c r="DF97" s="48" t="n">
        <f aca="false">$E97*(DF18-DF14)</f>
        <v>0</v>
      </c>
      <c r="DG97" s="48" t="n">
        <f aca="false">$E97*(DG18-DG14)</f>
        <v>0</v>
      </c>
      <c r="DH97" s="48" t="n">
        <f aca="false">$E97*(DH18-DH14)</f>
        <v>0</v>
      </c>
      <c r="DI97" s="48" t="n">
        <f aca="false">$E97*(DI18-DI14)</f>
        <v>0</v>
      </c>
      <c r="DJ97" s="48" t="n">
        <f aca="false">$E97*(DJ18-DJ14)</f>
        <v>0</v>
      </c>
      <c r="DK97" s="48" t="n">
        <f aca="false">$E97*(DK18-DK14)</f>
        <v>0</v>
      </c>
      <c r="DL97" s="48" t="n">
        <f aca="false">$E97*(DL18-DL14)</f>
        <v>0</v>
      </c>
      <c r="DM97" s="48" t="n">
        <f aca="false">$E97*(DM18-DM14)</f>
        <v>0</v>
      </c>
      <c r="DN97" s="48" t="n">
        <f aca="false">$E97*(DN18-DN14)</f>
        <v>0</v>
      </c>
      <c r="DO97" s="48" t="n">
        <f aca="false">$E97*(DO18-DO14)</f>
        <v>0</v>
      </c>
      <c r="DP97" s="48" t="n">
        <f aca="false">$E97*(DP18-DP14)</f>
        <v>0</v>
      </c>
      <c r="DQ97" s="48" t="n">
        <f aca="false">$E97*(DQ18-DQ14)</f>
        <v>0</v>
      </c>
      <c r="DR97" s="48" t="n">
        <f aca="false">$E97*(DR18-DR14)</f>
        <v>0</v>
      </c>
      <c r="DS97" s="48" t="n">
        <f aca="false">$E97*(DS18-DS14)</f>
        <v>0</v>
      </c>
      <c r="DT97" s="48" t="n">
        <f aca="false">$E97*(DT18-DT14)</f>
        <v>0</v>
      </c>
      <c r="DU97" s="48" t="n">
        <f aca="false">$E97*(DU18-DU14)</f>
        <v>0</v>
      </c>
      <c r="DV97" s="48" t="n">
        <f aca="false">$E97*(DV18-DV14)</f>
        <v>0</v>
      </c>
      <c r="DW97" s="48" t="n">
        <f aca="false">$E97*(DW18-DW14)</f>
        <v>0</v>
      </c>
      <c r="DX97" s="48" t="n">
        <f aca="false">$E97*(DX18-DX14)</f>
        <v>0</v>
      </c>
      <c r="DY97" s="48" t="n">
        <f aca="false">$E97*(DY18-DY14)</f>
        <v>0</v>
      </c>
      <c r="DZ97" s="48" t="n">
        <f aca="false">$E97*(DZ18-DZ14)</f>
        <v>0</v>
      </c>
      <c r="EA97" s="48" t="n">
        <f aca="false">$E97*(EA18-EA14)</f>
        <v>0</v>
      </c>
      <c r="EB97" s="48" t="n">
        <f aca="false">$E97*(EB18-EB14)</f>
        <v>0</v>
      </c>
      <c r="EC97" s="48" t="n">
        <f aca="false">$E97*(EC18-EC14)</f>
        <v>0</v>
      </c>
      <c r="ED97" s="48" t="n">
        <f aca="false">$E97*(ED18-ED14)</f>
        <v>0</v>
      </c>
      <c r="EE97" s="48" t="n">
        <f aca="false">$E97*(EE18-EE14)</f>
        <v>0</v>
      </c>
      <c r="EF97" s="48" t="n">
        <f aca="false">$E97*(EF18-EF14)</f>
        <v>0</v>
      </c>
      <c r="EG97" s="48" t="n">
        <f aca="false">$E97*(EG18-EG14)</f>
        <v>0</v>
      </c>
      <c r="EH97" s="48" t="n">
        <f aca="false">$E97*(EH18-EH14)</f>
        <v>0</v>
      </c>
      <c r="EI97" s="48" t="n">
        <f aca="false">$E97*(EI18-EI14)</f>
        <v>0</v>
      </c>
      <c r="EJ97" s="48" t="n">
        <f aca="false">$E97*(EJ18-EJ14)</f>
        <v>0</v>
      </c>
      <c r="EK97" s="48" t="n">
        <f aca="false">$E97*(EK18-EK14)</f>
        <v>0</v>
      </c>
      <c r="EL97" s="48" t="n">
        <f aca="false">$E97*(EL18-EL14)</f>
        <v>0</v>
      </c>
      <c r="EM97" s="48" t="n">
        <f aca="false">$E97*(EM18-EM14)</f>
        <v>0</v>
      </c>
      <c r="EN97" s="48" t="n">
        <f aca="false">$E97*(EN18-EN14)</f>
        <v>0</v>
      </c>
      <c r="EO97" s="48" t="n">
        <f aca="false">$E97*(EO18-EO14)</f>
        <v>0</v>
      </c>
    </row>
    <row r="98" customFormat="false" ht="15" hidden="false" customHeight="false" outlineLevel="0" collapsed="false">
      <c r="C98" s="1" t="s">
        <v>453</v>
      </c>
      <c r="D98" s="12" t="s">
        <v>13</v>
      </c>
      <c r="E98" s="53" t="n">
        <f aca="false">MIN($J98:$EO98)</f>
        <v>2.53300130461873</v>
      </c>
      <c r="J98" s="53" t="str">
        <f aca="false">IF(J89&lt;0,J83/-J89,"")</f>
        <v/>
      </c>
      <c r="K98" s="53" t="str">
        <f aca="false">IF(K89&lt;0,K83/-K89,"")</f>
        <v/>
      </c>
      <c r="L98" s="53" t="str">
        <f aca="false">IF(L89&lt;0,L83/-L89,"")</f>
        <v/>
      </c>
      <c r="M98" s="53" t="str">
        <f aca="false">IF(M89&lt;0,M83/-M89,"")</f>
        <v/>
      </c>
      <c r="N98" s="53" t="str">
        <f aca="false">IF(N89&lt;0,N83/-N89,"")</f>
        <v/>
      </c>
      <c r="O98" s="53" t="str">
        <f aca="false">IF(O89&lt;0,O83/-O89,"")</f>
        <v/>
      </c>
      <c r="P98" s="53" t="str">
        <f aca="false">IF(P89&lt;0,P83/-P89,"")</f>
        <v/>
      </c>
      <c r="Q98" s="53" t="str">
        <f aca="false">IF(Q89&lt;0,Q83/-Q89,"")</f>
        <v/>
      </c>
      <c r="R98" s="53" t="str">
        <f aca="false">IF(R89&lt;0,R83/-R89,"")</f>
        <v/>
      </c>
      <c r="S98" s="53" t="str">
        <f aca="false">IF(S89&lt;0,S83/-S89,"")</f>
        <v/>
      </c>
      <c r="T98" s="53" t="str">
        <f aca="false">IF(T89&lt;0,T83/-T89,"")</f>
        <v/>
      </c>
      <c r="U98" s="53" t="str">
        <f aca="false">IF(U89&lt;0,U83/-U89,"")</f>
        <v/>
      </c>
      <c r="V98" s="53" t="str">
        <f aca="false">IF(V89&lt;0,V83/-V89,"")</f>
        <v/>
      </c>
      <c r="W98" s="53" t="str">
        <f aca="false">IF(W89&lt;0,W83/-W89,"")</f>
        <v/>
      </c>
      <c r="X98" s="53" t="str">
        <f aca="false">IF(X89&lt;0,X83/-X89,"")</f>
        <v/>
      </c>
      <c r="Y98" s="53" t="str">
        <f aca="false">IF(Y89&lt;0,Y83/-Y89,"")</f>
        <v/>
      </c>
      <c r="Z98" s="53" t="n">
        <f aca="false">IF(Z89&lt;0,Z83/-Z89,"")</f>
        <v>2.53300130461873</v>
      </c>
      <c r="AA98" s="53" t="n">
        <f aca="false">IF(AA89&lt;0,AA83/-AA89,"")</f>
        <v>2.53300130461873</v>
      </c>
      <c r="AB98" s="53" t="n">
        <f aca="false">IF(AB89&lt;0,AB83/-AB89,"")</f>
        <v>2.53300130461873</v>
      </c>
      <c r="AC98" s="53" t="n">
        <f aca="false">IF(AC89&lt;0,AC83/-AC89,"")</f>
        <v>2.53300130461873</v>
      </c>
      <c r="AD98" s="53" t="n">
        <f aca="false">IF(AD89&lt;0,AD83/-AD89,"")</f>
        <v>2.53300130461873</v>
      </c>
      <c r="AE98" s="53" t="n">
        <f aca="false">IF(AE89&lt;0,AE83/-AE89,"")</f>
        <v>2.53300130461873</v>
      </c>
      <c r="AF98" s="53" t="n">
        <f aca="false">IF(AF89&lt;0,AF83/-AF89,"")</f>
        <v>2.53300130461873</v>
      </c>
      <c r="AG98" s="53" t="n">
        <f aca="false">IF(AG89&lt;0,AG83/-AG89,"")</f>
        <v>2.53300130461873</v>
      </c>
      <c r="AH98" s="53" t="n">
        <f aca="false">IF(AH89&lt;0,AH83/-AH89,"")</f>
        <v>2.53300130461873</v>
      </c>
      <c r="AI98" s="53" t="n">
        <f aca="false">IF(AI89&lt;0,AI83/-AI89,"")</f>
        <v>2.53300130461873</v>
      </c>
      <c r="AJ98" s="53" t="n">
        <f aca="false">IF(AJ89&lt;0,AJ83/-AJ89,"")</f>
        <v>2.53300130461873</v>
      </c>
      <c r="AK98" s="53" t="n">
        <f aca="false">IF(AK89&lt;0,AK83/-AK89,"")</f>
        <v>2.53300130461873</v>
      </c>
      <c r="AL98" s="53" t="n">
        <f aca="false">IF(AL89&lt;0,AL83/-AL89,"")</f>
        <v>2.53300130461873</v>
      </c>
      <c r="AM98" s="53" t="n">
        <f aca="false">IF(AM89&lt;0,AM83/-AM89,"")</f>
        <v>2.53300130461873</v>
      </c>
      <c r="AN98" s="53" t="n">
        <f aca="false">IF(AN89&lt;0,AN83/-AN89,"")</f>
        <v>2.53300130461873</v>
      </c>
      <c r="AO98" s="53" t="n">
        <f aca="false">IF(AO89&lt;0,AO83/-AO89,"")</f>
        <v>2.53300130461873</v>
      </c>
      <c r="AP98" s="53" t="n">
        <f aca="false">IF(AP89&lt;0,AP83/-AP89,"")</f>
        <v>2.53300130461873</v>
      </c>
      <c r="AQ98" s="53" t="n">
        <f aca="false">IF(AQ89&lt;0,AQ83/-AQ89,"")</f>
        <v>2.53300130461873</v>
      </c>
      <c r="AR98" s="53" t="n">
        <f aca="false">IF(AR89&lt;0,AR83/-AR89,"")</f>
        <v>2.53300130461873</v>
      </c>
      <c r="AS98" s="53" t="n">
        <f aca="false">IF(AS89&lt;0,AS83/-AS89,"")</f>
        <v>2.53300130461873</v>
      </c>
      <c r="AT98" s="53" t="n">
        <f aca="false">IF(AT89&lt;0,AT83/-AT89,"")</f>
        <v>2.53300130461873</v>
      </c>
      <c r="AU98" s="53" t="n">
        <f aca="false">IF(AU89&lt;0,AU83/-AU89,"")</f>
        <v>2.53300130461873</v>
      </c>
      <c r="AV98" s="53" t="n">
        <f aca="false">IF(AV89&lt;0,AV83/-AV89,"")</f>
        <v>2.53300130461873</v>
      </c>
      <c r="AW98" s="53" t="n">
        <f aca="false">IF(AW89&lt;0,AW83/-AW89,"")</f>
        <v>2.53300130461873</v>
      </c>
      <c r="AX98" s="53" t="n">
        <f aca="false">IF(AX89&lt;0,AX83/-AX89,"")</f>
        <v>2.53300130461873</v>
      </c>
      <c r="AY98" s="53" t="n">
        <f aca="false">IF(AY89&lt;0,AY83/-AY89,"")</f>
        <v>2.53300130461873</v>
      </c>
      <c r="AZ98" s="53" t="n">
        <f aca="false">IF(AZ89&lt;0,AZ83/-AZ89,"")</f>
        <v>2.53300130461873</v>
      </c>
      <c r="BA98" s="53" t="n">
        <f aca="false">IF(BA89&lt;0,BA83/-BA89,"")</f>
        <v>2.53300130461873</v>
      </c>
      <c r="BB98" s="53" t="n">
        <f aca="false">IF(BB89&lt;0,BB83/-BB89,"")</f>
        <v>2.53300130461873</v>
      </c>
      <c r="BC98" s="53" t="n">
        <f aca="false">IF(BC89&lt;0,BC83/-BC89,"")</f>
        <v>2.53300130461873</v>
      </c>
      <c r="BD98" s="53" t="n">
        <f aca="false">IF(BD89&lt;0,BD83/-BD89,"")</f>
        <v>2.53300130461873</v>
      </c>
      <c r="BE98" s="53" t="n">
        <f aca="false">IF(BE89&lt;0,BE83/-BE89,"")</f>
        <v>2.53300130461873</v>
      </c>
      <c r="BF98" s="53" t="n">
        <f aca="false">IF(BF89&lt;0,BF83/-BF89,"")</f>
        <v>2.53300130461873</v>
      </c>
      <c r="BG98" s="53" t="n">
        <f aca="false">IF(BG89&lt;0,BG83/-BG89,"")</f>
        <v>2.53300130461873</v>
      </c>
      <c r="BH98" s="53" t="n">
        <f aca="false">IF(BH89&lt;0,BH83/-BH89,"")</f>
        <v>2.53300130461873</v>
      </c>
      <c r="BI98" s="53" t="n">
        <f aca="false">IF(BI89&lt;0,BI83/-BI89,"")</f>
        <v>2.53300130461873</v>
      </c>
      <c r="BJ98" s="53" t="n">
        <f aca="false">IF(BJ89&lt;0,BJ83/-BJ89,"")</f>
        <v>2.53300130461873</v>
      </c>
      <c r="BK98" s="53" t="n">
        <f aca="false">IF(BK89&lt;0,BK83/-BK89,"")</f>
        <v>2.53300130461873</v>
      </c>
      <c r="BL98" s="53" t="n">
        <f aca="false">IF(BL89&lt;0,BL83/-BL89,"")</f>
        <v>2.53300130461873</v>
      </c>
      <c r="BM98" s="53" t="n">
        <f aca="false">IF(BM89&lt;0,BM83/-BM89,"")</f>
        <v>2.53300130461873</v>
      </c>
      <c r="BN98" s="53" t="n">
        <f aca="false">IF(BN89&lt;0,BN83/-BN89,"")</f>
        <v>2.53300130461873</v>
      </c>
      <c r="BO98" s="53" t="n">
        <f aca="false">IF(BO89&lt;0,BO83/-BO89,"")</f>
        <v>2.53300130461873</v>
      </c>
      <c r="BP98" s="53" t="n">
        <f aca="false">IF(BP89&lt;0,BP83/-BP89,"")</f>
        <v>2.53300130461873</v>
      </c>
      <c r="BQ98" s="53" t="n">
        <f aca="false">IF(BQ89&lt;0,BQ83/-BQ89,"")</f>
        <v>2.53300130461873</v>
      </c>
      <c r="BR98" s="53" t="n">
        <f aca="false">IF(BR89&lt;0,BR83/-BR89,"")</f>
        <v>2.53300130461873</v>
      </c>
      <c r="BS98" s="53" t="n">
        <f aca="false">IF(BS89&lt;0,BS83/-BS89,"")</f>
        <v>2.53300130461873</v>
      </c>
      <c r="BT98" s="53" t="n">
        <f aca="false">IF(BT89&lt;0,BT83/-BT89,"")</f>
        <v>2.53300130461873</v>
      </c>
      <c r="BU98" s="53" t="n">
        <f aca="false">IF(BU89&lt;0,BU83/-BU89,"")</f>
        <v>2.53300130461873</v>
      </c>
      <c r="BV98" s="53" t="n">
        <f aca="false">IF(BV89&lt;0,BV83/-BV89,"")</f>
        <v>2.53300130461873</v>
      </c>
      <c r="BW98" s="53" t="n">
        <f aca="false">IF(BW89&lt;0,BW83/-BW89,"")</f>
        <v>2.53300130461873</v>
      </c>
      <c r="BX98" s="53" t="n">
        <f aca="false">IF(BX89&lt;0,BX83/-BX89,"")</f>
        <v>2.53300130461873</v>
      </c>
      <c r="BY98" s="53" t="n">
        <f aca="false">IF(BY89&lt;0,BY83/-BY89,"")</f>
        <v>2.53300130461873</v>
      </c>
      <c r="BZ98" s="53" t="n">
        <f aca="false">IF(BZ89&lt;0,BZ83/-BZ89,"")</f>
        <v>2.53300130461873</v>
      </c>
      <c r="CA98" s="53" t="n">
        <f aca="false">IF(CA89&lt;0,CA83/-CA89,"")</f>
        <v>2.53300130461873</v>
      </c>
      <c r="CB98" s="53" t="n">
        <f aca="false">IF(CB89&lt;0,CB83/-CB89,"")</f>
        <v>2.53300130461873</v>
      </c>
      <c r="CC98" s="53" t="n">
        <f aca="false">IF(CC89&lt;0,CC83/-CC89,"")</f>
        <v>2.53300130461873</v>
      </c>
      <c r="CD98" s="53" t="n">
        <f aca="false">IF(CD89&lt;0,CD83/-CD89,"")</f>
        <v>2.53300130461873</v>
      </c>
      <c r="CE98" s="53" t="n">
        <f aca="false">IF(CE89&lt;0,CE83/-CE89,"")</f>
        <v>2.53300130461873</v>
      </c>
      <c r="CF98" s="53" t="n">
        <f aca="false">IF(CF89&lt;0,CF83/-CF89,"")</f>
        <v>2.53300130461873</v>
      </c>
      <c r="CG98" s="53" t="n">
        <f aca="false">IF(CG89&lt;0,CG83/-CG89,"")</f>
        <v>2.53300130461873</v>
      </c>
      <c r="CH98" s="53" t="n">
        <f aca="false">IF(CH89&lt;0,CH83/-CH89,"")</f>
        <v>2.53300130461873</v>
      </c>
      <c r="CI98" s="53" t="n">
        <f aca="false">IF(CI89&lt;0,CI83/-CI89,"")</f>
        <v>2.53300130461873</v>
      </c>
      <c r="CJ98" s="53" t="n">
        <f aca="false">IF(CJ89&lt;0,CJ83/-CJ89,"")</f>
        <v>2.53300130461873</v>
      </c>
      <c r="CK98" s="53" t="n">
        <f aca="false">IF(CK89&lt;0,CK83/-CK89,"")</f>
        <v>2.53300130461873</v>
      </c>
      <c r="CL98" s="53" t="n">
        <f aca="false">IF(CL89&lt;0,CL83/-CL89,"")</f>
        <v>2.53300130461873</v>
      </c>
      <c r="CM98" s="53" t="n">
        <f aca="false">IF(CM89&lt;0,CM83/-CM89,"")</f>
        <v>2.53300130461873</v>
      </c>
      <c r="CN98" s="53" t="n">
        <f aca="false">IF(CN89&lt;0,CN83/-CN89,"")</f>
        <v>2.53300130461873</v>
      </c>
      <c r="CO98" s="53" t="n">
        <f aca="false">IF(CO89&lt;0,CO83/-CO89,"")</f>
        <v>2.53300130461873</v>
      </c>
      <c r="CP98" s="53" t="n">
        <f aca="false">IF(CP89&lt;0,CP83/-CP89,"")</f>
        <v>2.53300130461873</v>
      </c>
      <c r="CQ98" s="53" t="n">
        <f aca="false">IF(CQ89&lt;0,CQ83/-CQ89,"")</f>
        <v>2.53300130461873</v>
      </c>
      <c r="CR98" s="53" t="n">
        <f aca="false">IF(CR89&lt;0,CR83/-CR89,"")</f>
        <v>2.53300130461873</v>
      </c>
      <c r="CS98" s="53" t="n">
        <f aca="false">IF(CS89&lt;0,CS83/-CS89,"")</f>
        <v>2.53300130461873</v>
      </c>
      <c r="CT98" s="53" t="str">
        <f aca="false">IF(CT89&lt;0,CT83/-CT89,"")</f>
        <v/>
      </c>
      <c r="CU98" s="53" t="str">
        <f aca="false">IF(CU89&lt;0,CU83/-CU89,"")</f>
        <v/>
      </c>
      <c r="CV98" s="53" t="str">
        <f aca="false">IF(CV89&lt;0,CV83/-CV89,"")</f>
        <v/>
      </c>
      <c r="CW98" s="53" t="str">
        <f aca="false">IF(CW89&lt;0,CW83/-CW89,"")</f>
        <v/>
      </c>
      <c r="CX98" s="53" t="str">
        <f aca="false">IF(CX89&lt;0,CX83/-CX89,"")</f>
        <v/>
      </c>
      <c r="CY98" s="53" t="str">
        <f aca="false">IF(CY89&lt;0,CY83/-CY89,"")</f>
        <v/>
      </c>
      <c r="CZ98" s="53" t="str">
        <f aca="false">IF(CZ89&lt;0,CZ83/-CZ89,"")</f>
        <v/>
      </c>
      <c r="DA98" s="53" t="str">
        <f aca="false">IF(DA89&lt;0,DA83/-DA89,"")</f>
        <v/>
      </c>
      <c r="DB98" s="53" t="str">
        <f aca="false">IF(DB89&lt;0,DB83/-DB89,"")</f>
        <v/>
      </c>
      <c r="DC98" s="53" t="str">
        <f aca="false">IF(DC89&lt;0,DC83/-DC89,"")</f>
        <v/>
      </c>
      <c r="DD98" s="53" t="str">
        <f aca="false">IF(DD89&lt;0,DD83/-DD89,"")</f>
        <v/>
      </c>
      <c r="DE98" s="53" t="str">
        <f aca="false">IF(DE89&lt;0,DE83/-DE89,"")</f>
        <v/>
      </c>
      <c r="DF98" s="53" t="str">
        <f aca="false">IF(DF89&lt;0,DF83/-DF89,"")</f>
        <v/>
      </c>
      <c r="DG98" s="53" t="str">
        <f aca="false">IF(DG89&lt;0,DG83/-DG89,"")</f>
        <v/>
      </c>
      <c r="DH98" s="53" t="str">
        <f aca="false">IF(DH89&lt;0,DH83/-DH89,"")</f>
        <v/>
      </c>
      <c r="DI98" s="53" t="str">
        <f aca="false">IF(DI89&lt;0,DI83/-DI89,"")</f>
        <v/>
      </c>
      <c r="DJ98" s="53" t="str">
        <f aca="false">IF(DJ89&lt;0,DJ83/-DJ89,"")</f>
        <v/>
      </c>
      <c r="DK98" s="53" t="str">
        <f aca="false">IF(DK89&lt;0,DK83/-DK89,"")</f>
        <v/>
      </c>
      <c r="DL98" s="53" t="str">
        <f aca="false">IF(DL89&lt;0,DL83/-DL89,"")</f>
        <v/>
      </c>
      <c r="DM98" s="53" t="str">
        <f aca="false">IF(DM89&lt;0,DM83/-DM89,"")</f>
        <v/>
      </c>
      <c r="DN98" s="53" t="str">
        <f aca="false">IF(DN89&lt;0,DN83/-DN89,"")</f>
        <v/>
      </c>
      <c r="DO98" s="53" t="str">
        <f aca="false">IF(DO89&lt;0,DO83/-DO89,"")</f>
        <v/>
      </c>
      <c r="DP98" s="53" t="str">
        <f aca="false">IF(DP89&lt;0,DP83/-DP89,"")</f>
        <v/>
      </c>
      <c r="DQ98" s="53" t="str">
        <f aca="false">IF(DQ89&lt;0,DQ83/-DQ89,"")</f>
        <v/>
      </c>
      <c r="DR98" s="53" t="str">
        <f aca="false">IF(DR89&lt;0,DR83/-DR89,"")</f>
        <v/>
      </c>
      <c r="DS98" s="53" t="str">
        <f aca="false">IF(DS89&lt;0,DS83/-DS89,"")</f>
        <v/>
      </c>
      <c r="DT98" s="53" t="str">
        <f aca="false">IF(DT89&lt;0,DT83/-DT89,"")</f>
        <v/>
      </c>
      <c r="DU98" s="53" t="str">
        <f aca="false">IF(DU89&lt;0,DU83/-DU89,"")</f>
        <v/>
      </c>
      <c r="DV98" s="53" t="str">
        <f aca="false">IF(DV89&lt;0,DV83/-DV89,"")</f>
        <v/>
      </c>
      <c r="DW98" s="53" t="str">
        <f aca="false">IF(DW89&lt;0,DW83/-DW89,"")</f>
        <v/>
      </c>
      <c r="DX98" s="53" t="str">
        <f aca="false">IF(DX89&lt;0,DX83/-DX89,"")</f>
        <v/>
      </c>
      <c r="DY98" s="53" t="str">
        <f aca="false">IF(DY89&lt;0,DY83/-DY89,"")</f>
        <v/>
      </c>
      <c r="DZ98" s="53" t="str">
        <f aca="false">IF(DZ89&lt;0,DZ83/-DZ89,"")</f>
        <v/>
      </c>
      <c r="EA98" s="53" t="str">
        <f aca="false">IF(EA89&lt;0,EA83/-EA89,"")</f>
        <v/>
      </c>
      <c r="EB98" s="53" t="str">
        <f aca="false">IF(EB89&lt;0,EB83/-EB89,"")</f>
        <v/>
      </c>
      <c r="EC98" s="53" t="str">
        <f aca="false">IF(EC89&lt;0,EC83/-EC89,"")</f>
        <v/>
      </c>
      <c r="ED98" s="53" t="str">
        <f aca="false">IF(ED89&lt;0,ED83/-ED89,"")</f>
        <v/>
      </c>
      <c r="EE98" s="53" t="str">
        <f aca="false">IF(EE89&lt;0,EE83/-EE89,"")</f>
        <v/>
      </c>
      <c r="EF98" s="53" t="str">
        <f aca="false">IF(EF89&lt;0,EF83/-EF89,"")</f>
        <v/>
      </c>
      <c r="EG98" s="53" t="str">
        <f aca="false">IF(EG89&lt;0,EG83/-EG89,"")</f>
        <v/>
      </c>
      <c r="EH98" s="53" t="str">
        <f aca="false">IF(EH89&lt;0,EH83/-EH89,"")</f>
        <v/>
      </c>
      <c r="EI98" s="53" t="str">
        <f aca="false">IF(EI89&lt;0,EI83/-EI89,"")</f>
        <v/>
      </c>
      <c r="EJ98" s="53" t="str">
        <f aca="false">IF(EJ89&lt;0,EJ83/-EJ89,"")</f>
        <v/>
      </c>
      <c r="EK98" s="53" t="str">
        <f aca="false">IF(EK89&lt;0,EK83/-EK89,"")</f>
        <v/>
      </c>
      <c r="EL98" s="53" t="str">
        <f aca="false">IF(EL89&lt;0,EL83/-EL89,"")</f>
        <v/>
      </c>
      <c r="EM98" s="53" t="str">
        <f aca="false">IF(EM89&lt;0,EM83/-EM89,"")</f>
        <v/>
      </c>
      <c r="EN98" s="53" t="str">
        <f aca="false">IF(EN89&lt;0,EN83/-EN89,"")</f>
        <v/>
      </c>
      <c r="EO98" s="53" t="str">
        <f aca="false">IF(EO89&lt;0,EO83/-EO89,"")</f>
        <v/>
      </c>
    </row>
    <row r="100" customFormat="false" ht="15" hidden="false" customHeight="false" outlineLevel="0" collapsed="false">
      <c r="A100" s="10" t="s">
        <v>13</v>
      </c>
      <c r="B100" s="10"/>
      <c r="C100" s="10" t="s">
        <v>454</v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  <c r="CT100" s="10"/>
      <c r="CU100" s="10"/>
      <c r="CV100" s="10"/>
      <c r="CW100" s="10"/>
      <c r="CX100" s="10"/>
      <c r="CY100" s="10"/>
      <c r="CZ100" s="10"/>
      <c r="DA100" s="10"/>
      <c r="DB100" s="10"/>
      <c r="DC100" s="10"/>
      <c r="DD100" s="10"/>
      <c r="DE100" s="10"/>
      <c r="DF100" s="10"/>
      <c r="DG100" s="10"/>
      <c r="DH100" s="10"/>
      <c r="DI100" s="10"/>
      <c r="DJ100" s="10"/>
      <c r="DK100" s="10"/>
      <c r="DL100" s="10"/>
      <c r="DM100" s="10"/>
      <c r="DN100" s="10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customFormat="false" ht="15" hidden="false" customHeight="false" outlineLevel="0" collapsed="false">
      <c r="C101" s="1" t="s">
        <v>455</v>
      </c>
      <c r="D101" s="12" t="s">
        <v>33</v>
      </c>
      <c r="E101" s="48" t="n">
        <f aca="false">$I92-($I64+$I54+$I65+$I51+$I44+$I45+$I46)</f>
        <v>81441.2950745549</v>
      </c>
      <c r="I101" s="48" t="n">
        <f aca="false">SUM(J101:EO101)</f>
        <v>-81441.2950745549</v>
      </c>
      <c r="J101" s="48" t="n">
        <f aca="false">-$E101*J19</f>
        <v>-0</v>
      </c>
      <c r="K101" s="48" t="n">
        <f aca="false">-$E101*K19</f>
        <v>-0</v>
      </c>
      <c r="L101" s="48" t="n">
        <f aca="false">-$E101*L19</f>
        <v>-0</v>
      </c>
      <c r="M101" s="48" t="n">
        <f aca="false">-$E101*M19</f>
        <v>-0</v>
      </c>
      <c r="N101" s="48" t="n">
        <f aca="false">-$E101*N19</f>
        <v>-0</v>
      </c>
      <c r="O101" s="48" t="n">
        <f aca="false">-$E101*O19</f>
        <v>-0</v>
      </c>
      <c r="P101" s="48" t="n">
        <f aca="false">-$E101*P19</f>
        <v>-0</v>
      </c>
      <c r="Q101" s="48" t="n">
        <f aca="false">-$E101*Q19</f>
        <v>-0</v>
      </c>
      <c r="R101" s="48" t="n">
        <f aca="false">-$E101*R19</f>
        <v>-0</v>
      </c>
      <c r="S101" s="48" t="n">
        <f aca="false">-$E101*S19</f>
        <v>-0</v>
      </c>
      <c r="T101" s="48" t="n">
        <f aca="false">-$E101*T19</f>
        <v>-0</v>
      </c>
      <c r="U101" s="48" t="n">
        <f aca="false">-$E101*U19</f>
        <v>-0</v>
      </c>
      <c r="V101" s="48" t="n">
        <f aca="false">-$E101*V19</f>
        <v>-0</v>
      </c>
      <c r="W101" s="48" t="n">
        <f aca="false">-$E101*W19</f>
        <v>-0</v>
      </c>
      <c r="X101" s="48" t="n">
        <f aca="false">-$E101*X19</f>
        <v>-0</v>
      </c>
      <c r="Y101" s="48" t="n">
        <f aca="false">-$E101*Y19</f>
        <v>-0</v>
      </c>
      <c r="Z101" s="48" t="n">
        <f aca="false">-$E101*Z19</f>
        <v>-1025.68092359467</v>
      </c>
      <c r="AA101" s="48" t="n">
        <f aca="false">-$E101*AA19</f>
        <v>-1003.38351221218</v>
      </c>
      <c r="AB101" s="48" t="n">
        <f aca="false">-$E101*AB19</f>
        <v>-1014.53221790342</v>
      </c>
      <c r="AC101" s="48" t="n">
        <f aca="false">-$E101*AC19</f>
        <v>-1025.68092359467</v>
      </c>
      <c r="AD101" s="48" t="n">
        <f aca="false">-$E101*AD19</f>
        <v>-1025.68092359467</v>
      </c>
      <c r="AE101" s="48" t="n">
        <f aca="false">-$E101*AE19</f>
        <v>-1014.53221790342</v>
      </c>
      <c r="AF101" s="48" t="n">
        <f aca="false">-$E101*AF19</f>
        <v>-1014.53221790342</v>
      </c>
      <c r="AG101" s="48" t="n">
        <f aca="false">-$E101*AG19</f>
        <v>-1025.68092359467</v>
      </c>
      <c r="AH101" s="48" t="n">
        <f aca="false">-$E101*AH19</f>
        <v>-1025.68092359467</v>
      </c>
      <c r="AI101" s="48" t="n">
        <f aca="false">-$E101*AI19</f>
        <v>-1003.38351221218</v>
      </c>
      <c r="AJ101" s="48" t="n">
        <f aca="false">-$E101*AJ19</f>
        <v>-1014.53221790342</v>
      </c>
      <c r="AK101" s="48" t="n">
        <f aca="false">-$E101*AK19</f>
        <v>-1025.68092359467</v>
      </c>
      <c r="AL101" s="48" t="n">
        <f aca="false">-$E101*AL19</f>
        <v>-1025.68092359467</v>
      </c>
      <c r="AM101" s="48" t="n">
        <f aca="false">-$E101*AM19</f>
        <v>-1003.38351221218</v>
      </c>
      <c r="AN101" s="48" t="n">
        <f aca="false">-$E101*AN19</f>
        <v>-1014.53221790342</v>
      </c>
      <c r="AO101" s="48" t="n">
        <f aca="false">-$E101*AO19</f>
        <v>-1025.68092359467</v>
      </c>
      <c r="AP101" s="48" t="n">
        <f aca="false">-$E101*AP19</f>
        <v>-1025.68092359467</v>
      </c>
      <c r="AQ101" s="48" t="n">
        <f aca="false">-$E101*AQ19</f>
        <v>-1003.38351221218</v>
      </c>
      <c r="AR101" s="48" t="n">
        <f aca="false">-$E101*AR19</f>
        <v>-1014.53221790342</v>
      </c>
      <c r="AS101" s="48" t="n">
        <f aca="false">-$E101*AS19</f>
        <v>-1025.68092359467</v>
      </c>
      <c r="AT101" s="48" t="n">
        <f aca="false">-$E101*AT19</f>
        <v>-1025.68092359467</v>
      </c>
      <c r="AU101" s="48" t="n">
        <f aca="false">-$E101*AU19</f>
        <v>-1014.53221790342</v>
      </c>
      <c r="AV101" s="48" t="n">
        <f aca="false">-$E101*AV19</f>
        <v>-1014.53221790342</v>
      </c>
      <c r="AW101" s="48" t="n">
        <f aca="false">-$E101*AW19</f>
        <v>-1025.68092359467</v>
      </c>
      <c r="AX101" s="48" t="n">
        <f aca="false">-$E101*AX19</f>
        <v>-1025.68092359467</v>
      </c>
      <c r="AY101" s="48" t="n">
        <f aca="false">-$E101*AY19</f>
        <v>-1003.38351221218</v>
      </c>
      <c r="AZ101" s="48" t="n">
        <f aca="false">-$E101*AZ19</f>
        <v>-1014.53221790342</v>
      </c>
      <c r="BA101" s="48" t="n">
        <f aca="false">-$E101*BA19</f>
        <v>-1025.68092359467</v>
      </c>
      <c r="BB101" s="48" t="n">
        <f aca="false">-$E101*BB19</f>
        <v>-1025.68092359467</v>
      </c>
      <c r="BC101" s="48" t="n">
        <f aca="false">-$E101*BC19</f>
        <v>-1003.38351221218</v>
      </c>
      <c r="BD101" s="48" t="n">
        <f aca="false">-$E101*BD19</f>
        <v>-1014.53221790342</v>
      </c>
      <c r="BE101" s="48" t="n">
        <f aca="false">-$E101*BE19</f>
        <v>-1025.68092359467</v>
      </c>
      <c r="BF101" s="48" t="n">
        <f aca="false">-$E101*BF19</f>
        <v>-1025.68092359467</v>
      </c>
      <c r="BG101" s="48" t="n">
        <f aca="false">-$E101*BG19</f>
        <v>-1003.38351221218</v>
      </c>
      <c r="BH101" s="48" t="n">
        <f aca="false">-$E101*BH19</f>
        <v>-1014.53221790342</v>
      </c>
      <c r="BI101" s="48" t="n">
        <f aca="false">-$E101*BI19</f>
        <v>-1025.68092359467</v>
      </c>
      <c r="BJ101" s="48" t="n">
        <f aca="false">-$E101*BJ19</f>
        <v>-1025.68092359467</v>
      </c>
      <c r="BK101" s="48" t="n">
        <f aca="false">-$E101*BK19</f>
        <v>-1014.53221790342</v>
      </c>
      <c r="BL101" s="48" t="n">
        <f aca="false">-$E101*BL19</f>
        <v>-1014.53221790342</v>
      </c>
      <c r="BM101" s="48" t="n">
        <f aca="false">-$E101*BM19</f>
        <v>-1025.68092359467</v>
      </c>
      <c r="BN101" s="48" t="n">
        <f aca="false">-$E101*BN19</f>
        <v>-1025.68092359467</v>
      </c>
      <c r="BO101" s="48" t="n">
        <f aca="false">-$E101*BO19</f>
        <v>-1003.38351221218</v>
      </c>
      <c r="BP101" s="48" t="n">
        <f aca="false">-$E101*BP19</f>
        <v>-1014.53221790342</v>
      </c>
      <c r="BQ101" s="48" t="n">
        <f aca="false">-$E101*BQ19</f>
        <v>-1025.68092359467</v>
      </c>
      <c r="BR101" s="48" t="n">
        <f aca="false">-$E101*BR19</f>
        <v>-1025.68092359467</v>
      </c>
      <c r="BS101" s="48" t="n">
        <f aca="false">-$E101*BS19</f>
        <v>-1003.38351221218</v>
      </c>
      <c r="BT101" s="48" t="n">
        <f aca="false">-$E101*BT19</f>
        <v>-1014.53221790342</v>
      </c>
      <c r="BU101" s="48" t="n">
        <f aca="false">-$E101*BU19</f>
        <v>-1025.68092359467</v>
      </c>
      <c r="BV101" s="48" t="n">
        <f aca="false">-$E101*BV19</f>
        <v>-1025.68092359467</v>
      </c>
      <c r="BW101" s="48" t="n">
        <f aca="false">-$E101*BW19</f>
        <v>-1003.38351221218</v>
      </c>
      <c r="BX101" s="48" t="n">
        <f aca="false">-$E101*BX19</f>
        <v>-1014.53221790342</v>
      </c>
      <c r="BY101" s="48" t="n">
        <f aca="false">-$E101*BY19</f>
        <v>-1025.68092359467</v>
      </c>
      <c r="BZ101" s="48" t="n">
        <f aca="false">-$E101*BZ19</f>
        <v>-1025.68092359467</v>
      </c>
      <c r="CA101" s="48" t="n">
        <f aca="false">-$E101*CA19</f>
        <v>-1014.53221790342</v>
      </c>
      <c r="CB101" s="48" t="n">
        <f aca="false">-$E101*CB19</f>
        <v>-1014.53221790342</v>
      </c>
      <c r="CC101" s="48" t="n">
        <f aca="false">-$E101*CC19</f>
        <v>-1025.68092359467</v>
      </c>
      <c r="CD101" s="48" t="n">
        <f aca="false">-$E101*CD19</f>
        <v>-1025.68092359467</v>
      </c>
      <c r="CE101" s="48" t="n">
        <f aca="false">-$E101*CE19</f>
        <v>-1003.38351221218</v>
      </c>
      <c r="CF101" s="48" t="n">
        <f aca="false">-$E101*CF19</f>
        <v>-1014.53221790342</v>
      </c>
      <c r="CG101" s="48" t="n">
        <f aca="false">-$E101*CG19</f>
        <v>-1025.68092359467</v>
      </c>
      <c r="CH101" s="48" t="n">
        <f aca="false">-$E101*CH19</f>
        <v>-1025.68092359467</v>
      </c>
      <c r="CI101" s="48" t="n">
        <f aca="false">-$E101*CI19</f>
        <v>-1003.38351221218</v>
      </c>
      <c r="CJ101" s="48" t="n">
        <f aca="false">-$E101*CJ19</f>
        <v>-1014.53221790342</v>
      </c>
      <c r="CK101" s="48" t="n">
        <f aca="false">-$E101*CK19</f>
        <v>-1025.68092359467</v>
      </c>
      <c r="CL101" s="48" t="n">
        <f aca="false">-$E101*CL19</f>
        <v>-1025.68092359467</v>
      </c>
      <c r="CM101" s="48" t="n">
        <f aca="false">-$E101*CM19</f>
        <v>-1003.38351221218</v>
      </c>
      <c r="CN101" s="48" t="n">
        <f aca="false">-$E101*CN19</f>
        <v>-1014.53221790342</v>
      </c>
      <c r="CO101" s="48" t="n">
        <f aca="false">-$E101*CO19</f>
        <v>-1025.68092359467</v>
      </c>
      <c r="CP101" s="48" t="n">
        <f aca="false">-$E101*CP19</f>
        <v>-1025.68092359467</v>
      </c>
      <c r="CQ101" s="48" t="n">
        <f aca="false">-$E101*CQ19</f>
        <v>-1014.53221790342</v>
      </c>
      <c r="CR101" s="48" t="n">
        <f aca="false">-$E101*CR19</f>
        <v>-1014.53221790342</v>
      </c>
      <c r="CS101" s="48" t="n">
        <f aca="false">-$E101*CS19</f>
        <v>-1025.68092359467</v>
      </c>
      <c r="CT101" s="48" t="n">
        <f aca="false">-$E101*CT19</f>
        <v>-1025.68092359467</v>
      </c>
      <c r="CU101" s="48" t="n">
        <f aca="false">-$E101*CU19</f>
        <v>-1003.38351221218</v>
      </c>
      <c r="CV101" s="48" t="n">
        <f aca="false">-$E101*CV19</f>
        <v>-1014.53221790342</v>
      </c>
      <c r="CW101" s="48" t="n">
        <f aca="false">-$E101*CW19</f>
        <v>-1025.68092359467</v>
      </c>
      <c r="CX101" s="48" t="n">
        <f aca="false">-$E101*CX19</f>
        <v>-1025.68092359467</v>
      </c>
      <c r="CY101" s="48" t="n">
        <f aca="false">-$E101*CY19</f>
        <v>-1003.38351221218</v>
      </c>
      <c r="CZ101" s="48" t="n">
        <f aca="false">-$E101*CZ19</f>
        <v>-1014.53221790342</v>
      </c>
      <c r="DA101" s="48" t="n">
        <f aca="false">-$E101*DA19</f>
        <v>-1025.68092359467</v>
      </c>
      <c r="DB101" s="48" t="n">
        <f aca="false">-$E101*DB19</f>
        <v>-0</v>
      </c>
      <c r="DC101" s="48" t="n">
        <f aca="false">-$E101*DC19</f>
        <v>-0</v>
      </c>
      <c r="DD101" s="48" t="n">
        <f aca="false">-$E101*DD19</f>
        <v>-0</v>
      </c>
      <c r="DE101" s="48" t="n">
        <f aca="false">-$E101*DE19</f>
        <v>-0</v>
      </c>
      <c r="DF101" s="48" t="n">
        <f aca="false">-$E101*DF19</f>
        <v>-0</v>
      </c>
      <c r="DG101" s="48" t="n">
        <f aca="false">-$E101*DG19</f>
        <v>-0</v>
      </c>
      <c r="DH101" s="48" t="n">
        <f aca="false">-$E101*DH19</f>
        <v>-0</v>
      </c>
      <c r="DI101" s="48" t="n">
        <f aca="false">-$E101*DI19</f>
        <v>-0</v>
      </c>
      <c r="DJ101" s="48" t="n">
        <f aca="false">-$E101*DJ19</f>
        <v>-0</v>
      </c>
      <c r="DK101" s="48" t="n">
        <f aca="false">-$E101*DK19</f>
        <v>-0</v>
      </c>
      <c r="DL101" s="48" t="n">
        <f aca="false">-$E101*DL19</f>
        <v>-0</v>
      </c>
      <c r="DM101" s="48" t="n">
        <f aca="false">-$E101*DM19</f>
        <v>-0</v>
      </c>
      <c r="DN101" s="48" t="n">
        <f aca="false">-$E101*DN19</f>
        <v>-0</v>
      </c>
      <c r="DO101" s="48" t="n">
        <f aca="false">-$E101*DO19</f>
        <v>-0</v>
      </c>
      <c r="DP101" s="48" t="n">
        <f aca="false">-$E101*DP19</f>
        <v>-0</v>
      </c>
      <c r="DQ101" s="48" t="n">
        <f aca="false">-$E101*DQ19</f>
        <v>-0</v>
      </c>
      <c r="DR101" s="48" t="n">
        <f aca="false">-$E101*DR19</f>
        <v>-0</v>
      </c>
      <c r="DS101" s="48" t="n">
        <f aca="false">-$E101*DS19</f>
        <v>-0</v>
      </c>
      <c r="DT101" s="48" t="n">
        <f aca="false">-$E101*DT19</f>
        <v>-0</v>
      </c>
      <c r="DU101" s="48" t="n">
        <f aca="false">-$E101*DU19</f>
        <v>-0</v>
      </c>
      <c r="DV101" s="48" t="n">
        <f aca="false">-$E101*DV19</f>
        <v>-0</v>
      </c>
      <c r="DW101" s="48" t="n">
        <f aca="false">-$E101*DW19</f>
        <v>-0</v>
      </c>
      <c r="DX101" s="48" t="n">
        <f aca="false">-$E101*DX19</f>
        <v>-0</v>
      </c>
      <c r="DY101" s="48" t="n">
        <f aca="false">-$E101*DY19</f>
        <v>-0</v>
      </c>
      <c r="DZ101" s="48" t="n">
        <f aca="false">-$E101*DZ19</f>
        <v>-0</v>
      </c>
      <c r="EA101" s="48" t="n">
        <f aca="false">-$E101*EA19</f>
        <v>-0</v>
      </c>
      <c r="EB101" s="48" t="n">
        <f aca="false">-$E101*EB19</f>
        <v>-0</v>
      </c>
      <c r="EC101" s="48" t="n">
        <f aca="false">-$E101*EC19</f>
        <v>-0</v>
      </c>
      <c r="ED101" s="48" t="n">
        <f aca="false">-$E101*ED19</f>
        <v>-0</v>
      </c>
      <c r="EE101" s="48" t="n">
        <f aca="false">-$E101*EE19</f>
        <v>-0</v>
      </c>
      <c r="EF101" s="48" t="n">
        <f aca="false">-$E101*EF19</f>
        <v>-0</v>
      </c>
      <c r="EG101" s="48" t="n">
        <f aca="false">-$E101*EG19</f>
        <v>-0</v>
      </c>
      <c r="EH101" s="48" t="n">
        <f aca="false">-$E101*EH19</f>
        <v>-0</v>
      </c>
      <c r="EI101" s="48" t="n">
        <f aca="false">-$E101*EI19</f>
        <v>-0</v>
      </c>
      <c r="EJ101" s="48" t="n">
        <f aca="false">-$E101*EJ19</f>
        <v>-0</v>
      </c>
      <c r="EK101" s="48" t="n">
        <f aca="false">-$E101*EK19</f>
        <v>-0</v>
      </c>
      <c r="EL101" s="48" t="n">
        <f aca="false">-$E101*EL19</f>
        <v>-0</v>
      </c>
      <c r="EM101" s="48" t="n">
        <f aca="false">-$E101*EM19</f>
        <v>-0</v>
      </c>
      <c r="EN101" s="48" t="n">
        <f aca="false">-$E101*EN19</f>
        <v>-0</v>
      </c>
      <c r="EO101" s="48" t="n">
        <f aca="false">-$E101*EO19</f>
        <v>-0</v>
      </c>
    </row>
    <row r="102" customFormat="false" ht="15" hidden="false" customHeight="false" outlineLevel="0" collapsed="false">
      <c r="C102" s="1" t="s">
        <v>456</v>
      </c>
      <c r="D102" s="12" t="s">
        <v>33</v>
      </c>
      <c r="I102" s="48" t="n">
        <f aca="false">SUM(J102:EO102)</f>
        <v>189750.729733605</v>
      </c>
      <c r="J102" s="48" t="n">
        <f aca="false">J79+J101+J88+J95+J96+J48+J55</f>
        <v>-12.8099380746857</v>
      </c>
      <c r="K102" s="48" t="n">
        <f aca="false">K79+K101+K88+K95+K96+K48+K55</f>
        <v>-19.6746856821167</v>
      </c>
      <c r="L102" s="48" t="n">
        <f aca="false">L79+L101+L88+L95+L96+L48+L55</f>
        <v>-33.1554888346782</v>
      </c>
      <c r="M102" s="48" t="n">
        <f aca="false">M79+M101+M88+M95+M96+M48+M55</f>
        <v>-33.5198348658285</v>
      </c>
      <c r="N102" s="48" t="n">
        <f aca="false">N79+N101+N88+N95+N96+N48+N55</f>
        <v>-33.5198348658285</v>
      </c>
      <c r="O102" s="48" t="n">
        <f aca="false">O79+O101+O88+O95+O96+O48+O55</f>
        <v>-33.1554888346782</v>
      </c>
      <c r="P102" s="48" t="n">
        <f aca="false">P79+P101+P88+P95+P96+P48+P55</f>
        <v>-33.1554888346782</v>
      </c>
      <c r="Q102" s="48" t="n">
        <f aca="false">Q79+Q101+Q88+Q95+Q96+Q48+Q55</f>
        <v>-33.5198348658285</v>
      </c>
      <c r="R102" s="48" t="n">
        <f aca="false">R79+R101+R88+R95+R96+R48+R55</f>
        <v>-910.488972605438</v>
      </c>
      <c r="S102" s="48" t="n">
        <f aca="false">S79+S101+S88+S95+S96+S48+S55</f>
        <v>-154.800823311032</v>
      </c>
      <c r="T102" s="48" t="n">
        <f aca="false">T79+T101+T88+T95+T96+T48+T55</f>
        <v>-136.853718187849</v>
      </c>
      <c r="U102" s="48" t="n">
        <f aca="false">U79+U101+U88+U95+U96+U48+U55</f>
        <v>-128.541032625373</v>
      </c>
      <c r="V102" s="48" t="n">
        <f aca="false">V79+V101+V88+V95+V96+V48+V55</f>
        <v>-118.616585625935</v>
      </c>
      <c r="W102" s="48" t="n">
        <f aca="false">W79+W101+W88+W95+W96+W48+W55</f>
        <v>-107.371197220398</v>
      </c>
      <c r="X102" s="48" t="n">
        <f aca="false">X79+X101+X88+X95+X96+X48+X55</f>
        <v>-98.9610416989586</v>
      </c>
      <c r="Y102" s="48" t="n">
        <f aca="false">Y79+Y101+Y88+Y95+Y96+Y48+Y55</f>
        <v>-90.2319530981423</v>
      </c>
      <c r="Z102" s="48" t="n">
        <f aca="false">Z79+Z101+Z88+Z95+Z96+Z48+Z55</f>
        <v>804.640264506197</v>
      </c>
      <c r="AA102" s="48" t="n">
        <f aca="false">AA79+AA101+AA88+AA95+AA96+AA48+AA55</f>
        <v>796.151058283749</v>
      </c>
      <c r="AB102" s="48" t="n">
        <f aca="false">AB79+AB101+AB88+AB95+AB96+AB48+AB55</f>
        <v>815.449046850221</v>
      </c>
      <c r="AC102" s="48" t="n">
        <f aca="false">AC79+AC101+AC88+AC95+AC96+AC48+AC55</f>
        <v>834.924977348707</v>
      </c>
      <c r="AD102" s="48" t="n">
        <f aca="false">AD79+AD101+AD88+AD95+AD96+AD48+AD55</f>
        <v>831.413537674649</v>
      </c>
      <c r="AE102" s="48" t="n">
        <f aca="false">AE79+AE101+AE88+AE95+AE96+AE48+AE55</f>
        <v>837.617204956817</v>
      </c>
      <c r="AF102" s="48" t="n">
        <f aca="false">AF79+AF101+AF88+AF95+AF96+AF48+AF55</f>
        <v>842.301981135716</v>
      </c>
      <c r="AG102" s="48" t="n">
        <f aca="false">AG79+AG101+AG88+AG95+AG96+AG48+AG55</f>
        <v>861.817515842919</v>
      </c>
      <c r="AH102" s="48" t="n">
        <f aca="false">AH79+AH101+AH88+AH95+AH96+AH48+AH55</f>
        <v>858.202327740154</v>
      </c>
      <c r="AI102" s="48" t="n">
        <f aca="false">AI79+AI101+AI88+AI95+AI96+AI48+AI55</f>
        <v>849.321983091357</v>
      </c>
      <c r="AJ102" s="48" t="n">
        <f aca="false">AJ79+AJ101+AJ88+AJ95+AJ96+AJ48+AJ55</f>
        <v>902.157884450141</v>
      </c>
      <c r="AK102" s="48" t="n">
        <f aca="false">AK79+AK101+AK88+AK95+AK96+AK48+AK55</f>
        <v>922.515786434829</v>
      </c>
      <c r="AL102" s="48" t="n">
        <f aca="false">AL79+AL101+AL88+AL95+AL96+AL48+AL55</f>
        <v>919.251158893887</v>
      </c>
      <c r="AM102" s="48" t="n">
        <f aca="false">AM79+AM101+AM88+AM95+AM96+AM48+AM55</f>
        <v>909.743003737367</v>
      </c>
      <c r="AN102" s="48" t="n">
        <f aca="false">AN79+AN101+AN88+AN95+AN96+AN48+AN55</f>
        <v>930.27507574768</v>
      </c>
      <c r="AO102" s="48" t="n">
        <f aca="false">AO79+AO101+AO88+AO95+AO96+AO48+AO55</f>
        <v>950.987886245204</v>
      </c>
      <c r="AP102" s="48" t="n">
        <f aca="false">AP79+AP101+AP88+AP95+AP96+AP48+AP55</f>
        <v>947.949813949673</v>
      </c>
      <c r="AQ102" s="48" t="n">
        <f aca="false">AQ79+AQ101+AQ88+AQ95+AQ96+AQ48+AQ55</f>
        <v>938.414483626201</v>
      </c>
      <c r="AR102" s="48" t="n">
        <f aca="false">AR79+AR101+AR88+AR95+AR96+AR48+AR55</f>
        <v>959.307829365714</v>
      </c>
      <c r="AS102" s="48" t="n">
        <f aca="false">AS79+AS101+AS88+AS95+AS96+AS48+AS55</f>
        <v>980.385590711449</v>
      </c>
      <c r="AT102" s="48" t="n">
        <f aca="false">AT79+AT101+AT88+AT95+AT96+AT48+AT55</f>
        <v>977.586403699423</v>
      </c>
      <c r="AU102" s="48" t="n">
        <f aca="false">AU79+AU101+AU88+AU95+AU96+AU48+AU55</f>
        <v>983.480347225583</v>
      </c>
      <c r="AV102" s="48" t="n">
        <f aca="false">AV79+AV101+AV88+AV95+AV96+AV48+AV55</f>
        <v>989.418546960235</v>
      </c>
      <c r="AW102" s="48" t="n">
        <f aca="false">AW79+AW101+AW88+AW95+AW96+AW48+AW55</f>
        <v>1010.87318488006</v>
      </c>
      <c r="AX102" s="48" t="n">
        <f aca="false">AX79+AX101+AX88+AX95+AX96+AX48+AX55</f>
        <v>1008.32720717865</v>
      </c>
      <c r="AY102" s="48" t="n">
        <f aca="false">AY79+AY101+AY88+AY95+AY96+AY48+AY55</f>
        <v>998.769032092897</v>
      </c>
      <c r="AZ102" s="48" t="n">
        <f aca="false">AZ79+AZ101+AZ88+AZ95+AZ96+AZ48+AZ55</f>
        <v>1020.41800575879</v>
      </c>
      <c r="BA102" s="48" t="n">
        <f aca="false">BA79+BA101+BA88+BA95+BA96+BA48+BA55</f>
        <v>1042.25919364182</v>
      </c>
      <c r="BB102" s="48" t="n">
        <f aca="false">BB79+BB101+BB88+BB95+BB96+BB48+BB55</f>
        <v>1039.97856129709</v>
      </c>
      <c r="BC102" s="48" t="n">
        <f aca="false">BC79+BC101+BC88+BC95+BC96+BC48+BC55</f>
        <v>1030.42443960381</v>
      </c>
      <c r="BD102" s="48" t="n">
        <f aca="false">BD79+BD101+BD88+BD95+BD96+BD48+BD55</f>
        <v>1052.46738588213</v>
      </c>
      <c r="BE102" s="48" t="n">
        <f aca="false">BE79+BE101+BE88+BE95+BE96+BE48+BE55</f>
        <v>1074.70666471666</v>
      </c>
      <c r="BF102" s="48" t="n">
        <f aca="false">BF79+BF101+BF88+BF95+BF96+BF48+BF55</f>
        <v>1072.70549663127</v>
      </c>
      <c r="BG102" s="48" t="n">
        <f aca="false">BG79+BG101+BG88+BG95+BG96+BG48+BG55</f>
        <v>1063.16695862441</v>
      </c>
      <c r="BH102" s="48" t="n">
        <f aca="false">BH79+BH101+BH88+BH95+BH96+BH48+BH55</f>
        <v>1085.61580700897</v>
      </c>
      <c r="BI102" s="48" t="n">
        <f aca="false">BI79+BI101+BI88+BI95+BI96+BI48+BI55</f>
        <v>1108.26526683732</v>
      </c>
      <c r="BJ102" s="48" t="n">
        <f aca="false">BJ79+BJ101+BJ88+BJ95+BJ96+BJ48+BJ55</f>
        <v>1106.55833323293</v>
      </c>
      <c r="BK102" s="48" t="n">
        <f aca="false">BK79+BK101+BK88+BK95+BK96+BK48+BK55</f>
        <v>1112.7607269385</v>
      </c>
      <c r="BL102" s="48" t="n">
        <f aca="false">BL79+BL101+BL88+BL95+BL96+BL48+BL55</f>
        <v>1120.03570303951</v>
      </c>
      <c r="BM102" s="48" t="n">
        <f aca="false">BM79+BM101+BM88+BM95+BM96+BM48+BM55</f>
        <v>1143.10943234664</v>
      </c>
      <c r="BN102" s="48" t="n">
        <f aca="false">BN79+BN101+BN88+BN95+BN96+BN48+BN55</f>
        <v>1141.71362377297</v>
      </c>
      <c r="BO102" s="48" t="n">
        <f aca="false">BO79+BO101+BO88+BO95+BO96+BO48+BO55</f>
        <v>1132.2447957888</v>
      </c>
      <c r="BP102" s="48" t="n">
        <f aca="false">BP79+BP101+BP88+BP95+BP96+BP48+BP55</f>
        <v>1155.54501380678</v>
      </c>
      <c r="BQ102" s="48" t="n">
        <f aca="false">BQ79+BQ101+BQ88+BQ95+BQ96+BQ48+BQ55</f>
        <v>1179.0549299737</v>
      </c>
      <c r="BR102" s="48" t="n">
        <f aca="false">BR79+BR101+BR88+BR95+BR96+BR48+BR55</f>
        <v>1177.98504136939</v>
      </c>
      <c r="BS102" s="48" t="n">
        <f aca="false">BS79+BS101+BS88+BS95+BS96+BS48+BS55</f>
        <v>1168.57027738574</v>
      </c>
      <c r="BT102" s="48" t="n">
        <f aca="false">BT79+BT101+BT88+BT95+BT96+BT48+BT55</f>
        <v>1192.31578474072</v>
      </c>
      <c r="BU102" s="48" t="n">
        <f aca="false">BU79+BU101+BU88+BU95+BU96+BU48+BU55</f>
        <v>1216.27579744865</v>
      </c>
      <c r="BV102" s="48" t="n">
        <f aca="false">BV79+BV101+BV88+BV95+BV96+BV48+BV55</f>
        <v>1215.54874321206</v>
      </c>
      <c r="BW102" s="48" t="n">
        <f aca="false">BW79+BW101+BW88+BW95+BW96+BW48+BW55</f>
        <v>1206.20222716765</v>
      </c>
      <c r="BX102" s="48" t="n">
        <f aca="false">BX79+BX101+BX88+BX95+BX96+BX48+BX55</f>
        <v>1230.40740786833</v>
      </c>
      <c r="BY102" s="48" t="n">
        <f aca="false">BY79+BY101+BY88+BY95+BY96+BY48+BY55</f>
        <v>1254.8320935038</v>
      </c>
      <c r="BZ102" s="48" t="n">
        <f aca="false">BZ79+BZ101+BZ88+BZ95+BZ96+BZ48+BZ55</f>
        <v>1254.46556908295</v>
      </c>
      <c r="CA102" s="48" t="n">
        <f aca="false">CA79+CA101+CA88+CA95+CA96+CA48+CA55</f>
        <v>1261.13607075455</v>
      </c>
      <c r="CB102" s="48" t="n">
        <f aca="false">CB79+CB101+CB88+CB95+CB96+CB48+CB55</f>
        <v>1270.00401199549</v>
      </c>
      <c r="CC102" s="48" t="n">
        <f aca="false">CC79+CC101+CC88+CC95+CC96+CC48+CC55</f>
        <v>1294.91007968937</v>
      </c>
      <c r="CD102" s="48" t="n">
        <f aca="false">CD79+CD101+CD88+CD95+CD96+CD48+CD55</f>
        <v>1294.92404770377</v>
      </c>
      <c r="CE102" s="48" t="n">
        <f aca="false">CE79+CE101+CE88+CE95+CE96+CE48+CE55</f>
        <v>1285.76105941738</v>
      </c>
      <c r="CF102" s="48" t="n">
        <f aca="false">CF79+CF101+CF88+CF95+CF96+CF48+CF55</f>
        <v>1310.93302064561</v>
      </c>
      <c r="CG102" s="48" t="n">
        <f aca="false">CG79+CG101+CG88+CG95+CG96+CG48+CG55</f>
        <v>1336.33511664277</v>
      </c>
      <c r="CH102" s="48" t="n">
        <f aca="false">CH79+CH101+CH88+CH95+CH96+CH48+CH55</f>
        <v>1336.74756482666</v>
      </c>
      <c r="CI102" s="48" t="n">
        <f aca="false">CI79+CI101+CI88+CI95+CI96+CI48+CI55</f>
        <v>1327.70005751838</v>
      </c>
      <c r="CJ102" s="48" t="n">
        <f aca="false">CJ79+CJ101+CJ88+CJ95+CJ96+CJ48+CJ55</f>
        <v>1353.37919902957</v>
      </c>
      <c r="CK102" s="48" t="n">
        <f aca="false">CK79+CK101+CK88+CK95+CK96+CK48+CK55</f>
        <v>1379.29410806622</v>
      </c>
      <c r="CL102" s="48" t="n">
        <f aca="false">CL79+CL101+CL88+CL95+CL96+CL48+CL55</f>
        <v>1380.12530303898</v>
      </c>
      <c r="CM102" s="48" t="n">
        <f aca="false">CM79+CM101+CM88+CM95+CM96+CM48+CM55</f>
        <v>1371.21066311937</v>
      </c>
      <c r="CN102" s="48" t="n">
        <f aca="false">CN79+CN101+CN88+CN95+CN96+CN48+CN55</f>
        <v>1397.41434810377</v>
      </c>
      <c r="CO102" s="48" t="n">
        <f aca="false">CO79+CO101+CO88+CO95+CO96+CO48+CO55</f>
        <v>1423.85966407263</v>
      </c>
      <c r="CP102" s="48" t="n">
        <f aca="false">CP79+CP101+CP88+CP95+CP96+CP48+CP55</f>
        <v>1425.13080943123</v>
      </c>
      <c r="CQ102" s="48" t="n">
        <f aca="false">CQ79+CQ101+CQ88+CQ95+CQ96+CQ48+CQ55</f>
        <v>1432.46923763585</v>
      </c>
      <c r="CR102" s="48" t="n">
        <f aca="false">CR79+CR101+CR88+CR95+CR96+CR48+CR55</f>
        <v>1443.23631053419</v>
      </c>
      <c r="CS102" s="48" t="n">
        <f aca="false">CS79+CS101+CS88+CS95+CS96+CS48+CS55</f>
        <v>1470.23191778269</v>
      </c>
      <c r="CT102" s="48" t="n">
        <f aca="false">CT79+CT101+CT88+CT95+CT96+CT48+CT55</f>
        <v>1471.96665595576</v>
      </c>
      <c r="CU102" s="48" t="n">
        <f aca="false">CU79+CU101+CU88+CU95+CU96+CU48+CU55</f>
        <v>1452.13907911473</v>
      </c>
      <c r="CV102" s="48" t="n">
        <f aca="false">CV79+CV101+CV88+CV95+CV96+CV48+CV55</f>
        <v>1468.27395777156</v>
      </c>
      <c r="CW102" s="48" t="n">
        <f aca="false">CW79+CW101+CW88+CW95+CW96+CW48+CW55</f>
        <v>1484.40883642839</v>
      </c>
      <c r="CX102" s="48" t="n">
        <f aca="false">CX79+CX101+CX88+CX95+CX96+CX48+CX55</f>
        <v>1474.94290836395</v>
      </c>
      <c r="CY102" s="48" t="n">
        <f aca="false">CY79+CY101+CY88+CY95+CY96+CY48+CY55</f>
        <v>1454.75813498684</v>
      </c>
      <c r="CZ102" s="48" t="n">
        <f aca="false">CZ79+CZ101+CZ88+CZ95+CZ96+CZ48+CZ55</f>
        <v>1470.92211426447</v>
      </c>
      <c r="DA102" s="48" t="n">
        <f aca="false">DA79+DA101+DA88+DA95+DA96+DA48+DA55</f>
        <v>1487.0860935421</v>
      </c>
      <c r="DB102" s="48" t="n">
        <f aca="false">DB79+DB101+DB88+DB95+DB96+DB48+DB55</f>
        <v>2503.24466583138</v>
      </c>
      <c r="DC102" s="48" t="n">
        <f aca="false">DC79+DC101+DC88+DC95+DC96+DC48+DC55</f>
        <v>2460.4018457948</v>
      </c>
      <c r="DD102" s="48" t="n">
        <f aca="false">DD79+DD101+DD88+DD95+DD96+DD48+DD55</f>
        <v>2487.73964408141</v>
      </c>
      <c r="DE102" s="48" t="n">
        <f aca="false">DE79+DE101+DE88+DE95+DE96+DE48+DE55</f>
        <v>2515.07744236801</v>
      </c>
      <c r="DF102" s="48" t="n">
        <f aca="false">DF79+DF101+DF88+DF95+DF96+DF48+DF55</f>
        <v>2505.49855853058</v>
      </c>
      <c r="DG102" s="48" t="n">
        <f aca="false">DG79+DG101+DG88+DG95+DG96+DG48+DG55</f>
        <v>2489.65041143909</v>
      </c>
      <c r="DH102" s="48" t="n">
        <f aca="false">DH79+DH101+DH88+DH95+DH96+DH48+DH55</f>
        <v>2489.65041143909</v>
      </c>
      <c r="DI102" s="48" t="n">
        <f aca="false">DI79+DI101+DI88+DI95+DI96+DI48+DI55</f>
        <v>2517.00920716919</v>
      </c>
      <c r="DJ102" s="48" t="n">
        <f aca="false">DJ79+DJ101+DJ88+DJ95+DJ96+DJ48+DJ55</f>
        <v>2507.37368674959</v>
      </c>
      <c r="DK102" s="48" t="n">
        <f aca="false">DK79+DK101+DK88+DK95+DK96+DK48+DK55</f>
        <v>2463.79908392978</v>
      </c>
      <c r="DL102" s="48" t="n">
        <f aca="false">DL79+DL101+DL88+DL95+DL96+DL48+DL55</f>
        <v>2491.17462930678</v>
      </c>
      <c r="DM102" s="48" t="n">
        <f aca="false">DM79+DM101+DM88+DM95+DM96+DM48+DM55</f>
        <v>2518.55017468377</v>
      </c>
      <c r="DN102" s="48" t="n">
        <f aca="false">DN79+DN101+DN88+DN95+DN96+DN48+DN55</f>
        <v>2508.85791904168</v>
      </c>
      <c r="DO102" s="48" t="n">
        <f aca="false">DO79+DO101+DO88+DO95+DO96+DO48+DO55</f>
        <v>2464.91206834606</v>
      </c>
      <c r="DP102" s="48" t="n">
        <f aca="false">DP79+DP101+DP88+DP95+DP96+DP48+DP55</f>
        <v>2492.29998021657</v>
      </c>
      <c r="DQ102" s="48" t="n">
        <f aca="false">DQ79+DQ101+DQ88+DQ95+DQ96+DQ48+DQ55</f>
        <v>2519.68789208708</v>
      </c>
      <c r="DR102" s="48" t="n">
        <f aca="false">DR79+DR101+DR88+DR95+DR96+DR48+DR55</f>
        <v>2509.93880816482</v>
      </c>
      <c r="DS102" s="48" t="n">
        <f aca="false">DS79+DS101+DS88+DS95+DS96+DS48+DS55</f>
        <v>2465.61807007059</v>
      </c>
      <c r="DT102" s="48" t="n">
        <f aca="false">DT79+DT101+DT88+DT95+DT96+DT48+DT55</f>
        <v>2493.0138264047</v>
      </c>
      <c r="DU102" s="48" t="n">
        <f aca="false">DU79+DU101+DU88+DU95+DU96+DU48+DU55</f>
        <v>2520.40958273882</v>
      </c>
      <c r="DV102" s="48" t="n">
        <f aca="false">DV79+DV101+DV88+DV95+DV96+DV48+DV55</f>
        <v>2510.60358323846</v>
      </c>
      <c r="DW102" s="48" t="n">
        <f aca="false">DW79+DW101+DW88+DW95+DW96+DW48+DW55</f>
        <v>2493.30320185874</v>
      </c>
      <c r="DX102" s="48" t="n">
        <f aca="false">DX79+DX101+DX88+DX95+DX96+DX48+DX55</f>
        <v>2493.30320185874</v>
      </c>
      <c r="DY102" s="48" t="n">
        <f aca="false">DY79+DY101+DY88+DY95+DY96+DY48+DY55</f>
        <v>2520.7021381429</v>
      </c>
      <c r="DZ102" s="48" t="n">
        <f aca="false">DZ79+DZ101+DZ88+DZ95+DZ96+DZ48+DZ55</f>
        <v>2510.83914170753</v>
      </c>
      <c r="EA102" s="48" t="n">
        <f aca="false">EA79+EA101+EA88+EA95+EA96+EA48+EA55</f>
        <v>2465.75749862902</v>
      </c>
      <c r="EB102" s="48" t="n">
        <f aca="false">EB79+EB101+EB88+EB95+EB96+EB48+EB55</f>
        <v>2493.15480416934</v>
      </c>
      <c r="EC102" s="48" t="n">
        <f aca="false">EC79+EC101+EC88+EC95+EC96+EC48+EC55</f>
        <v>2520.55210970967</v>
      </c>
      <c r="ED102" s="48" t="n">
        <f aca="false">ED79+ED101+ED88+ED95+ED96+ED48+ED55</f>
        <v>2510.63204110907</v>
      </c>
      <c r="EE102" s="48" t="n">
        <f aca="false">EE79+EE101+EE88+EE95+EE96+EE48+EE55</f>
        <v>2465.16427204806</v>
      </c>
      <c r="EF102" s="48" t="n">
        <f aca="false">EF79+EF101+EF88+EF95+EF96+EF48+EF55</f>
        <v>2492.55498618193</v>
      </c>
      <c r="EG102" s="48" t="n">
        <f aca="false">EG79+EG101+EG88+EG95+EG96+EG48+EG55</f>
        <v>2519.9457003158</v>
      </c>
      <c r="EH102" s="48" t="n">
        <f aca="false">EH79+EH101+EH88+EH95+EH96+EH48+EH55</f>
        <v>2509.96849063659</v>
      </c>
      <c r="EI102" s="48" t="n">
        <f aca="false">EI79+EI101+EI88+EI95+EI96+EI48+EI55</f>
        <v>2464.11073922956</v>
      </c>
      <c r="EJ102" s="48" t="n">
        <f aca="false">EJ79+EJ101+EJ88+EJ95+EJ96+EJ48+EJ55</f>
        <v>2491.48974744322</v>
      </c>
      <c r="EK102" s="48" t="n">
        <f aca="false">EK79+EK101+EK88+EK95+EK96+EK48+EK55</f>
        <v>2518.86875565688</v>
      </c>
      <c r="EL102" s="48" t="n">
        <f aca="false">EL79+EL101+EL88+EL95+EL96+EL48+EL55</f>
        <v>2508.83434249719</v>
      </c>
      <c r="EM102" s="48" t="n">
        <f aca="false">EM79+EM101+EM88+EM95+EM96+EM48+EM55</f>
        <v>2489.94472543768</v>
      </c>
      <c r="EN102" s="48" t="n">
        <f aca="false">EN79+EN101+EN88+EN95+EN96+EN48+EN55</f>
        <v>2489.94472543768</v>
      </c>
      <c r="EO102" s="48" t="n">
        <f aca="false">EO79+EO101+EO88+EO95+EO96+EO48+EO55</f>
        <v>2517.30675538754</v>
      </c>
    </row>
    <row r="103" customFormat="false" ht="15" hidden="false" customHeight="false" outlineLevel="0" collapsed="false">
      <c r="C103" s="1" t="s">
        <v>457</v>
      </c>
      <c r="D103" s="12" t="s">
        <v>33</v>
      </c>
      <c r="J103" s="19" t="n">
        <f aca="false">I107</f>
        <v>0</v>
      </c>
      <c r="K103" s="19" t="n">
        <f aca="false">J107</f>
        <v>12.8099380746857</v>
      </c>
      <c r="L103" s="19" t="n">
        <f aca="false">K107</f>
        <v>32.4846237568024</v>
      </c>
      <c r="M103" s="19" t="n">
        <f aca="false">L107</f>
        <v>65.6401125914806</v>
      </c>
      <c r="N103" s="19" t="n">
        <f aca="false">M107</f>
        <v>99.1599474573091</v>
      </c>
      <c r="O103" s="19" t="n">
        <f aca="false">N107</f>
        <v>132.679782323138</v>
      </c>
      <c r="P103" s="19" t="n">
        <f aca="false">O107</f>
        <v>165.835271157816</v>
      </c>
      <c r="Q103" s="19" t="n">
        <f aca="false">P107</f>
        <v>198.990759992494</v>
      </c>
      <c r="R103" s="19" t="n">
        <f aca="false">Q107</f>
        <v>232.510594858322</v>
      </c>
      <c r="S103" s="19" t="n">
        <f aca="false">R107</f>
        <v>1142.99956746376</v>
      </c>
      <c r="T103" s="19" t="n">
        <f aca="false">S107</f>
        <v>1297.80039077479</v>
      </c>
      <c r="U103" s="19" t="n">
        <f aca="false">T107</f>
        <v>1434.65410896264</v>
      </c>
      <c r="V103" s="19" t="n">
        <f aca="false">U107</f>
        <v>1563.19514158801</v>
      </c>
      <c r="W103" s="19" t="n">
        <f aca="false">V107</f>
        <v>1681.81172721395</v>
      </c>
      <c r="X103" s="19" t="n">
        <f aca="false">W107</f>
        <v>1789.18292443435</v>
      </c>
      <c r="Y103" s="19" t="n">
        <f aca="false">X107</f>
        <v>1888.14396613331</v>
      </c>
      <c r="Z103" s="19" t="n">
        <f aca="false">Y107</f>
        <v>1978.37591923145</v>
      </c>
      <c r="AA103" s="19" t="n">
        <f aca="false">Z107</f>
        <v>1576.05578697835</v>
      </c>
      <c r="AB103" s="19" t="n">
        <f aca="false">AA107</f>
        <v>1177.98025783648</v>
      </c>
      <c r="AC103" s="19" t="n">
        <f aca="false">AB107</f>
        <v>770.255734411364</v>
      </c>
      <c r="AD103" s="19" t="n">
        <f aca="false">AC107</f>
        <v>352.793245737011</v>
      </c>
      <c r="AE103" s="19" t="n">
        <f aca="false">AD107</f>
        <v>0</v>
      </c>
      <c r="AF103" s="19" t="n">
        <f aca="false">AE107</f>
        <v>0</v>
      </c>
      <c r="AG103" s="19" t="n">
        <f aca="false">AF107</f>
        <v>0</v>
      </c>
      <c r="AH103" s="19" t="n">
        <f aca="false">AG107</f>
        <v>0</v>
      </c>
      <c r="AI103" s="19" t="n">
        <f aca="false">AH107</f>
        <v>0</v>
      </c>
      <c r="AJ103" s="19" t="n">
        <f aca="false">AI107</f>
        <v>0</v>
      </c>
      <c r="AK103" s="19" t="n">
        <f aca="false">AJ107</f>
        <v>0</v>
      </c>
      <c r="AL103" s="19" t="n">
        <f aca="false">AK107</f>
        <v>0</v>
      </c>
      <c r="AM103" s="19" t="n">
        <f aca="false">AL107</f>
        <v>0</v>
      </c>
      <c r="AN103" s="19" t="n">
        <f aca="false">AM107</f>
        <v>0</v>
      </c>
      <c r="AO103" s="19" t="n">
        <f aca="false">AN107</f>
        <v>0</v>
      </c>
      <c r="AP103" s="19" t="n">
        <f aca="false">AO107</f>
        <v>0</v>
      </c>
      <c r="AQ103" s="19" t="n">
        <f aca="false">AP107</f>
        <v>0</v>
      </c>
      <c r="AR103" s="19" t="n">
        <f aca="false">AQ107</f>
        <v>0</v>
      </c>
      <c r="AS103" s="19" t="n">
        <f aca="false">AR107</f>
        <v>0</v>
      </c>
      <c r="AT103" s="19" t="n">
        <f aca="false">AS107</f>
        <v>0</v>
      </c>
      <c r="AU103" s="19" t="n">
        <f aca="false">AT107</f>
        <v>0</v>
      </c>
      <c r="AV103" s="19" t="n">
        <f aca="false">AU107</f>
        <v>0</v>
      </c>
      <c r="AW103" s="19" t="n">
        <f aca="false">AV107</f>
        <v>0</v>
      </c>
      <c r="AX103" s="19" t="n">
        <f aca="false">AW107</f>
        <v>0</v>
      </c>
      <c r="AY103" s="19" t="n">
        <f aca="false">AX107</f>
        <v>0</v>
      </c>
      <c r="AZ103" s="19" t="n">
        <f aca="false">AY107</f>
        <v>0</v>
      </c>
      <c r="BA103" s="19" t="n">
        <f aca="false">AZ107</f>
        <v>0</v>
      </c>
      <c r="BB103" s="19" t="n">
        <f aca="false">BA107</f>
        <v>0</v>
      </c>
      <c r="BC103" s="19" t="n">
        <f aca="false">BB107</f>
        <v>0</v>
      </c>
      <c r="BD103" s="19" t="n">
        <f aca="false">BC107</f>
        <v>0</v>
      </c>
      <c r="BE103" s="19" t="n">
        <f aca="false">BD107</f>
        <v>0</v>
      </c>
      <c r="BF103" s="19" t="n">
        <f aca="false">BE107</f>
        <v>0</v>
      </c>
      <c r="BG103" s="19" t="n">
        <f aca="false">BF107</f>
        <v>0</v>
      </c>
      <c r="BH103" s="19" t="n">
        <f aca="false">BG107</f>
        <v>0</v>
      </c>
      <c r="BI103" s="19" t="n">
        <f aca="false">BH107</f>
        <v>0</v>
      </c>
      <c r="BJ103" s="19" t="n">
        <f aca="false">BI107</f>
        <v>0</v>
      </c>
      <c r="BK103" s="19" t="n">
        <f aca="false">BJ107</f>
        <v>0</v>
      </c>
      <c r="BL103" s="19" t="n">
        <f aca="false">BK107</f>
        <v>0</v>
      </c>
      <c r="BM103" s="19" t="n">
        <f aca="false">BL107</f>
        <v>0</v>
      </c>
      <c r="BN103" s="19" t="n">
        <f aca="false">BM107</f>
        <v>0</v>
      </c>
      <c r="BO103" s="19" t="n">
        <f aca="false">BN107</f>
        <v>0</v>
      </c>
      <c r="BP103" s="19" t="n">
        <f aca="false">BO107</f>
        <v>0</v>
      </c>
      <c r="BQ103" s="19" t="n">
        <f aca="false">BP107</f>
        <v>0</v>
      </c>
      <c r="BR103" s="19" t="n">
        <f aca="false">BQ107</f>
        <v>0</v>
      </c>
      <c r="BS103" s="19" t="n">
        <f aca="false">BR107</f>
        <v>0</v>
      </c>
      <c r="BT103" s="19" t="n">
        <f aca="false">BS107</f>
        <v>0</v>
      </c>
      <c r="BU103" s="19" t="n">
        <f aca="false">BT107</f>
        <v>0</v>
      </c>
      <c r="BV103" s="19" t="n">
        <f aca="false">BU107</f>
        <v>0</v>
      </c>
      <c r="BW103" s="19" t="n">
        <f aca="false">BV107</f>
        <v>0</v>
      </c>
      <c r="BX103" s="19" t="n">
        <f aca="false">BW107</f>
        <v>0</v>
      </c>
      <c r="BY103" s="19" t="n">
        <f aca="false">BX107</f>
        <v>0</v>
      </c>
      <c r="BZ103" s="19" t="n">
        <f aca="false">BY107</f>
        <v>0</v>
      </c>
      <c r="CA103" s="19" t="n">
        <f aca="false">BZ107</f>
        <v>0</v>
      </c>
      <c r="CB103" s="19" t="n">
        <f aca="false">CA107</f>
        <v>0</v>
      </c>
      <c r="CC103" s="19" t="n">
        <f aca="false">CB107</f>
        <v>0</v>
      </c>
      <c r="CD103" s="19" t="n">
        <f aca="false">CC107</f>
        <v>0</v>
      </c>
      <c r="CE103" s="19" t="n">
        <f aca="false">CD107</f>
        <v>0</v>
      </c>
      <c r="CF103" s="19" t="n">
        <f aca="false">CE107</f>
        <v>0</v>
      </c>
      <c r="CG103" s="19" t="n">
        <f aca="false">CF107</f>
        <v>0</v>
      </c>
      <c r="CH103" s="19" t="n">
        <f aca="false">CG107</f>
        <v>0</v>
      </c>
      <c r="CI103" s="19" t="n">
        <f aca="false">CH107</f>
        <v>0</v>
      </c>
      <c r="CJ103" s="19" t="n">
        <f aca="false">CI107</f>
        <v>0</v>
      </c>
      <c r="CK103" s="19" t="n">
        <f aca="false">CJ107</f>
        <v>0</v>
      </c>
      <c r="CL103" s="19" t="n">
        <f aca="false">CK107</f>
        <v>0</v>
      </c>
      <c r="CM103" s="19" t="n">
        <f aca="false">CL107</f>
        <v>0</v>
      </c>
      <c r="CN103" s="19" t="n">
        <f aca="false">CM107</f>
        <v>0</v>
      </c>
      <c r="CO103" s="19" t="n">
        <f aca="false">CN107</f>
        <v>0</v>
      </c>
      <c r="CP103" s="19" t="n">
        <f aca="false">CO107</f>
        <v>0</v>
      </c>
      <c r="CQ103" s="19" t="n">
        <f aca="false">CP107</f>
        <v>0</v>
      </c>
      <c r="CR103" s="19" t="n">
        <f aca="false">CQ107</f>
        <v>0</v>
      </c>
      <c r="CS103" s="19" t="n">
        <f aca="false">CR107</f>
        <v>0</v>
      </c>
      <c r="CT103" s="19" t="n">
        <f aca="false">CS107</f>
        <v>0</v>
      </c>
      <c r="CU103" s="19" t="n">
        <f aca="false">CT107</f>
        <v>0</v>
      </c>
      <c r="CV103" s="19" t="n">
        <f aca="false">CU107</f>
        <v>0</v>
      </c>
      <c r="CW103" s="19" t="n">
        <f aca="false">CV107</f>
        <v>0</v>
      </c>
      <c r="CX103" s="19" t="n">
        <f aca="false">CW107</f>
        <v>0</v>
      </c>
      <c r="CY103" s="19" t="n">
        <f aca="false">CX107</f>
        <v>0</v>
      </c>
      <c r="CZ103" s="19" t="n">
        <f aca="false">CY107</f>
        <v>0</v>
      </c>
      <c r="DA103" s="19" t="n">
        <f aca="false">CZ107</f>
        <v>0</v>
      </c>
      <c r="DB103" s="19" t="n">
        <f aca="false">DA107</f>
        <v>0</v>
      </c>
      <c r="DC103" s="19" t="n">
        <f aca="false">DB107</f>
        <v>0</v>
      </c>
      <c r="DD103" s="19" t="n">
        <f aca="false">DC107</f>
        <v>0</v>
      </c>
      <c r="DE103" s="19" t="n">
        <f aca="false">DD107</f>
        <v>0</v>
      </c>
      <c r="DF103" s="19" t="n">
        <f aca="false">DE107</f>
        <v>0</v>
      </c>
      <c r="DG103" s="19" t="n">
        <f aca="false">DF107</f>
        <v>0</v>
      </c>
      <c r="DH103" s="19" t="n">
        <f aca="false">DG107</f>
        <v>0</v>
      </c>
      <c r="DI103" s="19" t="n">
        <f aca="false">DH107</f>
        <v>0</v>
      </c>
      <c r="DJ103" s="19" t="n">
        <f aca="false">DI107</f>
        <v>0</v>
      </c>
      <c r="DK103" s="19" t="n">
        <f aca="false">DJ107</f>
        <v>0</v>
      </c>
      <c r="DL103" s="19" t="n">
        <f aca="false">DK107</f>
        <v>0</v>
      </c>
      <c r="DM103" s="19" t="n">
        <f aca="false">DL107</f>
        <v>0</v>
      </c>
      <c r="DN103" s="19" t="n">
        <f aca="false">DM107</f>
        <v>0</v>
      </c>
      <c r="DO103" s="19" t="n">
        <f aca="false">DN107</f>
        <v>0</v>
      </c>
      <c r="DP103" s="19" t="n">
        <f aca="false">DO107</f>
        <v>0</v>
      </c>
      <c r="DQ103" s="19" t="n">
        <f aca="false">DP107</f>
        <v>0</v>
      </c>
      <c r="DR103" s="19" t="n">
        <f aca="false">DQ107</f>
        <v>0</v>
      </c>
      <c r="DS103" s="19" t="n">
        <f aca="false">DR107</f>
        <v>0</v>
      </c>
      <c r="DT103" s="19" t="n">
        <f aca="false">DS107</f>
        <v>0</v>
      </c>
      <c r="DU103" s="19" t="n">
        <f aca="false">DT107</f>
        <v>0</v>
      </c>
      <c r="DV103" s="19" t="n">
        <f aca="false">DU107</f>
        <v>0</v>
      </c>
      <c r="DW103" s="19" t="n">
        <f aca="false">DV107</f>
        <v>0</v>
      </c>
      <c r="DX103" s="19" t="n">
        <f aca="false">DW107</f>
        <v>0</v>
      </c>
      <c r="DY103" s="19" t="n">
        <f aca="false">DX107</f>
        <v>0</v>
      </c>
      <c r="DZ103" s="19" t="n">
        <f aca="false">DY107</f>
        <v>0</v>
      </c>
      <c r="EA103" s="19" t="n">
        <f aca="false">DZ107</f>
        <v>0</v>
      </c>
      <c r="EB103" s="19" t="n">
        <f aca="false">EA107</f>
        <v>0</v>
      </c>
      <c r="EC103" s="19" t="n">
        <f aca="false">EB107</f>
        <v>0</v>
      </c>
      <c r="ED103" s="19" t="n">
        <f aca="false">EC107</f>
        <v>0</v>
      </c>
      <c r="EE103" s="19" t="n">
        <f aca="false">ED107</f>
        <v>0</v>
      </c>
      <c r="EF103" s="19" t="n">
        <f aca="false">EE107</f>
        <v>0</v>
      </c>
      <c r="EG103" s="19" t="n">
        <f aca="false">EF107</f>
        <v>0</v>
      </c>
      <c r="EH103" s="19" t="n">
        <f aca="false">EG107</f>
        <v>0</v>
      </c>
      <c r="EI103" s="19" t="n">
        <f aca="false">EH107</f>
        <v>0</v>
      </c>
      <c r="EJ103" s="19" t="n">
        <f aca="false">EI107</f>
        <v>0</v>
      </c>
      <c r="EK103" s="19" t="n">
        <f aca="false">EJ107</f>
        <v>0</v>
      </c>
      <c r="EL103" s="19" t="n">
        <f aca="false">EK107</f>
        <v>0</v>
      </c>
      <c r="EM103" s="19" t="n">
        <f aca="false">EL107</f>
        <v>0</v>
      </c>
      <c r="EN103" s="19" t="n">
        <f aca="false">EM107</f>
        <v>0</v>
      </c>
      <c r="EO103" s="19" t="n">
        <f aca="false">EN107</f>
        <v>0</v>
      </c>
    </row>
    <row r="104" customFormat="false" ht="15" hidden="false" customHeight="false" outlineLevel="0" collapsed="false">
      <c r="C104" s="1" t="s">
        <v>458</v>
      </c>
      <c r="D104" s="12" t="s">
        <v>33</v>
      </c>
      <c r="I104" s="48" t="n">
        <f aca="false">SUM(J104:EO104)</f>
        <v>1978.37591923145</v>
      </c>
      <c r="J104" s="48" t="n">
        <f aca="false">MAX(0,-J102)</f>
        <v>12.8099380746857</v>
      </c>
      <c r="K104" s="48" t="n">
        <f aca="false">MAX(0,-K102)</f>
        <v>19.6746856821167</v>
      </c>
      <c r="L104" s="48" t="n">
        <f aca="false">MAX(0,-L102)</f>
        <v>33.1554888346782</v>
      </c>
      <c r="M104" s="48" t="n">
        <f aca="false">MAX(0,-M102)</f>
        <v>33.5198348658285</v>
      </c>
      <c r="N104" s="48" t="n">
        <f aca="false">MAX(0,-N102)</f>
        <v>33.5198348658285</v>
      </c>
      <c r="O104" s="48" t="n">
        <f aca="false">MAX(0,-O102)</f>
        <v>33.1554888346782</v>
      </c>
      <c r="P104" s="48" t="n">
        <f aca="false">MAX(0,-P102)</f>
        <v>33.1554888346782</v>
      </c>
      <c r="Q104" s="48" t="n">
        <f aca="false">MAX(0,-Q102)</f>
        <v>33.5198348658285</v>
      </c>
      <c r="R104" s="48" t="n">
        <f aca="false">MAX(0,-R102)</f>
        <v>910.488972605438</v>
      </c>
      <c r="S104" s="48" t="n">
        <f aca="false">MAX(0,-S102)</f>
        <v>154.800823311032</v>
      </c>
      <c r="T104" s="48" t="n">
        <f aca="false">MAX(0,-T102)</f>
        <v>136.853718187849</v>
      </c>
      <c r="U104" s="48" t="n">
        <f aca="false">MAX(0,-U102)</f>
        <v>128.541032625373</v>
      </c>
      <c r="V104" s="48" t="n">
        <f aca="false">MAX(0,-V102)</f>
        <v>118.616585625935</v>
      </c>
      <c r="W104" s="48" t="n">
        <f aca="false">MAX(0,-W102)</f>
        <v>107.371197220398</v>
      </c>
      <c r="X104" s="48" t="n">
        <f aca="false">MAX(0,-X102)</f>
        <v>98.9610416989586</v>
      </c>
      <c r="Y104" s="48" t="n">
        <f aca="false">MAX(0,-Y102)</f>
        <v>90.2319530981423</v>
      </c>
      <c r="Z104" s="48" t="n">
        <f aca="false">MAX(0,-Z102)</f>
        <v>0</v>
      </c>
      <c r="AA104" s="48" t="n">
        <f aca="false">MAX(0,-AA102)</f>
        <v>0</v>
      </c>
      <c r="AB104" s="48" t="n">
        <f aca="false">MAX(0,-AB102)</f>
        <v>0</v>
      </c>
      <c r="AC104" s="48" t="n">
        <f aca="false">MAX(0,-AC102)</f>
        <v>0</v>
      </c>
      <c r="AD104" s="48" t="n">
        <f aca="false">MAX(0,-AD102)</f>
        <v>0</v>
      </c>
      <c r="AE104" s="48" t="n">
        <f aca="false">MAX(0,-AE102)</f>
        <v>0</v>
      </c>
      <c r="AF104" s="48" t="n">
        <f aca="false">MAX(0,-AF102)</f>
        <v>0</v>
      </c>
      <c r="AG104" s="48" t="n">
        <f aca="false">MAX(0,-AG102)</f>
        <v>0</v>
      </c>
      <c r="AH104" s="48" t="n">
        <f aca="false">MAX(0,-AH102)</f>
        <v>0</v>
      </c>
      <c r="AI104" s="48" t="n">
        <f aca="false">MAX(0,-AI102)</f>
        <v>0</v>
      </c>
      <c r="AJ104" s="48" t="n">
        <f aca="false">MAX(0,-AJ102)</f>
        <v>0</v>
      </c>
      <c r="AK104" s="48" t="n">
        <f aca="false">MAX(0,-AK102)</f>
        <v>0</v>
      </c>
      <c r="AL104" s="48" t="n">
        <f aca="false">MAX(0,-AL102)</f>
        <v>0</v>
      </c>
      <c r="AM104" s="48" t="n">
        <f aca="false">MAX(0,-AM102)</f>
        <v>0</v>
      </c>
      <c r="AN104" s="48" t="n">
        <f aca="false">MAX(0,-AN102)</f>
        <v>0</v>
      </c>
      <c r="AO104" s="48" t="n">
        <f aca="false">MAX(0,-AO102)</f>
        <v>0</v>
      </c>
      <c r="AP104" s="48" t="n">
        <f aca="false">MAX(0,-AP102)</f>
        <v>0</v>
      </c>
      <c r="AQ104" s="48" t="n">
        <f aca="false">MAX(0,-AQ102)</f>
        <v>0</v>
      </c>
      <c r="AR104" s="48" t="n">
        <f aca="false">MAX(0,-AR102)</f>
        <v>0</v>
      </c>
      <c r="AS104" s="48" t="n">
        <f aca="false">MAX(0,-AS102)</f>
        <v>0</v>
      </c>
      <c r="AT104" s="48" t="n">
        <f aca="false">MAX(0,-AT102)</f>
        <v>0</v>
      </c>
      <c r="AU104" s="48" t="n">
        <f aca="false">MAX(0,-AU102)</f>
        <v>0</v>
      </c>
      <c r="AV104" s="48" t="n">
        <f aca="false">MAX(0,-AV102)</f>
        <v>0</v>
      </c>
      <c r="AW104" s="48" t="n">
        <f aca="false">MAX(0,-AW102)</f>
        <v>0</v>
      </c>
      <c r="AX104" s="48" t="n">
        <f aca="false">MAX(0,-AX102)</f>
        <v>0</v>
      </c>
      <c r="AY104" s="48" t="n">
        <f aca="false">MAX(0,-AY102)</f>
        <v>0</v>
      </c>
      <c r="AZ104" s="48" t="n">
        <f aca="false">MAX(0,-AZ102)</f>
        <v>0</v>
      </c>
      <c r="BA104" s="48" t="n">
        <f aca="false">MAX(0,-BA102)</f>
        <v>0</v>
      </c>
      <c r="BB104" s="48" t="n">
        <f aca="false">MAX(0,-BB102)</f>
        <v>0</v>
      </c>
      <c r="BC104" s="48" t="n">
        <f aca="false">MAX(0,-BC102)</f>
        <v>0</v>
      </c>
      <c r="BD104" s="48" t="n">
        <f aca="false">MAX(0,-BD102)</f>
        <v>0</v>
      </c>
      <c r="BE104" s="48" t="n">
        <f aca="false">MAX(0,-BE102)</f>
        <v>0</v>
      </c>
      <c r="BF104" s="48" t="n">
        <f aca="false">MAX(0,-BF102)</f>
        <v>0</v>
      </c>
      <c r="BG104" s="48" t="n">
        <f aca="false">MAX(0,-BG102)</f>
        <v>0</v>
      </c>
      <c r="BH104" s="48" t="n">
        <f aca="false">MAX(0,-BH102)</f>
        <v>0</v>
      </c>
      <c r="BI104" s="48" t="n">
        <f aca="false">MAX(0,-BI102)</f>
        <v>0</v>
      </c>
      <c r="BJ104" s="48" t="n">
        <f aca="false">MAX(0,-BJ102)</f>
        <v>0</v>
      </c>
      <c r="BK104" s="48" t="n">
        <f aca="false">MAX(0,-BK102)</f>
        <v>0</v>
      </c>
      <c r="BL104" s="48" t="n">
        <f aca="false">MAX(0,-BL102)</f>
        <v>0</v>
      </c>
      <c r="BM104" s="48" t="n">
        <f aca="false">MAX(0,-BM102)</f>
        <v>0</v>
      </c>
      <c r="BN104" s="48" t="n">
        <f aca="false">MAX(0,-BN102)</f>
        <v>0</v>
      </c>
      <c r="BO104" s="48" t="n">
        <f aca="false">MAX(0,-BO102)</f>
        <v>0</v>
      </c>
      <c r="BP104" s="48" t="n">
        <f aca="false">MAX(0,-BP102)</f>
        <v>0</v>
      </c>
      <c r="BQ104" s="48" t="n">
        <f aca="false">MAX(0,-BQ102)</f>
        <v>0</v>
      </c>
      <c r="BR104" s="48" t="n">
        <f aca="false">MAX(0,-BR102)</f>
        <v>0</v>
      </c>
      <c r="BS104" s="48" t="n">
        <f aca="false">MAX(0,-BS102)</f>
        <v>0</v>
      </c>
      <c r="BT104" s="48" t="n">
        <f aca="false">MAX(0,-BT102)</f>
        <v>0</v>
      </c>
      <c r="BU104" s="48" t="n">
        <f aca="false">MAX(0,-BU102)</f>
        <v>0</v>
      </c>
      <c r="BV104" s="48" t="n">
        <f aca="false">MAX(0,-BV102)</f>
        <v>0</v>
      </c>
      <c r="BW104" s="48" t="n">
        <f aca="false">MAX(0,-BW102)</f>
        <v>0</v>
      </c>
      <c r="BX104" s="48" t="n">
        <f aca="false">MAX(0,-BX102)</f>
        <v>0</v>
      </c>
      <c r="BY104" s="48" t="n">
        <f aca="false">MAX(0,-BY102)</f>
        <v>0</v>
      </c>
      <c r="BZ104" s="48" t="n">
        <f aca="false">MAX(0,-BZ102)</f>
        <v>0</v>
      </c>
      <c r="CA104" s="48" t="n">
        <f aca="false">MAX(0,-CA102)</f>
        <v>0</v>
      </c>
      <c r="CB104" s="48" t="n">
        <f aca="false">MAX(0,-CB102)</f>
        <v>0</v>
      </c>
      <c r="CC104" s="48" t="n">
        <f aca="false">MAX(0,-CC102)</f>
        <v>0</v>
      </c>
      <c r="CD104" s="48" t="n">
        <f aca="false">MAX(0,-CD102)</f>
        <v>0</v>
      </c>
      <c r="CE104" s="48" t="n">
        <f aca="false">MAX(0,-CE102)</f>
        <v>0</v>
      </c>
      <c r="CF104" s="48" t="n">
        <f aca="false">MAX(0,-CF102)</f>
        <v>0</v>
      </c>
      <c r="CG104" s="48" t="n">
        <f aca="false">MAX(0,-CG102)</f>
        <v>0</v>
      </c>
      <c r="CH104" s="48" t="n">
        <f aca="false">MAX(0,-CH102)</f>
        <v>0</v>
      </c>
      <c r="CI104" s="48" t="n">
        <f aca="false">MAX(0,-CI102)</f>
        <v>0</v>
      </c>
      <c r="CJ104" s="48" t="n">
        <f aca="false">MAX(0,-CJ102)</f>
        <v>0</v>
      </c>
      <c r="CK104" s="48" t="n">
        <f aca="false">MAX(0,-CK102)</f>
        <v>0</v>
      </c>
      <c r="CL104" s="48" t="n">
        <f aca="false">MAX(0,-CL102)</f>
        <v>0</v>
      </c>
      <c r="CM104" s="48" t="n">
        <f aca="false">MAX(0,-CM102)</f>
        <v>0</v>
      </c>
      <c r="CN104" s="48" t="n">
        <f aca="false">MAX(0,-CN102)</f>
        <v>0</v>
      </c>
      <c r="CO104" s="48" t="n">
        <f aca="false">MAX(0,-CO102)</f>
        <v>0</v>
      </c>
      <c r="CP104" s="48" t="n">
        <f aca="false">MAX(0,-CP102)</f>
        <v>0</v>
      </c>
      <c r="CQ104" s="48" t="n">
        <f aca="false">MAX(0,-CQ102)</f>
        <v>0</v>
      </c>
      <c r="CR104" s="48" t="n">
        <f aca="false">MAX(0,-CR102)</f>
        <v>0</v>
      </c>
      <c r="CS104" s="48" t="n">
        <f aca="false">MAX(0,-CS102)</f>
        <v>0</v>
      </c>
      <c r="CT104" s="48" t="n">
        <f aca="false">MAX(0,-CT102)</f>
        <v>0</v>
      </c>
      <c r="CU104" s="48" t="n">
        <f aca="false">MAX(0,-CU102)</f>
        <v>0</v>
      </c>
      <c r="CV104" s="48" t="n">
        <f aca="false">MAX(0,-CV102)</f>
        <v>0</v>
      </c>
      <c r="CW104" s="48" t="n">
        <f aca="false">MAX(0,-CW102)</f>
        <v>0</v>
      </c>
      <c r="CX104" s="48" t="n">
        <f aca="false">MAX(0,-CX102)</f>
        <v>0</v>
      </c>
      <c r="CY104" s="48" t="n">
        <f aca="false">MAX(0,-CY102)</f>
        <v>0</v>
      </c>
      <c r="CZ104" s="48" t="n">
        <f aca="false">MAX(0,-CZ102)</f>
        <v>0</v>
      </c>
      <c r="DA104" s="48" t="n">
        <f aca="false">MAX(0,-DA102)</f>
        <v>0</v>
      </c>
      <c r="DB104" s="48" t="n">
        <f aca="false">MAX(0,-DB102)</f>
        <v>0</v>
      </c>
      <c r="DC104" s="48" t="n">
        <f aca="false">MAX(0,-DC102)</f>
        <v>0</v>
      </c>
      <c r="DD104" s="48" t="n">
        <f aca="false">MAX(0,-DD102)</f>
        <v>0</v>
      </c>
      <c r="DE104" s="48" t="n">
        <f aca="false">MAX(0,-DE102)</f>
        <v>0</v>
      </c>
      <c r="DF104" s="48" t="n">
        <f aca="false">MAX(0,-DF102)</f>
        <v>0</v>
      </c>
      <c r="DG104" s="48" t="n">
        <f aca="false">MAX(0,-DG102)</f>
        <v>0</v>
      </c>
      <c r="DH104" s="48" t="n">
        <f aca="false">MAX(0,-DH102)</f>
        <v>0</v>
      </c>
      <c r="DI104" s="48" t="n">
        <f aca="false">MAX(0,-DI102)</f>
        <v>0</v>
      </c>
      <c r="DJ104" s="48" t="n">
        <f aca="false">MAX(0,-DJ102)</f>
        <v>0</v>
      </c>
      <c r="DK104" s="48" t="n">
        <f aca="false">MAX(0,-DK102)</f>
        <v>0</v>
      </c>
      <c r="DL104" s="48" t="n">
        <f aca="false">MAX(0,-DL102)</f>
        <v>0</v>
      </c>
      <c r="DM104" s="48" t="n">
        <f aca="false">MAX(0,-DM102)</f>
        <v>0</v>
      </c>
      <c r="DN104" s="48" t="n">
        <f aca="false">MAX(0,-DN102)</f>
        <v>0</v>
      </c>
      <c r="DO104" s="48" t="n">
        <f aca="false">MAX(0,-DO102)</f>
        <v>0</v>
      </c>
      <c r="DP104" s="48" t="n">
        <f aca="false">MAX(0,-DP102)</f>
        <v>0</v>
      </c>
      <c r="DQ104" s="48" t="n">
        <f aca="false">MAX(0,-DQ102)</f>
        <v>0</v>
      </c>
      <c r="DR104" s="48" t="n">
        <f aca="false">MAX(0,-DR102)</f>
        <v>0</v>
      </c>
      <c r="DS104" s="48" t="n">
        <f aca="false">MAX(0,-DS102)</f>
        <v>0</v>
      </c>
      <c r="DT104" s="48" t="n">
        <f aca="false">MAX(0,-DT102)</f>
        <v>0</v>
      </c>
      <c r="DU104" s="48" t="n">
        <f aca="false">MAX(0,-DU102)</f>
        <v>0</v>
      </c>
      <c r="DV104" s="48" t="n">
        <f aca="false">MAX(0,-DV102)</f>
        <v>0</v>
      </c>
      <c r="DW104" s="48" t="n">
        <f aca="false">MAX(0,-DW102)</f>
        <v>0</v>
      </c>
      <c r="DX104" s="48" t="n">
        <f aca="false">MAX(0,-DX102)</f>
        <v>0</v>
      </c>
      <c r="DY104" s="48" t="n">
        <f aca="false">MAX(0,-DY102)</f>
        <v>0</v>
      </c>
      <c r="DZ104" s="48" t="n">
        <f aca="false">MAX(0,-DZ102)</f>
        <v>0</v>
      </c>
      <c r="EA104" s="48" t="n">
        <f aca="false">MAX(0,-EA102)</f>
        <v>0</v>
      </c>
      <c r="EB104" s="48" t="n">
        <f aca="false">MAX(0,-EB102)</f>
        <v>0</v>
      </c>
      <c r="EC104" s="48" t="n">
        <f aca="false">MAX(0,-EC102)</f>
        <v>0</v>
      </c>
      <c r="ED104" s="48" t="n">
        <f aca="false">MAX(0,-ED102)</f>
        <v>0</v>
      </c>
      <c r="EE104" s="48" t="n">
        <f aca="false">MAX(0,-EE102)</f>
        <v>0</v>
      </c>
      <c r="EF104" s="48" t="n">
        <f aca="false">MAX(0,-EF102)</f>
        <v>0</v>
      </c>
      <c r="EG104" s="48" t="n">
        <f aca="false">MAX(0,-EG102)</f>
        <v>0</v>
      </c>
      <c r="EH104" s="48" t="n">
        <f aca="false">MAX(0,-EH102)</f>
        <v>0</v>
      </c>
      <c r="EI104" s="48" t="n">
        <f aca="false">MAX(0,-EI102)</f>
        <v>0</v>
      </c>
      <c r="EJ104" s="48" t="n">
        <f aca="false">MAX(0,-EJ102)</f>
        <v>0</v>
      </c>
      <c r="EK104" s="48" t="n">
        <f aca="false">MAX(0,-EK102)</f>
        <v>0</v>
      </c>
      <c r="EL104" s="48" t="n">
        <f aca="false">MAX(0,-EL102)</f>
        <v>0</v>
      </c>
      <c r="EM104" s="48" t="n">
        <f aca="false">MAX(0,-EM102)</f>
        <v>0</v>
      </c>
      <c r="EN104" s="48" t="n">
        <f aca="false">MAX(0,-EN102)</f>
        <v>0</v>
      </c>
      <c r="EO104" s="48" t="n">
        <f aca="false">MAX(0,-EO102)</f>
        <v>0</v>
      </c>
    </row>
    <row r="105" customFormat="false" ht="15" hidden="false" customHeight="false" outlineLevel="0" collapsed="false">
      <c r="C105" s="1" t="s">
        <v>459</v>
      </c>
      <c r="D105" s="12" t="s">
        <v>33</v>
      </c>
      <c r="I105" s="48" t="n">
        <f aca="false">SUM(J105:EO105)</f>
        <v>-1978.37591923145</v>
      </c>
      <c r="J105" s="48" t="n">
        <f aca="false">-MIN(J103,In_Loss_Cap*MAX(0,J102))</f>
        <v>-0</v>
      </c>
      <c r="K105" s="48" t="n">
        <f aca="false">-MIN(K103,In_Loss_Cap*MAX(0,K102))</f>
        <v>-0</v>
      </c>
      <c r="L105" s="48" t="n">
        <f aca="false">-MIN(L103,In_Loss_Cap*MAX(0,L102))</f>
        <v>-0</v>
      </c>
      <c r="M105" s="48" t="n">
        <f aca="false">-MIN(M103,In_Loss_Cap*MAX(0,M102))</f>
        <v>-0</v>
      </c>
      <c r="N105" s="48" t="n">
        <f aca="false">-MIN(N103,In_Loss_Cap*MAX(0,N102))</f>
        <v>-0</v>
      </c>
      <c r="O105" s="48" t="n">
        <f aca="false">-MIN(O103,In_Loss_Cap*MAX(0,O102))</f>
        <v>-0</v>
      </c>
      <c r="P105" s="48" t="n">
        <f aca="false">-MIN(P103,In_Loss_Cap*MAX(0,P102))</f>
        <v>-0</v>
      </c>
      <c r="Q105" s="48" t="n">
        <f aca="false">-MIN(Q103,In_Loss_Cap*MAX(0,Q102))</f>
        <v>-0</v>
      </c>
      <c r="R105" s="48" t="n">
        <f aca="false">-MIN(R103,In_Loss_Cap*MAX(0,R102))</f>
        <v>-0</v>
      </c>
      <c r="S105" s="48" t="n">
        <f aca="false">-MIN(S103,In_Loss_Cap*MAX(0,S102))</f>
        <v>-0</v>
      </c>
      <c r="T105" s="48" t="n">
        <f aca="false">-MIN(T103,In_Loss_Cap*MAX(0,T102))</f>
        <v>-0</v>
      </c>
      <c r="U105" s="48" t="n">
        <f aca="false">-MIN(U103,In_Loss_Cap*MAX(0,U102))</f>
        <v>-0</v>
      </c>
      <c r="V105" s="48" t="n">
        <f aca="false">-MIN(V103,In_Loss_Cap*MAX(0,V102))</f>
        <v>-0</v>
      </c>
      <c r="W105" s="48" t="n">
        <f aca="false">-MIN(W103,In_Loss_Cap*MAX(0,W102))</f>
        <v>-0</v>
      </c>
      <c r="X105" s="48" t="n">
        <f aca="false">-MIN(X103,In_Loss_Cap*MAX(0,X102))</f>
        <v>-0</v>
      </c>
      <c r="Y105" s="48" t="n">
        <f aca="false">-MIN(Y103,In_Loss_Cap*MAX(0,Y102))</f>
        <v>-0</v>
      </c>
      <c r="Z105" s="48" t="n">
        <f aca="false">-MIN(Z103,In_Loss_Cap*MAX(0,Z102))</f>
        <v>-402.320132253099</v>
      </c>
      <c r="AA105" s="48" t="n">
        <f aca="false">-MIN(AA103,In_Loss_Cap*MAX(0,AA102))</f>
        <v>-398.075529141875</v>
      </c>
      <c r="AB105" s="48" t="n">
        <f aca="false">-MIN(AB103,In_Loss_Cap*MAX(0,AB102))</f>
        <v>-407.724523425111</v>
      </c>
      <c r="AC105" s="48" t="n">
        <f aca="false">-MIN(AC103,In_Loss_Cap*MAX(0,AC102))</f>
        <v>-417.462488674354</v>
      </c>
      <c r="AD105" s="48" t="n">
        <f aca="false">-MIN(AD103,In_Loss_Cap*MAX(0,AD102))</f>
        <v>-352.793245737011</v>
      </c>
      <c r="AE105" s="48" t="n">
        <f aca="false">-MIN(AE103,In_Loss_Cap*MAX(0,AE102))</f>
        <v>-0</v>
      </c>
      <c r="AF105" s="48" t="n">
        <f aca="false">-MIN(AF103,In_Loss_Cap*MAX(0,AF102))</f>
        <v>-0</v>
      </c>
      <c r="AG105" s="48" t="n">
        <f aca="false">-MIN(AG103,In_Loss_Cap*MAX(0,AG102))</f>
        <v>-0</v>
      </c>
      <c r="AH105" s="48" t="n">
        <f aca="false">-MIN(AH103,In_Loss_Cap*MAX(0,AH102))</f>
        <v>-0</v>
      </c>
      <c r="AI105" s="48" t="n">
        <f aca="false">-MIN(AI103,In_Loss_Cap*MAX(0,AI102))</f>
        <v>-0</v>
      </c>
      <c r="AJ105" s="48" t="n">
        <f aca="false">-MIN(AJ103,In_Loss_Cap*MAX(0,AJ102))</f>
        <v>-0</v>
      </c>
      <c r="AK105" s="48" t="n">
        <f aca="false">-MIN(AK103,In_Loss_Cap*MAX(0,AK102))</f>
        <v>-0</v>
      </c>
      <c r="AL105" s="48" t="n">
        <f aca="false">-MIN(AL103,In_Loss_Cap*MAX(0,AL102))</f>
        <v>-0</v>
      </c>
      <c r="AM105" s="48" t="n">
        <f aca="false">-MIN(AM103,In_Loss_Cap*MAX(0,AM102))</f>
        <v>-0</v>
      </c>
      <c r="AN105" s="48" t="n">
        <f aca="false">-MIN(AN103,In_Loss_Cap*MAX(0,AN102))</f>
        <v>-0</v>
      </c>
      <c r="AO105" s="48" t="n">
        <f aca="false">-MIN(AO103,In_Loss_Cap*MAX(0,AO102))</f>
        <v>-0</v>
      </c>
      <c r="AP105" s="48" t="n">
        <f aca="false">-MIN(AP103,In_Loss_Cap*MAX(0,AP102))</f>
        <v>-0</v>
      </c>
      <c r="AQ105" s="48" t="n">
        <f aca="false">-MIN(AQ103,In_Loss_Cap*MAX(0,AQ102))</f>
        <v>-0</v>
      </c>
      <c r="AR105" s="48" t="n">
        <f aca="false">-MIN(AR103,In_Loss_Cap*MAX(0,AR102))</f>
        <v>-0</v>
      </c>
      <c r="AS105" s="48" t="n">
        <f aca="false">-MIN(AS103,In_Loss_Cap*MAX(0,AS102))</f>
        <v>-0</v>
      </c>
      <c r="AT105" s="48" t="n">
        <f aca="false">-MIN(AT103,In_Loss_Cap*MAX(0,AT102))</f>
        <v>-0</v>
      </c>
      <c r="AU105" s="48" t="n">
        <f aca="false">-MIN(AU103,In_Loss_Cap*MAX(0,AU102))</f>
        <v>-0</v>
      </c>
      <c r="AV105" s="48" t="n">
        <f aca="false">-MIN(AV103,In_Loss_Cap*MAX(0,AV102))</f>
        <v>-0</v>
      </c>
      <c r="AW105" s="48" t="n">
        <f aca="false">-MIN(AW103,In_Loss_Cap*MAX(0,AW102))</f>
        <v>-0</v>
      </c>
      <c r="AX105" s="48" t="n">
        <f aca="false">-MIN(AX103,In_Loss_Cap*MAX(0,AX102))</f>
        <v>-0</v>
      </c>
      <c r="AY105" s="48" t="n">
        <f aca="false">-MIN(AY103,In_Loss_Cap*MAX(0,AY102))</f>
        <v>-0</v>
      </c>
      <c r="AZ105" s="48" t="n">
        <f aca="false">-MIN(AZ103,In_Loss_Cap*MAX(0,AZ102))</f>
        <v>-0</v>
      </c>
      <c r="BA105" s="48" t="n">
        <f aca="false">-MIN(BA103,In_Loss_Cap*MAX(0,BA102))</f>
        <v>-0</v>
      </c>
      <c r="BB105" s="48" t="n">
        <f aca="false">-MIN(BB103,In_Loss_Cap*MAX(0,BB102))</f>
        <v>-0</v>
      </c>
      <c r="BC105" s="48" t="n">
        <f aca="false">-MIN(BC103,In_Loss_Cap*MAX(0,BC102))</f>
        <v>-0</v>
      </c>
      <c r="BD105" s="48" t="n">
        <f aca="false">-MIN(BD103,In_Loss_Cap*MAX(0,BD102))</f>
        <v>-0</v>
      </c>
      <c r="BE105" s="48" t="n">
        <f aca="false">-MIN(BE103,In_Loss_Cap*MAX(0,BE102))</f>
        <v>-0</v>
      </c>
      <c r="BF105" s="48" t="n">
        <f aca="false">-MIN(BF103,In_Loss_Cap*MAX(0,BF102))</f>
        <v>-0</v>
      </c>
      <c r="BG105" s="48" t="n">
        <f aca="false">-MIN(BG103,In_Loss_Cap*MAX(0,BG102))</f>
        <v>-0</v>
      </c>
      <c r="BH105" s="48" t="n">
        <f aca="false">-MIN(BH103,In_Loss_Cap*MAX(0,BH102))</f>
        <v>-0</v>
      </c>
      <c r="BI105" s="48" t="n">
        <f aca="false">-MIN(BI103,In_Loss_Cap*MAX(0,BI102))</f>
        <v>-0</v>
      </c>
      <c r="BJ105" s="48" t="n">
        <f aca="false">-MIN(BJ103,In_Loss_Cap*MAX(0,BJ102))</f>
        <v>-0</v>
      </c>
      <c r="BK105" s="48" t="n">
        <f aca="false">-MIN(BK103,In_Loss_Cap*MAX(0,BK102))</f>
        <v>-0</v>
      </c>
      <c r="BL105" s="48" t="n">
        <f aca="false">-MIN(BL103,In_Loss_Cap*MAX(0,BL102))</f>
        <v>-0</v>
      </c>
      <c r="BM105" s="48" t="n">
        <f aca="false">-MIN(BM103,In_Loss_Cap*MAX(0,BM102))</f>
        <v>-0</v>
      </c>
      <c r="BN105" s="48" t="n">
        <f aca="false">-MIN(BN103,In_Loss_Cap*MAX(0,BN102))</f>
        <v>-0</v>
      </c>
      <c r="BO105" s="48" t="n">
        <f aca="false">-MIN(BO103,In_Loss_Cap*MAX(0,BO102))</f>
        <v>-0</v>
      </c>
      <c r="BP105" s="48" t="n">
        <f aca="false">-MIN(BP103,In_Loss_Cap*MAX(0,BP102))</f>
        <v>-0</v>
      </c>
      <c r="BQ105" s="48" t="n">
        <f aca="false">-MIN(BQ103,In_Loss_Cap*MAX(0,BQ102))</f>
        <v>-0</v>
      </c>
      <c r="BR105" s="48" t="n">
        <f aca="false">-MIN(BR103,In_Loss_Cap*MAX(0,BR102))</f>
        <v>-0</v>
      </c>
      <c r="BS105" s="48" t="n">
        <f aca="false">-MIN(BS103,In_Loss_Cap*MAX(0,BS102))</f>
        <v>-0</v>
      </c>
      <c r="BT105" s="48" t="n">
        <f aca="false">-MIN(BT103,In_Loss_Cap*MAX(0,BT102))</f>
        <v>-0</v>
      </c>
      <c r="BU105" s="48" t="n">
        <f aca="false">-MIN(BU103,In_Loss_Cap*MAX(0,BU102))</f>
        <v>-0</v>
      </c>
      <c r="BV105" s="48" t="n">
        <f aca="false">-MIN(BV103,In_Loss_Cap*MAX(0,BV102))</f>
        <v>-0</v>
      </c>
      <c r="BW105" s="48" t="n">
        <f aca="false">-MIN(BW103,In_Loss_Cap*MAX(0,BW102))</f>
        <v>-0</v>
      </c>
      <c r="BX105" s="48" t="n">
        <f aca="false">-MIN(BX103,In_Loss_Cap*MAX(0,BX102))</f>
        <v>-0</v>
      </c>
      <c r="BY105" s="48" t="n">
        <f aca="false">-MIN(BY103,In_Loss_Cap*MAX(0,BY102))</f>
        <v>-0</v>
      </c>
      <c r="BZ105" s="48" t="n">
        <f aca="false">-MIN(BZ103,In_Loss_Cap*MAX(0,BZ102))</f>
        <v>-0</v>
      </c>
      <c r="CA105" s="48" t="n">
        <f aca="false">-MIN(CA103,In_Loss_Cap*MAX(0,CA102))</f>
        <v>-0</v>
      </c>
      <c r="CB105" s="48" t="n">
        <f aca="false">-MIN(CB103,In_Loss_Cap*MAX(0,CB102))</f>
        <v>-0</v>
      </c>
      <c r="CC105" s="48" t="n">
        <f aca="false">-MIN(CC103,In_Loss_Cap*MAX(0,CC102))</f>
        <v>-0</v>
      </c>
      <c r="CD105" s="48" t="n">
        <f aca="false">-MIN(CD103,In_Loss_Cap*MAX(0,CD102))</f>
        <v>-0</v>
      </c>
      <c r="CE105" s="48" t="n">
        <f aca="false">-MIN(CE103,In_Loss_Cap*MAX(0,CE102))</f>
        <v>-0</v>
      </c>
      <c r="CF105" s="48" t="n">
        <f aca="false">-MIN(CF103,In_Loss_Cap*MAX(0,CF102))</f>
        <v>-0</v>
      </c>
      <c r="CG105" s="48" t="n">
        <f aca="false">-MIN(CG103,In_Loss_Cap*MAX(0,CG102))</f>
        <v>-0</v>
      </c>
      <c r="CH105" s="48" t="n">
        <f aca="false">-MIN(CH103,In_Loss_Cap*MAX(0,CH102))</f>
        <v>-0</v>
      </c>
      <c r="CI105" s="48" t="n">
        <f aca="false">-MIN(CI103,In_Loss_Cap*MAX(0,CI102))</f>
        <v>-0</v>
      </c>
      <c r="CJ105" s="48" t="n">
        <f aca="false">-MIN(CJ103,In_Loss_Cap*MAX(0,CJ102))</f>
        <v>-0</v>
      </c>
      <c r="CK105" s="48" t="n">
        <f aca="false">-MIN(CK103,In_Loss_Cap*MAX(0,CK102))</f>
        <v>-0</v>
      </c>
      <c r="CL105" s="48" t="n">
        <f aca="false">-MIN(CL103,In_Loss_Cap*MAX(0,CL102))</f>
        <v>-0</v>
      </c>
      <c r="CM105" s="48" t="n">
        <f aca="false">-MIN(CM103,In_Loss_Cap*MAX(0,CM102))</f>
        <v>-0</v>
      </c>
      <c r="CN105" s="48" t="n">
        <f aca="false">-MIN(CN103,In_Loss_Cap*MAX(0,CN102))</f>
        <v>-0</v>
      </c>
      <c r="CO105" s="48" t="n">
        <f aca="false">-MIN(CO103,In_Loss_Cap*MAX(0,CO102))</f>
        <v>-0</v>
      </c>
      <c r="CP105" s="48" t="n">
        <f aca="false">-MIN(CP103,In_Loss_Cap*MAX(0,CP102))</f>
        <v>-0</v>
      </c>
      <c r="CQ105" s="48" t="n">
        <f aca="false">-MIN(CQ103,In_Loss_Cap*MAX(0,CQ102))</f>
        <v>-0</v>
      </c>
      <c r="CR105" s="48" t="n">
        <f aca="false">-MIN(CR103,In_Loss_Cap*MAX(0,CR102))</f>
        <v>-0</v>
      </c>
      <c r="CS105" s="48" t="n">
        <f aca="false">-MIN(CS103,In_Loss_Cap*MAX(0,CS102))</f>
        <v>-0</v>
      </c>
      <c r="CT105" s="48" t="n">
        <f aca="false">-MIN(CT103,In_Loss_Cap*MAX(0,CT102))</f>
        <v>-0</v>
      </c>
      <c r="CU105" s="48" t="n">
        <f aca="false">-MIN(CU103,In_Loss_Cap*MAX(0,CU102))</f>
        <v>-0</v>
      </c>
      <c r="CV105" s="48" t="n">
        <f aca="false">-MIN(CV103,In_Loss_Cap*MAX(0,CV102))</f>
        <v>-0</v>
      </c>
      <c r="CW105" s="48" t="n">
        <f aca="false">-MIN(CW103,In_Loss_Cap*MAX(0,CW102))</f>
        <v>-0</v>
      </c>
      <c r="CX105" s="48" t="n">
        <f aca="false">-MIN(CX103,In_Loss_Cap*MAX(0,CX102))</f>
        <v>-0</v>
      </c>
      <c r="CY105" s="48" t="n">
        <f aca="false">-MIN(CY103,In_Loss_Cap*MAX(0,CY102))</f>
        <v>-0</v>
      </c>
      <c r="CZ105" s="48" t="n">
        <f aca="false">-MIN(CZ103,In_Loss_Cap*MAX(0,CZ102))</f>
        <v>-0</v>
      </c>
      <c r="DA105" s="48" t="n">
        <f aca="false">-MIN(DA103,In_Loss_Cap*MAX(0,DA102))</f>
        <v>-0</v>
      </c>
      <c r="DB105" s="48" t="n">
        <f aca="false">-MIN(DB103,In_Loss_Cap*MAX(0,DB102))</f>
        <v>-0</v>
      </c>
      <c r="DC105" s="48" t="n">
        <f aca="false">-MIN(DC103,In_Loss_Cap*MAX(0,DC102))</f>
        <v>-0</v>
      </c>
      <c r="DD105" s="48" t="n">
        <f aca="false">-MIN(DD103,In_Loss_Cap*MAX(0,DD102))</f>
        <v>-0</v>
      </c>
      <c r="DE105" s="48" t="n">
        <f aca="false">-MIN(DE103,In_Loss_Cap*MAX(0,DE102))</f>
        <v>-0</v>
      </c>
      <c r="DF105" s="48" t="n">
        <f aca="false">-MIN(DF103,In_Loss_Cap*MAX(0,DF102))</f>
        <v>-0</v>
      </c>
      <c r="DG105" s="48" t="n">
        <f aca="false">-MIN(DG103,In_Loss_Cap*MAX(0,DG102))</f>
        <v>-0</v>
      </c>
      <c r="DH105" s="48" t="n">
        <f aca="false">-MIN(DH103,In_Loss_Cap*MAX(0,DH102))</f>
        <v>-0</v>
      </c>
      <c r="DI105" s="48" t="n">
        <f aca="false">-MIN(DI103,In_Loss_Cap*MAX(0,DI102))</f>
        <v>-0</v>
      </c>
      <c r="DJ105" s="48" t="n">
        <f aca="false">-MIN(DJ103,In_Loss_Cap*MAX(0,DJ102))</f>
        <v>-0</v>
      </c>
      <c r="DK105" s="48" t="n">
        <f aca="false">-MIN(DK103,In_Loss_Cap*MAX(0,DK102))</f>
        <v>-0</v>
      </c>
      <c r="DL105" s="48" t="n">
        <f aca="false">-MIN(DL103,In_Loss_Cap*MAX(0,DL102))</f>
        <v>-0</v>
      </c>
      <c r="DM105" s="48" t="n">
        <f aca="false">-MIN(DM103,In_Loss_Cap*MAX(0,DM102))</f>
        <v>-0</v>
      </c>
      <c r="DN105" s="48" t="n">
        <f aca="false">-MIN(DN103,In_Loss_Cap*MAX(0,DN102))</f>
        <v>-0</v>
      </c>
      <c r="DO105" s="48" t="n">
        <f aca="false">-MIN(DO103,In_Loss_Cap*MAX(0,DO102))</f>
        <v>-0</v>
      </c>
      <c r="DP105" s="48" t="n">
        <f aca="false">-MIN(DP103,In_Loss_Cap*MAX(0,DP102))</f>
        <v>-0</v>
      </c>
      <c r="DQ105" s="48" t="n">
        <f aca="false">-MIN(DQ103,In_Loss_Cap*MAX(0,DQ102))</f>
        <v>-0</v>
      </c>
      <c r="DR105" s="48" t="n">
        <f aca="false">-MIN(DR103,In_Loss_Cap*MAX(0,DR102))</f>
        <v>-0</v>
      </c>
      <c r="DS105" s="48" t="n">
        <f aca="false">-MIN(DS103,In_Loss_Cap*MAX(0,DS102))</f>
        <v>-0</v>
      </c>
      <c r="DT105" s="48" t="n">
        <f aca="false">-MIN(DT103,In_Loss_Cap*MAX(0,DT102))</f>
        <v>-0</v>
      </c>
      <c r="DU105" s="48" t="n">
        <f aca="false">-MIN(DU103,In_Loss_Cap*MAX(0,DU102))</f>
        <v>-0</v>
      </c>
      <c r="DV105" s="48" t="n">
        <f aca="false">-MIN(DV103,In_Loss_Cap*MAX(0,DV102))</f>
        <v>-0</v>
      </c>
      <c r="DW105" s="48" t="n">
        <f aca="false">-MIN(DW103,In_Loss_Cap*MAX(0,DW102))</f>
        <v>-0</v>
      </c>
      <c r="DX105" s="48" t="n">
        <f aca="false">-MIN(DX103,In_Loss_Cap*MAX(0,DX102))</f>
        <v>-0</v>
      </c>
      <c r="DY105" s="48" t="n">
        <f aca="false">-MIN(DY103,In_Loss_Cap*MAX(0,DY102))</f>
        <v>-0</v>
      </c>
      <c r="DZ105" s="48" t="n">
        <f aca="false">-MIN(DZ103,In_Loss_Cap*MAX(0,DZ102))</f>
        <v>-0</v>
      </c>
      <c r="EA105" s="48" t="n">
        <f aca="false">-MIN(EA103,In_Loss_Cap*MAX(0,EA102))</f>
        <v>-0</v>
      </c>
      <c r="EB105" s="48" t="n">
        <f aca="false">-MIN(EB103,In_Loss_Cap*MAX(0,EB102))</f>
        <v>-0</v>
      </c>
      <c r="EC105" s="48" t="n">
        <f aca="false">-MIN(EC103,In_Loss_Cap*MAX(0,EC102))</f>
        <v>-0</v>
      </c>
      <c r="ED105" s="48" t="n">
        <f aca="false">-MIN(ED103,In_Loss_Cap*MAX(0,ED102))</f>
        <v>-0</v>
      </c>
      <c r="EE105" s="48" t="n">
        <f aca="false">-MIN(EE103,In_Loss_Cap*MAX(0,EE102))</f>
        <v>-0</v>
      </c>
      <c r="EF105" s="48" t="n">
        <f aca="false">-MIN(EF103,In_Loss_Cap*MAX(0,EF102))</f>
        <v>-0</v>
      </c>
      <c r="EG105" s="48" t="n">
        <f aca="false">-MIN(EG103,In_Loss_Cap*MAX(0,EG102))</f>
        <v>-0</v>
      </c>
      <c r="EH105" s="48" t="n">
        <f aca="false">-MIN(EH103,In_Loss_Cap*MAX(0,EH102))</f>
        <v>-0</v>
      </c>
      <c r="EI105" s="48" t="n">
        <f aca="false">-MIN(EI103,In_Loss_Cap*MAX(0,EI102))</f>
        <v>-0</v>
      </c>
      <c r="EJ105" s="48" t="n">
        <f aca="false">-MIN(EJ103,In_Loss_Cap*MAX(0,EJ102))</f>
        <v>-0</v>
      </c>
      <c r="EK105" s="48" t="n">
        <f aca="false">-MIN(EK103,In_Loss_Cap*MAX(0,EK102))</f>
        <v>-0</v>
      </c>
      <c r="EL105" s="48" t="n">
        <f aca="false">-MIN(EL103,In_Loss_Cap*MAX(0,EL102))</f>
        <v>-0</v>
      </c>
      <c r="EM105" s="48" t="n">
        <f aca="false">-MIN(EM103,In_Loss_Cap*MAX(0,EM102))</f>
        <v>-0</v>
      </c>
      <c r="EN105" s="48" t="n">
        <f aca="false">-MIN(EN103,In_Loss_Cap*MAX(0,EN102))</f>
        <v>-0</v>
      </c>
      <c r="EO105" s="48" t="n">
        <f aca="false">-MIN(EO103,In_Loss_Cap*MAX(0,EO102))</f>
        <v>-0</v>
      </c>
    </row>
    <row r="106" customFormat="false" ht="15" hidden="false" customHeight="false" outlineLevel="0" collapsed="false">
      <c r="C106" s="1" t="s">
        <v>460</v>
      </c>
      <c r="D106" s="12" t="s">
        <v>33</v>
      </c>
      <c r="E106" s="46" t="n">
        <f aca="false">EDATE(In_NTP,In_Loss_Years*Months_In_Year)</f>
        <v>48852</v>
      </c>
      <c r="I106" s="48" t="n">
        <f aca="false">SUM(J106:EO106)</f>
        <v>0</v>
      </c>
      <c r="J106" s="48" t="n">
        <f aca="false">-(J103+J104+J105)*N(AND(J$3&lt;=$E106,J$4&gt;=$E106))</f>
        <v>-0</v>
      </c>
      <c r="K106" s="48" t="n">
        <f aca="false">-(K103+K104+K105)*N(AND(K$3&lt;=$E106,K$4&gt;=$E106))</f>
        <v>-0</v>
      </c>
      <c r="L106" s="48" t="n">
        <f aca="false">-(L103+L104+L105)*N(AND(L$3&lt;=$E106,L$4&gt;=$E106))</f>
        <v>-0</v>
      </c>
      <c r="M106" s="48" t="n">
        <f aca="false">-(M103+M104+M105)*N(AND(M$3&lt;=$E106,M$4&gt;=$E106))</f>
        <v>-0</v>
      </c>
      <c r="N106" s="48" t="n">
        <f aca="false">-(N103+N104+N105)*N(AND(N$3&lt;=$E106,N$4&gt;=$E106))</f>
        <v>-0</v>
      </c>
      <c r="O106" s="48" t="n">
        <f aca="false">-(O103+O104+O105)*N(AND(O$3&lt;=$E106,O$4&gt;=$E106))</f>
        <v>-0</v>
      </c>
      <c r="P106" s="48" t="n">
        <f aca="false">-(P103+P104+P105)*N(AND(P$3&lt;=$E106,P$4&gt;=$E106))</f>
        <v>-0</v>
      </c>
      <c r="Q106" s="48" t="n">
        <f aca="false">-(Q103+Q104+Q105)*N(AND(Q$3&lt;=$E106,Q$4&gt;=$E106))</f>
        <v>-0</v>
      </c>
      <c r="R106" s="48" t="n">
        <f aca="false">-(R103+R104+R105)*N(AND(R$3&lt;=$E106,R$4&gt;=$E106))</f>
        <v>-0</v>
      </c>
      <c r="S106" s="48" t="n">
        <f aca="false">-(S103+S104+S105)*N(AND(S$3&lt;=$E106,S$4&gt;=$E106))</f>
        <v>-0</v>
      </c>
      <c r="T106" s="48" t="n">
        <f aca="false">-(T103+T104+T105)*N(AND(T$3&lt;=$E106,T$4&gt;=$E106))</f>
        <v>-0</v>
      </c>
      <c r="U106" s="48" t="n">
        <f aca="false">-(U103+U104+U105)*N(AND(U$3&lt;=$E106,U$4&gt;=$E106))</f>
        <v>-0</v>
      </c>
      <c r="V106" s="48" t="n">
        <f aca="false">-(V103+V104+V105)*N(AND(V$3&lt;=$E106,V$4&gt;=$E106))</f>
        <v>-0</v>
      </c>
      <c r="W106" s="48" t="n">
        <f aca="false">-(W103+W104+W105)*N(AND(W$3&lt;=$E106,W$4&gt;=$E106))</f>
        <v>-0</v>
      </c>
      <c r="X106" s="48" t="n">
        <f aca="false">-(X103+X104+X105)*N(AND(X$3&lt;=$E106,X$4&gt;=$E106))</f>
        <v>-0</v>
      </c>
      <c r="Y106" s="48" t="n">
        <f aca="false">-(Y103+Y104+Y105)*N(AND(Y$3&lt;=$E106,Y$4&gt;=$E106))</f>
        <v>-0</v>
      </c>
      <c r="Z106" s="48" t="n">
        <f aca="false">-(Z103+Z104+Z105)*N(AND(Z$3&lt;=$E106,Z$4&gt;=$E106))</f>
        <v>-0</v>
      </c>
      <c r="AA106" s="48" t="n">
        <f aca="false">-(AA103+AA104+AA105)*N(AND(AA$3&lt;=$E106,AA$4&gt;=$E106))</f>
        <v>-0</v>
      </c>
      <c r="AB106" s="48" t="n">
        <f aca="false">-(AB103+AB104+AB105)*N(AND(AB$3&lt;=$E106,AB$4&gt;=$E106))</f>
        <v>-0</v>
      </c>
      <c r="AC106" s="48" t="n">
        <f aca="false">-(AC103+AC104+AC105)*N(AND(AC$3&lt;=$E106,AC$4&gt;=$E106))</f>
        <v>-0</v>
      </c>
      <c r="AD106" s="48" t="n">
        <f aca="false">-(AD103+AD104+AD105)*N(AND(AD$3&lt;=$E106,AD$4&gt;=$E106))</f>
        <v>-0</v>
      </c>
      <c r="AE106" s="48" t="n">
        <f aca="false">-(AE103+AE104+AE105)*N(AND(AE$3&lt;=$E106,AE$4&gt;=$E106))</f>
        <v>-0</v>
      </c>
      <c r="AF106" s="48" t="n">
        <f aca="false">-(AF103+AF104+AF105)*N(AND(AF$3&lt;=$E106,AF$4&gt;=$E106))</f>
        <v>-0</v>
      </c>
      <c r="AG106" s="48" t="n">
        <f aca="false">-(AG103+AG104+AG105)*N(AND(AG$3&lt;=$E106,AG$4&gt;=$E106))</f>
        <v>-0</v>
      </c>
      <c r="AH106" s="48" t="n">
        <f aca="false">-(AH103+AH104+AH105)*N(AND(AH$3&lt;=$E106,AH$4&gt;=$E106))</f>
        <v>-0</v>
      </c>
      <c r="AI106" s="48" t="n">
        <f aca="false">-(AI103+AI104+AI105)*N(AND(AI$3&lt;=$E106,AI$4&gt;=$E106))</f>
        <v>-0</v>
      </c>
      <c r="AJ106" s="48" t="n">
        <f aca="false">-(AJ103+AJ104+AJ105)*N(AND(AJ$3&lt;=$E106,AJ$4&gt;=$E106))</f>
        <v>-0</v>
      </c>
      <c r="AK106" s="48" t="n">
        <f aca="false">-(AK103+AK104+AK105)*N(AND(AK$3&lt;=$E106,AK$4&gt;=$E106))</f>
        <v>-0</v>
      </c>
      <c r="AL106" s="48" t="n">
        <f aca="false">-(AL103+AL104+AL105)*N(AND(AL$3&lt;=$E106,AL$4&gt;=$E106))</f>
        <v>-0</v>
      </c>
      <c r="AM106" s="48" t="n">
        <f aca="false">-(AM103+AM104+AM105)*N(AND(AM$3&lt;=$E106,AM$4&gt;=$E106))</f>
        <v>-0</v>
      </c>
      <c r="AN106" s="48" t="n">
        <f aca="false">-(AN103+AN104+AN105)*N(AND(AN$3&lt;=$E106,AN$4&gt;=$E106))</f>
        <v>-0</v>
      </c>
      <c r="AO106" s="48" t="n">
        <f aca="false">-(AO103+AO104+AO105)*N(AND(AO$3&lt;=$E106,AO$4&gt;=$E106))</f>
        <v>-0</v>
      </c>
      <c r="AP106" s="48" t="n">
        <f aca="false">-(AP103+AP104+AP105)*N(AND(AP$3&lt;=$E106,AP$4&gt;=$E106))</f>
        <v>-0</v>
      </c>
      <c r="AQ106" s="48" t="n">
        <f aca="false">-(AQ103+AQ104+AQ105)*N(AND(AQ$3&lt;=$E106,AQ$4&gt;=$E106))</f>
        <v>-0</v>
      </c>
      <c r="AR106" s="48" t="n">
        <f aca="false">-(AR103+AR104+AR105)*N(AND(AR$3&lt;=$E106,AR$4&gt;=$E106))</f>
        <v>-0</v>
      </c>
      <c r="AS106" s="48" t="n">
        <f aca="false">-(AS103+AS104+AS105)*N(AND(AS$3&lt;=$E106,AS$4&gt;=$E106))</f>
        <v>-0</v>
      </c>
      <c r="AT106" s="48" t="n">
        <f aca="false">-(AT103+AT104+AT105)*N(AND(AT$3&lt;=$E106,AT$4&gt;=$E106))</f>
        <v>-0</v>
      </c>
      <c r="AU106" s="48" t="n">
        <f aca="false">-(AU103+AU104+AU105)*N(AND(AU$3&lt;=$E106,AU$4&gt;=$E106))</f>
        <v>-0</v>
      </c>
      <c r="AV106" s="48" t="n">
        <f aca="false">-(AV103+AV104+AV105)*N(AND(AV$3&lt;=$E106,AV$4&gt;=$E106))</f>
        <v>-0</v>
      </c>
      <c r="AW106" s="48" t="n">
        <f aca="false">-(AW103+AW104+AW105)*N(AND(AW$3&lt;=$E106,AW$4&gt;=$E106))</f>
        <v>-0</v>
      </c>
      <c r="AX106" s="48" t="n">
        <f aca="false">-(AX103+AX104+AX105)*N(AND(AX$3&lt;=$E106,AX$4&gt;=$E106))</f>
        <v>-0</v>
      </c>
      <c r="AY106" s="48" t="n">
        <f aca="false">-(AY103+AY104+AY105)*N(AND(AY$3&lt;=$E106,AY$4&gt;=$E106))</f>
        <v>-0</v>
      </c>
      <c r="AZ106" s="48" t="n">
        <f aca="false">-(AZ103+AZ104+AZ105)*N(AND(AZ$3&lt;=$E106,AZ$4&gt;=$E106))</f>
        <v>-0</v>
      </c>
      <c r="BA106" s="48" t="n">
        <f aca="false">-(BA103+BA104+BA105)*N(AND(BA$3&lt;=$E106,BA$4&gt;=$E106))</f>
        <v>-0</v>
      </c>
      <c r="BB106" s="48" t="n">
        <f aca="false">-(BB103+BB104+BB105)*N(AND(BB$3&lt;=$E106,BB$4&gt;=$E106))</f>
        <v>-0</v>
      </c>
      <c r="BC106" s="48" t="n">
        <f aca="false">-(BC103+BC104+BC105)*N(AND(BC$3&lt;=$E106,BC$4&gt;=$E106))</f>
        <v>-0</v>
      </c>
      <c r="BD106" s="48" t="n">
        <f aca="false">-(BD103+BD104+BD105)*N(AND(BD$3&lt;=$E106,BD$4&gt;=$E106))</f>
        <v>-0</v>
      </c>
      <c r="BE106" s="48" t="n">
        <f aca="false">-(BE103+BE104+BE105)*N(AND(BE$3&lt;=$E106,BE$4&gt;=$E106))</f>
        <v>-0</v>
      </c>
      <c r="BF106" s="48" t="n">
        <f aca="false">-(BF103+BF104+BF105)*N(AND(BF$3&lt;=$E106,BF$4&gt;=$E106))</f>
        <v>-0</v>
      </c>
      <c r="BG106" s="48" t="n">
        <f aca="false">-(BG103+BG104+BG105)*N(AND(BG$3&lt;=$E106,BG$4&gt;=$E106))</f>
        <v>-0</v>
      </c>
      <c r="BH106" s="48" t="n">
        <f aca="false">-(BH103+BH104+BH105)*N(AND(BH$3&lt;=$E106,BH$4&gt;=$E106))</f>
        <v>-0</v>
      </c>
      <c r="BI106" s="48" t="n">
        <f aca="false">-(BI103+BI104+BI105)*N(AND(BI$3&lt;=$E106,BI$4&gt;=$E106))</f>
        <v>-0</v>
      </c>
      <c r="BJ106" s="48" t="n">
        <f aca="false">-(BJ103+BJ104+BJ105)*N(AND(BJ$3&lt;=$E106,BJ$4&gt;=$E106))</f>
        <v>-0</v>
      </c>
      <c r="BK106" s="48" t="n">
        <f aca="false">-(BK103+BK104+BK105)*N(AND(BK$3&lt;=$E106,BK$4&gt;=$E106))</f>
        <v>-0</v>
      </c>
      <c r="BL106" s="48" t="n">
        <f aca="false">-(BL103+BL104+BL105)*N(AND(BL$3&lt;=$E106,BL$4&gt;=$E106))</f>
        <v>-0</v>
      </c>
      <c r="BM106" s="48" t="n">
        <f aca="false">-(BM103+BM104+BM105)*N(AND(BM$3&lt;=$E106,BM$4&gt;=$E106))</f>
        <v>-0</v>
      </c>
      <c r="BN106" s="48" t="n">
        <f aca="false">-(BN103+BN104+BN105)*N(AND(BN$3&lt;=$E106,BN$4&gt;=$E106))</f>
        <v>-0</v>
      </c>
      <c r="BO106" s="48" t="n">
        <f aca="false">-(BO103+BO104+BO105)*N(AND(BO$3&lt;=$E106,BO$4&gt;=$E106))</f>
        <v>-0</v>
      </c>
      <c r="BP106" s="48" t="n">
        <f aca="false">-(BP103+BP104+BP105)*N(AND(BP$3&lt;=$E106,BP$4&gt;=$E106))</f>
        <v>-0</v>
      </c>
      <c r="BQ106" s="48" t="n">
        <f aca="false">-(BQ103+BQ104+BQ105)*N(AND(BQ$3&lt;=$E106,BQ$4&gt;=$E106))</f>
        <v>-0</v>
      </c>
      <c r="BR106" s="48" t="n">
        <f aca="false">-(BR103+BR104+BR105)*N(AND(BR$3&lt;=$E106,BR$4&gt;=$E106))</f>
        <v>-0</v>
      </c>
      <c r="BS106" s="48" t="n">
        <f aca="false">-(BS103+BS104+BS105)*N(AND(BS$3&lt;=$E106,BS$4&gt;=$E106))</f>
        <v>-0</v>
      </c>
      <c r="BT106" s="48" t="n">
        <f aca="false">-(BT103+BT104+BT105)*N(AND(BT$3&lt;=$E106,BT$4&gt;=$E106))</f>
        <v>-0</v>
      </c>
      <c r="BU106" s="48" t="n">
        <f aca="false">-(BU103+BU104+BU105)*N(AND(BU$3&lt;=$E106,BU$4&gt;=$E106))</f>
        <v>-0</v>
      </c>
      <c r="BV106" s="48" t="n">
        <f aca="false">-(BV103+BV104+BV105)*N(AND(BV$3&lt;=$E106,BV$4&gt;=$E106))</f>
        <v>-0</v>
      </c>
      <c r="BW106" s="48" t="n">
        <f aca="false">-(BW103+BW104+BW105)*N(AND(BW$3&lt;=$E106,BW$4&gt;=$E106))</f>
        <v>-0</v>
      </c>
      <c r="BX106" s="48" t="n">
        <f aca="false">-(BX103+BX104+BX105)*N(AND(BX$3&lt;=$E106,BX$4&gt;=$E106))</f>
        <v>-0</v>
      </c>
      <c r="BY106" s="48" t="n">
        <f aca="false">-(BY103+BY104+BY105)*N(AND(BY$3&lt;=$E106,BY$4&gt;=$E106))</f>
        <v>-0</v>
      </c>
      <c r="BZ106" s="48" t="n">
        <f aca="false">-(BZ103+BZ104+BZ105)*N(AND(BZ$3&lt;=$E106,BZ$4&gt;=$E106))</f>
        <v>-0</v>
      </c>
      <c r="CA106" s="48" t="n">
        <f aca="false">-(CA103+CA104+CA105)*N(AND(CA$3&lt;=$E106,CA$4&gt;=$E106))</f>
        <v>-0</v>
      </c>
      <c r="CB106" s="48" t="n">
        <f aca="false">-(CB103+CB104+CB105)*N(AND(CB$3&lt;=$E106,CB$4&gt;=$E106))</f>
        <v>-0</v>
      </c>
      <c r="CC106" s="48" t="n">
        <f aca="false">-(CC103+CC104+CC105)*N(AND(CC$3&lt;=$E106,CC$4&gt;=$E106))</f>
        <v>-0</v>
      </c>
      <c r="CD106" s="48" t="n">
        <f aca="false">-(CD103+CD104+CD105)*N(AND(CD$3&lt;=$E106,CD$4&gt;=$E106))</f>
        <v>-0</v>
      </c>
      <c r="CE106" s="48" t="n">
        <f aca="false">-(CE103+CE104+CE105)*N(AND(CE$3&lt;=$E106,CE$4&gt;=$E106))</f>
        <v>-0</v>
      </c>
      <c r="CF106" s="48" t="n">
        <f aca="false">-(CF103+CF104+CF105)*N(AND(CF$3&lt;=$E106,CF$4&gt;=$E106))</f>
        <v>-0</v>
      </c>
      <c r="CG106" s="48" t="n">
        <f aca="false">-(CG103+CG104+CG105)*N(AND(CG$3&lt;=$E106,CG$4&gt;=$E106))</f>
        <v>-0</v>
      </c>
      <c r="CH106" s="48" t="n">
        <f aca="false">-(CH103+CH104+CH105)*N(AND(CH$3&lt;=$E106,CH$4&gt;=$E106))</f>
        <v>-0</v>
      </c>
      <c r="CI106" s="48" t="n">
        <f aca="false">-(CI103+CI104+CI105)*N(AND(CI$3&lt;=$E106,CI$4&gt;=$E106))</f>
        <v>-0</v>
      </c>
      <c r="CJ106" s="48" t="n">
        <f aca="false">-(CJ103+CJ104+CJ105)*N(AND(CJ$3&lt;=$E106,CJ$4&gt;=$E106))</f>
        <v>-0</v>
      </c>
      <c r="CK106" s="48" t="n">
        <f aca="false">-(CK103+CK104+CK105)*N(AND(CK$3&lt;=$E106,CK$4&gt;=$E106))</f>
        <v>-0</v>
      </c>
      <c r="CL106" s="48" t="n">
        <f aca="false">-(CL103+CL104+CL105)*N(AND(CL$3&lt;=$E106,CL$4&gt;=$E106))</f>
        <v>-0</v>
      </c>
      <c r="CM106" s="48" t="n">
        <f aca="false">-(CM103+CM104+CM105)*N(AND(CM$3&lt;=$E106,CM$4&gt;=$E106))</f>
        <v>-0</v>
      </c>
      <c r="CN106" s="48" t="n">
        <f aca="false">-(CN103+CN104+CN105)*N(AND(CN$3&lt;=$E106,CN$4&gt;=$E106))</f>
        <v>-0</v>
      </c>
      <c r="CO106" s="48" t="n">
        <f aca="false">-(CO103+CO104+CO105)*N(AND(CO$3&lt;=$E106,CO$4&gt;=$E106))</f>
        <v>-0</v>
      </c>
      <c r="CP106" s="48" t="n">
        <f aca="false">-(CP103+CP104+CP105)*N(AND(CP$3&lt;=$E106,CP$4&gt;=$E106))</f>
        <v>-0</v>
      </c>
      <c r="CQ106" s="48" t="n">
        <f aca="false">-(CQ103+CQ104+CQ105)*N(AND(CQ$3&lt;=$E106,CQ$4&gt;=$E106))</f>
        <v>-0</v>
      </c>
      <c r="CR106" s="48" t="n">
        <f aca="false">-(CR103+CR104+CR105)*N(AND(CR$3&lt;=$E106,CR$4&gt;=$E106))</f>
        <v>-0</v>
      </c>
      <c r="CS106" s="48" t="n">
        <f aca="false">-(CS103+CS104+CS105)*N(AND(CS$3&lt;=$E106,CS$4&gt;=$E106))</f>
        <v>-0</v>
      </c>
      <c r="CT106" s="48" t="n">
        <f aca="false">-(CT103+CT104+CT105)*N(AND(CT$3&lt;=$E106,CT$4&gt;=$E106))</f>
        <v>-0</v>
      </c>
      <c r="CU106" s="48" t="n">
        <f aca="false">-(CU103+CU104+CU105)*N(AND(CU$3&lt;=$E106,CU$4&gt;=$E106))</f>
        <v>-0</v>
      </c>
      <c r="CV106" s="48" t="n">
        <f aca="false">-(CV103+CV104+CV105)*N(AND(CV$3&lt;=$E106,CV$4&gt;=$E106))</f>
        <v>-0</v>
      </c>
      <c r="CW106" s="48" t="n">
        <f aca="false">-(CW103+CW104+CW105)*N(AND(CW$3&lt;=$E106,CW$4&gt;=$E106))</f>
        <v>-0</v>
      </c>
      <c r="CX106" s="48" t="n">
        <f aca="false">-(CX103+CX104+CX105)*N(AND(CX$3&lt;=$E106,CX$4&gt;=$E106))</f>
        <v>-0</v>
      </c>
      <c r="CY106" s="48" t="n">
        <f aca="false">-(CY103+CY104+CY105)*N(AND(CY$3&lt;=$E106,CY$4&gt;=$E106))</f>
        <v>-0</v>
      </c>
      <c r="CZ106" s="48" t="n">
        <f aca="false">-(CZ103+CZ104+CZ105)*N(AND(CZ$3&lt;=$E106,CZ$4&gt;=$E106))</f>
        <v>-0</v>
      </c>
      <c r="DA106" s="48" t="n">
        <f aca="false">-(DA103+DA104+DA105)*N(AND(DA$3&lt;=$E106,DA$4&gt;=$E106))</f>
        <v>-0</v>
      </c>
      <c r="DB106" s="48" t="n">
        <f aca="false">-(DB103+DB104+DB105)*N(AND(DB$3&lt;=$E106,DB$4&gt;=$E106))</f>
        <v>-0</v>
      </c>
      <c r="DC106" s="48" t="n">
        <f aca="false">-(DC103+DC104+DC105)*N(AND(DC$3&lt;=$E106,DC$4&gt;=$E106))</f>
        <v>-0</v>
      </c>
      <c r="DD106" s="48" t="n">
        <f aca="false">-(DD103+DD104+DD105)*N(AND(DD$3&lt;=$E106,DD$4&gt;=$E106))</f>
        <v>-0</v>
      </c>
      <c r="DE106" s="48" t="n">
        <f aca="false">-(DE103+DE104+DE105)*N(AND(DE$3&lt;=$E106,DE$4&gt;=$E106))</f>
        <v>-0</v>
      </c>
      <c r="DF106" s="48" t="n">
        <f aca="false">-(DF103+DF104+DF105)*N(AND(DF$3&lt;=$E106,DF$4&gt;=$E106))</f>
        <v>-0</v>
      </c>
      <c r="DG106" s="48" t="n">
        <f aca="false">-(DG103+DG104+DG105)*N(AND(DG$3&lt;=$E106,DG$4&gt;=$E106))</f>
        <v>-0</v>
      </c>
      <c r="DH106" s="48" t="n">
        <f aca="false">-(DH103+DH104+DH105)*N(AND(DH$3&lt;=$E106,DH$4&gt;=$E106))</f>
        <v>-0</v>
      </c>
      <c r="DI106" s="48" t="n">
        <f aca="false">-(DI103+DI104+DI105)*N(AND(DI$3&lt;=$E106,DI$4&gt;=$E106))</f>
        <v>-0</v>
      </c>
      <c r="DJ106" s="48" t="n">
        <f aca="false">-(DJ103+DJ104+DJ105)*N(AND(DJ$3&lt;=$E106,DJ$4&gt;=$E106))</f>
        <v>-0</v>
      </c>
      <c r="DK106" s="48" t="n">
        <f aca="false">-(DK103+DK104+DK105)*N(AND(DK$3&lt;=$E106,DK$4&gt;=$E106))</f>
        <v>-0</v>
      </c>
      <c r="DL106" s="48" t="n">
        <f aca="false">-(DL103+DL104+DL105)*N(AND(DL$3&lt;=$E106,DL$4&gt;=$E106))</f>
        <v>-0</v>
      </c>
      <c r="DM106" s="48" t="n">
        <f aca="false">-(DM103+DM104+DM105)*N(AND(DM$3&lt;=$E106,DM$4&gt;=$E106))</f>
        <v>-0</v>
      </c>
      <c r="DN106" s="48" t="n">
        <f aca="false">-(DN103+DN104+DN105)*N(AND(DN$3&lt;=$E106,DN$4&gt;=$E106))</f>
        <v>-0</v>
      </c>
      <c r="DO106" s="48" t="n">
        <f aca="false">-(DO103+DO104+DO105)*N(AND(DO$3&lt;=$E106,DO$4&gt;=$E106))</f>
        <v>-0</v>
      </c>
      <c r="DP106" s="48" t="n">
        <f aca="false">-(DP103+DP104+DP105)*N(AND(DP$3&lt;=$E106,DP$4&gt;=$E106))</f>
        <v>-0</v>
      </c>
      <c r="DQ106" s="48" t="n">
        <f aca="false">-(DQ103+DQ104+DQ105)*N(AND(DQ$3&lt;=$E106,DQ$4&gt;=$E106))</f>
        <v>-0</v>
      </c>
      <c r="DR106" s="48" t="n">
        <f aca="false">-(DR103+DR104+DR105)*N(AND(DR$3&lt;=$E106,DR$4&gt;=$E106))</f>
        <v>-0</v>
      </c>
      <c r="DS106" s="48" t="n">
        <f aca="false">-(DS103+DS104+DS105)*N(AND(DS$3&lt;=$E106,DS$4&gt;=$E106))</f>
        <v>-0</v>
      </c>
      <c r="DT106" s="48" t="n">
        <f aca="false">-(DT103+DT104+DT105)*N(AND(DT$3&lt;=$E106,DT$4&gt;=$E106))</f>
        <v>-0</v>
      </c>
      <c r="DU106" s="48" t="n">
        <f aca="false">-(DU103+DU104+DU105)*N(AND(DU$3&lt;=$E106,DU$4&gt;=$E106))</f>
        <v>-0</v>
      </c>
      <c r="DV106" s="48" t="n">
        <f aca="false">-(DV103+DV104+DV105)*N(AND(DV$3&lt;=$E106,DV$4&gt;=$E106))</f>
        <v>-0</v>
      </c>
      <c r="DW106" s="48" t="n">
        <f aca="false">-(DW103+DW104+DW105)*N(AND(DW$3&lt;=$E106,DW$4&gt;=$E106))</f>
        <v>-0</v>
      </c>
      <c r="DX106" s="48" t="n">
        <f aca="false">-(DX103+DX104+DX105)*N(AND(DX$3&lt;=$E106,DX$4&gt;=$E106))</f>
        <v>-0</v>
      </c>
      <c r="DY106" s="48" t="n">
        <f aca="false">-(DY103+DY104+DY105)*N(AND(DY$3&lt;=$E106,DY$4&gt;=$E106))</f>
        <v>-0</v>
      </c>
      <c r="DZ106" s="48" t="n">
        <f aca="false">-(DZ103+DZ104+DZ105)*N(AND(DZ$3&lt;=$E106,DZ$4&gt;=$E106))</f>
        <v>-0</v>
      </c>
      <c r="EA106" s="48" t="n">
        <f aca="false">-(EA103+EA104+EA105)*N(AND(EA$3&lt;=$E106,EA$4&gt;=$E106))</f>
        <v>-0</v>
      </c>
      <c r="EB106" s="48" t="n">
        <f aca="false">-(EB103+EB104+EB105)*N(AND(EB$3&lt;=$E106,EB$4&gt;=$E106))</f>
        <v>-0</v>
      </c>
      <c r="EC106" s="48" t="n">
        <f aca="false">-(EC103+EC104+EC105)*N(AND(EC$3&lt;=$E106,EC$4&gt;=$E106))</f>
        <v>-0</v>
      </c>
      <c r="ED106" s="48" t="n">
        <f aca="false">-(ED103+ED104+ED105)*N(AND(ED$3&lt;=$E106,ED$4&gt;=$E106))</f>
        <v>-0</v>
      </c>
      <c r="EE106" s="48" t="n">
        <f aca="false">-(EE103+EE104+EE105)*N(AND(EE$3&lt;=$E106,EE$4&gt;=$E106))</f>
        <v>-0</v>
      </c>
      <c r="EF106" s="48" t="n">
        <f aca="false">-(EF103+EF104+EF105)*N(AND(EF$3&lt;=$E106,EF$4&gt;=$E106))</f>
        <v>-0</v>
      </c>
      <c r="EG106" s="48" t="n">
        <f aca="false">-(EG103+EG104+EG105)*N(AND(EG$3&lt;=$E106,EG$4&gt;=$E106))</f>
        <v>-0</v>
      </c>
      <c r="EH106" s="48" t="n">
        <f aca="false">-(EH103+EH104+EH105)*N(AND(EH$3&lt;=$E106,EH$4&gt;=$E106))</f>
        <v>-0</v>
      </c>
      <c r="EI106" s="48" t="n">
        <f aca="false">-(EI103+EI104+EI105)*N(AND(EI$3&lt;=$E106,EI$4&gt;=$E106))</f>
        <v>-0</v>
      </c>
      <c r="EJ106" s="48" t="n">
        <f aca="false">-(EJ103+EJ104+EJ105)*N(AND(EJ$3&lt;=$E106,EJ$4&gt;=$E106))</f>
        <v>-0</v>
      </c>
      <c r="EK106" s="48" t="n">
        <f aca="false">-(EK103+EK104+EK105)*N(AND(EK$3&lt;=$E106,EK$4&gt;=$E106))</f>
        <v>-0</v>
      </c>
      <c r="EL106" s="48" t="n">
        <f aca="false">-(EL103+EL104+EL105)*N(AND(EL$3&lt;=$E106,EL$4&gt;=$E106))</f>
        <v>-0</v>
      </c>
      <c r="EM106" s="48" t="n">
        <f aca="false">-(EM103+EM104+EM105)*N(AND(EM$3&lt;=$E106,EM$4&gt;=$E106))</f>
        <v>-0</v>
      </c>
      <c r="EN106" s="48" t="n">
        <f aca="false">-(EN103+EN104+EN105)*N(AND(EN$3&lt;=$E106,EN$4&gt;=$E106))</f>
        <v>-0</v>
      </c>
      <c r="EO106" s="48" t="n">
        <f aca="false">-(EO103+EO104+EO105)*N(AND(EO$3&lt;=$E106,EO$4&gt;=$E106))</f>
        <v>-0</v>
      </c>
    </row>
    <row r="107" customFormat="false" ht="15" hidden="false" customHeight="false" outlineLevel="0" collapsed="false">
      <c r="C107" s="1" t="s">
        <v>461</v>
      </c>
      <c r="D107" s="12" t="s">
        <v>33</v>
      </c>
      <c r="I107" s="59"/>
      <c r="J107" s="48" t="n">
        <f aca="false">SUM(J103:J106)</f>
        <v>12.8099380746857</v>
      </c>
      <c r="K107" s="48" t="n">
        <f aca="false">SUM(K103:K106)</f>
        <v>32.4846237568024</v>
      </c>
      <c r="L107" s="48" t="n">
        <f aca="false">SUM(L103:L106)</f>
        <v>65.6401125914806</v>
      </c>
      <c r="M107" s="48" t="n">
        <f aca="false">SUM(M103:M106)</f>
        <v>99.1599474573091</v>
      </c>
      <c r="N107" s="48" t="n">
        <f aca="false">SUM(N103:N106)</f>
        <v>132.679782323138</v>
      </c>
      <c r="O107" s="48" t="n">
        <f aca="false">SUM(O103:O106)</f>
        <v>165.835271157816</v>
      </c>
      <c r="P107" s="48" t="n">
        <f aca="false">SUM(P103:P106)</f>
        <v>198.990759992494</v>
      </c>
      <c r="Q107" s="48" t="n">
        <f aca="false">SUM(Q103:Q106)</f>
        <v>232.510594858322</v>
      </c>
      <c r="R107" s="48" t="n">
        <f aca="false">SUM(R103:R106)</f>
        <v>1142.99956746376</v>
      </c>
      <c r="S107" s="48" t="n">
        <f aca="false">SUM(S103:S106)</f>
        <v>1297.80039077479</v>
      </c>
      <c r="T107" s="48" t="n">
        <f aca="false">SUM(T103:T106)</f>
        <v>1434.65410896264</v>
      </c>
      <c r="U107" s="48" t="n">
        <f aca="false">SUM(U103:U106)</f>
        <v>1563.19514158801</v>
      </c>
      <c r="V107" s="48" t="n">
        <f aca="false">SUM(V103:V106)</f>
        <v>1681.81172721395</v>
      </c>
      <c r="W107" s="48" t="n">
        <f aca="false">SUM(W103:W106)</f>
        <v>1789.18292443435</v>
      </c>
      <c r="X107" s="48" t="n">
        <f aca="false">SUM(X103:X106)</f>
        <v>1888.14396613331</v>
      </c>
      <c r="Y107" s="48" t="n">
        <f aca="false">SUM(Y103:Y106)</f>
        <v>1978.37591923145</v>
      </c>
      <c r="Z107" s="48" t="n">
        <f aca="false">SUM(Z103:Z106)</f>
        <v>1576.05578697835</v>
      </c>
      <c r="AA107" s="48" t="n">
        <f aca="false">SUM(AA103:AA106)</f>
        <v>1177.98025783648</v>
      </c>
      <c r="AB107" s="48" t="n">
        <f aca="false">SUM(AB103:AB106)</f>
        <v>770.255734411364</v>
      </c>
      <c r="AC107" s="48" t="n">
        <f aca="false">SUM(AC103:AC106)</f>
        <v>352.793245737011</v>
      </c>
      <c r="AD107" s="48" t="n">
        <f aca="false">SUM(AD103:AD106)</f>
        <v>0</v>
      </c>
      <c r="AE107" s="48" t="n">
        <f aca="false">SUM(AE103:AE106)</f>
        <v>0</v>
      </c>
      <c r="AF107" s="48" t="n">
        <f aca="false">SUM(AF103:AF106)</f>
        <v>0</v>
      </c>
      <c r="AG107" s="48" t="n">
        <f aca="false">SUM(AG103:AG106)</f>
        <v>0</v>
      </c>
      <c r="AH107" s="48" t="n">
        <f aca="false">SUM(AH103:AH106)</f>
        <v>0</v>
      </c>
      <c r="AI107" s="48" t="n">
        <f aca="false">SUM(AI103:AI106)</f>
        <v>0</v>
      </c>
      <c r="AJ107" s="48" t="n">
        <f aca="false">SUM(AJ103:AJ106)</f>
        <v>0</v>
      </c>
      <c r="AK107" s="48" t="n">
        <f aca="false">SUM(AK103:AK106)</f>
        <v>0</v>
      </c>
      <c r="AL107" s="48" t="n">
        <f aca="false">SUM(AL103:AL106)</f>
        <v>0</v>
      </c>
      <c r="AM107" s="48" t="n">
        <f aca="false">SUM(AM103:AM106)</f>
        <v>0</v>
      </c>
      <c r="AN107" s="48" t="n">
        <f aca="false">SUM(AN103:AN106)</f>
        <v>0</v>
      </c>
      <c r="AO107" s="48" t="n">
        <f aca="false">SUM(AO103:AO106)</f>
        <v>0</v>
      </c>
      <c r="AP107" s="48" t="n">
        <f aca="false">SUM(AP103:AP106)</f>
        <v>0</v>
      </c>
      <c r="AQ107" s="48" t="n">
        <f aca="false">SUM(AQ103:AQ106)</f>
        <v>0</v>
      </c>
      <c r="AR107" s="48" t="n">
        <f aca="false">SUM(AR103:AR106)</f>
        <v>0</v>
      </c>
      <c r="AS107" s="48" t="n">
        <f aca="false">SUM(AS103:AS106)</f>
        <v>0</v>
      </c>
      <c r="AT107" s="48" t="n">
        <f aca="false">SUM(AT103:AT106)</f>
        <v>0</v>
      </c>
      <c r="AU107" s="48" t="n">
        <f aca="false">SUM(AU103:AU106)</f>
        <v>0</v>
      </c>
      <c r="AV107" s="48" t="n">
        <f aca="false">SUM(AV103:AV106)</f>
        <v>0</v>
      </c>
      <c r="AW107" s="48" t="n">
        <f aca="false">SUM(AW103:AW106)</f>
        <v>0</v>
      </c>
      <c r="AX107" s="48" t="n">
        <f aca="false">SUM(AX103:AX106)</f>
        <v>0</v>
      </c>
      <c r="AY107" s="48" t="n">
        <f aca="false">SUM(AY103:AY106)</f>
        <v>0</v>
      </c>
      <c r="AZ107" s="48" t="n">
        <f aca="false">SUM(AZ103:AZ106)</f>
        <v>0</v>
      </c>
      <c r="BA107" s="48" t="n">
        <f aca="false">SUM(BA103:BA106)</f>
        <v>0</v>
      </c>
      <c r="BB107" s="48" t="n">
        <f aca="false">SUM(BB103:BB106)</f>
        <v>0</v>
      </c>
      <c r="BC107" s="48" t="n">
        <f aca="false">SUM(BC103:BC106)</f>
        <v>0</v>
      </c>
      <c r="BD107" s="48" t="n">
        <f aca="false">SUM(BD103:BD106)</f>
        <v>0</v>
      </c>
      <c r="BE107" s="48" t="n">
        <f aca="false">SUM(BE103:BE106)</f>
        <v>0</v>
      </c>
      <c r="BF107" s="48" t="n">
        <f aca="false">SUM(BF103:BF106)</f>
        <v>0</v>
      </c>
      <c r="BG107" s="48" t="n">
        <f aca="false">SUM(BG103:BG106)</f>
        <v>0</v>
      </c>
      <c r="BH107" s="48" t="n">
        <f aca="false">SUM(BH103:BH106)</f>
        <v>0</v>
      </c>
      <c r="BI107" s="48" t="n">
        <f aca="false">SUM(BI103:BI106)</f>
        <v>0</v>
      </c>
      <c r="BJ107" s="48" t="n">
        <f aca="false">SUM(BJ103:BJ106)</f>
        <v>0</v>
      </c>
      <c r="BK107" s="48" t="n">
        <f aca="false">SUM(BK103:BK106)</f>
        <v>0</v>
      </c>
      <c r="BL107" s="48" t="n">
        <f aca="false">SUM(BL103:BL106)</f>
        <v>0</v>
      </c>
      <c r="BM107" s="48" t="n">
        <f aca="false">SUM(BM103:BM106)</f>
        <v>0</v>
      </c>
      <c r="BN107" s="48" t="n">
        <f aca="false">SUM(BN103:BN106)</f>
        <v>0</v>
      </c>
      <c r="BO107" s="48" t="n">
        <f aca="false">SUM(BO103:BO106)</f>
        <v>0</v>
      </c>
      <c r="BP107" s="48" t="n">
        <f aca="false">SUM(BP103:BP106)</f>
        <v>0</v>
      </c>
      <c r="BQ107" s="48" t="n">
        <f aca="false">SUM(BQ103:BQ106)</f>
        <v>0</v>
      </c>
      <c r="BR107" s="48" t="n">
        <f aca="false">SUM(BR103:BR106)</f>
        <v>0</v>
      </c>
      <c r="BS107" s="48" t="n">
        <f aca="false">SUM(BS103:BS106)</f>
        <v>0</v>
      </c>
      <c r="BT107" s="48" t="n">
        <f aca="false">SUM(BT103:BT106)</f>
        <v>0</v>
      </c>
      <c r="BU107" s="48" t="n">
        <f aca="false">SUM(BU103:BU106)</f>
        <v>0</v>
      </c>
      <c r="BV107" s="48" t="n">
        <f aca="false">SUM(BV103:BV106)</f>
        <v>0</v>
      </c>
      <c r="BW107" s="48" t="n">
        <f aca="false">SUM(BW103:BW106)</f>
        <v>0</v>
      </c>
      <c r="BX107" s="48" t="n">
        <f aca="false">SUM(BX103:BX106)</f>
        <v>0</v>
      </c>
      <c r="BY107" s="48" t="n">
        <f aca="false">SUM(BY103:BY106)</f>
        <v>0</v>
      </c>
      <c r="BZ107" s="48" t="n">
        <f aca="false">SUM(BZ103:BZ106)</f>
        <v>0</v>
      </c>
      <c r="CA107" s="48" t="n">
        <f aca="false">SUM(CA103:CA106)</f>
        <v>0</v>
      </c>
      <c r="CB107" s="48" t="n">
        <f aca="false">SUM(CB103:CB106)</f>
        <v>0</v>
      </c>
      <c r="CC107" s="48" t="n">
        <f aca="false">SUM(CC103:CC106)</f>
        <v>0</v>
      </c>
      <c r="CD107" s="48" t="n">
        <f aca="false">SUM(CD103:CD106)</f>
        <v>0</v>
      </c>
      <c r="CE107" s="48" t="n">
        <f aca="false">SUM(CE103:CE106)</f>
        <v>0</v>
      </c>
      <c r="CF107" s="48" t="n">
        <f aca="false">SUM(CF103:CF106)</f>
        <v>0</v>
      </c>
      <c r="CG107" s="48" t="n">
        <f aca="false">SUM(CG103:CG106)</f>
        <v>0</v>
      </c>
      <c r="CH107" s="48" t="n">
        <f aca="false">SUM(CH103:CH106)</f>
        <v>0</v>
      </c>
      <c r="CI107" s="48" t="n">
        <f aca="false">SUM(CI103:CI106)</f>
        <v>0</v>
      </c>
      <c r="CJ107" s="48" t="n">
        <f aca="false">SUM(CJ103:CJ106)</f>
        <v>0</v>
      </c>
      <c r="CK107" s="48" t="n">
        <f aca="false">SUM(CK103:CK106)</f>
        <v>0</v>
      </c>
      <c r="CL107" s="48" t="n">
        <f aca="false">SUM(CL103:CL106)</f>
        <v>0</v>
      </c>
      <c r="CM107" s="48" t="n">
        <f aca="false">SUM(CM103:CM106)</f>
        <v>0</v>
      </c>
      <c r="CN107" s="48" t="n">
        <f aca="false">SUM(CN103:CN106)</f>
        <v>0</v>
      </c>
      <c r="CO107" s="48" t="n">
        <f aca="false">SUM(CO103:CO106)</f>
        <v>0</v>
      </c>
      <c r="CP107" s="48" t="n">
        <f aca="false">SUM(CP103:CP106)</f>
        <v>0</v>
      </c>
      <c r="CQ107" s="48" t="n">
        <f aca="false">SUM(CQ103:CQ106)</f>
        <v>0</v>
      </c>
      <c r="CR107" s="48" t="n">
        <f aca="false">SUM(CR103:CR106)</f>
        <v>0</v>
      </c>
      <c r="CS107" s="48" t="n">
        <f aca="false">SUM(CS103:CS106)</f>
        <v>0</v>
      </c>
      <c r="CT107" s="48" t="n">
        <f aca="false">SUM(CT103:CT106)</f>
        <v>0</v>
      </c>
      <c r="CU107" s="48" t="n">
        <f aca="false">SUM(CU103:CU106)</f>
        <v>0</v>
      </c>
      <c r="CV107" s="48" t="n">
        <f aca="false">SUM(CV103:CV106)</f>
        <v>0</v>
      </c>
      <c r="CW107" s="48" t="n">
        <f aca="false">SUM(CW103:CW106)</f>
        <v>0</v>
      </c>
      <c r="CX107" s="48" t="n">
        <f aca="false">SUM(CX103:CX106)</f>
        <v>0</v>
      </c>
      <c r="CY107" s="48" t="n">
        <f aca="false">SUM(CY103:CY106)</f>
        <v>0</v>
      </c>
      <c r="CZ107" s="48" t="n">
        <f aca="false">SUM(CZ103:CZ106)</f>
        <v>0</v>
      </c>
      <c r="DA107" s="48" t="n">
        <f aca="false">SUM(DA103:DA106)</f>
        <v>0</v>
      </c>
      <c r="DB107" s="48" t="n">
        <f aca="false">SUM(DB103:DB106)</f>
        <v>0</v>
      </c>
      <c r="DC107" s="48" t="n">
        <f aca="false">SUM(DC103:DC106)</f>
        <v>0</v>
      </c>
      <c r="DD107" s="48" t="n">
        <f aca="false">SUM(DD103:DD106)</f>
        <v>0</v>
      </c>
      <c r="DE107" s="48" t="n">
        <f aca="false">SUM(DE103:DE106)</f>
        <v>0</v>
      </c>
      <c r="DF107" s="48" t="n">
        <f aca="false">SUM(DF103:DF106)</f>
        <v>0</v>
      </c>
      <c r="DG107" s="48" t="n">
        <f aca="false">SUM(DG103:DG106)</f>
        <v>0</v>
      </c>
      <c r="DH107" s="48" t="n">
        <f aca="false">SUM(DH103:DH106)</f>
        <v>0</v>
      </c>
      <c r="DI107" s="48" t="n">
        <f aca="false">SUM(DI103:DI106)</f>
        <v>0</v>
      </c>
      <c r="DJ107" s="48" t="n">
        <f aca="false">SUM(DJ103:DJ106)</f>
        <v>0</v>
      </c>
      <c r="DK107" s="48" t="n">
        <f aca="false">SUM(DK103:DK106)</f>
        <v>0</v>
      </c>
      <c r="DL107" s="48" t="n">
        <f aca="false">SUM(DL103:DL106)</f>
        <v>0</v>
      </c>
      <c r="DM107" s="48" t="n">
        <f aca="false">SUM(DM103:DM106)</f>
        <v>0</v>
      </c>
      <c r="DN107" s="48" t="n">
        <f aca="false">SUM(DN103:DN106)</f>
        <v>0</v>
      </c>
      <c r="DO107" s="48" t="n">
        <f aca="false">SUM(DO103:DO106)</f>
        <v>0</v>
      </c>
      <c r="DP107" s="48" t="n">
        <f aca="false">SUM(DP103:DP106)</f>
        <v>0</v>
      </c>
      <c r="DQ107" s="48" t="n">
        <f aca="false">SUM(DQ103:DQ106)</f>
        <v>0</v>
      </c>
      <c r="DR107" s="48" t="n">
        <f aca="false">SUM(DR103:DR106)</f>
        <v>0</v>
      </c>
      <c r="DS107" s="48" t="n">
        <f aca="false">SUM(DS103:DS106)</f>
        <v>0</v>
      </c>
      <c r="DT107" s="48" t="n">
        <f aca="false">SUM(DT103:DT106)</f>
        <v>0</v>
      </c>
      <c r="DU107" s="48" t="n">
        <f aca="false">SUM(DU103:DU106)</f>
        <v>0</v>
      </c>
      <c r="DV107" s="48" t="n">
        <f aca="false">SUM(DV103:DV106)</f>
        <v>0</v>
      </c>
      <c r="DW107" s="48" t="n">
        <f aca="false">SUM(DW103:DW106)</f>
        <v>0</v>
      </c>
      <c r="DX107" s="48" t="n">
        <f aca="false">SUM(DX103:DX106)</f>
        <v>0</v>
      </c>
      <c r="DY107" s="48" t="n">
        <f aca="false">SUM(DY103:DY106)</f>
        <v>0</v>
      </c>
      <c r="DZ107" s="48" t="n">
        <f aca="false">SUM(DZ103:DZ106)</f>
        <v>0</v>
      </c>
      <c r="EA107" s="48" t="n">
        <f aca="false">SUM(EA103:EA106)</f>
        <v>0</v>
      </c>
      <c r="EB107" s="48" t="n">
        <f aca="false">SUM(EB103:EB106)</f>
        <v>0</v>
      </c>
      <c r="EC107" s="48" t="n">
        <f aca="false">SUM(EC103:EC106)</f>
        <v>0</v>
      </c>
      <c r="ED107" s="48" t="n">
        <f aca="false">SUM(ED103:ED106)</f>
        <v>0</v>
      </c>
      <c r="EE107" s="48" t="n">
        <f aca="false">SUM(EE103:EE106)</f>
        <v>0</v>
      </c>
      <c r="EF107" s="48" t="n">
        <f aca="false">SUM(EF103:EF106)</f>
        <v>0</v>
      </c>
      <c r="EG107" s="48" t="n">
        <f aca="false">SUM(EG103:EG106)</f>
        <v>0</v>
      </c>
      <c r="EH107" s="48" t="n">
        <f aca="false">SUM(EH103:EH106)</f>
        <v>0</v>
      </c>
      <c r="EI107" s="48" t="n">
        <f aca="false">SUM(EI103:EI106)</f>
        <v>0</v>
      </c>
      <c r="EJ107" s="48" t="n">
        <f aca="false">SUM(EJ103:EJ106)</f>
        <v>0</v>
      </c>
      <c r="EK107" s="48" t="n">
        <f aca="false">SUM(EK103:EK106)</f>
        <v>0</v>
      </c>
      <c r="EL107" s="48" t="n">
        <f aca="false">SUM(EL103:EL106)</f>
        <v>0</v>
      </c>
      <c r="EM107" s="48" t="n">
        <f aca="false">SUM(EM103:EM106)</f>
        <v>0</v>
      </c>
      <c r="EN107" s="48" t="n">
        <f aca="false">SUM(EN103:EN106)</f>
        <v>0</v>
      </c>
      <c r="EO107" s="48" t="n">
        <f aca="false">SUM(EO103:EO106)</f>
        <v>0</v>
      </c>
    </row>
    <row r="108" customFormat="false" ht="15" hidden="false" customHeight="false" outlineLevel="0" collapsed="false">
      <c r="C108" s="1" t="s">
        <v>462</v>
      </c>
      <c r="D108" s="12" t="s">
        <v>33</v>
      </c>
      <c r="J108" s="48" t="n">
        <f aca="false">-In_CIT*(MAX(0,J102)+J105)-In_RH_On*In_RH_Rate*MAX(0,J102)</f>
        <v>-0</v>
      </c>
      <c r="K108" s="48" t="n">
        <f aca="false">-In_CIT*(MAX(0,K102)+K105)-In_RH_On*In_RH_Rate*MAX(0,K102)</f>
        <v>-0</v>
      </c>
      <c r="L108" s="48" t="n">
        <f aca="false">-In_CIT*(MAX(0,L102)+L105)-In_RH_On*In_RH_Rate*MAX(0,L102)</f>
        <v>-0</v>
      </c>
      <c r="M108" s="48" t="n">
        <f aca="false">-In_CIT*(MAX(0,M102)+M105)-In_RH_On*In_RH_Rate*MAX(0,M102)</f>
        <v>-0</v>
      </c>
      <c r="N108" s="48" t="n">
        <f aca="false">-In_CIT*(MAX(0,N102)+N105)-In_RH_On*In_RH_Rate*MAX(0,N102)</f>
        <v>-0</v>
      </c>
      <c r="O108" s="48" t="n">
        <f aca="false">-In_CIT*(MAX(0,O102)+O105)-In_RH_On*In_RH_Rate*MAX(0,O102)</f>
        <v>-0</v>
      </c>
      <c r="P108" s="48" t="n">
        <f aca="false">-In_CIT*(MAX(0,P102)+P105)-In_RH_On*In_RH_Rate*MAX(0,P102)</f>
        <v>-0</v>
      </c>
      <c r="Q108" s="48" t="n">
        <f aca="false">-In_CIT*(MAX(0,Q102)+Q105)-In_RH_On*In_RH_Rate*MAX(0,Q102)</f>
        <v>-0</v>
      </c>
      <c r="R108" s="48" t="n">
        <f aca="false">-In_CIT*(MAX(0,R102)+R105)-In_RH_On*In_RH_Rate*MAX(0,R102)</f>
        <v>-0</v>
      </c>
      <c r="S108" s="48" t="n">
        <f aca="false">-In_CIT*(MAX(0,S102)+S105)-In_RH_On*In_RH_Rate*MAX(0,S102)</f>
        <v>-0</v>
      </c>
      <c r="T108" s="48" t="n">
        <f aca="false">-In_CIT*(MAX(0,T102)+T105)-In_RH_On*In_RH_Rate*MAX(0,T102)</f>
        <v>-0</v>
      </c>
      <c r="U108" s="48" t="n">
        <f aca="false">-In_CIT*(MAX(0,U102)+U105)-In_RH_On*In_RH_Rate*MAX(0,U102)</f>
        <v>-0</v>
      </c>
      <c r="V108" s="48" t="n">
        <f aca="false">-In_CIT*(MAX(0,V102)+V105)-In_RH_On*In_RH_Rate*MAX(0,V102)</f>
        <v>-0</v>
      </c>
      <c r="W108" s="48" t="n">
        <f aca="false">-In_CIT*(MAX(0,W102)+W105)-In_RH_On*In_RH_Rate*MAX(0,W102)</f>
        <v>-0</v>
      </c>
      <c r="X108" s="48" t="n">
        <f aca="false">-In_CIT*(MAX(0,X102)+X105)-In_RH_On*In_RH_Rate*MAX(0,X102)</f>
        <v>-0</v>
      </c>
      <c r="Y108" s="48" t="n">
        <f aca="false">-In_CIT*(MAX(0,Y102)+Y105)-In_RH_On*In_RH_Rate*MAX(0,Y102)</f>
        <v>-0</v>
      </c>
      <c r="Z108" s="48" t="n">
        <f aca="false">-In_CIT*(MAX(0,Z102)+Z105)-In_RH_On*In_RH_Rate*MAX(0,Z102)</f>
        <v>-60.3480198379648</v>
      </c>
      <c r="AA108" s="48" t="n">
        <f aca="false">-In_CIT*(MAX(0,AA102)+AA105)-In_RH_On*In_RH_Rate*MAX(0,AA102)</f>
        <v>-59.7113293712812</v>
      </c>
      <c r="AB108" s="48" t="n">
        <f aca="false">-In_CIT*(MAX(0,AB102)+AB105)-In_RH_On*In_RH_Rate*MAX(0,AB102)</f>
        <v>-61.1586785137666</v>
      </c>
      <c r="AC108" s="48" t="n">
        <f aca="false">-In_CIT*(MAX(0,AC102)+AC105)-In_RH_On*In_RH_Rate*MAX(0,AC102)</f>
        <v>-62.619373301153</v>
      </c>
      <c r="AD108" s="48" t="n">
        <f aca="false">-In_CIT*(MAX(0,AD102)+AD105)-In_RH_On*In_RH_Rate*MAX(0,AD102)</f>
        <v>-71.7930437906457</v>
      </c>
      <c r="AE108" s="48" t="n">
        <f aca="false">-In_CIT*(MAX(0,AE102)+AE105)-In_RH_On*In_RH_Rate*MAX(0,AE102)</f>
        <v>-125.642580743523</v>
      </c>
      <c r="AF108" s="48" t="n">
        <f aca="false">-In_CIT*(MAX(0,AF102)+AF105)-In_RH_On*In_RH_Rate*MAX(0,AF102)</f>
        <v>-126.345297170357</v>
      </c>
      <c r="AG108" s="48" t="n">
        <f aca="false">-In_CIT*(MAX(0,AG102)+AG105)-In_RH_On*In_RH_Rate*MAX(0,AG102)</f>
        <v>-129.272627376438</v>
      </c>
      <c r="AH108" s="48" t="n">
        <f aca="false">-In_CIT*(MAX(0,AH102)+AH105)-In_RH_On*In_RH_Rate*MAX(0,AH102)</f>
        <v>-128.730349161023</v>
      </c>
      <c r="AI108" s="48" t="n">
        <f aca="false">-In_CIT*(MAX(0,AI102)+AI105)-In_RH_On*In_RH_Rate*MAX(0,AI102)</f>
        <v>-127.398297463704</v>
      </c>
      <c r="AJ108" s="48" t="n">
        <f aca="false">-In_CIT*(MAX(0,AJ102)+AJ105)-In_RH_On*In_RH_Rate*MAX(0,AJ102)</f>
        <v>-135.323682667521</v>
      </c>
      <c r="AK108" s="48" t="n">
        <f aca="false">-In_CIT*(MAX(0,AK102)+AK105)-In_RH_On*In_RH_Rate*MAX(0,AK102)</f>
        <v>-138.377367965224</v>
      </c>
      <c r="AL108" s="48" t="n">
        <f aca="false">-In_CIT*(MAX(0,AL102)+AL105)-In_RH_On*In_RH_Rate*MAX(0,AL102)</f>
        <v>-137.887673834083</v>
      </c>
      <c r="AM108" s="48" t="n">
        <f aca="false">-In_CIT*(MAX(0,AM102)+AM105)-In_RH_On*In_RH_Rate*MAX(0,AM102)</f>
        <v>-136.461450560605</v>
      </c>
      <c r="AN108" s="48" t="n">
        <f aca="false">-In_CIT*(MAX(0,AN102)+AN105)-In_RH_On*In_RH_Rate*MAX(0,AN102)</f>
        <v>-139.541261362152</v>
      </c>
      <c r="AO108" s="48" t="n">
        <f aca="false">-In_CIT*(MAX(0,AO102)+AO105)-In_RH_On*In_RH_Rate*MAX(0,AO102)</f>
        <v>-142.648182936781</v>
      </c>
      <c r="AP108" s="48" t="n">
        <f aca="false">-In_CIT*(MAX(0,AP102)+AP105)-In_RH_On*In_RH_Rate*MAX(0,AP102)</f>
        <v>-142.192472092451</v>
      </c>
      <c r="AQ108" s="48" t="n">
        <f aca="false">-In_CIT*(MAX(0,AQ102)+AQ105)-In_RH_On*In_RH_Rate*MAX(0,AQ102)</f>
        <v>-140.76217254393</v>
      </c>
      <c r="AR108" s="48" t="n">
        <f aca="false">-In_CIT*(MAX(0,AR102)+AR105)-In_RH_On*In_RH_Rate*MAX(0,AR102)</f>
        <v>-143.896174404857</v>
      </c>
      <c r="AS108" s="48" t="n">
        <f aca="false">-In_CIT*(MAX(0,AS102)+AS105)-In_RH_On*In_RH_Rate*MAX(0,AS102)</f>
        <v>-147.057838606717</v>
      </c>
      <c r="AT108" s="48" t="n">
        <f aca="false">-In_CIT*(MAX(0,AT102)+AT105)-In_RH_On*In_RH_Rate*MAX(0,AT102)</f>
        <v>-146.637960554913</v>
      </c>
      <c r="AU108" s="48" t="n">
        <f aca="false">-In_CIT*(MAX(0,AU102)+AU105)-In_RH_On*In_RH_Rate*MAX(0,AU102)</f>
        <v>-147.522052083837</v>
      </c>
      <c r="AV108" s="48" t="n">
        <f aca="false">-In_CIT*(MAX(0,AV102)+AV105)-In_RH_On*In_RH_Rate*MAX(0,AV102)</f>
        <v>-148.412782044035</v>
      </c>
      <c r="AW108" s="48" t="n">
        <f aca="false">-In_CIT*(MAX(0,AW102)+AW105)-In_RH_On*In_RH_Rate*MAX(0,AW102)</f>
        <v>-151.630977732009</v>
      </c>
      <c r="AX108" s="48" t="n">
        <f aca="false">-In_CIT*(MAX(0,AX102)+AX105)-In_RH_On*In_RH_Rate*MAX(0,AX102)</f>
        <v>-151.249081076797</v>
      </c>
      <c r="AY108" s="48" t="n">
        <f aca="false">-In_CIT*(MAX(0,AY102)+AY105)-In_RH_On*In_RH_Rate*MAX(0,AY102)</f>
        <v>-149.815354813935</v>
      </c>
      <c r="AZ108" s="48" t="n">
        <f aca="false">-In_CIT*(MAX(0,AZ102)+AZ105)-In_RH_On*In_RH_Rate*MAX(0,AZ102)</f>
        <v>-153.062700863818</v>
      </c>
      <c r="BA108" s="48" t="n">
        <f aca="false">-In_CIT*(MAX(0,BA102)+BA105)-In_RH_On*In_RH_Rate*MAX(0,BA102)</f>
        <v>-156.338879046273</v>
      </c>
      <c r="BB108" s="48" t="n">
        <f aca="false">-In_CIT*(MAX(0,BB102)+BB105)-In_RH_On*In_RH_Rate*MAX(0,BB102)</f>
        <v>-155.996784194563</v>
      </c>
      <c r="BC108" s="48" t="n">
        <f aca="false">-In_CIT*(MAX(0,BC102)+BC105)-In_RH_On*In_RH_Rate*MAX(0,BC102)</f>
        <v>-154.563665940571</v>
      </c>
      <c r="BD108" s="48" t="n">
        <f aca="false">-In_CIT*(MAX(0,BD102)+BD105)-In_RH_On*In_RH_Rate*MAX(0,BD102)</f>
        <v>-157.870107882319</v>
      </c>
      <c r="BE108" s="48" t="n">
        <f aca="false">-In_CIT*(MAX(0,BE102)+BE105)-In_RH_On*In_RH_Rate*MAX(0,BE102)</f>
        <v>-161.205999707499</v>
      </c>
      <c r="BF108" s="48" t="n">
        <f aca="false">-In_CIT*(MAX(0,BF102)+BF105)-In_RH_On*In_RH_Rate*MAX(0,BF102)</f>
        <v>-160.905824494691</v>
      </c>
      <c r="BG108" s="48" t="n">
        <f aca="false">-In_CIT*(MAX(0,BG102)+BG105)-In_RH_On*In_RH_Rate*MAX(0,BG102)</f>
        <v>-159.475043793661</v>
      </c>
      <c r="BH108" s="48" t="n">
        <f aca="false">-In_CIT*(MAX(0,BH102)+BH105)-In_RH_On*In_RH_Rate*MAX(0,BH102)</f>
        <v>-162.842371051345</v>
      </c>
      <c r="BI108" s="48" t="n">
        <f aca="false">-In_CIT*(MAX(0,BI102)+BI105)-In_RH_On*In_RH_Rate*MAX(0,BI102)</f>
        <v>-166.239790025598</v>
      </c>
      <c r="BJ108" s="48" t="n">
        <f aca="false">-In_CIT*(MAX(0,BJ102)+BJ105)-In_RH_On*In_RH_Rate*MAX(0,BJ102)</f>
        <v>-165.983749984939</v>
      </c>
      <c r="BK108" s="48" t="n">
        <f aca="false">-In_CIT*(MAX(0,BK102)+BK105)-In_RH_On*In_RH_Rate*MAX(0,BK102)</f>
        <v>-166.914109040775</v>
      </c>
      <c r="BL108" s="48" t="n">
        <f aca="false">-In_CIT*(MAX(0,BL102)+BL105)-In_RH_On*In_RH_Rate*MAX(0,BL102)</f>
        <v>-168.005355455927</v>
      </c>
      <c r="BM108" s="48" t="n">
        <f aca="false">-In_CIT*(MAX(0,BM102)+BM105)-In_RH_On*In_RH_Rate*MAX(0,BM102)</f>
        <v>-171.466414851996</v>
      </c>
      <c r="BN108" s="48" t="n">
        <f aca="false">-In_CIT*(MAX(0,BN102)+BN105)-In_RH_On*In_RH_Rate*MAX(0,BN102)</f>
        <v>-171.257043565946</v>
      </c>
      <c r="BO108" s="48" t="n">
        <f aca="false">-In_CIT*(MAX(0,BO102)+BO105)-In_RH_On*In_RH_Rate*MAX(0,BO102)</f>
        <v>-169.83671936832</v>
      </c>
      <c r="BP108" s="48" t="n">
        <f aca="false">-In_CIT*(MAX(0,BP102)+BP105)-In_RH_On*In_RH_Rate*MAX(0,BP102)</f>
        <v>-173.331752071017</v>
      </c>
      <c r="BQ108" s="48" t="n">
        <f aca="false">-In_CIT*(MAX(0,BQ102)+BQ105)-In_RH_On*In_RH_Rate*MAX(0,BQ102)</f>
        <v>-176.858239496056</v>
      </c>
      <c r="BR108" s="48" t="n">
        <f aca="false">-In_CIT*(MAX(0,BR102)+BR105)-In_RH_On*In_RH_Rate*MAX(0,BR102)</f>
        <v>-176.697756205409</v>
      </c>
      <c r="BS108" s="48" t="n">
        <f aca="false">-In_CIT*(MAX(0,BS102)+BS105)-In_RH_On*In_RH_Rate*MAX(0,BS102)</f>
        <v>-175.285541607861</v>
      </c>
      <c r="BT108" s="48" t="n">
        <f aca="false">-In_CIT*(MAX(0,BT102)+BT105)-In_RH_On*In_RH_Rate*MAX(0,BT102)</f>
        <v>-178.847367711108</v>
      </c>
      <c r="BU108" s="48" t="n">
        <f aca="false">-In_CIT*(MAX(0,BU102)+BU105)-In_RH_On*In_RH_Rate*MAX(0,BU102)</f>
        <v>-182.441369617298</v>
      </c>
      <c r="BV108" s="48" t="n">
        <f aca="false">-In_CIT*(MAX(0,BV102)+BV105)-In_RH_On*In_RH_Rate*MAX(0,BV102)</f>
        <v>-182.332311481809</v>
      </c>
      <c r="BW108" s="48" t="n">
        <f aca="false">-In_CIT*(MAX(0,BW102)+BW105)-In_RH_On*In_RH_Rate*MAX(0,BW102)</f>
        <v>-180.930334075147</v>
      </c>
      <c r="BX108" s="48" t="n">
        <f aca="false">-In_CIT*(MAX(0,BX102)+BX105)-In_RH_On*In_RH_Rate*MAX(0,BX102)</f>
        <v>-184.56111118025</v>
      </c>
      <c r="BY108" s="48" t="n">
        <f aca="false">-In_CIT*(MAX(0,BY102)+BY105)-In_RH_On*In_RH_Rate*MAX(0,BY102)</f>
        <v>-188.22481402557</v>
      </c>
      <c r="BZ108" s="48" t="n">
        <f aca="false">-In_CIT*(MAX(0,BZ102)+BZ105)-In_RH_On*In_RH_Rate*MAX(0,BZ102)</f>
        <v>-188.169835362443</v>
      </c>
      <c r="CA108" s="48" t="n">
        <f aca="false">-In_CIT*(MAX(0,CA102)+CA105)-In_RH_On*In_RH_Rate*MAX(0,CA102)</f>
        <v>-189.170410613182</v>
      </c>
      <c r="CB108" s="48" t="n">
        <f aca="false">-In_CIT*(MAX(0,CB102)+CB105)-In_RH_On*In_RH_Rate*MAX(0,CB102)</f>
        <v>-190.500601799323</v>
      </c>
      <c r="CC108" s="48" t="n">
        <f aca="false">-In_CIT*(MAX(0,CC102)+CC105)-In_RH_On*In_RH_Rate*MAX(0,CC102)</f>
        <v>-194.236511953406</v>
      </c>
      <c r="CD108" s="48" t="n">
        <f aca="false">-In_CIT*(MAX(0,CD102)+CD105)-In_RH_On*In_RH_Rate*MAX(0,CD102)</f>
        <v>-194.238607155566</v>
      </c>
      <c r="CE108" s="48" t="n">
        <f aca="false">-In_CIT*(MAX(0,CE102)+CE105)-In_RH_On*In_RH_Rate*MAX(0,CE102)</f>
        <v>-192.864158912607</v>
      </c>
      <c r="CF108" s="48" t="n">
        <f aca="false">-In_CIT*(MAX(0,CF102)+CF105)-In_RH_On*In_RH_Rate*MAX(0,CF102)</f>
        <v>-196.639953096841</v>
      </c>
      <c r="CG108" s="48" t="n">
        <f aca="false">-In_CIT*(MAX(0,CG102)+CG105)-In_RH_On*In_RH_Rate*MAX(0,CG102)</f>
        <v>-200.450267496415</v>
      </c>
      <c r="CH108" s="48" t="n">
        <f aca="false">-In_CIT*(MAX(0,CH102)+CH105)-In_RH_On*In_RH_Rate*MAX(0,CH102)</f>
        <v>-200.512134724</v>
      </c>
      <c r="CI108" s="48" t="n">
        <f aca="false">-In_CIT*(MAX(0,CI102)+CI105)-In_RH_On*In_RH_Rate*MAX(0,CI102)</f>
        <v>-199.155008627756</v>
      </c>
      <c r="CJ108" s="48" t="n">
        <f aca="false">-In_CIT*(MAX(0,CJ102)+CJ105)-In_RH_On*In_RH_Rate*MAX(0,CJ102)</f>
        <v>-203.006879854436</v>
      </c>
      <c r="CK108" s="48" t="n">
        <f aca="false">-In_CIT*(MAX(0,CK102)+CK105)-In_RH_On*In_RH_Rate*MAX(0,CK102)</f>
        <v>-206.894116209933</v>
      </c>
      <c r="CL108" s="48" t="n">
        <f aca="false">-In_CIT*(MAX(0,CL102)+CL105)-In_RH_On*In_RH_Rate*MAX(0,CL102)</f>
        <v>-207.018795455848</v>
      </c>
      <c r="CM108" s="48" t="n">
        <f aca="false">-In_CIT*(MAX(0,CM102)+CM105)-In_RH_On*In_RH_Rate*MAX(0,CM102)</f>
        <v>-205.681599467905</v>
      </c>
      <c r="CN108" s="48" t="n">
        <f aca="false">-In_CIT*(MAX(0,CN102)+CN105)-In_RH_On*In_RH_Rate*MAX(0,CN102)</f>
        <v>-209.612152215566</v>
      </c>
      <c r="CO108" s="48" t="n">
        <f aca="false">-In_CIT*(MAX(0,CO102)+CO105)-In_RH_On*In_RH_Rate*MAX(0,CO102)</f>
        <v>-213.578949610895</v>
      </c>
      <c r="CP108" s="48" t="n">
        <f aca="false">-In_CIT*(MAX(0,CP102)+CP105)-In_RH_On*In_RH_Rate*MAX(0,CP102)</f>
        <v>-213.769621414685</v>
      </c>
      <c r="CQ108" s="48" t="n">
        <f aca="false">-In_CIT*(MAX(0,CQ102)+CQ105)-In_RH_On*In_RH_Rate*MAX(0,CQ102)</f>
        <v>-214.870385645378</v>
      </c>
      <c r="CR108" s="48" t="n">
        <f aca="false">-In_CIT*(MAX(0,CR102)+CR105)-In_RH_On*In_RH_Rate*MAX(0,CR102)</f>
        <v>-216.485446580128</v>
      </c>
      <c r="CS108" s="48" t="n">
        <f aca="false">-In_CIT*(MAX(0,CS102)+CS105)-In_RH_On*In_RH_Rate*MAX(0,CS102)</f>
        <v>-220.534787667404</v>
      </c>
      <c r="CT108" s="48" t="n">
        <f aca="false">-In_CIT*(MAX(0,CT102)+CT105)-In_RH_On*In_RH_Rate*MAX(0,CT102)</f>
        <v>-220.794998393365</v>
      </c>
      <c r="CU108" s="48" t="n">
        <f aca="false">-In_CIT*(MAX(0,CU102)+CU105)-In_RH_On*In_RH_Rate*MAX(0,CU102)</f>
        <v>-217.82086186721</v>
      </c>
      <c r="CV108" s="48" t="n">
        <f aca="false">-In_CIT*(MAX(0,CV102)+CV105)-In_RH_On*In_RH_Rate*MAX(0,CV102)</f>
        <v>-220.241093665735</v>
      </c>
      <c r="CW108" s="48" t="n">
        <f aca="false">-In_CIT*(MAX(0,CW102)+CW105)-In_RH_On*In_RH_Rate*MAX(0,CW102)</f>
        <v>-222.661325464259</v>
      </c>
      <c r="CX108" s="48" t="n">
        <f aca="false">-In_CIT*(MAX(0,CX102)+CX105)-In_RH_On*In_RH_Rate*MAX(0,CX102)</f>
        <v>-221.241436254592</v>
      </c>
      <c r="CY108" s="48" t="n">
        <f aca="false">-In_CIT*(MAX(0,CY102)+CY105)-In_RH_On*In_RH_Rate*MAX(0,CY102)</f>
        <v>-218.213720248026</v>
      </c>
      <c r="CZ108" s="48" t="n">
        <f aca="false">-In_CIT*(MAX(0,CZ102)+CZ105)-In_RH_On*In_RH_Rate*MAX(0,CZ102)</f>
        <v>-220.638317139671</v>
      </c>
      <c r="DA108" s="48" t="n">
        <f aca="false">-In_CIT*(MAX(0,DA102)+DA105)-In_RH_On*In_RH_Rate*MAX(0,DA102)</f>
        <v>-223.062914031315</v>
      </c>
      <c r="DB108" s="48" t="n">
        <f aca="false">-In_CIT*(MAX(0,DB102)+DB105)-In_RH_On*In_RH_Rate*MAX(0,DB102)</f>
        <v>-375.486699874706</v>
      </c>
      <c r="DC108" s="48" t="n">
        <f aca="false">-In_CIT*(MAX(0,DC102)+DC105)-In_RH_On*In_RH_Rate*MAX(0,DC102)</f>
        <v>-369.06027686922</v>
      </c>
      <c r="DD108" s="48" t="n">
        <f aca="false">-In_CIT*(MAX(0,DD102)+DD105)-In_RH_On*In_RH_Rate*MAX(0,DD102)</f>
        <v>-373.160946612211</v>
      </c>
      <c r="DE108" s="48" t="n">
        <f aca="false">-In_CIT*(MAX(0,DE102)+DE105)-In_RH_On*In_RH_Rate*MAX(0,DE102)</f>
        <v>-377.261616355202</v>
      </c>
      <c r="DF108" s="48" t="n">
        <f aca="false">-In_CIT*(MAX(0,DF102)+DF105)-In_RH_On*In_RH_Rate*MAX(0,DF102)</f>
        <v>-375.824783779587</v>
      </c>
      <c r="DG108" s="48" t="n">
        <f aca="false">-In_CIT*(MAX(0,DG102)+DG105)-In_RH_On*In_RH_Rate*MAX(0,DG102)</f>
        <v>-373.447561715863</v>
      </c>
      <c r="DH108" s="48" t="n">
        <f aca="false">-In_CIT*(MAX(0,DH102)+DH105)-In_RH_On*In_RH_Rate*MAX(0,DH102)</f>
        <v>-373.447561715863</v>
      </c>
      <c r="DI108" s="48" t="n">
        <f aca="false">-In_CIT*(MAX(0,DI102)+DI105)-In_RH_On*In_RH_Rate*MAX(0,DI102)</f>
        <v>-377.551381075378</v>
      </c>
      <c r="DJ108" s="48" t="n">
        <f aca="false">-In_CIT*(MAX(0,DJ102)+DJ105)-In_RH_On*In_RH_Rate*MAX(0,DJ102)</f>
        <v>-376.106053012438</v>
      </c>
      <c r="DK108" s="48" t="n">
        <f aca="false">-In_CIT*(MAX(0,DK102)+DK105)-In_RH_On*In_RH_Rate*MAX(0,DK102)</f>
        <v>-369.569862589467</v>
      </c>
      <c r="DL108" s="48" t="n">
        <f aca="false">-In_CIT*(MAX(0,DL102)+DL105)-In_RH_On*In_RH_Rate*MAX(0,DL102)</f>
        <v>-373.676194396016</v>
      </c>
      <c r="DM108" s="48" t="n">
        <f aca="false">-In_CIT*(MAX(0,DM102)+DM105)-In_RH_On*In_RH_Rate*MAX(0,DM102)</f>
        <v>-377.782526202566</v>
      </c>
      <c r="DN108" s="48" t="n">
        <f aca="false">-In_CIT*(MAX(0,DN102)+DN105)-In_RH_On*In_RH_Rate*MAX(0,DN102)</f>
        <v>-376.328687856252</v>
      </c>
      <c r="DO108" s="48" t="n">
        <f aca="false">-In_CIT*(MAX(0,DO102)+DO105)-In_RH_On*In_RH_Rate*MAX(0,DO102)</f>
        <v>-369.736810251908</v>
      </c>
      <c r="DP108" s="48" t="n">
        <f aca="false">-In_CIT*(MAX(0,DP102)+DP105)-In_RH_On*In_RH_Rate*MAX(0,DP102)</f>
        <v>-373.844997032485</v>
      </c>
      <c r="DQ108" s="48" t="n">
        <f aca="false">-In_CIT*(MAX(0,DQ102)+DQ105)-In_RH_On*In_RH_Rate*MAX(0,DQ102)</f>
        <v>-377.953183813062</v>
      </c>
      <c r="DR108" s="48" t="n">
        <f aca="false">-In_CIT*(MAX(0,DR102)+DR105)-In_RH_On*In_RH_Rate*MAX(0,DR102)</f>
        <v>-376.490821224723</v>
      </c>
      <c r="DS108" s="48" t="n">
        <f aca="false">-In_CIT*(MAX(0,DS102)+DS105)-In_RH_On*In_RH_Rate*MAX(0,DS102)</f>
        <v>-369.842710510588</v>
      </c>
      <c r="DT108" s="48" t="n">
        <f aca="false">-In_CIT*(MAX(0,DT102)+DT105)-In_RH_On*In_RH_Rate*MAX(0,DT102)</f>
        <v>-373.952073960706</v>
      </c>
      <c r="DU108" s="48" t="n">
        <f aca="false">-In_CIT*(MAX(0,DU102)+DU105)-In_RH_On*In_RH_Rate*MAX(0,DU102)</f>
        <v>-378.061437410823</v>
      </c>
      <c r="DV108" s="48" t="n">
        <f aca="false">-In_CIT*(MAX(0,DV102)+DV105)-In_RH_On*In_RH_Rate*MAX(0,DV102)</f>
        <v>-376.590537485769</v>
      </c>
      <c r="DW108" s="48" t="n">
        <f aca="false">-In_CIT*(MAX(0,DW102)+DW105)-In_RH_On*In_RH_Rate*MAX(0,DW102)</f>
        <v>-373.995480278811</v>
      </c>
      <c r="DX108" s="48" t="n">
        <f aca="false">-In_CIT*(MAX(0,DX102)+DX105)-In_RH_On*In_RH_Rate*MAX(0,DX102)</f>
        <v>-373.995480278811</v>
      </c>
      <c r="DY108" s="48" t="n">
        <f aca="false">-In_CIT*(MAX(0,DY102)+DY105)-In_RH_On*In_RH_Rate*MAX(0,DY102)</f>
        <v>-378.105320721436</v>
      </c>
      <c r="DZ108" s="48" t="n">
        <f aca="false">-In_CIT*(MAX(0,DZ102)+DZ105)-In_RH_On*In_RH_Rate*MAX(0,DZ102)</f>
        <v>-376.625871256129</v>
      </c>
      <c r="EA108" s="48" t="n">
        <f aca="false">-In_CIT*(MAX(0,EA102)+EA105)-In_RH_On*In_RH_Rate*MAX(0,EA102)</f>
        <v>-369.863624794353</v>
      </c>
      <c r="EB108" s="48" t="n">
        <f aca="false">-In_CIT*(MAX(0,EB102)+EB105)-In_RH_On*In_RH_Rate*MAX(0,EB102)</f>
        <v>-373.973220625402</v>
      </c>
      <c r="EC108" s="48" t="n">
        <f aca="false">-In_CIT*(MAX(0,EC102)+EC105)-In_RH_On*In_RH_Rate*MAX(0,EC102)</f>
        <v>-378.08281645645</v>
      </c>
      <c r="ED108" s="48" t="n">
        <f aca="false">-In_CIT*(MAX(0,ED102)+ED105)-In_RH_On*In_RH_Rate*MAX(0,ED102)</f>
        <v>-376.59480616636</v>
      </c>
      <c r="EE108" s="48" t="n">
        <f aca="false">-In_CIT*(MAX(0,EE102)+EE105)-In_RH_On*In_RH_Rate*MAX(0,EE102)</f>
        <v>-369.774640807209</v>
      </c>
      <c r="EF108" s="48" t="n">
        <f aca="false">-In_CIT*(MAX(0,EF102)+EF105)-In_RH_On*In_RH_Rate*MAX(0,EF102)</f>
        <v>-373.883247927289</v>
      </c>
      <c r="EG108" s="48" t="n">
        <f aca="false">-In_CIT*(MAX(0,EG102)+EG105)-In_RH_On*In_RH_Rate*MAX(0,EG102)</f>
        <v>-377.99185504737</v>
      </c>
      <c r="EH108" s="48" t="n">
        <f aca="false">-In_CIT*(MAX(0,EH102)+EH105)-In_RH_On*In_RH_Rate*MAX(0,EH102)</f>
        <v>-376.495273595489</v>
      </c>
      <c r="EI108" s="48" t="n">
        <f aca="false">-In_CIT*(MAX(0,EI102)+EI105)-In_RH_On*In_RH_Rate*MAX(0,EI102)</f>
        <v>-369.616610884433</v>
      </c>
      <c r="EJ108" s="48" t="n">
        <f aca="false">-In_CIT*(MAX(0,EJ102)+EJ105)-In_RH_On*In_RH_Rate*MAX(0,EJ102)</f>
        <v>-373.723462116483</v>
      </c>
      <c r="EK108" s="48" t="n">
        <f aca="false">-In_CIT*(MAX(0,EK102)+EK105)-In_RH_On*In_RH_Rate*MAX(0,EK102)</f>
        <v>-377.830313348532</v>
      </c>
      <c r="EL108" s="48" t="n">
        <f aca="false">-In_CIT*(MAX(0,EL102)+EL105)-In_RH_On*In_RH_Rate*MAX(0,EL102)</f>
        <v>-376.325151374579</v>
      </c>
      <c r="EM108" s="48" t="n">
        <f aca="false">-In_CIT*(MAX(0,EM102)+EM105)-In_RH_On*In_RH_Rate*MAX(0,EM102)</f>
        <v>-373.491708815652</v>
      </c>
      <c r="EN108" s="48" t="n">
        <f aca="false">-In_CIT*(MAX(0,EN102)+EN105)-In_RH_On*In_RH_Rate*MAX(0,EN102)</f>
        <v>-373.491708815652</v>
      </c>
      <c r="EO108" s="48" t="n">
        <f aca="false">-In_CIT*(MAX(0,EO102)+EO105)-In_RH_On*In_RH_Rate*MAX(0,EO102)</f>
        <v>-377.596013308131</v>
      </c>
    </row>
    <row r="109" customFormat="false" ht="15" hidden="false" customHeight="false" outlineLevel="0" collapsed="false">
      <c r="C109" s="1" t="s">
        <v>463</v>
      </c>
      <c r="D109" s="12" t="s">
        <v>33</v>
      </c>
      <c r="I109" s="48" t="n">
        <f aca="false">SUM(J109:EO109)</f>
        <v>3.11295593746763E-008</v>
      </c>
      <c r="J109" s="48" t="n">
        <f aca="false">ABS(J108-J82)</f>
        <v>0</v>
      </c>
      <c r="K109" s="48" t="n">
        <f aca="false">ABS(K108-K82)</f>
        <v>0</v>
      </c>
      <c r="L109" s="48" t="n">
        <f aca="false">ABS(L108-L82)</f>
        <v>0</v>
      </c>
      <c r="M109" s="48" t="n">
        <f aca="false">ABS(M108-M82)</f>
        <v>0</v>
      </c>
      <c r="N109" s="48" t="n">
        <f aca="false">ABS(N108-N82)</f>
        <v>0</v>
      </c>
      <c r="O109" s="48" t="n">
        <f aca="false">ABS(O108-O82)</f>
        <v>0</v>
      </c>
      <c r="P109" s="48" t="n">
        <f aca="false">ABS(P108-P82)</f>
        <v>0</v>
      </c>
      <c r="Q109" s="48" t="n">
        <f aca="false">ABS(Q108-Q82)</f>
        <v>0</v>
      </c>
      <c r="R109" s="48" t="n">
        <f aca="false">ABS(R108-R82)</f>
        <v>0</v>
      </c>
      <c r="S109" s="48" t="n">
        <f aca="false">ABS(S108-S82)</f>
        <v>0</v>
      </c>
      <c r="T109" s="48" t="n">
        <f aca="false">ABS(T108-T82)</f>
        <v>0</v>
      </c>
      <c r="U109" s="48" t="n">
        <f aca="false">ABS(U108-U82)</f>
        <v>0</v>
      </c>
      <c r="V109" s="48" t="n">
        <f aca="false">ABS(V108-V82)</f>
        <v>0</v>
      </c>
      <c r="W109" s="48" t="n">
        <f aca="false">ABS(W108-W82)</f>
        <v>0</v>
      </c>
      <c r="X109" s="48" t="n">
        <f aca="false">ABS(X108-X82)</f>
        <v>0</v>
      </c>
      <c r="Y109" s="48" t="n">
        <f aca="false">ABS(Y108-Y82)</f>
        <v>0</v>
      </c>
      <c r="Z109" s="48" t="n">
        <f aca="false">ABS(Z108-Z82)</f>
        <v>0</v>
      </c>
      <c r="AA109" s="48" t="n">
        <f aca="false">ABS(AA108-AA82)</f>
        <v>1.37987399284611E-011</v>
      </c>
      <c r="AB109" s="48" t="n">
        <f aca="false">ABS(AB108-AB82)</f>
        <v>2.6624036308931E-011</v>
      </c>
      <c r="AC109" s="48" t="n">
        <f aca="false">ABS(AC108-AC82)</f>
        <v>3.87601062357135E-011</v>
      </c>
      <c r="AD109" s="48" t="n">
        <f aca="false">ABS(AD108-AD82)</f>
        <v>1.79340986505849E-010</v>
      </c>
      <c r="AE109" s="48" t="n">
        <f aca="false">ABS(AE108-AE82)</f>
        <v>1.00456531981763E-010</v>
      </c>
      <c r="AF109" s="48" t="n">
        <f aca="false">ABS(AF108-AF82)</f>
        <v>1.07647224467655E-010</v>
      </c>
      <c r="AG109" s="48" t="n">
        <f aca="false">ABS(AG108-AG82)</f>
        <v>1.10105702333385E-010</v>
      </c>
      <c r="AH109" s="48" t="n">
        <f aca="false">ABS(AH108-AH82)</f>
        <v>1.09963593786233E-010</v>
      </c>
      <c r="AI109" s="48" t="n">
        <f aca="false">ABS(AI108-AI82)</f>
        <v>1.04478203866165E-010</v>
      </c>
      <c r="AJ109" s="48" t="n">
        <f aca="false">ABS(AJ108-AJ82)</f>
        <v>9.58380041993223E-011</v>
      </c>
      <c r="AK109" s="48" t="n">
        <f aca="false">ABS(AK108-AK82)</f>
        <v>8.3645090853679E-011</v>
      </c>
      <c r="AL109" s="48" t="n">
        <f aca="false">ABS(AL108-AL82)</f>
        <v>6.89226453687297E-011</v>
      </c>
      <c r="AM109" s="48" t="n">
        <f aca="false">ABS(AM108-AM82)</f>
        <v>4.99653651786502E-011</v>
      </c>
      <c r="AN109" s="48" t="n">
        <f aca="false">ABS(AN108-AN82)</f>
        <v>2.69722022494534E-011</v>
      </c>
      <c r="AO109" s="48" t="n">
        <f aca="false">ABS(AO108-AO82)</f>
        <v>1.47792889038101E-012</v>
      </c>
      <c r="AP109" s="48" t="n">
        <f aca="false">ABS(AP108-AP82)</f>
        <v>2.60058641288197E-011</v>
      </c>
      <c r="AQ109" s="48" t="n">
        <f aca="false">ABS(AQ108-AQ82)</f>
        <v>5.61328761250479E-011</v>
      </c>
      <c r="AR109" s="48" t="n">
        <f aca="false">ABS(AR108-AR82)</f>
        <v>9.00683971849503E-011</v>
      </c>
      <c r="AS109" s="48" t="n">
        <f aca="false">ABS(AS108-AS82)</f>
        <v>1.25311316878651E-010</v>
      </c>
      <c r="AT109" s="48" t="n">
        <f aca="false">ABS(AT108-AT82)</f>
        <v>1.62373225975898E-010</v>
      </c>
      <c r="AU109" s="48" t="n">
        <f aca="false">ABS(AU108-AU82)</f>
        <v>2.00401473193779E-010</v>
      </c>
      <c r="AV109" s="48" t="n">
        <f aca="false">ABS(AV108-AV82)</f>
        <v>2.41215047935839E-010</v>
      </c>
      <c r="AW109" s="48" t="n">
        <f aca="false">ABS(AW108-AW82)</f>
        <v>2.82341261481633E-010</v>
      </c>
      <c r="AX109" s="48" t="n">
        <f aca="false">ABS(AX108-AX82)</f>
        <v>3.24064330925467E-010</v>
      </c>
      <c r="AY109" s="48" t="n">
        <f aca="false">ABS(AY108-AY82)</f>
        <v>3.66554786523921E-010</v>
      </c>
      <c r="AZ109" s="48" t="n">
        <f aca="false">ABS(AZ108-AZ82)</f>
        <v>4.09471567763831E-010</v>
      </c>
      <c r="BA109" s="48" t="n">
        <f aca="false">ABS(BA108-BA82)</f>
        <v>4.51763071396272E-010</v>
      </c>
      <c r="BB109" s="48" t="n">
        <f aca="false">ABS(BB108-BB82)</f>
        <v>4.93230345455231E-010</v>
      </c>
      <c r="BC109" s="48" t="n">
        <f aca="false">ABS(BC108-BC82)</f>
        <v>5.34924993189634E-010</v>
      </c>
      <c r="BD109" s="48" t="n">
        <f aca="false">ABS(BD108-BD82)</f>
        <v>5.75369085709099E-010</v>
      </c>
      <c r="BE109" s="48" t="n">
        <f aca="false">ABS(BE108-BE82)</f>
        <v>6.14619466432487E-010</v>
      </c>
      <c r="BF109" s="48" t="n">
        <f aca="false">ABS(BF108-BF82)</f>
        <v>6.52221388008911E-010</v>
      </c>
      <c r="BG109" s="48" t="n">
        <f aca="false">ABS(BG108-BG82)</f>
        <v>6.87123247189447E-010</v>
      </c>
      <c r="BH109" s="48" t="n">
        <f aca="false">ABS(BH108-BH82)</f>
        <v>7.21286141924793E-010</v>
      </c>
      <c r="BI109" s="48" t="n">
        <f aca="false">ABS(BI108-BI82)</f>
        <v>7.53203721615137E-010</v>
      </c>
      <c r="BJ109" s="48" t="n">
        <f aca="false">ABS(BJ108-BJ82)</f>
        <v>7.81739117883262E-010</v>
      </c>
      <c r="BK109" s="48" t="n">
        <f aca="false">ABS(BK108-BK82)</f>
        <v>8.07659716883791E-010</v>
      </c>
      <c r="BL109" s="48" t="n">
        <f aca="false">ABS(BL108-BL82)</f>
        <v>8.31704483061913E-010</v>
      </c>
      <c r="BM109" s="48" t="n">
        <f aca="false">ABS(BM108-BM82)</f>
        <v>8.51997583595221E-010</v>
      </c>
      <c r="BN109" s="48" t="n">
        <f aca="false">ABS(BN108-BN82)</f>
        <v>8.6879481386859E-010</v>
      </c>
      <c r="BO109" s="48" t="n">
        <f aca="false">ABS(BO108-BO82)</f>
        <v>8.82380390976323E-010</v>
      </c>
      <c r="BP109" s="48" t="n">
        <f aca="false">ABS(BP108-BP82)</f>
        <v>8.92924845175003E-010</v>
      </c>
      <c r="BQ109" s="48" t="n">
        <f aca="false">ABS(BQ108-BQ82)</f>
        <v>8.99632368600578E-010</v>
      </c>
      <c r="BR109" s="48" t="n">
        <f aca="false">ABS(BR108-BR82)</f>
        <v>9.01820840226719E-010</v>
      </c>
      <c r="BS109" s="48" t="n">
        <f aca="false">ABS(BS108-BS82)</f>
        <v>9.00797658687225E-010</v>
      </c>
      <c r="BT109" s="48" t="n">
        <f aca="false">ABS(BT108-BT82)</f>
        <v>8.96676510819816E-010</v>
      </c>
      <c r="BU109" s="48" t="n">
        <f aca="false">ABS(BU108-BU82)</f>
        <v>8.88576323632151E-010</v>
      </c>
      <c r="BV109" s="48" t="n">
        <f aca="false">ABS(BV108-BV82)</f>
        <v>8.77406591826002E-010</v>
      </c>
      <c r="BW109" s="48" t="n">
        <f aca="false">ABS(BW108-BW82)</f>
        <v>8.6106410890352E-010</v>
      </c>
      <c r="BX109" s="48" t="n">
        <f aca="false">ABS(BX108-BX82)</f>
        <v>8.43215275381226E-010</v>
      </c>
      <c r="BY109" s="48" t="n">
        <f aca="false">ABS(BY108-BY82)</f>
        <v>8.20875811768929E-010</v>
      </c>
      <c r="BZ109" s="48" t="n">
        <f aca="false">ABS(BZ108-BZ82)</f>
        <v>7.94784682511818E-010</v>
      </c>
      <c r="CA109" s="48" t="n">
        <f aca="false">ABS(CA108-CA82)</f>
        <v>7.65851382311666E-010</v>
      </c>
      <c r="CB109" s="48" t="n">
        <f aca="false">ABS(CB108-CB82)</f>
        <v>7.34104332877905E-010</v>
      </c>
      <c r="CC109" s="48" t="n">
        <f aca="false">ABS(CC108-CC82)</f>
        <v>6.99628799338825E-010</v>
      </c>
      <c r="CD109" s="48" t="n">
        <f aca="false">ABS(CD108-CD82)</f>
        <v>6.6270899878873E-010</v>
      </c>
      <c r="CE109" s="48" t="n">
        <f aca="false">ABS(CE108-CE82)</f>
        <v>6.22549123363569E-010</v>
      </c>
      <c r="CF109" s="48" t="n">
        <f aca="false">ABS(CF108-CF82)</f>
        <v>5.824745130667E-010</v>
      </c>
      <c r="CG109" s="48" t="n">
        <f aca="false">ABS(CG108-CG82)</f>
        <v>5.39984057468246E-010</v>
      </c>
      <c r="CH109" s="48" t="n">
        <f aca="false">ABS(CH108-CH82)</f>
        <v>4.95532503919094E-010</v>
      </c>
      <c r="CI109" s="48" t="n">
        <f aca="false">ABS(CI108-CI82)</f>
        <v>4.50313564215321E-010</v>
      </c>
      <c r="CJ109" s="48" t="n">
        <f aca="false">ABS(CJ108-CJ82)</f>
        <v>4.04924094254966E-010</v>
      </c>
      <c r="CK109" s="48" t="n">
        <f aca="false">ABS(CK108-CK82)</f>
        <v>3.59307250619167E-010</v>
      </c>
      <c r="CL109" s="48" t="n">
        <f aca="false">ABS(CL108-CL82)</f>
        <v>3.13633563564508E-010</v>
      </c>
      <c r="CM109" s="48" t="n">
        <f aca="false">ABS(CM108-CM82)</f>
        <v>2.67760924543836E-010</v>
      </c>
      <c r="CN109" s="48" t="n">
        <f aca="false">ABS(CN108-CN82)</f>
        <v>2.24474661081331E-010</v>
      </c>
      <c r="CO109" s="48" t="n">
        <f aca="false">ABS(CO108-CO82)</f>
        <v>1.81728410098003E-010</v>
      </c>
      <c r="CP109" s="48" t="n">
        <f aca="false">ABS(CP108-CP82)</f>
        <v>1.40204292620183E-010</v>
      </c>
      <c r="CQ109" s="48" t="n">
        <f aca="false">ABS(CQ108-CQ82)</f>
        <v>1.01152863862808E-010</v>
      </c>
      <c r="CR109" s="48" t="n">
        <f aca="false">ABS(CR108-CR82)</f>
        <v>6.42614850221435E-011</v>
      </c>
      <c r="CS109" s="48" t="n">
        <f aca="false">ABS(CS108-CS82)</f>
        <v>3.1235458664014E-011</v>
      </c>
      <c r="CT109" s="48" t="n">
        <f aca="false">ABS(CT108-CT82)</f>
        <v>0</v>
      </c>
      <c r="CU109" s="48" t="n">
        <f aca="false">ABS(CU108-CU82)</f>
        <v>0</v>
      </c>
      <c r="CV109" s="48" t="n">
        <f aca="false">ABS(CV108-CV82)</f>
        <v>0</v>
      </c>
      <c r="CW109" s="48" t="n">
        <f aca="false">ABS(CW108-CW82)</f>
        <v>0</v>
      </c>
      <c r="CX109" s="48" t="n">
        <f aca="false">ABS(CX108-CX82)</f>
        <v>0</v>
      </c>
      <c r="CY109" s="48" t="n">
        <f aca="false">ABS(CY108-CY82)</f>
        <v>0</v>
      </c>
      <c r="CZ109" s="48" t="n">
        <f aca="false">ABS(CZ108-CZ82)</f>
        <v>0</v>
      </c>
      <c r="DA109" s="48" t="n">
        <f aca="false">ABS(DA108-DA82)</f>
        <v>0</v>
      </c>
      <c r="DB109" s="48" t="n">
        <f aca="false">ABS(DB108-DB82)</f>
        <v>0</v>
      </c>
      <c r="DC109" s="48" t="n">
        <f aca="false">ABS(DC108-DC82)</f>
        <v>0</v>
      </c>
      <c r="DD109" s="48" t="n">
        <f aca="false">ABS(DD108-DD82)</f>
        <v>0</v>
      </c>
      <c r="DE109" s="48" t="n">
        <f aca="false">ABS(DE108-DE82)</f>
        <v>0</v>
      </c>
      <c r="DF109" s="48" t="n">
        <f aca="false">ABS(DF108-DF82)</f>
        <v>0</v>
      </c>
      <c r="DG109" s="48" t="n">
        <f aca="false">ABS(DG108-DG82)</f>
        <v>0</v>
      </c>
      <c r="DH109" s="48" t="n">
        <f aca="false">ABS(DH108-DH82)</f>
        <v>0</v>
      </c>
      <c r="DI109" s="48" t="n">
        <f aca="false">ABS(DI108-DI82)</f>
        <v>0</v>
      </c>
      <c r="DJ109" s="48" t="n">
        <f aca="false">ABS(DJ108-DJ82)</f>
        <v>0</v>
      </c>
      <c r="DK109" s="48" t="n">
        <f aca="false">ABS(DK108-DK82)</f>
        <v>0</v>
      </c>
      <c r="DL109" s="48" t="n">
        <f aca="false">ABS(DL108-DL82)</f>
        <v>0</v>
      </c>
      <c r="DM109" s="48" t="n">
        <f aca="false">ABS(DM108-DM82)</f>
        <v>0</v>
      </c>
      <c r="DN109" s="48" t="n">
        <f aca="false">ABS(DN108-DN82)</f>
        <v>0</v>
      </c>
      <c r="DO109" s="48" t="n">
        <f aca="false">ABS(DO108-DO82)</f>
        <v>0</v>
      </c>
      <c r="DP109" s="48" t="n">
        <f aca="false">ABS(DP108-DP82)</f>
        <v>0</v>
      </c>
      <c r="DQ109" s="48" t="n">
        <f aca="false">ABS(DQ108-DQ82)</f>
        <v>0</v>
      </c>
      <c r="DR109" s="48" t="n">
        <f aca="false">ABS(DR108-DR82)</f>
        <v>0</v>
      </c>
      <c r="DS109" s="48" t="n">
        <f aca="false">ABS(DS108-DS82)</f>
        <v>0</v>
      </c>
      <c r="DT109" s="48" t="n">
        <f aca="false">ABS(DT108-DT82)</f>
        <v>0</v>
      </c>
      <c r="DU109" s="48" t="n">
        <f aca="false">ABS(DU108-DU82)</f>
        <v>0</v>
      </c>
      <c r="DV109" s="48" t="n">
        <f aca="false">ABS(DV108-DV82)</f>
        <v>0</v>
      </c>
      <c r="DW109" s="48" t="n">
        <f aca="false">ABS(DW108-DW82)</f>
        <v>0</v>
      </c>
      <c r="DX109" s="48" t="n">
        <f aca="false">ABS(DX108-DX82)</f>
        <v>0</v>
      </c>
      <c r="DY109" s="48" t="n">
        <f aca="false">ABS(DY108-DY82)</f>
        <v>0</v>
      </c>
      <c r="DZ109" s="48" t="n">
        <f aca="false">ABS(DZ108-DZ82)</f>
        <v>0</v>
      </c>
      <c r="EA109" s="48" t="n">
        <f aca="false">ABS(EA108-EA82)</f>
        <v>0</v>
      </c>
      <c r="EB109" s="48" t="n">
        <f aca="false">ABS(EB108-EB82)</f>
        <v>0</v>
      </c>
      <c r="EC109" s="48" t="n">
        <f aca="false">ABS(EC108-EC82)</f>
        <v>0</v>
      </c>
      <c r="ED109" s="48" t="n">
        <f aca="false">ABS(ED108-ED82)</f>
        <v>0</v>
      </c>
      <c r="EE109" s="48" t="n">
        <f aca="false">ABS(EE108-EE82)</f>
        <v>0</v>
      </c>
      <c r="EF109" s="48" t="n">
        <f aca="false">ABS(EF108-EF82)</f>
        <v>0</v>
      </c>
      <c r="EG109" s="48" t="n">
        <f aca="false">ABS(EG108-EG82)</f>
        <v>0</v>
      </c>
      <c r="EH109" s="48" t="n">
        <f aca="false">ABS(EH108-EH82)</f>
        <v>0</v>
      </c>
      <c r="EI109" s="48" t="n">
        <f aca="false">ABS(EI108-EI82)</f>
        <v>0</v>
      </c>
      <c r="EJ109" s="48" t="n">
        <f aca="false">ABS(EJ108-EJ82)</f>
        <v>0</v>
      </c>
      <c r="EK109" s="48" t="n">
        <f aca="false">ABS(EK108-EK82)</f>
        <v>0</v>
      </c>
      <c r="EL109" s="48" t="n">
        <f aca="false">ABS(EL108-EL82)</f>
        <v>0</v>
      </c>
      <c r="EM109" s="48" t="n">
        <f aca="false">ABS(EM108-EM82)</f>
        <v>0</v>
      </c>
      <c r="EN109" s="48" t="n">
        <f aca="false">ABS(EN108-EN82)</f>
        <v>0</v>
      </c>
      <c r="EO109" s="48" t="n">
        <f aca="false">ABS(EO108-EO82)</f>
        <v>0</v>
      </c>
    </row>
    <row r="111" customFormat="false" ht="15" hidden="false" customHeight="false" outlineLevel="0" collapsed="false">
      <c r="A111" s="10" t="s">
        <v>13</v>
      </c>
      <c r="B111" s="10"/>
      <c r="C111" s="10" t="s">
        <v>464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customFormat="false" ht="15" hidden="false" customHeight="false" outlineLevel="0" collapsed="false">
      <c r="C112" s="1" t="s">
        <v>93</v>
      </c>
      <c r="D112" s="12" t="s">
        <v>33</v>
      </c>
      <c r="E112" s="48" t="n">
        <f aca="false">-($I44+$I45+$I46)</f>
        <v>5150</v>
      </c>
    </row>
    <row r="113" customFormat="false" ht="15" hidden="false" customHeight="false" outlineLevel="0" collapsed="false">
      <c r="C113" s="1" t="s">
        <v>94</v>
      </c>
      <c r="D113" s="12" t="s">
        <v>33</v>
      </c>
      <c r="E113" s="48" t="n">
        <f aca="false">-($I48+$I51+$E55)</f>
        <v>1114.92155376243</v>
      </c>
    </row>
    <row r="114" customFormat="false" ht="15" hidden="false" customHeight="false" outlineLevel="0" collapsed="false">
      <c r="C114" s="1" t="s">
        <v>95</v>
      </c>
      <c r="D114" s="12" t="s">
        <v>33</v>
      </c>
      <c r="E114" s="48" t="n">
        <f aca="false">-$I64</f>
        <v>63116.25</v>
      </c>
    </row>
    <row r="115" customFormat="false" ht="15" hidden="false" customHeight="false" outlineLevel="0" collapsed="false">
      <c r="C115" s="1" t="s">
        <v>96</v>
      </c>
      <c r="D115" s="12" t="s">
        <v>33</v>
      </c>
      <c r="E115" s="48" t="n">
        <f aca="false">-$I54</f>
        <v>8154.82315068493</v>
      </c>
    </row>
    <row r="116" customFormat="false" ht="15" hidden="false" customHeight="false" outlineLevel="0" collapsed="false">
      <c r="C116" s="1" t="s">
        <v>97</v>
      </c>
      <c r="D116" s="12" t="s">
        <v>33</v>
      </c>
      <c r="E116" s="48" t="n">
        <f aca="false">-$I65</f>
        <v>2500</v>
      </c>
    </row>
    <row r="117" customFormat="false" ht="15" hidden="false" customHeight="false" outlineLevel="0" collapsed="false">
      <c r="C117" s="1" t="s">
        <v>98</v>
      </c>
      <c r="D117" s="12" t="s">
        <v>33</v>
      </c>
      <c r="E117" s="48" t="n">
        <f aca="false">$I92-$I95-$I96</f>
        <v>3043.50609180492</v>
      </c>
    </row>
    <row r="118" customFormat="false" ht="15" hidden="false" customHeight="false" outlineLevel="0" collapsed="false">
      <c r="C118" s="1" t="s">
        <v>99</v>
      </c>
      <c r="D118" s="12" t="s">
        <v>33</v>
      </c>
      <c r="E118" s="48" t="n">
        <f aca="false">-SUMIF($J$4:$EO$4,"&lt;="&amp;In_COD,$J79:$EO79)</f>
        <v>340.170197534084</v>
      </c>
    </row>
    <row r="119" customFormat="false" ht="15" hidden="false" customHeight="false" outlineLevel="0" collapsed="false">
      <c r="C119" s="26" t="s">
        <v>100</v>
      </c>
      <c r="D119" s="12" t="s">
        <v>33</v>
      </c>
      <c r="E119" s="57" t="n">
        <f aca="false">SUM($E112:$E118)</f>
        <v>83419.6709937864</v>
      </c>
    </row>
    <row r="120" customFormat="false" ht="15" hidden="false" customHeight="false" outlineLevel="0" collapsed="false">
      <c r="C120" s="1" t="s">
        <v>465</v>
      </c>
      <c r="D120" s="12" t="s">
        <v>33</v>
      </c>
      <c r="E120" s="48" t="n">
        <f aca="false">$E119-$E94</f>
        <v>40941.7971932041</v>
      </c>
      <c r="F120" s="48" t="n">
        <f aca="false">$E120+$E97</f>
        <v>41850.1846411594</v>
      </c>
    </row>
    <row r="121" customFormat="false" ht="15" hidden="false" customHeight="false" outlineLevel="0" collapsed="false">
      <c r="C121" s="1" t="s">
        <v>104</v>
      </c>
      <c r="D121" s="12" t="s">
        <v>27</v>
      </c>
      <c r="E121" s="49" t="n">
        <f aca="false">$E94/$E119</f>
        <v>0.509206920796251</v>
      </c>
    </row>
    <row r="123" customFormat="false" ht="15" hidden="false" customHeight="false" outlineLevel="0" collapsed="false">
      <c r="A123" s="10" t="s">
        <v>13</v>
      </c>
      <c r="B123" s="10"/>
      <c r="C123" s="10" t="s">
        <v>120</v>
      </c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  <row r="124" customFormat="false" ht="15" hidden="false" customHeight="false" outlineLevel="0" collapsed="false">
      <c r="C124" s="1" t="s">
        <v>466</v>
      </c>
      <c r="D124" s="12" t="s">
        <v>33</v>
      </c>
      <c r="I124" s="48" t="n">
        <f aca="false">SUM(J124:EO124)</f>
        <v>-40941.7971932041</v>
      </c>
      <c r="J124" s="48" t="n">
        <f aca="false">(J59+J66+J91+J95+J96+J79)*(J$4&lt;=In_COD)</f>
        <v>-4662.80993807469</v>
      </c>
      <c r="K124" s="48" t="n">
        <f aca="false">(K59+K66+K91+K95+K96+K79)*(K$4&lt;=In_COD)</f>
        <v>-706.535577057768</v>
      </c>
      <c r="L124" s="48" t="n">
        <f aca="false">(L59+L66+L91+L95+L96+L79)*(L$4&lt;=In_COD)</f>
        <v>-104.360496659404</v>
      </c>
      <c r="M124" s="48" t="n">
        <f aca="false">(M59+M66+M91+M95+M96+M79)*(M$4&lt;=In_COD)</f>
        <v>-105.507315304013</v>
      </c>
      <c r="N124" s="48" t="n">
        <f aca="false">(N59+N66+N91+N95+N96+N79)*(N$4&lt;=In_COD)</f>
        <v>-105.507315304013</v>
      </c>
      <c r="O124" s="48" t="n">
        <f aca="false">(O59+O66+O91+O95+O96+O79)*(O$4&lt;=In_COD)</f>
        <v>-104.360496659404</v>
      </c>
      <c r="P124" s="48" t="n">
        <f aca="false">(P59+P66+P91+P95+P96+P79)*(P$4&lt;=In_COD)</f>
        <v>-104.360496659404</v>
      </c>
      <c r="Q124" s="48" t="n">
        <f aca="false">(Q59+Q66+Q91+Q95+Q96+Q79)*(Q$4&lt;=In_COD)</f>
        <v>-105.507315304013</v>
      </c>
      <c r="R124" s="48" t="n">
        <f aca="false">(R59+R66+R91+R95+R96+R79)*(R$4&lt;=In_COD)</f>
        <v>-4489.95849315338</v>
      </c>
      <c r="S124" s="48" t="n">
        <f aca="false">(S59+S66+S91+S95+S96+S79)*(S$4&lt;=In_COD)</f>
        <v>-7326.12620687268</v>
      </c>
      <c r="T124" s="48" t="n">
        <f aca="false">(T59+T66+T91+T95+T96+T79)*(T$4&lt;=In_COD)</f>
        <v>-3677.41596133854</v>
      </c>
      <c r="U124" s="48" t="n">
        <f aca="false">(U59+U66+U91+U95+U96+U79)*(U$4&lt;=In_COD)</f>
        <v>-3708.01055317332</v>
      </c>
      <c r="V124" s="48" t="n">
        <f aca="false">(V59+V66+V91+V95+V96+V79)*(V$4&lt;=In_COD)</f>
        <v>-3698.08610617388</v>
      </c>
      <c r="W124" s="48" t="n">
        <f aca="false">(W59+W66+W91+W95+W96+W79)*(W$4&lt;=In_COD)</f>
        <v>-3609.02616297382</v>
      </c>
      <c r="X124" s="48" t="n">
        <f aca="false">(X59+X66+X91+X95+X96+X79)*(X$4&lt;=In_COD)</f>
        <v>-3639.52328484964</v>
      </c>
      <c r="Y124" s="48" t="n">
        <f aca="false">(Y59+Y66+Y91+Y95+Y96+Y79)*(Y$4&lt;=In_COD)</f>
        <v>-4794.70147364609</v>
      </c>
      <c r="Z124" s="48" t="n">
        <f aca="false">(Z59+Z66+Z91+Z95+Z96+Z79)*(Z$4&lt;=In_COD)</f>
        <v>0</v>
      </c>
      <c r="AA124" s="48" t="n">
        <f aca="false">(AA59+AA66+AA91+AA95+AA96+AA79)*(AA$4&lt;=In_COD)</f>
        <v>0</v>
      </c>
      <c r="AB124" s="48" t="n">
        <f aca="false">(AB59+AB66+AB91+AB95+AB96+AB79)*(AB$4&lt;=In_COD)</f>
        <v>0</v>
      </c>
      <c r="AC124" s="48" t="n">
        <f aca="false">(AC59+AC66+AC91+AC95+AC96+AC79)*(AC$4&lt;=In_COD)</f>
        <v>0</v>
      </c>
      <c r="AD124" s="48" t="n">
        <f aca="false">(AD59+AD66+AD91+AD95+AD96+AD79)*(AD$4&lt;=In_COD)</f>
        <v>0</v>
      </c>
      <c r="AE124" s="48" t="n">
        <f aca="false">(AE59+AE66+AE91+AE95+AE96+AE79)*(AE$4&lt;=In_COD)</f>
        <v>0</v>
      </c>
      <c r="AF124" s="48" t="n">
        <f aca="false">(AF59+AF66+AF91+AF95+AF96+AF79)*(AF$4&lt;=In_COD)</f>
        <v>0</v>
      </c>
      <c r="AG124" s="48" t="n">
        <f aca="false">(AG59+AG66+AG91+AG95+AG96+AG79)*(AG$4&lt;=In_COD)</f>
        <v>0</v>
      </c>
      <c r="AH124" s="48" t="n">
        <f aca="false">(AH59+AH66+AH91+AH95+AH96+AH79)*(AH$4&lt;=In_COD)</f>
        <v>0</v>
      </c>
      <c r="AI124" s="48" t="n">
        <f aca="false">(AI59+AI66+AI91+AI95+AI96+AI79)*(AI$4&lt;=In_COD)</f>
        <v>0</v>
      </c>
      <c r="AJ124" s="48" t="n">
        <f aca="false">(AJ59+AJ66+AJ91+AJ95+AJ96+AJ79)*(AJ$4&lt;=In_COD)</f>
        <v>0</v>
      </c>
      <c r="AK124" s="48" t="n">
        <f aca="false">(AK59+AK66+AK91+AK95+AK96+AK79)*(AK$4&lt;=In_COD)</f>
        <v>0</v>
      </c>
      <c r="AL124" s="48" t="n">
        <f aca="false">(AL59+AL66+AL91+AL95+AL96+AL79)*(AL$4&lt;=In_COD)</f>
        <v>0</v>
      </c>
      <c r="AM124" s="48" t="n">
        <f aca="false">(AM59+AM66+AM91+AM95+AM96+AM79)*(AM$4&lt;=In_COD)</f>
        <v>0</v>
      </c>
      <c r="AN124" s="48" t="n">
        <f aca="false">(AN59+AN66+AN91+AN95+AN96+AN79)*(AN$4&lt;=In_COD)</f>
        <v>0</v>
      </c>
      <c r="AO124" s="48" t="n">
        <f aca="false">(AO59+AO66+AO91+AO95+AO96+AO79)*(AO$4&lt;=In_COD)</f>
        <v>0</v>
      </c>
      <c r="AP124" s="48" t="n">
        <f aca="false">(AP59+AP66+AP91+AP95+AP96+AP79)*(AP$4&lt;=In_COD)</f>
        <v>0</v>
      </c>
      <c r="AQ124" s="48" t="n">
        <f aca="false">(AQ59+AQ66+AQ91+AQ95+AQ96+AQ79)*(AQ$4&lt;=In_COD)</f>
        <v>0</v>
      </c>
      <c r="AR124" s="48" t="n">
        <f aca="false">(AR59+AR66+AR91+AR95+AR96+AR79)*(AR$4&lt;=In_COD)</f>
        <v>0</v>
      </c>
      <c r="AS124" s="48" t="n">
        <f aca="false">(AS59+AS66+AS91+AS95+AS96+AS79)*(AS$4&lt;=In_COD)</f>
        <v>0</v>
      </c>
      <c r="AT124" s="48" t="n">
        <f aca="false">(AT59+AT66+AT91+AT95+AT96+AT79)*(AT$4&lt;=In_COD)</f>
        <v>0</v>
      </c>
      <c r="AU124" s="48" t="n">
        <f aca="false">(AU59+AU66+AU91+AU95+AU96+AU79)*(AU$4&lt;=In_COD)</f>
        <v>0</v>
      </c>
      <c r="AV124" s="48" t="n">
        <f aca="false">(AV59+AV66+AV91+AV95+AV96+AV79)*(AV$4&lt;=In_COD)</f>
        <v>0</v>
      </c>
      <c r="AW124" s="48" t="n">
        <f aca="false">(AW59+AW66+AW91+AW95+AW96+AW79)*(AW$4&lt;=In_COD)</f>
        <v>0</v>
      </c>
      <c r="AX124" s="48" t="n">
        <f aca="false">(AX59+AX66+AX91+AX95+AX96+AX79)*(AX$4&lt;=In_COD)</f>
        <v>0</v>
      </c>
      <c r="AY124" s="48" t="n">
        <f aca="false">(AY59+AY66+AY91+AY95+AY96+AY79)*(AY$4&lt;=In_COD)</f>
        <v>0</v>
      </c>
      <c r="AZ124" s="48" t="n">
        <f aca="false">(AZ59+AZ66+AZ91+AZ95+AZ96+AZ79)*(AZ$4&lt;=In_COD)</f>
        <v>0</v>
      </c>
      <c r="BA124" s="48" t="n">
        <f aca="false">(BA59+BA66+BA91+BA95+BA96+BA79)*(BA$4&lt;=In_COD)</f>
        <v>0</v>
      </c>
      <c r="BB124" s="48" t="n">
        <f aca="false">(BB59+BB66+BB91+BB95+BB96+BB79)*(BB$4&lt;=In_COD)</f>
        <v>0</v>
      </c>
      <c r="BC124" s="48" t="n">
        <f aca="false">(BC59+BC66+BC91+BC95+BC96+BC79)*(BC$4&lt;=In_COD)</f>
        <v>0</v>
      </c>
      <c r="BD124" s="48" t="n">
        <f aca="false">(BD59+BD66+BD91+BD95+BD96+BD79)*(BD$4&lt;=In_COD)</f>
        <v>0</v>
      </c>
      <c r="BE124" s="48" t="n">
        <f aca="false">(BE59+BE66+BE91+BE95+BE96+BE79)*(BE$4&lt;=In_COD)</f>
        <v>0</v>
      </c>
      <c r="BF124" s="48" t="n">
        <f aca="false">(BF59+BF66+BF91+BF95+BF96+BF79)*(BF$4&lt;=In_COD)</f>
        <v>0</v>
      </c>
      <c r="BG124" s="48" t="n">
        <f aca="false">(BG59+BG66+BG91+BG95+BG96+BG79)*(BG$4&lt;=In_COD)</f>
        <v>0</v>
      </c>
      <c r="BH124" s="48" t="n">
        <f aca="false">(BH59+BH66+BH91+BH95+BH96+BH79)*(BH$4&lt;=In_COD)</f>
        <v>0</v>
      </c>
      <c r="BI124" s="48" t="n">
        <f aca="false">(BI59+BI66+BI91+BI95+BI96+BI79)*(BI$4&lt;=In_COD)</f>
        <v>0</v>
      </c>
      <c r="BJ124" s="48" t="n">
        <f aca="false">(BJ59+BJ66+BJ91+BJ95+BJ96+BJ79)*(BJ$4&lt;=In_COD)</f>
        <v>0</v>
      </c>
      <c r="BK124" s="48" t="n">
        <f aca="false">(BK59+BK66+BK91+BK95+BK96+BK79)*(BK$4&lt;=In_COD)</f>
        <v>0</v>
      </c>
      <c r="BL124" s="48" t="n">
        <f aca="false">(BL59+BL66+BL91+BL95+BL96+BL79)*(BL$4&lt;=In_COD)</f>
        <v>0</v>
      </c>
      <c r="BM124" s="48" t="n">
        <f aca="false">(BM59+BM66+BM91+BM95+BM96+BM79)*(BM$4&lt;=In_COD)</f>
        <v>0</v>
      </c>
      <c r="BN124" s="48" t="n">
        <f aca="false">(BN59+BN66+BN91+BN95+BN96+BN79)*(BN$4&lt;=In_COD)</f>
        <v>0</v>
      </c>
      <c r="BO124" s="48" t="n">
        <f aca="false">(BO59+BO66+BO91+BO95+BO96+BO79)*(BO$4&lt;=In_COD)</f>
        <v>0</v>
      </c>
      <c r="BP124" s="48" t="n">
        <f aca="false">(BP59+BP66+BP91+BP95+BP96+BP79)*(BP$4&lt;=In_COD)</f>
        <v>0</v>
      </c>
      <c r="BQ124" s="48" t="n">
        <f aca="false">(BQ59+BQ66+BQ91+BQ95+BQ96+BQ79)*(BQ$4&lt;=In_COD)</f>
        <v>0</v>
      </c>
      <c r="BR124" s="48" t="n">
        <f aca="false">(BR59+BR66+BR91+BR95+BR96+BR79)*(BR$4&lt;=In_COD)</f>
        <v>0</v>
      </c>
      <c r="BS124" s="48" t="n">
        <f aca="false">(BS59+BS66+BS91+BS95+BS96+BS79)*(BS$4&lt;=In_COD)</f>
        <v>0</v>
      </c>
      <c r="BT124" s="48" t="n">
        <f aca="false">(BT59+BT66+BT91+BT95+BT96+BT79)*(BT$4&lt;=In_COD)</f>
        <v>0</v>
      </c>
      <c r="BU124" s="48" t="n">
        <f aca="false">(BU59+BU66+BU91+BU95+BU96+BU79)*(BU$4&lt;=In_COD)</f>
        <v>0</v>
      </c>
      <c r="BV124" s="48" t="n">
        <f aca="false">(BV59+BV66+BV91+BV95+BV96+BV79)*(BV$4&lt;=In_COD)</f>
        <v>0</v>
      </c>
      <c r="BW124" s="48" t="n">
        <f aca="false">(BW59+BW66+BW91+BW95+BW96+BW79)*(BW$4&lt;=In_COD)</f>
        <v>0</v>
      </c>
      <c r="BX124" s="48" t="n">
        <f aca="false">(BX59+BX66+BX91+BX95+BX96+BX79)*(BX$4&lt;=In_COD)</f>
        <v>0</v>
      </c>
      <c r="BY124" s="48" t="n">
        <f aca="false">(BY59+BY66+BY91+BY95+BY96+BY79)*(BY$4&lt;=In_COD)</f>
        <v>0</v>
      </c>
      <c r="BZ124" s="48" t="n">
        <f aca="false">(BZ59+BZ66+BZ91+BZ95+BZ96+BZ79)*(BZ$4&lt;=In_COD)</f>
        <v>0</v>
      </c>
      <c r="CA124" s="48" t="n">
        <f aca="false">(CA59+CA66+CA91+CA95+CA96+CA79)*(CA$4&lt;=In_COD)</f>
        <v>0</v>
      </c>
      <c r="CB124" s="48" t="n">
        <f aca="false">(CB59+CB66+CB91+CB95+CB96+CB79)*(CB$4&lt;=In_COD)</f>
        <v>0</v>
      </c>
      <c r="CC124" s="48" t="n">
        <f aca="false">(CC59+CC66+CC91+CC95+CC96+CC79)*(CC$4&lt;=In_COD)</f>
        <v>0</v>
      </c>
      <c r="CD124" s="48" t="n">
        <f aca="false">(CD59+CD66+CD91+CD95+CD96+CD79)*(CD$4&lt;=In_COD)</f>
        <v>0</v>
      </c>
      <c r="CE124" s="48" t="n">
        <f aca="false">(CE59+CE66+CE91+CE95+CE96+CE79)*(CE$4&lt;=In_COD)</f>
        <v>0</v>
      </c>
      <c r="CF124" s="48" t="n">
        <f aca="false">(CF59+CF66+CF91+CF95+CF96+CF79)*(CF$4&lt;=In_COD)</f>
        <v>0</v>
      </c>
      <c r="CG124" s="48" t="n">
        <f aca="false">(CG59+CG66+CG91+CG95+CG96+CG79)*(CG$4&lt;=In_COD)</f>
        <v>0</v>
      </c>
      <c r="CH124" s="48" t="n">
        <f aca="false">(CH59+CH66+CH91+CH95+CH96+CH79)*(CH$4&lt;=In_COD)</f>
        <v>0</v>
      </c>
      <c r="CI124" s="48" t="n">
        <f aca="false">(CI59+CI66+CI91+CI95+CI96+CI79)*(CI$4&lt;=In_COD)</f>
        <v>0</v>
      </c>
      <c r="CJ124" s="48" t="n">
        <f aca="false">(CJ59+CJ66+CJ91+CJ95+CJ96+CJ79)*(CJ$4&lt;=In_COD)</f>
        <v>0</v>
      </c>
      <c r="CK124" s="48" t="n">
        <f aca="false">(CK59+CK66+CK91+CK95+CK96+CK79)*(CK$4&lt;=In_COD)</f>
        <v>0</v>
      </c>
      <c r="CL124" s="48" t="n">
        <f aca="false">(CL59+CL66+CL91+CL95+CL96+CL79)*(CL$4&lt;=In_COD)</f>
        <v>0</v>
      </c>
      <c r="CM124" s="48" t="n">
        <f aca="false">(CM59+CM66+CM91+CM95+CM96+CM79)*(CM$4&lt;=In_COD)</f>
        <v>0</v>
      </c>
      <c r="CN124" s="48" t="n">
        <f aca="false">(CN59+CN66+CN91+CN95+CN96+CN79)*(CN$4&lt;=In_COD)</f>
        <v>0</v>
      </c>
      <c r="CO124" s="48" t="n">
        <f aca="false">(CO59+CO66+CO91+CO95+CO96+CO79)*(CO$4&lt;=In_COD)</f>
        <v>0</v>
      </c>
      <c r="CP124" s="48" t="n">
        <f aca="false">(CP59+CP66+CP91+CP95+CP96+CP79)*(CP$4&lt;=In_COD)</f>
        <v>0</v>
      </c>
      <c r="CQ124" s="48" t="n">
        <f aca="false">(CQ59+CQ66+CQ91+CQ95+CQ96+CQ79)*(CQ$4&lt;=In_COD)</f>
        <v>0</v>
      </c>
      <c r="CR124" s="48" t="n">
        <f aca="false">(CR59+CR66+CR91+CR95+CR96+CR79)*(CR$4&lt;=In_COD)</f>
        <v>0</v>
      </c>
      <c r="CS124" s="48" t="n">
        <f aca="false">(CS59+CS66+CS91+CS95+CS96+CS79)*(CS$4&lt;=In_COD)</f>
        <v>0</v>
      </c>
      <c r="CT124" s="48" t="n">
        <f aca="false">(CT59+CT66+CT91+CT95+CT96+CT79)*(CT$4&lt;=In_COD)</f>
        <v>0</v>
      </c>
      <c r="CU124" s="48" t="n">
        <f aca="false">(CU59+CU66+CU91+CU95+CU96+CU79)*(CU$4&lt;=In_COD)</f>
        <v>0</v>
      </c>
      <c r="CV124" s="48" t="n">
        <f aca="false">(CV59+CV66+CV91+CV95+CV96+CV79)*(CV$4&lt;=In_COD)</f>
        <v>0</v>
      </c>
      <c r="CW124" s="48" t="n">
        <f aca="false">(CW59+CW66+CW91+CW95+CW96+CW79)*(CW$4&lt;=In_COD)</f>
        <v>0</v>
      </c>
      <c r="CX124" s="48" t="n">
        <f aca="false">(CX59+CX66+CX91+CX95+CX96+CX79)*(CX$4&lt;=In_COD)</f>
        <v>0</v>
      </c>
      <c r="CY124" s="48" t="n">
        <f aca="false">(CY59+CY66+CY91+CY95+CY96+CY79)*(CY$4&lt;=In_COD)</f>
        <v>0</v>
      </c>
      <c r="CZ124" s="48" t="n">
        <f aca="false">(CZ59+CZ66+CZ91+CZ95+CZ96+CZ79)*(CZ$4&lt;=In_COD)</f>
        <v>0</v>
      </c>
      <c r="DA124" s="48" t="n">
        <f aca="false">(DA59+DA66+DA91+DA95+DA96+DA79)*(DA$4&lt;=In_COD)</f>
        <v>0</v>
      </c>
      <c r="DB124" s="48" t="n">
        <f aca="false">(DB59+DB66+DB91+DB95+DB96+DB79)*(DB$4&lt;=In_COD)</f>
        <v>0</v>
      </c>
      <c r="DC124" s="48" t="n">
        <f aca="false">(DC59+DC66+DC91+DC95+DC96+DC79)*(DC$4&lt;=In_COD)</f>
        <v>0</v>
      </c>
      <c r="DD124" s="48" t="n">
        <f aca="false">(DD59+DD66+DD91+DD95+DD96+DD79)*(DD$4&lt;=In_COD)</f>
        <v>0</v>
      </c>
      <c r="DE124" s="48" t="n">
        <f aca="false">(DE59+DE66+DE91+DE95+DE96+DE79)*(DE$4&lt;=In_COD)</f>
        <v>0</v>
      </c>
      <c r="DF124" s="48" t="n">
        <f aca="false">(DF59+DF66+DF91+DF95+DF96+DF79)*(DF$4&lt;=In_COD)</f>
        <v>0</v>
      </c>
      <c r="DG124" s="48" t="n">
        <f aca="false">(DG59+DG66+DG91+DG95+DG96+DG79)*(DG$4&lt;=In_COD)</f>
        <v>0</v>
      </c>
      <c r="DH124" s="48" t="n">
        <f aca="false">(DH59+DH66+DH91+DH95+DH96+DH79)*(DH$4&lt;=In_COD)</f>
        <v>0</v>
      </c>
      <c r="DI124" s="48" t="n">
        <f aca="false">(DI59+DI66+DI91+DI95+DI96+DI79)*(DI$4&lt;=In_COD)</f>
        <v>0</v>
      </c>
      <c r="DJ124" s="48" t="n">
        <f aca="false">(DJ59+DJ66+DJ91+DJ95+DJ96+DJ79)*(DJ$4&lt;=In_COD)</f>
        <v>0</v>
      </c>
      <c r="DK124" s="48" t="n">
        <f aca="false">(DK59+DK66+DK91+DK95+DK96+DK79)*(DK$4&lt;=In_COD)</f>
        <v>0</v>
      </c>
      <c r="DL124" s="48" t="n">
        <f aca="false">(DL59+DL66+DL91+DL95+DL96+DL79)*(DL$4&lt;=In_COD)</f>
        <v>0</v>
      </c>
      <c r="DM124" s="48" t="n">
        <f aca="false">(DM59+DM66+DM91+DM95+DM96+DM79)*(DM$4&lt;=In_COD)</f>
        <v>0</v>
      </c>
      <c r="DN124" s="48" t="n">
        <f aca="false">(DN59+DN66+DN91+DN95+DN96+DN79)*(DN$4&lt;=In_COD)</f>
        <v>0</v>
      </c>
      <c r="DO124" s="48" t="n">
        <f aca="false">(DO59+DO66+DO91+DO95+DO96+DO79)*(DO$4&lt;=In_COD)</f>
        <v>0</v>
      </c>
      <c r="DP124" s="48" t="n">
        <f aca="false">(DP59+DP66+DP91+DP95+DP96+DP79)*(DP$4&lt;=In_COD)</f>
        <v>0</v>
      </c>
      <c r="DQ124" s="48" t="n">
        <f aca="false">(DQ59+DQ66+DQ91+DQ95+DQ96+DQ79)*(DQ$4&lt;=In_COD)</f>
        <v>0</v>
      </c>
      <c r="DR124" s="48" t="n">
        <f aca="false">(DR59+DR66+DR91+DR95+DR96+DR79)*(DR$4&lt;=In_COD)</f>
        <v>0</v>
      </c>
      <c r="DS124" s="48" t="n">
        <f aca="false">(DS59+DS66+DS91+DS95+DS96+DS79)*(DS$4&lt;=In_COD)</f>
        <v>0</v>
      </c>
      <c r="DT124" s="48" t="n">
        <f aca="false">(DT59+DT66+DT91+DT95+DT96+DT79)*(DT$4&lt;=In_COD)</f>
        <v>0</v>
      </c>
      <c r="DU124" s="48" t="n">
        <f aca="false">(DU59+DU66+DU91+DU95+DU96+DU79)*(DU$4&lt;=In_COD)</f>
        <v>0</v>
      </c>
      <c r="DV124" s="48" t="n">
        <f aca="false">(DV59+DV66+DV91+DV95+DV96+DV79)*(DV$4&lt;=In_COD)</f>
        <v>0</v>
      </c>
      <c r="DW124" s="48" t="n">
        <f aca="false">(DW59+DW66+DW91+DW95+DW96+DW79)*(DW$4&lt;=In_COD)</f>
        <v>0</v>
      </c>
      <c r="DX124" s="48" t="n">
        <f aca="false">(DX59+DX66+DX91+DX95+DX96+DX79)*(DX$4&lt;=In_COD)</f>
        <v>0</v>
      </c>
      <c r="DY124" s="48" t="n">
        <f aca="false">(DY59+DY66+DY91+DY95+DY96+DY79)*(DY$4&lt;=In_COD)</f>
        <v>0</v>
      </c>
      <c r="DZ124" s="48" t="n">
        <f aca="false">(DZ59+DZ66+DZ91+DZ95+DZ96+DZ79)*(DZ$4&lt;=In_COD)</f>
        <v>0</v>
      </c>
      <c r="EA124" s="48" t="n">
        <f aca="false">(EA59+EA66+EA91+EA95+EA96+EA79)*(EA$4&lt;=In_COD)</f>
        <v>0</v>
      </c>
      <c r="EB124" s="48" t="n">
        <f aca="false">(EB59+EB66+EB91+EB95+EB96+EB79)*(EB$4&lt;=In_COD)</f>
        <v>0</v>
      </c>
      <c r="EC124" s="48" t="n">
        <f aca="false">(EC59+EC66+EC91+EC95+EC96+EC79)*(EC$4&lt;=In_COD)</f>
        <v>0</v>
      </c>
      <c r="ED124" s="48" t="n">
        <f aca="false">(ED59+ED66+ED91+ED95+ED96+ED79)*(ED$4&lt;=In_COD)</f>
        <v>0</v>
      </c>
      <c r="EE124" s="48" t="n">
        <f aca="false">(EE59+EE66+EE91+EE95+EE96+EE79)*(EE$4&lt;=In_COD)</f>
        <v>0</v>
      </c>
      <c r="EF124" s="48" t="n">
        <f aca="false">(EF59+EF66+EF91+EF95+EF96+EF79)*(EF$4&lt;=In_COD)</f>
        <v>0</v>
      </c>
      <c r="EG124" s="48" t="n">
        <f aca="false">(EG59+EG66+EG91+EG95+EG96+EG79)*(EG$4&lt;=In_COD)</f>
        <v>0</v>
      </c>
      <c r="EH124" s="48" t="n">
        <f aca="false">(EH59+EH66+EH91+EH95+EH96+EH79)*(EH$4&lt;=In_COD)</f>
        <v>0</v>
      </c>
      <c r="EI124" s="48" t="n">
        <f aca="false">(EI59+EI66+EI91+EI95+EI96+EI79)*(EI$4&lt;=In_COD)</f>
        <v>0</v>
      </c>
      <c r="EJ124" s="48" t="n">
        <f aca="false">(EJ59+EJ66+EJ91+EJ95+EJ96+EJ79)*(EJ$4&lt;=In_COD)</f>
        <v>0</v>
      </c>
      <c r="EK124" s="48" t="n">
        <f aca="false">(EK59+EK66+EK91+EK95+EK96+EK79)*(EK$4&lt;=In_COD)</f>
        <v>0</v>
      </c>
      <c r="EL124" s="48" t="n">
        <f aca="false">(EL59+EL66+EL91+EL95+EL96+EL79)*(EL$4&lt;=In_COD)</f>
        <v>0</v>
      </c>
      <c r="EM124" s="48" t="n">
        <f aca="false">(EM59+EM66+EM91+EM95+EM96+EM79)*(EM$4&lt;=In_COD)</f>
        <v>0</v>
      </c>
      <c r="EN124" s="48" t="n">
        <f aca="false">(EN59+EN66+EN91+EN95+EN96+EN79)*(EN$4&lt;=In_COD)</f>
        <v>0</v>
      </c>
      <c r="EO124" s="48" t="n">
        <f aca="false">(EO59+EO66+EO91+EO95+EO96+EO79)*(EO$4&lt;=In_COD)</f>
        <v>0</v>
      </c>
    </row>
    <row r="125" customFormat="false" ht="15" hidden="false" customHeight="false" outlineLevel="0" collapsed="false">
      <c r="C125" s="1" t="s">
        <v>467</v>
      </c>
      <c r="D125" s="12" t="s">
        <v>33</v>
      </c>
      <c r="E125" s="48" t="n">
        <f aca="false">IF($E38=1,In_COD_Price,In_COD_Price_CN)*$F24*(1-$E27)</f>
        <v>114975</v>
      </c>
    </row>
    <row r="126" customFormat="false" ht="15" hidden="false" customHeight="false" outlineLevel="0" collapsed="false">
      <c r="C126" s="1" t="s">
        <v>468</v>
      </c>
      <c r="D126" s="12" t="s">
        <v>33</v>
      </c>
      <c r="E126" s="48" t="n">
        <f aca="false">$E125+$I58-$E94-In_Sale_Costs</f>
        <v>71997.1261994177</v>
      </c>
    </row>
    <row r="127" customFormat="false" ht="15" hidden="false" customHeight="false" outlineLevel="0" collapsed="false">
      <c r="C127" s="1" t="s">
        <v>123</v>
      </c>
      <c r="D127" s="12" t="s">
        <v>33</v>
      </c>
      <c r="E127" s="48" t="n">
        <f aca="false">-In_CIT*In_Sale_Gain_Taxed*MAX(0,$E126+$I124)</f>
        <v>-0</v>
      </c>
    </row>
    <row r="128" customFormat="false" ht="15" hidden="false" customHeight="false" outlineLevel="0" collapsed="false">
      <c r="C128" s="26" t="s">
        <v>469</v>
      </c>
      <c r="D128" s="12" t="s">
        <v>33</v>
      </c>
      <c r="I128" s="57" t="n">
        <f aca="false">SUM(J128:EO128)</f>
        <v>31055.3290062136</v>
      </c>
      <c r="J128" s="57" t="n">
        <f aca="false">J124+($E126+$E127)*J14</f>
        <v>-4662.80993807469</v>
      </c>
      <c r="K128" s="57" t="n">
        <f aca="false">K124+($E126+$E127)*K14</f>
        <v>-706.535577057768</v>
      </c>
      <c r="L128" s="57" t="n">
        <f aca="false">L124+($E126+$E127)*L14</f>
        <v>-104.360496659404</v>
      </c>
      <c r="M128" s="57" t="n">
        <f aca="false">M124+($E126+$E127)*M14</f>
        <v>-105.507315304013</v>
      </c>
      <c r="N128" s="57" t="n">
        <f aca="false">N124+($E126+$E127)*N14</f>
        <v>-105.507315304013</v>
      </c>
      <c r="O128" s="57" t="n">
        <f aca="false">O124+($E126+$E127)*O14</f>
        <v>-104.360496659404</v>
      </c>
      <c r="P128" s="57" t="n">
        <f aca="false">P124+($E126+$E127)*P14</f>
        <v>-104.360496659404</v>
      </c>
      <c r="Q128" s="57" t="n">
        <f aca="false">Q124+($E126+$E127)*Q14</f>
        <v>-105.507315304013</v>
      </c>
      <c r="R128" s="57" t="n">
        <f aca="false">R124+($E126+$E127)*R14</f>
        <v>-4489.95849315338</v>
      </c>
      <c r="S128" s="57" t="n">
        <f aca="false">S124+($E126+$E127)*S14</f>
        <v>-7326.12620687268</v>
      </c>
      <c r="T128" s="57" t="n">
        <f aca="false">T124+($E126+$E127)*T14</f>
        <v>-3677.41596133854</v>
      </c>
      <c r="U128" s="57" t="n">
        <f aca="false">U124+($E126+$E127)*U14</f>
        <v>-3708.01055317332</v>
      </c>
      <c r="V128" s="57" t="n">
        <f aca="false">V124+($E126+$E127)*V14</f>
        <v>-3698.08610617388</v>
      </c>
      <c r="W128" s="57" t="n">
        <f aca="false">W124+($E126+$E127)*W14</f>
        <v>-3609.02616297382</v>
      </c>
      <c r="X128" s="57" t="n">
        <f aca="false">X124+($E126+$E127)*X14</f>
        <v>-3639.52328484964</v>
      </c>
      <c r="Y128" s="57" t="n">
        <f aca="false">Y124+($E126+$E127)*Y14</f>
        <v>67202.4247257716</v>
      </c>
      <c r="Z128" s="57" t="n">
        <f aca="false">Z124+($E126+$E127)*Z14</f>
        <v>0</v>
      </c>
      <c r="AA128" s="57" t="n">
        <f aca="false">AA124+($E126+$E127)*AA14</f>
        <v>0</v>
      </c>
      <c r="AB128" s="57" t="n">
        <f aca="false">AB124+($E126+$E127)*AB14</f>
        <v>0</v>
      </c>
      <c r="AC128" s="57" t="n">
        <f aca="false">AC124+($E126+$E127)*AC14</f>
        <v>0</v>
      </c>
      <c r="AD128" s="57" t="n">
        <f aca="false">AD124+($E126+$E127)*AD14</f>
        <v>0</v>
      </c>
      <c r="AE128" s="57" t="n">
        <f aca="false">AE124+($E126+$E127)*AE14</f>
        <v>0</v>
      </c>
      <c r="AF128" s="57" t="n">
        <f aca="false">AF124+($E126+$E127)*AF14</f>
        <v>0</v>
      </c>
      <c r="AG128" s="57" t="n">
        <f aca="false">AG124+($E126+$E127)*AG14</f>
        <v>0</v>
      </c>
      <c r="AH128" s="57" t="n">
        <f aca="false">AH124+($E126+$E127)*AH14</f>
        <v>0</v>
      </c>
      <c r="AI128" s="57" t="n">
        <f aca="false">AI124+($E126+$E127)*AI14</f>
        <v>0</v>
      </c>
      <c r="AJ128" s="57" t="n">
        <f aca="false">AJ124+($E126+$E127)*AJ14</f>
        <v>0</v>
      </c>
      <c r="AK128" s="57" t="n">
        <f aca="false">AK124+($E126+$E127)*AK14</f>
        <v>0</v>
      </c>
      <c r="AL128" s="57" t="n">
        <f aca="false">AL124+($E126+$E127)*AL14</f>
        <v>0</v>
      </c>
      <c r="AM128" s="57" t="n">
        <f aca="false">AM124+($E126+$E127)*AM14</f>
        <v>0</v>
      </c>
      <c r="AN128" s="57" t="n">
        <f aca="false">AN124+($E126+$E127)*AN14</f>
        <v>0</v>
      </c>
      <c r="AO128" s="57" t="n">
        <f aca="false">AO124+($E126+$E127)*AO14</f>
        <v>0</v>
      </c>
      <c r="AP128" s="57" t="n">
        <f aca="false">AP124+($E126+$E127)*AP14</f>
        <v>0</v>
      </c>
      <c r="AQ128" s="57" t="n">
        <f aca="false">AQ124+($E126+$E127)*AQ14</f>
        <v>0</v>
      </c>
      <c r="AR128" s="57" t="n">
        <f aca="false">AR124+($E126+$E127)*AR14</f>
        <v>0</v>
      </c>
      <c r="AS128" s="57" t="n">
        <f aca="false">AS124+($E126+$E127)*AS14</f>
        <v>0</v>
      </c>
      <c r="AT128" s="57" t="n">
        <f aca="false">AT124+($E126+$E127)*AT14</f>
        <v>0</v>
      </c>
      <c r="AU128" s="57" t="n">
        <f aca="false">AU124+($E126+$E127)*AU14</f>
        <v>0</v>
      </c>
      <c r="AV128" s="57" t="n">
        <f aca="false">AV124+($E126+$E127)*AV14</f>
        <v>0</v>
      </c>
      <c r="AW128" s="57" t="n">
        <f aca="false">AW124+($E126+$E127)*AW14</f>
        <v>0</v>
      </c>
      <c r="AX128" s="57" t="n">
        <f aca="false">AX124+($E126+$E127)*AX14</f>
        <v>0</v>
      </c>
      <c r="AY128" s="57" t="n">
        <f aca="false">AY124+($E126+$E127)*AY14</f>
        <v>0</v>
      </c>
      <c r="AZ128" s="57" t="n">
        <f aca="false">AZ124+($E126+$E127)*AZ14</f>
        <v>0</v>
      </c>
      <c r="BA128" s="57" t="n">
        <f aca="false">BA124+($E126+$E127)*BA14</f>
        <v>0</v>
      </c>
      <c r="BB128" s="57" t="n">
        <f aca="false">BB124+($E126+$E127)*BB14</f>
        <v>0</v>
      </c>
      <c r="BC128" s="57" t="n">
        <f aca="false">BC124+($E126+$E127)*BC14</f>
        <v>0</v>
      </c>
      <c r="BD128" s="57" t="n">
        <f aca="false">BD124+($E126+$E127)*BD14</f>
        <v>0</v>
      </c>
      <c r="BE128" s="57" t="n">
        <f aca="false">BE124+($E126+$E127)*BE14</f>
        <v>0</v>
      </c>
      <c r="BF128" s="57" t="n">
        <f aca="false">BF124+($E126+$E127)*BF14</f>
        <v>0</v>
      </c>
      <c r="BG128" s="57" t="n">
        <f aca="false">BG124+($E126+$E127)*BG14</f>
        <v>0</v>
      </c>
      <c r="BH128" s="57" t="n">
        <f aca="false">BH124+($E126+$E127)*BH14</f>
        <v>0</v>
      </c>
      <c r="BI128" s="57" t="n">
        <f aca="false">BI124+($E126+$E127)*BI14</f>
        <v>0</v>
      </c>
      <c r="BJ128" s="57" t="n">
        <f aca="false">BJ124+($E126+$E127)*BJ14</f>
        <v>0</v>
      </c>
      <c r="BK128" s="57" t="n">
        <f aca="false">BK124+($E126+$E127)*BK14</f>
        <v>0</v>
      </c>
      <c r="BL128" s="57" t="n">
        <f aca="false">BL124+($E126+$E127)*BL14</f>
        <v>0</v>
      </c>
      <c r="BM128" s="57" t="n">
        <f aca="false">BM124+($E126+$E127)*BM14</f>
        <v>0</v>
      </c>
      <c r="BN128" s="57" t="n">
        <f aca="false">BN124+($E126+$E127)*BN14</f>
        <v>0</v>
      </c>
      <c r="BO128" s="57" t="n">
        <f aca="false">BO124+($E126+$E127)*BO14</f>
        <v>0</v>
      </c>
      <c r="BP128" s="57" t="n">
        <f aca="false">BP124+($E126+$E127)*BP14</f>
        <v>0</v>
      </c>
      <c r="BQ128" s="57" t="n">
        <f aca="false">BQ124+($E126+$E127)*BQ14</f>
        <v>0</v>
      </c>
      <c r="BR128" s="57" t="n">
        <f aca="false">BR124+($E126+$E127)*BR14</f>
        <v>0</v>
      </c>
      <c r="BS128" s="57" t="n">
        <f aca="false">BS124+($E126+$E127)*BS14</f>
        <v>0</v>
      </c>
      <c r="BT128" s="57" t="n">
        <f aca="false">BT124+($E126+$E127)*BT14</f>
        <v>0</v>
      </c>
      <c r="BU128" s="57" t="n">
        <f aca="false">BU124+($E126+$E127)*BU14</f>
        <v>0</v>
      </c>
      <c r="BV128" s="57" t="n">
        <f aca="false">BV124+($E126+$E127)*BV14</f>
        <v>0</v>
      </c>
      <c r="BW128" s="57" t="n">
        <f aca="false">BW124+($E126+$E127)*BW14</f>
        <v>0</v>
      </c>
      <c r="BX128" s="57" t="n">
        <f aca="false">BX124+($E126+$E127)*BX14</f>
        <v>0</v>
      </c>
      <c r="BY128" s="57" t="n">
        <f aca="false">BY124+($E126+$E127)*BY14</f>
        <v>0</v>
      </c>
      <c r="BZ128" s="57" t="n">
        <f aca="false">BZ124+($E126+$E127)*BZ14</f>
        <v>0</v>
      </c>
      <c r="CA128" s="57" t="n">
        <f aca="false">CA124+($E126+$E127)*CA14</f>
        <v>0</v>
      </c>
      <c r="CB128" s="57" t="n">
        <f aca="false">CB124+($E126+$E127)*CB14</f>
        <v>0</v>
      </c>
      <c r="CC128" s="57" t="n">
        <f aca="false">CC124+($E126+$E127)*CC14</f>
        <v>0</v>
      </c>
      <c r="CD128" s="57" t="n">
        <f aca="false">CD124+($E126+$E127)*CD14</f>
        <v>0</v>
      </c>
      <c r="CE128" s="57" t="n">
        <f aca="false">CE124+($E126+$E127)*CE14</f>
        <v>0</v>
      </c>
      <c r="CF128" s="57" t="n">
        <f aca="false">CF124+($E126+$E127)*CF14</f>
        <v>0</v>
      </c>
      <c r="CG128" s="57" t="n">
        <f aca="false">CG124+($E126+$E127)*CG14</f>
        <v>0</v>
      </c>
      <c r="CH128" s="57" t="n">
        <f aca="false">CH124+($E126+$E127)*CH14</f>
        <v>0</v>
      </c>
      <c r="CI128" s="57" t="n">
        <f aca="false">CI124+($E126+$E127)*CI14</f>
        <v>0</v>
      </c>
      <c r="CJ128" s="57" t="n">
        <f aca="false">CJ124+($E126+$E127)*CJ14</f>
        <v>0</v>
      </c>
      <c r="CK128" s="57" t="n">
        <f aca="false">CK124+($E126+$E127)*CK14</f>
        <v>0</v>
      </c>
      <c r="CL128" s="57" t="n">
        <f aca="false">CL124+($E126+$E127)*CL14</f>
        <v>0</v>
      </c>
      <c r="CM128" s="57" t="n">
        <f aca="false">CM124+($E126+$E127)*CM14</f>
        <v>0</v>
      </c>
      <c r="CN128" s="57" t="n">
        <f aca="false">CN124+($E126+$E127)*CN14</f>
        <v>0</v>
      </c>
      <c r="CO128" s="57" t="n">
        <f aca="false">CO124+($E126+$E127)*CO14</f>
        <v>0</v>
      </c>
      <c r="CP128" s="57" t="n">
        <f aca="false">CP124+($E126+$E127)*CP14</f>
        <v>0</v>
      </c>
      <c r="CQ128" s="57" t="n">
        <f aca="false">CQ124+($E126+$E127)*CQ14</f>
        <v>0</v>
      </c>
      <c r="CR128" s="57" t="n">
        <f aca="false">CR124+($E126+$E127)*CR14</f>
        <v>0</v>
      </c>
      <c r="CS128" s="57" t="n">
        <f aca="false">CS124+($E126+$E127)*CS14</f>
        <v>0</v>
      </c>
      <c r="CT128" s="57" t="n">
        <f aca="false">CT124+($E126+$E127)*CT14</f>
        <v>0</v>
      </c>
      <c r="CU128" s="57" t="n">
        <f aca="false">CU124+($E126+$E127)*CU14</f>
        <v>0</v>
      </c>
      <c r="CV128" s="57" t="n">
        <f aca="false">CV124+($E126+$E127)*CV14</f>
        <v>0</v>
      </c>
      <c r="CW128" s="57" t="n">
        <f aca="false">CW124+($E126+$E127)*CW14</f>
        <v>0</v>
      </c>
      <c r="CX128" s="57" t="n">
        <f aca="false">CX124+($E126+$E127)*CX14</f>
        <v>0</v>
      </c>
      <c r="CY128" s="57" t="n">
        <f aca="false">CY124+($E126+$E127)*CY14</f>
        <v>0</v>
      </c>
      <c r="CZ128" s="57" t="n">
        <f aca="false">CZ124+($E126+$E127)*CZ14</f>
        <v>0</v>
      </c>
      <c r="DA128" s="57" t="n">
        <f aca="false">DA124+($E126+$E127)*DA14</f>
        <v>0</v>
      </c>
      <c r="DB128" s="57" t="n">
        <f aca="false">DB124+($E126+$E127)*DB14</f>
        <v>0</v>
      </c>
      <c r="DC128" s="57" t="n">
        <f aca="false">DC124+($E126+$E127)*DC14</f>
        <v>0</v>
      </c>
      <c r="DD128" s="57" t="n">
        <f aca="false">DD124+($E126+$E127)*DD14</f>
        <v>0</v>
      </c>
      <c r="DE128" s="57" t="n">
        <f aca="false">DE124+($E126+$E127)*DE14</f>
        <v>0</v>
      </c>
      <c r="DF128" s="57" t="n">
        <f aca="false">DF124+($E126+$E127)*DF14</f>
        <v>0</v>
      </c>
      <c r="DG128" s="57" t="n">
        <f aca="false">DG124+($E126+$E127)*DG14</f>
        <v>0</v>
      </c>
      <c r="DH128" s="57" t="n">
        <f aca="false">DH124+($E126+$E127)*DH14</f>
        <v>0</v>
      </c>
      <c r="DI128" s="57" t="n">
        <f aca="false">DI124+($E126+$E127)*DI14</f>
        <v>0</v>
      </c>
      <c r="DJ128" s="57" t="n">
        <f aca="false">DJ124+($E126+$E127)*DJ14</f>
        <v>0</v>
      </c>
      <c r="DK128" s="57" t="n">
        <f aca="false">DK124+($E126+$E127)*DK14</f>
        <v>0</v>
      </c>
      <c r="DL128" s="57" t="n">
        <f aca="false">DL124+($E126+$E127)*DL14</f>
        <v>0</v>
      </c>
      <c r="DM128" s="57" t="n">
        <f aca="false">DM124+($E126+$E127)*DM14</f>
        <v>0</v>
      </c>
      <c r="DN128" s="57" t="n">
        <f aca="false">DN124+($E126+$E127)*DN14</f>
        <v>0</v>
      </c>
      <c r="DO128" s="57" t="n">
        <f aca="false">DO124+($E126+$E127)*DO14</f>
        <v>0</v>
      </c>
      <c r="DP128" s="57" t="n">
        <f aca="false">DP124+($E126+$E127)*DP14</f>
        <v>0</v>
      </c>
      <c r="DQ128" s="57" t="n">
        <f aca="false">DQ124+($E126+$E127)*DQ14</f>
        <v>0</v>
      </c>
      <c r="DR128" s="57" t="n">
        <f aca="false">DR124+($E126+$E127)*DR14</f>
        <v>0</v>
      </c>
      <c r="DS128" s="57" t="n">
        <f aca="false">DS124+($E126+$E127)*DS14</f>
        <v>0</v>
      </c>
      <c r="DT128" s="57" t="n">
        <f aca="false">DT124+($E126+$E127)*DT14</f>
        <v>0</v>
      </c>
      <c r="DU128" s="57" t="n">
        <f aca="false">DU124+($E126+$E127)*DU14</f>
        <v>0</v>
      </c>
      <c r="DV128" s="57" t="n">
        <f aca="false">DV124+($E126+$E127)*DV14</f>
        <v>0</v>
      </c>
      <c r="DW128" s="57" t="n">
        <f aca="false">DW124+($E126+$E127)*DW14</f>
        <v>0</v>
      </c>
      <c r="DX128" s="57" t="n">
        <f aca="false">DX124+($E126+$E127)*DX14</f>
        <v>0</v>
      </c>
      <c r="DY128" s="57" t="n">
        <f aca="false">DY124+($E126+$E127)*DY14</f>
        <v>0</v>
      </c>
      <c r="DZ128" s="57" t="n">
        <f aca="false">DZ124+($E126+$E127)*DZ14</f>
        <v>0</v>
      </c>
      <c r="EA128" s="57" t="n">
        <f aca="false">EA124+($E126+$E127)*EA14</f>
        <v>0</v>
      </c>
      <c r="EB128" s="57" t="n">
        <f aca="false">EB124+($E126+$E127)*EB14</f>
        <v>0</v>
      </c>
      <c r="EC128" s="57" t="n">
        <f aca="false">EC124+($E126+$E127)*EC14</f>
        <v>0</v>
      </c>
      <c r="ED128" s="57" t="n">
        <f aca="false">ED124+($E126+$E127)*ED14</f>
        <v>0</v>
      </c>
      <c r="EE128" s="57" t="n">
        <f aca="false">EE124+($E126+$E127)*EE14</f>
        <v>0</v>
      </c>
      <c r="EF128" s="57" t="n">
        <f aca="false">EF124+($E126+$E127)*EF14</f>
        <v>0</v>
      </c>
      <c r="EG128" s="57" t="n">
        <f aca="false">EG124+($E126+$E127)*EG14</f>
        <v>0</v>
      </c>
      <c r="EH128" s="57" t="n">
        <f aca="false">EH124+($E126+$E127)*EH14</f>
        <v>0</v>
      </c>
      <c r="EI128" s="57" t="n">
        <f aca="false">EI124+($E126+$E127)*EI14</f>
        <v>0</v>
      </c>
      <c r="EJ128" s="57" t="n">
        <f aca="false">EJ124+($E126+$E127)*EJ14</f>
        <v>0</v>
      </c>
      <c r="EK128" s="57" t="n">
        <f aca="false">EK124+($E126+$E127)*EK14</f>
        <v>0</v>
      </c>
      <c r="EL128" s="57" t="n">
        <f aca="false">EL124+($E126+$E127)*EL14</f>
        <v>0</v>
      </c>
      <c r="EM128" s="57" t="n">
        <f aca="false">EM124+($E126+$E127)*EM14</f>
        <v>0</v>
      </c>
      <c r="EN128" s="57" t="n">
        <f aca="false">EN124+($E126+$E127)*EN14</f>
        <v>0</v>
      </c>
      <c r="EO128" s="57" t="n">
        <f aca="false">EO124+($E126+$E127)*EO14</f>
        <v>0</v>
      </c>
    </row>
    <row r="129" customFormat="false" ht="15" hidden="false" customHeight="false" outlineLevel="0" collapsed="false">
      <c r="C129" s="26" t="s">
        <v>84</v>
      </c>
      <c r="D129" s="12" t="s">
        <v>27</v>
      </c>
      <c r="E129" s="34" t="n">
        <f aca="false">XIRR($J128:$EO128,$J$4:$EO$4)</f>
        <v>0.431605205102548</v>
      </c>
    </row>
    <row r="130" customFormat="false" ht="15" hidden="false" customHeight="false" outlineLevel="0" collapsed="false">
      <c r="C130" s="26" t="s">
        <v>85</v>
      </c>
      <c r="D130" s="12" t="s">
        <v>13</v>
      </c>
      <c r="E130" s="60" t="n">
        <f aca="false">($E126+$E127)/-$I124</f>
        <v>1.75852383469303</v>
      </c>
    </row>
    <row r="131" customFormat="false" ht="15" hidden="false" customHeight="false" outlineLevel="0" collapsed="false">
      <c r="C131" s="26" t="s">
        <v>86</v>
      </c>
      <c r="D131" s="12" t="s">
        <v>33</v>
      </c>
      <c r="E131" s="57" t="n">
        <f aca="false">XNPV(In_Discount_Rate,$J128:$EO128,$J$4:$EO$4)</f>
        <v>19848.0948232429</v>
      </c>
    </row>
    <row r="132" customFormat="false" ht="15" hidden="false" customHeight="false" outlineLevel="0" collapsed="false">
      <c r="A132" s="61"/>
      <c r="B132" s="61"/>
      <c r="C132" s="61" t="s">
        <v>470</v>
      </c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  <c r="BV132" s="61"/>
      <c r="BW132" s="61"/>
      <c r="BX132" s="61"/>
      <c r="BY132" s="61"/>
      <c r="BZ132" s="61"/>
      <c r="CA132" s="61"/>
      <c r="CB132" s="61"/>
      <c r="CC132" s="61"/>
      <c r="CD132" s="61"/>
      <c r="CE132" s="61"/>
      <c r="CF132" s="61"/>
      <c r="CG132" s="61"/>
      <c r="CH132" s="61"/>
      <c r="CI132" s="61"/>
      <c r="CJ132" s="61"/>
      <c r="CK132" s="61"/>
      <c r="CL132" s="61"/>
      <c r="CM132" s="61"/>
      <c r="CN132" s="61"/>
      <c r="CO132" s="61"/>
      <c r="CP132" s="61"/>
      <c r="CQ132" s="61"/>
      <c r="CR132" s="61"/>
      <c r="CS132" s="61"/>
      <c r="CT132" s="61"/>
      <c r="CU132" s="61"/>
      <c r="CV132" s="61"/>
      <c r="CW132" s="61"/>
      <c r="CX132" s="61"/>
      <c r="CY132" s="61"/>
      <c r="CZ132" s="61"/>
      <c r="DA132" s="61"/>
      <c r="DB132" s="61"/>
      <c r="DC132" s="61"/>
      <c r="DD132" s="61"/>
      <c r="DE132" s="61"/>
      <c r="DF132" s="61"/>
      <c r="DG132" s="61"/>
      <c r="DH132" s="61"/>
      <c r="DI132" s="61"/>
      <c r="DJ132" s="61"/>
      <c r="DK132" s="61"/>
      <c r="DL132" s="61"/>
      <c r="DM132" s="61"/>
      <c r="DN132" s="61"/>
      <c r="DO132" s="61"/>
      <c r="DP132" s="61"/>
      <c r="DQ132" s="61"/>
      <c r="DR132" s="61"/>
      <c r="DS132" s="61"/>
      <c r="DT132" s="61"/>
      <c r="DU132" s="61"/>
      <c r="DV132" s="61"/>
      <c r="DW132" s="61"/>
      <c r="DX132" s="61"/>
      <c r="DY132" s="61"/>
      <c r="DZ132" s="61"/>
      <c r="EA132" s="61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61"/>
      <c r="EO132" s="61"/>
    </row>
    <row r="133" customFormat="false" ht="15" hidden="false" customHeight="false" outlineLevel="0" collapsed="false">
      <c r="C133" s="1" t="s">
        <v>471</v>
      </c>
      <c r="D133" s="12" t="s">
        <v>33</v>
      </c>
      <c r="I133" s="48" t="n">
        <f aca="false">SUM(J133:EO133)</f>
        <v>151943.240536893</v>
      </c>
      <c r="J133" s="48" t="n">
        <f aca="false">(J79+J55+J58+J108)*(J$4&gt;In_COD)-$E125*J14</f>
        <v>-0</v>
      </c>
      <c r="K133" s="48" t="n">
        <f aca="false">(K79+K55+K58+K108)*(K$4&gt;In_COD)-$E125*K14</f>
        <v>-0</v>
      </c>
      <c r="L133" s="48" t="n">
        <f aca="false">(L79+L55+L58+L108)*(L$4&gt;In_COD)-$E125*L14</f>
        <v>-0</v>
      </c>
      <c r="M133" s="48" t="n">
        <f aca="false">(M79+M55+M58+M108)*(M$4&gt;In_COD)-$E125*M14</f>
        <v>-0</v>
      </c>
      <c r="N133" s="48" t="n">
        <f aca="false">(N79+N55+N58+N108)*(N$4&gt;In_COD)-$E125*N14</f>
        <v>-0</v>
      </c>
      <c r="O133" s="48" t="n">
        <f aca="false">(O79+O55+O58+O108)*(O$4&gt;In_COD)-$E125*O14</f>
        <v>-0</v>
      </c>
      <c r="P133" s="48" t="n">
        <f aca="false">(P79+P55+P58+P108)*(P$4&gt;In_COD)-$E125*P14</f>
        <v>-0</v>
      </c>
      <c r="Q133" s="48" t="n">
        <f aca="false">(Q79+Q55+Q58+Q108)*(Q$4&gt;In_COD)-$E125*Q14</f>
        <v>-0</v>
      </c>
      <c r="R133" s="48" t="n">
        <f aca="false">(R79+R55+R58+R108)*(R$4&gt;In_COD)-$E125*R14</f>
        <v>-0</v>
      </c>
      <c r="S133" s="48" t="n">
        <f aca="false">(S79+S55+S58+S108)*(S$4&gt;In_COD)-$E125*S14</f>
        <v>-0</v>
      </c>
      <c r="T133" s="48" t="n">
        <f aca="false">(T79+T55+T58+T108)*(T$4&gt;In_COD)-$E125*T14</f>
        <v>-0</v>
      </c>
      <c r="U133" s="48" t="n">
        <f aca="false">(U79+U55+U58+U108)*(U$4&gt;In_COD)-$E125*U14</f>
        <v>-0</v>
      </c>
      <c r="V133" s="48" t="n">
        <f aca="false">(V79+V55+V58+V108)*(V$4&gt;In_COD)-$E125*V14</f>
        <v>-0</v>
      </c>
      <c r="W133" s="48" t="n">
        <f aca="false">(W79+W55+W58+W108)*(W$4&gt;In_COD)-$E125*W14</f>
        <v>-0</v>
      </c>
      <c r="X133" s="48" t="n">
        <f aca="false">(X79+X55+X58+X108)*(X$4&gt;In_COD)-$E125*X14</f>
        <v>-0</v>
      </c>
      <c r="Y133" s="48" t="n">
        <f aca="false">(Y79+Y55+Y58+Y108)*(Y$4&gt;In_COD)-$E125*Y14</f>
        <v>-114975</v>
      </c>
      <c r="Z133" s="48" t="n">
        <f aca="false">(Z79+Z55+Z58+Z108)*(Z$4&gt;In_COD)-$E125*Z14</f>
        <v>2300.94659077018</v>
      </c>
      <c r="AA133" s="48" t="n">
        <f aca="false">(AA79+AA55+AA58+AA108)*(AA$4&gt;In_COD)-$E125*AA14</f>
        <v>2266.07898831382</v>
      </c>
      <c r="AB133" s="48" t="n">
        <f aca="false">(AB79+AB55+AB58+AB108)*(AB$4&gt;In_COD)-$E125*AB14</f>
        <v>2290.47375381228</v>
      </c>
      <c r="AC133" s="48" t="n">
        <f aca="false">(AC79+AC55+AC58+AC108)*(AC$4&gt;In_COD)-$E125*AC14</f>
        <v>2314.85517366584</v>
      </c>
      <c r="AD133" s="48" t="n">
        <f aca="false">(AD79+AD55+AD58+AD108)*(AD$4&gt;In_COD)-$E125*AD14</f>
        <v>2297.20744160619</v>
      </c>
      <c r="AE133" s="48" t="n">
        <f aca="false">(AE79+AE55+AE58+AE108)*(AE$4&gt;In_COD)-$E125*AE14</f>
        <v>2233.47530061397</v>
      </c>
      <c r="AF133" s="48" t="n">
        <f aca="false">(AF79+AF55+AF58+AF108)*(AF$4&gt;In_COD)-$E125*AF14</f>
        <v>2232.77258418714</v>
      </c>
      <c r="AG133" s="48" t="n">
        <f aca="false">(AG79+AG55+AG58+AG108)*(AG$4&gt;In_COD)-$E125*AG14</f>
        <v>2255.76962630366</v>
      </c>
      <c r="AH133" s="48" t="n">
        <f aca="false">(AH79+AH55+AH58+AH108)*(AH$4&gt;In_COD)-$E125*AH14</f>
        <v>2247.78411286817</v>
      </c>
      <c r="AI133" s="48" t="n">
        <f aca="false">(AI79+AI55+AI58+AI108)*(AI$4&gt;In_COD)-$E125*AI14</f>
        <v>2213.00380481104</v>
      </c>
      <c r="AJ133" s="48" t="n">
        <f aca="false">(AJ79+AJ55+AJ58+AJ108)*(AJ$4&gt;In_COD)-$E125*AJ14</f>
        <v>2264.23837624495</v>
      </c>
      <c r="AK133" s="48" t="n">
        <f aca="false">(AK79+AK55+AK58+AK108)*(AK$4&gt;In_COD)-$E125*AK14</f>
        <v>2287.55350478145</v>
      </c>
      <c r="AL133" s="48" t="n">
        <f aca="false">(AL79+AL55+AL58+AL108)*(AL$4&gt;In_COD)-$E125*AL14</f>
        <v>2279.46149827445</v>
      </c>
      <c r="AM133" s="48" t="n">
        <f aca="false">(AM79+AM55+AM58+AM108)*(AM$4&gt;In_COD)-$E125*AM14</f>
        <v>2243.73855139544</v>
      </c>
      <c r="AN133" s="48" t="n">
        <f aca="false">(AN79+AN55+AN58+AN108)*(AN$4&gt;In_COD)-$E125*AN14</f>
        <v>2267.10540728229</v>
      </c>
      <c r="AO133" s="48" t="n">
        <f aca="false">(AO79+AO55+AO58+AO108)*(AO$4&gt;In_COD)-$E125*AO14</f>
        <v>2290.44515239607</v>
      </c>
      <c r="AP133" s="48" t="n">
        <f aca="false">(AP79+AP55+AP58+AP108)*(AP$4&gt;In_COD)-$E125*AP14</f>
        <v>2282.26507751399</v>
      </c>
      <c r="AQ133" s="48" t="n">
        <f aca="false">(AQ79+AQ55+AQ58+AQ108)*(AQ$4&gt;In_COD)-$E125*AQ14</f>
        <v>2246.23531801011</v>
      </c>
      <c r="AR133" s="48" t="n">
        <f aca="false">(AR79+AR55+AR58+AR108)*(AR$4&gt;In_COD)-$E125*AR14</f>
        <v>2269.62351048867</v>
      </c>
      <c r="AS133" s="48" t="n">
        <f aca="false">(AS79+AS55+AS58+AS108)*(AS$4&gt;In_COD)-$E125*AS14</f>
        <v>2292.9840406263</v>
      </c>
      <c r="AT133" s="48" t="n">
        <f aca="false">(AT79+AT55+AT58+AT108)*(AT$4&gt;In_COD)-$E125*AT14</f>
        <v>2284.71387467699</v>
      </c>
      <c r="AU133" s="48" t="n">
        <f aca="false">(AU79+AU55+AU58+AU108)*(AU$4&gt;In_COD)-$E125*AU14</f>
        <v>2272.6513403704</v>
      </c>
      <c r="AV133" s="48" t="n">
        <f aca="false">(AV79+AV55+AV58+AV108)*(AV$4&gt;In_COD)-$E125*AV14</f>
        <v>2271.76061041021</v>
      </c>
      <c r="AW133" s="48" t="n">
        <f aca="false">(AW79+AW55+AW58+AW108)*(AW$4&gt;In_COD)-$E125*AW14</f>
        <v>2295.13772672722</v>
      </c>
      <c r="AX133" s="48" t="n">
        <f aca="false">(AX79+AX55+AX58+AX108)*(AX$4&gt;In_COD)-$E125*AX14</f>
        <v>2286.77515094656</v>
      </c>
      <c r="AY133" s="48" t="n">
        <f aca="false">(AY79+AY55+AY58+AY108)*(AY$4&gt;In_COD)-$E125*AY14</f>
        <v>2250.11858294074</v>
      </c>
      <c r="AZ133" s="48" t="n">
        <f aca="false">(AZ79+AZ55+AZ58+AZ108)*(AZ$4&gt;In_COD)-$E125*AZ14</f>
        <v>2273.53716953258</v>
      </c>
      <c r="BA133" s="48" t="n">
        <f aca="false">(BA79+BA55+BA58+BA108)*(BA$4&gt;In_COD)-$E125*BA14</f>
        <v>2296.92692399184</v>
      </c>
      <c r="BB133" s="48" t="n">
        <f aca="false">(BB79+BB55+BB58+BB108)*(BB$4&gt;In_COD)-$E125*BB14</f>
        <v>2288.46995095388</v>
      </c>
      <c r="BC133" s="48" t="n">
        <f aca="false">(BC79+BC55+BC58+BC108)*(BC$4&gt;In_COD)-$E125*BC14</f>
        <v>2251.49335409804</v>
      </c>
      <c r="BD133" s="48" t="n">
        <f aca="false">(BD79+BD55+BD58+BD108)*(BD$4&gt;In_COD)-$E125*BD14</f>
        <v>2274.92087904561</v>
      </c>
      <c r="BE133" s="48" t="n">
        <f aca="false">(BE79+BE55+BE58+BE108)*(BE$4&gt;In_COD)-$E125*BE14</f>
        <v>2298.31895410975</v>
      </c>
      <c r="BF133" s="48" t="n">
        <f aca="false">(BF79+BF55+BF58+BF108)*(BF$4&gt;In_COD)-$E125*BF14</f>
        <v>2289.76530221853</v>
      </c>
      <c r="BG133" s="48" t="n">
        <f aca="false">(BG79+BG55+BG58+BG108)*(BG$4&gt;In_COD)-$E125*BG14</f>
        <v>2252.46402732537</v>
      </c>
      <c r="BH133" s="48" t="n">
        <f aca="false">(BH79+BH55+BH58+BH108)*(BH$4&gt;In_COD)-$E125*BH14</f>
        <v>2275.89602308012</v>
      </c>
      <c r="BI133" s="48" t="n">
        <f aca="false">(BI79+BI55+BI58+BI108)*(BI$4&gt;In_COD)-$E125*BI14</f>
        <v>2299.2979271183</v>
      </c>
      <c r="BJ133" s="48" t="n">
        <f aca="false">(BJ79+BJ55+BJ58+BJ108)*(BJ$4&gt;In_COD)-$E125*BJ14</f>
        <v>2290.64522045888</v>
      </c>
      <c r="BK133" s="48" t="n">
        <f aca="false">(BK79+BK55+BK58+BK108)*(BK$4&gt;In_COD)-$E125*BK14</f>
        <v>2277.5194135307</v>
      </c>
      <c r="BL133" s="48" t="n">
        <f aca="false">(BL79+BL55+BL58+BL108)*(BL$4&gt;In_COD)-$E125*BL14</f>
        <v>2276.42816711555</v>
      </c>
      <c r="BM133" s="48" t="n">
        <f aca="false">(BM79+BM55+BM58+BM108)*(BM$4&gt;In_COD)-$E125*BM14</f>
        <v>2299.82901456092</v>
      </c>
      <c r="BN133" s="48" t="n">
        <f aca="false">(BN79+BN55+BN58+BN108)*(BN$4&gt;In_COD)-$E125*BN14</f>
        <v>2291.07456267138</v>
      </c>
      <c r="BO133" s="48" t="n">
        <f aca="false">(BO79+BO55+BO58+BO108)*(BO$4&gt;In_COD)-$E125*BO14</f>
        <v>2253.10923468878</v>
      </c>
      <c r="BP133" s="48" t="n">
        <f aca="false">(BP79+BP55+BP58+BP108)*(BP$4&gt;In_COD)-$E125*BP14</f>
        <v>2276.53582369783</v>
      </c>
      <c r="BQ133" s="48" t="n">
        <f aca="false">(BQ79+BQ55+BQ58+BQ108)*(BQ$4&gt;In_COD)-$E125*BQ14</f>
        <v>2299.93095798453</v>
      </c>
      <c r="BR133" s="48" t="n">
        <f aca="false">(BR79+BR55+BR58+BR108)*(BR$4&gt;In_COD)-$E125*BR14</f>
        <v>2291.0723883732</v>
      </c>
      <c r="BS133" s="48" t="n">
        <f aca="false">(BS79+BS55+BS58+BS108)*(BS$4&gt;In_COD)-$E125*BS14</f>
        <v>2252.7676145302</v>
      </c>
      <c r="BT133" s="48" t="n">
        <f aca="false">(BT79+BT55+BT58+BT108)*(BT$4&gt;In_COD)-$E125*BT14</f>
        <v>2276.18415682849</v>
      </c>
      <c r="BU133" s="48" t="n">
        <f aca="false">(BU79+BU55+BU58+BU108)*(BU$4&gt;In_COD)-$E125*BU14</f>
        <v>2299.56852332383</v>
      </c>
      <c r="BV133" s="48" t="n">
        <f aca="false">(BV79+BV55+BV58+BV108)*(BV$4&gt;In_COD)-$E125*BV14</f>
        <v>2290.60314933822</v>
      </c>
      <c r="BW133" s="48" t="n">
        <f aca="false">(BW79+BW55+BW58+BW108)*(BW$4&gt;In_COD)-$E125*BW14</f>
        <v>2251.95372205123</v>
      </c>
      <c r="BX133" s="48" t="n">
        <f aca="false">(BX79+BX55+BX58+BX108)*(BX$4&gt;In_COD)-$E125*BX14</f>
        <v>2275.3549900142</v>
      </c>
      <c r="BY133" s="48" t="n">
        <f aca="false">(BY79+BY55+BY58+BY108)*(BY$4&gt;In_COD)-$E125*BY14</f>
        <v>2298.72333223695</v>
      </c>
      <c r="BZ133" s="48" t="n">
        <f aca="false">(BZ79+BZ55+BZ58+BZ108)*(BZ$4&gt;In_COD)-$E125*BZ14</f>
        <v>2289.64835395796</v>
      </c>
      <c r="CA133" s="48" t="n">
        <f aca="false">(CA79+CA55+CA58+CA108)*(CA$4&gt;In_COD)-$E125*CA14</f>
        <v>2275.34138298266</v>
      </c>
      <c r="CB133" s="48" t="n">
        <f aca="false">(CB79+CB55+CB58+CB108)*(CB$4&gt;In_COD)-$E125*CB14</f>
        <v>2274.01119179652</v>
      </c>
      <c r="CC133" s="48" t="n">
        <f aca="false">(CC79+CC55+CC58+CC108)*(CC$4&gt;In_COD)-$E125*CC14</f>
        <v>2297.35782882481</v>
      </c>
      <c r="CD133" s="48" t="n">
        <f aca="false">(CD79+CD55+CD58+CD108)*(CD$4&gt;In_COD)-$E125*CD14</f>
        <v>2288.17011028439</v>
      </c>
      <c r="CE133" s="48" t="n">
        <f aca="false">(CE79+CE55+CE58+CE108)*(CE$4&gt;In_COD)-$E125*CE14</f>
        <v>2248.81491269389</v>
      </c>
      <c r="CF133" s="48" t="n">
        <f aca="false">(CF79+CF55+CF58+CF108)*(CF$4&gt;In_COD)-$E125*CF14</f>
        <v>2272.16888597195</v>
      </c>
      <c r="CG133" s="48" t="n">
        <f aca="false">(CG79+CG55+CG58+CG108)*(CG$4&gt;In_COD)-$E125*CG14</f>
        <v>2295.48833903467</v>
      </c>
      <c r="CH133" s="48" t="n">
        <f aca="false">(CH79+CH55+CH58+CH108)*(CH$4&gt;In_COD)-$E125*CH14</f>
        <v>2286.18504466367</v>
      </c>
      <c r="CI133" s="48" t="n">
        <f aca="false">(CI79+CI55+CI58+CI108)*(CI$4&gt;In_COD)-$E125*CI14</f>
        <v>2246.46861373046</v>
      </c>
      <c r="CJ133" s="48" t="n">
        <f aca="false">(CJ79+CJ55+CJ58+CJ108)*(CJ$4&gt;In_COD)-$E125*CJ14</f>
        <v>2269.79033830776</v>
      </c>
      <c r="CK133" s="48" t="n">
        <f aca="false">(CK79+CK55+CK58+CK108)*(CK$4&gt;In_COD)-$E125*CK14</f>
        <v>2293.07669775624</v>
      </c>
      <c r="CL133" s="48" t="n">
        <f aca="false">(CL79+CL55+CL58+CL108)*(CL$4&gt;In_COD)-$E125*CL14</f>
        <v>2283.65465446152</v>
      </c>
      <c r="CM133" s="48" t="n">
        <f aca="false">(CM79+CM55+CM58+CM108)*(CM$4&gt;In_COD)-$E125*CM14</f>
        <v>2243.57112957722</v>
      </c>
      <c r="CN133" s="48" t="n">
        <f aca="false">(CN79+CN55+CN58+CN108)*(CN$4&gt;In_COD)-$E125*CN14</f>
        <v>2266.85449604117</v>
      </c>
      <c r="CO133" s="48" t="n">
        <f aca="false">(CO79+CO55+CO58+CO108)*(CO$4&gt;In_COD)-$E125*CO14</f>
        <v>2290.10161785745</v>
      </c>
      <c r="CP133" s="48" t="n">
        <f aca="false">(CP79+CP55+CP58+CP108)*(CP$4&gt;In_COD)-$E125*CP14</f>
        <v>2280.55751645417</v>
      </c>
      <c r="CQ133" s="48" t="n">
        <f aca="false">(CQ79+CQ55+CQ58+CQ108)*(CQ$4&gt;In_COD)-$E125*CQ14</f>
        <v>2264.93619137034</v>
      </c>
      <c r="CR133" s="48" t="n">
        <f aca="false">(CR79+CR55+CR58+CR108)*(CR$4&gt;In_COD)-$E125*CR14</f>
        <v>2263.32113043559</v>
      </c>
      <c r="CS133" s="48" t="n">
        <f aca="false">(CS79+CS55+CS58+CS108)*(CS$4&gt;In_COD)-$E125*CS14</f>
        <v>2286.52241107376</v>
      </c>
      <c r="CT133" s="48" t="n">
        <f aca="false">(CT79+CT55+CT58+CT108)*(CT$4&gt;In_COD)-$E125*CT14</f>
        <v>2276.85258115707</v>
      </c>
      <c r="CU133" s="48" t="n">
        <f aca="false">(CU79+CU55+CU58+CU108)*(CU$4&gt;In_COD)-$E125*CU14</f>
        <v>2237.7017294597</v>
      </c>
      <c r="CV133" s="48" t="n">
        <f aca="false">(CV79+CV55+CV58+CV108)*(CV$4&gt;In_COD)-$E125*CV14</f>
        <v>2262.56508200925</v>
      </c>
      <c r="CW133" s="48" t="n">
        <f aca="false">(CW79+CW55+CW58+CW108)*(CW$4&gt;In_COD)-$E125*CW14</f>
        <v>2287.42843455881</v>
      </c>
      <c r="CX133" s="48" t="n">
        <f aca="false">(CX79+CX55+CX58+CX108)*(CX$4&gt;In_COD)-$E125*CX14</f>
        <v>2279.38239570403</v>
      </c>
      <c r="CY133" s="48" t="n">
        <f aca="false">(CY79+CY55+CY58+CY108)*(CY$4&gt;In_COD)-$E125*CY14</f>
        <v>2239.92792695099</v>
      </c>
      <c r="CZ133" s="48" t="n">
        <f aca="false">(CZ79+CZ55+CZ58+CZ108)*(CZ$4&gt;In_COD)-$E125*CZ14</f>
        <v>2264.81601502822</v>
      </c>
      <c r="DA133" s="48" t="n">
        <f aca="false">(DA79+DA55+DA58+DA108)*(DA$4&gt;In_COD)-$E125*DA14</f>
        <v>2289.70410310546</v>
      </c>
      <c r="DB133" s="48" t="n">
        <f aca="false">(DB79+DB55+DB58+DB108)*(DB$4&gt;In_COD)-$E125*DB14</f>
        <v>2127.75796595667</v>
      </c>
      <c r="DC133" s="48" t="n">
        <f aca="false">(DC79+DC55+DC58+DC108)*(DC$4&gt;In_COD)-$E125*DC14</f>
        <v>2091.34156892558</v>
      </c>
      <c r="DD133" s="48" t="n">
        <f aca="false">(DD79+DD55+DD58+DD108)*(DD$4&gt;In_COD)-$E125*DD14</f>
        <v>2114.5786974692</v>
      </c>
      <c r="DE133" s="48" t="n">
        <f aca="false">(DE79+DE55+DE58+DE108)*(DE$4&gt;In_COD)-$E125*DE14</f>
        <v>2137.81582601281</v>
      </c>
      <c r="DF133" s="48" t="n">
        <f aca="false">(DF79+DF55+DF58+DF108)*(DF$4&gt;In_COD)-$E125*DF14</f>
        <v>2129.67377475099</v>
      </c>
      <c r="DG133" s="48" t="n">
        <f aca="false">(DG79+DG55+DG58+DG108)*(DG$4&gt;In_COD)-$E125*DG14</f>
        <v>2116.20284972323</v>
      </c>
      <c r="DH133" s="48" t="n">
        <f aca="false">(DH79+DH55+DH58+DH108)*(DH$4&gt;In_COD)-$E125*DH14</f>
        <v>2116.20284972323</v>
      </c>
      <c r="DI133" s="48" t="n">
        <f aca="false">(DI79+DI55+DI58+DI108)*(DI$4&gt;In_COD)-$E125*DI14</f>
        <v>2139.45782609381</v>
      </c>
      <c r="DJ133" s="48" t="n">
        <f aca="false">(DJ79+DJ55+DJ58+DJ108)*(DJ$4&gt;In_COD)-$E125*DJ14</f>
        <v>2131.26763373715</v>
      </c>
      <c r="DK133" s="48" t="n">
        <f aca="false">(DK79+DK55+DK58+DK108)*(DK$4&gt;In_COD)-$E125*DK14</f>
        <v>2094.22922134031</v>
      </c>
      <c r="DL133" s="48" t="n">
        <f aca="false">(DL79+DL55+DL58+DL108)*(DL$4&gt;In_COD)-$E125*DL14</f>
        <v>2117.49843491076</v>
      </c>
      <c r="DM133" s="48" t="n">
        <f aca="false">(DM79+DM55+DM58+DM108)*(DM$4&gt;In_COD)-$E125*DM14</f>
        <v>2140.76764848121</v>
      </c>
      <c r="DN133" s="48" t="n">
        <f aca="false">(DN79+DN55+DN58+DN108)*(DN$4&gt;In_COD)-$E125*DN14</f>
        <v>2132.52923118543</v>
      </c>
      <c r="DO133" s="48" t="n">
        <f aca="false">(DO79+DO55+DO58+DO108)*(DO$4&gt;In_COD)-$E125*DO14</f>
        <v>2095.17525809415</v>
      </c>
      <c r="DP133" s="48" t="n">
        <f aca="false">(DP79+DP55+DP58+DP108)*(DP$4&gt;In_COD)-$E125*DP14</f>
        <v>2118.45498318408</v>
      </c>
      <c r="DQ133" s="48" t="n">
        <f aca="false">(DQ79+DQ55+DQ58+DQ108)*(DQ$4&gt;In_COD)-$E125*DQ14</f>
        <v>2141.73470827402</v>
      </c>
      <c r="DR133" s="48" t="n">
        <f aca="false">(DR79+DR55+DR58+DR108)*(DR$4&gt;In_COD)-$E125*DR14</f>
        <v>2133.4479869401</v>
      </c>
      <c r="DS133" s="48" t="n">
        <f aca="false">(DS79+DS55+DS58+DS108)*(DS$4&gt;In_COD)-$E125*DS14</f>
        <v>2095.77535956</v>
      </c>
      <c r="DT133" s="48" t="n">
        <f aca="false">(DT79+DT55+DT58+DT108)*(DT$4&gt;In_COD)-$E125*DT14</f>
        <v>2119.061752444</v>
      </c>
      <c r="DU133" s="48" t="n">
        <f aca="false">(DU79+DU55+DU58+DU108)*(DU$4&gt;In_COD)-$E125*DU14</f>
        <v>2142.348145328</v>
      </c>
      <c r="DV133" s="48" t="n">
        <f aca="false">(DV79+DV55+DV58+DV108)*(DV$4&gt;In_COD)-$E125*DV14</f>
        <v>2134.01304575269</v>
      </c>
      <c r="DW133" s="48" t="n">
        <f aca="false">(DW79+DW55+DW58+DW108)*(DW$4&gt;In_COD)-$E125*DW14</f>
        <v>2119.30772157993</v>
      </c>
      <c r="DX133" s="48" t="n">
        <f aca="false">(DX79+DX55+DX58+DX108)*(DX$4&gt;In_COD)-$E125*DX14</f>
        <v>2119.30772157993</v>
      </c>
      <c r="DY133" s="48" t="n">
        <f aca="false">(DY79+DY55+DY58+DY108)*(DY$4&gt;In_COD)-$E125*DY14</f>
        <v>2142.59681742147</v>
      </c>
      <c r="DZ133" s="48" t="n">
        <f aca="false">(DZ79+DZ55+DZ58+DZ108)*(DZ$4&gt;In_COD)-$E125*DZ14</f>
        <v>2134.2132704514</v>
      </c>
      <c r="EA133" s="48" t="n">
        <f aca="false">(EA79+EA55+EA58+EA108)*(EA$4&gt;In_COD)-$E125*EA14</f>
        <v>2095.89387383467</v>
      </c>
      <c r="EB133" s="48" t="n">
        <f aca="false">(EB79+EB55+EB58+EB108)*(EB$4&gt;In_COD)-$E125*EB14</f>
        <v>2119.18158354395</v>
      </c>
      <c r="EC133" s="48" t="n">
        <f aca="false">(EC79+EC55+EC58+EC108)*(EC$4&gt;In_COD)-$E125*EC14</f>
        <v>2142.46929325322</v>
      </c>
      <c r="ED133" s="48" t="n">
        <f aca="false">(ED79+ED55+ED58+ED108)*(ED$4&gt;In_COD)-$E125*ED14</f>
        <v>2134.03723494271</v>
      </c>
      <c r="EE133" s="48" t="n">
        <f aca="false">(EE79+EE55+EE58+EE108)*(EE$4&gt;In_COD)-$E125*EE14</f>
        <v>2095.38963124086</v>
      </c>
      <c r="EF133" s="48" t="n">
        <f aca="false">(EF79+EF55+EF58+EF108)*(EF$4&gt;In_COD)-$E125*EF14</f>
        <v>2118.67173825464</v>
      </c>
      <c r="EG133" s="48" t="n">
        <f aca="false">(EG79+EG55+EG58+EG108)*(EG$4&gt;In_COD)-$E125*EG14</f>
        <v>2141.95384526843</v>
      </c>
      <c r="EH133" s="48" t="n">
        <f aca="false">(EH79+EH55+EH58+EH108)*(EH$4&gt;In_COD)-$E125*EH14</f>
        <v>2133.47321704111</v>
      </c>
      <c r="EI133" s="48" t="n">
        <f aca="false">(EI79+EI55+EI58+EI108)*(EI$4&gt;In_COD)-$E125*EI14</f>
        <v>2094.49412834513</v>
      </c>
      <c r="EJ133" s="48" t="n">
        <f aca="false">(EJ79+EJ55+EJ58+EJ108)*(EJ$4&gt;In_COD)-$E125*EJ14</f>
        <v>2117.76628532674</v>
      </c>
      <c r="EK133" s="48" t="n">
        <f aca="false">(EK79+EK55+EK58+EK108)*(EK$4&gt;In_COD)-$E125*EK14</f>
        <v>2141.03844230835</v>
      </c>
      <c r="EL133" s="48" t="n">
        <f aca="false">(EL79+EL55+EL58+EL108)*(EL$4&gt;In_COD)-$E125*EL14</f>
        <v>2132.50919112262</v>
      </c>
      <c r="EM133" s="48" t="n">
        <f aca="false">(EM79+EM55+EM58+EM108)*(EM$4&gt;In_COD)-$E125*EM14</f>
        <v>2116.45301662203</v>
      </c>
      <c r="EN133" s="48" t="n">
        <f aca="false">(EN79+EN55+EN58+EN108)*(EN$4&gt;In_COD)-$E125*EN14</f>
        <v>2116.45301662203</v>
      </c>
      <c r="EO133" s="48" t="n">
        <f aca="false">(EO79+EO55+EO58+EO108)*(EO$4&gt;In_COD)-$E125*EO14</f>
        <v>2139.71074207941</v>
      </c>
    </row>
    <row r="134" customFormat="false" ht="15" hidden="false" customHeight="false" outlineLevel="0" collapsed="false">
      <c r="C134" s="26" t="s">
        <v>124</v>
      </c>
      <c r="D134" s="12" t="s">
        <v>27</v>
      </c>
      <c r="E134" s="34" t="n">
        <f aca="false">XIRR($J133:$EO133,$J$4:$EO$4)</f>
        <v>0.0696894448393209</v>
      </c>
    </row>
    <row r="135" customFormat="false" ht="15" hidden="false" customHeight="false" outlineLevel="0" collapsed="false">
      <c r="C135" s="1" t="s">
        <v>472</v>
      </c>
      <c r="D135" s="12" t="s">
        <v>33</v>
      </c>
      <c r="I135" s="48" t="n">
        <f aca="false">SUM(J135:EO135)</f>
        <v>129732.791267351</v>
      </c>
      <c r="J135" s="48" t="n">
        <f aca="false">J133+J89+J97+$E94*J14</f>
        <v>0</v>
      </c>
      <c r="K135" s="48" t="n">
        <f aca="false">K133+K89+K97+$E94*K14</f>
        <v>0</v>
      </c>
      <c r="L135" s="48" t="n">
        <f aca="false">L133+L89+L97+$E94*L14</f>
        <v>0</v>
      </c>
      <c r="M135" s="48" t="n">
        <f aca="false">M133+M89+M97+$E94*M14</f>
        <v>0</v>
      </c>
      <c r="N135" s="48" t="n">
        <f aca="false">N133+N89+N97+$E94*N14</f>
        <v>0</v>
      </c>
      <c r="O135" s="48" t="n">
        <f aca="false">O133+O89+O97+$E94*O14</f>
        <v>0</v>
      </c>
      <c r="P135" s="48" t="n">
        <f aca="false">P133+P89+P97+$E94*P14</f>
        <v>0</v>
      </c>
      <c r="Q135" s="48" t="n">
        <f aca="false">Q133+Q89+Q97+$E94*Q14</f>
        <v>0</v>
      </c>
      <c r="R135" s="48" t="n">
        <f aca="false">R133+R89+R97+$E94*R14</f>
        <v>0</v>
      </c>
      <c r="S135" s="48" t="n">
        <f aca="false">S133+S89+S97+$E94*S14</f>
        <v>0</v>
      </c>
      <c r="T135" s="48" t="n">
        <f aca="false">T133+T89+T97+$E94*T14</f>
        <v>0</v>
      </c>
      <c r="U135" s="48" t="n">
        <f aca="false">U133+U89+U97+$E94*U14</f>
        <v>0</v>
      </c>
      <c r="V135" s="48" t="n">
        <f aca="false">V133+V89+V97+$E94*V14</f>
        <v>0</v>
      </c>
      <c r="W135" s="48" t="n">
        <f aca="false">W133+W89+W97+$E94*W14</f>
        <v>0</v>
      </c>
      <c r="X135" s="48" t="n">
        <f aca="false">X133+X89+X97+$E94*X14</f>
        <v>0</v>
      </c>
      <c r="Y135" s="48" t="n">
        <f aca="false">Y133+Y89+Y97+$E94*Y14</f>
        <v>-73405.513647373</v>
      </c>
      <c r="Z135" s="48" t="n">
        <f aca="false">Z133+Z89+Z97+$E94*Z14</f>
        <v>1392.55914281483</v>
      </c>
      <c r="AA135" s="48" t="n">
        <f aca="false">AA133+AA89+AA97+$E94*AA14</f>
        <v>1371.45687178281</v>
      </c>
      <c r="AB135" s="48" t="n">
        <f aca="false">AB133+AB89+AB97+$E94*AB14</f>
        <v>1386.22086233696</v>
      </c>
      <c r="AC135" s="48" t="n">
        <f aca="false">AC133+AC89+AC97+$E94*AC14</f>
        <v>1400.97677595446</v>
      </c>
      <c r="AD135" s="48" t="n">
        <f aca="false">AD133+AD89+AD97+$E94*AD14</f>
        <v>1390.29616705721</v>
      </c>
      <c r="AE135" s="48" t="n">
        <f aca="false">AE133+AE89+AE97+$E94*AE14</f>
        <v>1351.72474780482</v>
      </c>
      <c r="AF135" s="48" t="n">
        <f aca="false">AF133+AF89+AF97+$E94*AF14</f>
        <v>1351.29945580155</v>
      </c>
      <c r="AG135" s="48" t="n">
        <f aca="false">AG133+AG89+AG97+$E94*AG14</f>
        <v>1365.21752820946</v>
      </c>
      <c r="AH135" s="48" t="n">
        <f aca="false">AH133+AH89+AH97+$E94*AH14</f>
        <v>1360.38460432097</v>
      </c>
      <c r="AI135" s="48" t="n">
        <f aca="false">AI133+AI89+AI97+$E94*AI14</f>
        <v>1339.33516485586</v>
      </c>
      <c r="AJ135" s="48" t="n">
        <f aca="false">AJ133+AJ89+AJ97+$E94*AJ14</f>
        <v>1370.34291234756</v>
      </c>
      <c r="AK135" s="48" t="n">
        <f aca="false">AK133+AK89+AK97+$E94*AK14</f>
        <v>1384.45349428789</v>
      </c>
      <c r="AL135" s="48" t="n">
        <f aca="false">AL133+AL89+AL97+$E94*AL14</f>
        <v>1379.55611957687</v>
      </c>
      <c r="AM135" s="48" t="n">
        <f aca="false">AM133+AM89+AM97+$E94*AM14</f>
        <v>1357.93618433621</v>
      </c>
      <c r="AN135" s="48" t="n">
        <f aca="false">AN133+AN89+AN97+$E94*AN14</f>
        <v>1372.07807225946</v>
      </c>
      <c r="AO135" s="48" t="n">
        <f aca="false">AO133+AO89+AO97+$E94*AO14</f>
        <v>1386.20355243336</v>
      </c>
      <c r="AP135" s="48" t="n">
        <f aca="false">AP133+AP89+AP97+$E94*AP14</f>
        <v>1381.25287773641</v>
      </c>
      <c r="AQ135" s="48" t="n">
        <f aca="false">AQ133+AQ89+AQ97+$E94*AQ14</f>
        <v>1359.44725599279</v>
      </c>
      <c r="AR135" s="48" t="n">
        <f aca="false">AR133+AR89+AR97+$E94*AR14</f>
        <v>1373.60205706491</v>
      </c>
      <c r="AS135" s="48" t="n">
        <f aca="false">AS133+AS89+AS97+$E94*AS14</f>
        <v>1387.74011657251</v>
      </c>
      <c r="AT135" s="48" t="n">
        <f aca="false">AT133+AT89+AT97+$E94*AT14</f>
        <v>1382.73491773324</v>
      </c>
      <c r="AU135" s="48" t="n">
        <f aca="false">AU133+AU89+AU97+$E94*AU14</f>
        <v>1375.43453427299</v>
      </c>
      <c r="AV135" s="48" t="n">
        <f aca="false">AV133+AV89+AV97+$E94*AV14</f>
        <v>1374.89545433308</v>
      </c>
      <c r="AW135" s="48" t="n">
        <f aca="false">AW133+AW89+AW97+$E94*AW14</f>
        <v>1389.04355198578</v>
      </c>
      <c r="AX135" s="48" t="n">
        <f aca="false">AX133+AX89+AX97+$E94*AX14</f>
        <v>1383.98242566168</v>
      </c>
      <c r="AY135" s="48" t="n">
        <f aca="false">AY133+AY89+AY97+$E94*AY14</f>
        <v>1361.79745225747</v>
      </c>
      <c r="AZ135" s="48" t="n">
        <f aca="false">AZ133+AZ89+AZ97+$E94*AZ14</f>
        <v>1375.97064819389</v>
      </c>
      <c r="BA135" s="48" t="n">
        <f aca="false">BA133+BA89+BA97+$E94*BA14</f>
        <v>1390.12639459455</v>
      </c>
      <c r="BB135" s="48" t="n">
        <f aca="false">BB133+BB89+BB97+$E94*BB14</f>
        <v>1385.00813797276</v>
      </c>
      <c r="BC135" s="48" t="n">
        <f aca="false">BC133+BC89+BC97+$E94*BC14</f>
        <v>1362.62947945528</v>
      </c>
      <c r="BD135" s="48" t="n">
        <f aca="false">BD133+BD89+BD97+$E94*BD14</f>
        <v>1376.80808498662</v>
      </c>
      <c r="BE135" s="48" t="n">
        <f aca="false">BE133+BE89+BE97+$E94*BE14</f>
        <v>1390.96886711233</v>
      </c>
      <c r="BF135" s="48" t="n">
        <f aca="false">BF133+BF89+BF97+$E94*BF14</f>
        <v>1385.79209934493</v>
      </c>
      <c r="BG135" s="48" t="n">
        <f aca="false">BG133+BG89+BG97+$E94*BG14</f>
        <v>1363.21694197296</v>
      </c>
      <c r="BH135" s="48" t="n">
        <f aca="false">BH133+BH89+BH97+$E94*BH14</f>
        <v>1377.39825328785</v>
      </c>
      <c r="BI135" s="48" t="n">
        <f aca="false">BI133+BI89+BI97+$E94*BI14</f>
        <v>1391.56135275236</v>
      </c>
      <c r="BJ135" s="48" t="n">
        <f aca="false">BJ133+BJ89+BJ97+$E94*BJ14</f>
        <v>1386.32463590851</v>
      </c>
      <c r="BK135" s="48" t="n">
        <f aca="false">BK133+BK89+BK97+$E94*BK14</f>
        <v>1378.38074772005</v>
      </c>
      <c r="BL135" s="48" t="n">
        <f aca="false">BL133+BL89+BL97+$E94*BL14</f>
        <v>1377.72031293265</v>
      </c>
      <c r="BM135" s="48" t="n">
        <f aca="false">BM133+BM89+BM97+$E94*BM14</f>
        <v>1391.88277293514</v>
      </c>
      <c r="BN135" s="48" t="n">
        <f aca="false">BN133+BN89+BN97+$E94*BN14</f>
        <v>1386.58447871656</v>
      </c>
      <c r="BO135" s="48" t="n">
        <f aca="false">BO133+BO89+BO97+$E94*BO14</f>
        <v>1363.60742883447</v>
      </c>
      <c r="BP135" s="48" t="n">
        <f aca="false">BP133+BP89+BP97+$E94*BP14</f>
        <v>1377.78546792516</v>
      </c>
      <c r="BQ135" s="48" t="n">
        <f aca="false">BQ133+BQ89+BQ97+$E94*BQ14</f>
        <v>1391.94447025881</v>
      </c>
      <c r="BR135" s="48" t="n">
        <f aca="false">BR133+BR89+BR97+$E94*BR14</f>
        <v>1386.58316280647</v>
      </c>
      <c r="BS135" s="48" t="n">
        <f aca="false">BS133+BS89+BS97+$E94*BS14</f>
        <v>1363.40067641479</v>
      </c>
      <c r="BT135" s="48" t="n">
        <f aca="false">BT133+BT89+BT97+$E94*BT14</f>
        <v>1377.57263512143</v>
      </c>
      <c r="BU135" s="48" t="n">
        <f aca="false">BU133+BU89+BU97+$E94*BU14</f>
        <v>1391.72512066484</v>
      </c>
      <c r="BV135" s="48" t="n">
        <f aca="false">BV133+BV89+BV97+$E94*BV14</f>
        <v>1386.29917398599</v>
      </c>
      <c r="BW135" s="48" t="n">
        <f aca="false">BW133+BW89+BW97+$E94*BW14</f>
        <v>1362.90809939568</v>
      </c>
      <c r="BX135" s="48" t="n">
        <f aca="false">BX133+BX89+BX97+$E94*BX14</f>
        <v>1377.07081390023</v>
      </c>
      <c r="BY135" s="48" t="n">
        <f aca="false">BY133+BY89+BY97+$E94*BY14</f>
        <v>1391.21360137095</v>
      </c>
      <c r="BZ135" s="48" t="n">
        <f aca="false">BZ133+BZ89+BZ97+$E94*BZ14</f>
        <v>1385.72132092258</v>
      </c>
      <c r="CA135" s="48" t="n">
        <f aca="false">CA133+CA89+CA97+$E94*CA14</f>
        <v>1377.06257876944</v>
      </c>
      <c r="CB135" s="48" t="n">
        <f aca="false">CB133+CB89+CB97+$E94*CB14</f>
        <v>1376.25753187902</v>
      </c>
      <c r="CC135" s="48" t="n">
        <f aca="false">CC133+CC89+CC97+$E94*CC14</f>
        <v>1390.38718311829</v>
      </c>
      <c r="CD135" s="48" t="n">
        <f aca="false">CD133+CD89+CD97+$E94*CD14</f>
        <v>1384.82667097674</v>
      </c>
      <c r="CE135" s="48" t="n">
        <f aca="false">CE133+CE89+CE97+$E94*CE14</f>
        <v>1361.00845614214</v>
      </c>
      <c r="CF135" s="48" t="n">
        <f aca="false">CF133+CF89+CF97+$E94*CF14</f>
        <v>1375.14254736351</v>
      </c>
      <c r="CG135" s="48" t="n">
        <f aca="false">CG133+CG89+CG97+$E94*CG14</f>
        <v>1389.2557465565</v>
      </c>
      <c r="CH135" s="48" t="n">
        <f aca="false">CH133+CH89+CH97+$E94*CH14</f>
        <v>1383.62528660295</v>
      </c>
      <c r="CI135" s="48" t="n">
        <f aca="false">CI133+CI89+CI97+$E94*CI14</f>
        <v>1359.58844922574</v>
      </c>
      <c r="CJ135" s="48" t="n">
        <f aca="false">CJ133+CJ89+CJ97+$E94*CJ14</f>
        <v>1373.70302316529</v>
      </c>
      <c r="CK135" s="48" t="n">
        <f aca="false">CK133+CK89+CK97+$E94*CK14</f>
        <v>1387.79619372517</v>
      </c>
      <c r="CL135" s="48" t="n">
        <f aca="false">CL133+CL89+CL97+$E94*CL14</f>
        <v>1382.09386556742</v>
      </c>
      <c r="CM135" s="48" t="n">
        <f aca="false">CM133+CM89+CM97+$E94*CM14</f>
        <v>1357.83485874052</v>
      </c>
      <c r="CN135" s="48" t="n">
        <f aca="false">CN133+CN89+CN97+$E94*CN14</f>
        <v>1371.92621791199</v>
      </c>
      <c r="CO135" s="48" t="n">
        <f aca="false">CO133+CO89+CO97+$E94*CO14</f>
        <v>1385.99564140895</v>
      </c>
      <c r="CP135" s="48" t="n">
        <f aca="false">CP133+CP89+CP97+$E94*CP14</f>
        <v>1380.21944229057</v>
      </c>
      <c r="CQ135" s="48" t="n">
        <f aca="false">CQ133+CQ89+CQ97+$E94*CQ14</f>
        <v>1370.76523802716</v>
      </c>
      <c r="CR135" s="48" t="n">
        <f aca="false">CR133+CR89+CR97+$E94*CR14</f>
        <v>1369.787784713</v>
      </c>
      <c r="CS135" s="48" t="n">
        <f aca="false">CS133+CS89+CS97+$E94*CS14</f>
        <v>2292.21691256103</v>
      </c>
      <c r="CT135" s="48" t="n">
        <f aca="false">CT133+CT89+CT97+$E94*CT14</f>
        <v>2276.85258115707</v>
      </c>
      <c r="CU135" s="48" t="n">
        <f aca="false">CU133+CU89+CU97+$E94*CU14</f>
        <v>2237.7017294597</v>
      </c>
      <c r="CV135" s="48" t="n">
        <f aca="false">CV133+CV89+CV97+$E94*CV14</f>
        <v>2262.56508200925</v>
      </c>
      <c r="CW135" s="48" t="n">
        <f aca="false">CW133+CW89+CW97+$E94*CW14</f>
        <v>2287.42843455881</v>
      </c>
      <c r="CX135" s="48" t="n">
        <f aca="false">CX133+CX89+CX97+$E94*CX14</f>
        <v>2279.38239570403</v>
      </c>
      <c r="CY135" s="48" t="n">
        <f aca="false">CY133+CY89+CY97+$E94*CY14</f>
        <v>2239.92792695099</v>
      </c>
      <c r="CZ135" s="48" t="n">
        <f aca="false">CZ133+CZ89+CZ97+$E94*CZ14</f>
        <v>2264.81601502822</v>
      </c>
      <c r="DA135" s="48" t="n">
        <f aca="false">DA133+DA89+DA97+$E94*DA14</f>
        <v>2289.70410310546</v>
      </c>
      <c r="DB135" s="48" t="n">
        <f aca="false">DB133+DB89+DB97+$E94*DB14</f>
        <v>2127.75796595667</v>
      </c>
      <c r="DC135" s="48" t="n">
        <f aca="false">DC133+DC89+DC97+$E94*DC14</f>
        <v>2091.34156892558</v>
      </c>
      <c r="DD135" s="48" t="n">
        <f aca="false">DD133+DD89+DD97+$E94*DD14</f>
        <v>2114.5786974692</v>
      </c>
      <c r="DE135" s="48" t="n">
        <f aca="false">DE133+DE89+DE97+$E94*DE14</f>
        <v>2137.81582601281</v>
      </c>
      <c r="DF135" s="48" t="n">
        <f aca="false">DF133+DF89+DF97+$E94*DF14</f>
        <v>2129.67377475099</v>
      </c>
      <c r="DG135" s="48" t="n">
        <f aca="false">DG133+DG89+DG97+$E94*DG14</f>
        <v>2116.20284972323</v>
      </c>
      <c r="DH135" s="48" t="n">
        <f aca="false">DH133+DH89+DH97+$E94*DH14</f>
        <v>2116.20284972323</v>
      </c>
      <c r="DI135" s="48" t="n">
        <f aca="false">DI133+DI89+DI97+$E94*DI14</f>
        <v>2139.45782609381</v>
      </c>
      <c r="DJ135" s="48" t="n">
        <f aca="false">DJ133+DJ89+DJ97+$E94*DJ14</f>
        <v>2131.26763373715</v>
      </c>
      <c r="DK135" s="48" t="n">
        <f aca="false">DK133+DK89+DK97+$E94*DK14</f>
        <v>2094.22922134031</v>
      </c>
      <c r="DL135" s="48" t="n">
        <f aca="false">DL133+DL89+DL97+$E94*DL14</f>
        <v>2117.49843491076</v>
      </c>
      <c r="DM135" s="48" t="n">
        <f aca="false">DM133+DM89+DM97+$E94*DM14</f>
        <v>2140.76764848121</v>
      </c>
      <c r="DN135" s="48" t="n">
        <f aca="false">DN133+DN89+DN97+$E94*DN14</f>
        <v>2132.52923118543</v>
      </c>
      <c r="DO135" s="48" t="n">
        <f aca="false">DO133+DO89+DO97+$E94*DO14</f>
        <v>2095.17525809415</v>
      </c>
      <c r="DP135" s="48" t="n">
        <f aca="false">DP133+DP89+DP97+$E94*DP14</f>
        <v>2118.45498318408</v>
      </c>
      <c r="DQ135" s="48" t="n">
        <f aca="false">DQ133+DQ89+DQ97+$E94*DQ14</f>
        <v>2141.73470827402</v>
      </c>
      <c r="DR135" s="48" t="n">
        <f aca="false">DR133+DR89+DR97+$E94*DR14</f>
        <v>2133.4479869401</v>
      </c>
      <c r="DS135" s="48" t="n">
        <f aca="false">DS133+DS89+DS97+$E94*DS14</f>
        <v>2095.77535956</v>
      </c>
      <c r="DT135" s="48" t="n">
        <f aca="false">DT133+DT89+DT97+$E94*DT14</f>
        <v>2119.061752444</v>
      </c>
      <c r="DU135" s="48" t="n">
        <f aca="false">DU133+DU89+DU97+$E94*DU14</f>
        <v>2142.348145328</v>
      </c>
      <c r="DV135" s="48" t="n">
        <f aca="false">DV133+DV89+DV97+$E94*DV14</f>
        <v>2134.01304575269</v>
      </c>
      <c r="DW135" s="48" t="n">
        <f aca="false">DW133+DW89+DW97+$E94*DW14</f>
        <v>2119.30772157993</v>
      </c>
      <c r="DX135" s="48" t="n">
        <f aca="false">DX133+DX89+DX97+$E94*DX14</f>
        <v>2119.30772157993</v>
      </c>
      <c r="DY135" s="48" t="n">
        <f aca="false">DY133+DY89+DY97+$E94*DY14</f>
        <v>2142.59681742147</v>
      </c>
      <c r="DZ135" s="48" t="n">
        <f aca="false">DZ133+DZ89+DZ97+$E94*DZ14</f>
        <v>2134.2132704514</v>
      </c>
      <c r="EA135" s="48" t="n">
        <f aca="false">EA133+EA89+EA97+$E94*EA14</f>
        <v>2095.89387383467</v>
      </c>
      <c r="EB135" s="48" t="n">
        <f aca="false">EB133+EB89+EB97+$E94*EB14</f>
        <v>2119.18158354395</v>
      </c>
      <c r="EC135" s="48" t="n">
        <f aca="false">EC133+EC89+EC97+$E94*EC14</f>
        <v>2142.46929325322</v>
      </c>
      <c r="ED135" s="48" t="n">
        <f aca="false">ED133+ED89+ED97+$E94*ED14</f>
        <v>2134.03723494271</v>
      </c>
      <c r="EE135" s="48" t="n">
        <f aca="false">EE133+EE89+EE97+$E94*EE14</f>
        <v>2095.38963124086</v>
      </c>
      <c r="EF135" s="48" t="n">
        <f aca="false">EF133+EF89+EF97+$E94*EF14</f>
        <v>2118.67173825464</v>
      </c>
      <c r="EG135" s="48" t="n">
        <f aca="false">EG133+EG89+EG97+$E94*EG14</f>
        <v>2141.95384526843</v>
      </c>
      <c r="EH135" s="48" t="n">
        <f aca="false">EH133+EH89+EH97+$E94*EH14</f>
        <v>2133.47321704111</v>
      </c>
      <c r="EI135" s="48" t="n">
        <f aca="false">EI133+EI89+EI97+$E94*EI14</f>
        <v>2094.49412834513</v>
      </c>
      <c r="EJ135" s="48" t="n">
        <f aca="false">EJ133+EJ89+EJ97+$E94*EJ14</f>
        <v>2117.76628532674</v>
      </c>
      <c r="EK135" s="48" t="n">
        <f aca="false">EK133+EK89+EK97+$E94*EK14</f>
        <v>2141.03844230835</v>
      </c>
      <c r="EL135" s="48" t="n">
        <f aca="false">EL133+EL89+EL97+$E94*EL14</f>
        <v>2132.50919112262</v>
      </c>
      <c r="EM135" s="48" t="n">
        <f aca="false">EM133+EM89+EM97+$E94*EM14</f>
        <v>2116.45301662203</v>
      </c>
      <c r="EN135" s="48" t="n">
        <f aca="false">EN133+EN89+EN97+$E94*EN14</f>
        <v>2116.45301662203</v>
      </c>
      <c r="EO135" s="48" t="n">
        <f aca="false">EO133+EO89+EO97+$E94*EO14</f>
        <v>2139.71074207941</v>
      </c>
    </row>
    <row r="136" customFormat="false" ht="15" hidden="false" customHeight="false" outlineLevel="0" collapsed="false">
      <c r="C136" s="26" t="s">
        <v>473</v>
      </c>
      <c r="D136" s="12" t="s">
        <v>27</v>
      </c>
      <c r="E136" s="34" t="n">
        <f aca="false">XIRR($J135:$EO135,$J$4:$EO$4)</f>
        <v>0.0754971888634913</v>
      </c>
    </row>
    <row r="138" customFormat="false" ht="15" hidden="false" customHeight="false" outlineLevel="0" collapsed="false">
      <c r="A138" s="10" t="s">
        <v>13</v>
      </c>
      <c r="B138" s="10"/>
      <c r="C138" s="10" t="s">
        <v>474</v>
      </c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  <c r="CK138" s="10"/>
      <c r="CL138" s="10"/>
      <c r="CM138" s="10"/>
      <c r="CN138" s="10"/>
      <c r="CO138" s="10"/>
      <c r="CP138" s="10"/>
      <c r="CQ138" s="10"/>
      <c r="CR138" s="10"/>
      <c r="CS138" s="10"/>
      <c r="CT138" s="10"/>
      <c r="CU138" s="10"/>
      <c r="CV138" s="10"/>
      <c r="CW138" s="10"/>
      <c r="CX138" s="10"/>
      <c r="CY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  <c r="DL138" s="10"/>
      <c r="DM138" s="10"/>
      <c r="DN138" s="10"/>
      <c r="DO138" s="10"/>
      <c r="DP138" s="10"/>
      <c r="DQ138" s="10"/>
      <c r="DR138" s="10"/>
      <c r="DS138" s="10"/>
      <c r="DT138" s="10"/>
      <c r="DU138" s="10"/>
      <c r="DV138" s="10"/>
      <c r="DW138" s="10"/>
      <c r="DX138" s="10"/>
      <c r="DY138" s="10"/>
      <c r="DZ138" s="10"/>
      <c r="EA138" s="10"/>
      <c r="EB138" s="10"/>
      <c r="EC138" s="10"/>
      <c r="ED138" s="10"/>
      <c r="EE138" s="10"/>
      <c r="EF138" s="10"/>
      <c r="EG138" s="10"/>
      <c r="EH138" s="10"/>
      <c r="EI138" s="10"/>
      <c r="EJ138" s="10"/>
      <c r="EK138" s="10"/>
      <c r="EL138" s="10"/>
      <c r="EM138" s="10"/>
      <c r="EN138" s="10"/>
      <c r="EO138" s="10"/>
    </row>
    <row r="139" customFormat="false" ht="15" hidden="false" customHeight="false" outlineLevel="0" collapsed="false">
      <c r="C139" s="1" t="s">
        <v>475</v>
      </c>
      <c r="D139" s="12" t="s">
        <v>33</v>
      </c>
      <c r="I139" s="48" t="n">
        <f aca="false">SUM(J139:EO139)</f>
        <v>186542.075634911</v>
      </c>
      <c r="J139" s="48" t="n">
        <f aca="false">J59+J66+J79+J58+J108</f>
        <v>-4662.80993807469</v>
      </c>
      <c r="K139" s="48" t="n">
        <f aca="false">K59+K66+K79+K58+K108</f>
        <v>-706.535577057768</v>
      </c>
      <c r="L139" s="48" t="n">
        <f aca="false">L59+L66+L79+L58+L108</f>
        <v>-104.360496659404</v>
      </c>
      <c r="M139" s="48" t="n">
        <f aca="false">M59+M66+M79+M58+M108</f>
        <v>-105.507315304013</v>
      </c>
      <c r="N139" s="48" t="n">
        <f aca="false">N59+N66+N79+N58+N108</f>
        <v>-105.507315304013</v>
      </c>
      <c r="O139" s="48" t="n">
        <f aca="false">O59+O66+O79+O58+O108</f>
        <v>-104.360496659404</v>
      </c>
      <c r="P139" s="48" t="n">
        <f aca="false">P59+P66+P79+P58+P108</f>
        <v>-104.360496659404</v>
      </c>
      <c r="Q139" s="48" t="n">
        <f aca="false">Q59+Q66+Q79+Q58+Q108</f>
        <v>-105.507315304013</v>
      </c>
      <c r="R139" s="48" t="n">
        <f aca="false">R59+R66+R79+R58+R108</f>
        <v>-8029.46084763546</v>
      </c>
      <c r="S139" s="48" t="n">
        <f aca="false">S59+S66+S79+S58+S108</f>
        <v>-16010.74701985</v>
      </c>
      <c r="T139" s="48" t="n">
        <f aca="false">T59+T66+T79+T58+T108</f>
        <v>-7943.21191215576</v>
      </c>
      <c r="U139" s="48" t="n">
        <f aca="false">U59+U66+U79+U58+U108</f>
        <v>-8030.49995514649</v>
      </c>
      <c r="V139" s="48" t="n">
        <f aca="false">V59+V66+V79+V58+V108</f>
        <v>-8030.49995514649</v>
      </c>
      <c r="W139" s="48" t="n">
        <f aca="false">W59+W66+W79+W58+W108</f>
        <v>-7856.96580033778</v>
      </c>
      <c r="X139" s="48" t="n">
        <f aca="false">X59+X66+X79+X58+X108</f>
        <v>-7944.26542034153</v>
      </c>
      <c r="Y139" s="48" t="n">
        <f aca="false">Y59+Y66+Y79+Y58+Y108</f>
        <v>-10531.5650403453</v>
      </c>
      <c r="Z139" s="48" t="n">
        <f aca="false">Z59+Z66+Z79+Z58+Z108</f>
        <v>2300.94659077018</v>
      </c>
      <c r="AA139" s="48" t="n">
        <f aca="false">AA59+AA66+AA79+AA58+AA108</f>
        <v>2266.07898831382</v>
      </c>
      <c r="AB139" s="48" t="n">
        <f aca="false">AB59+AB66+AB79+AB58+AB108</f>
        <v>2290.47375381228</v>
      </c>
      <c r="AC139" s="48" t="n">
        <f aca="false">AC59+AC66+AC79+AC58+AC108</f>
        <v>2314.85517366584</v>
      </c>
      <c r="AD139" s="48" t="n">
        <f aca="false">AD59+AD66+AD79+AD58+AD108</f>
        <v>2297.20744160619</v>
      </c>
      <c r="AE139" s="48" t="n">
        <f aca="false">AE59+AE66+AE79+AE58+AE108</f>
        <v>2233.47530061397</v>
      </c>
      <c r="AF139" s="48" t="n">
        <f aca="false">AF59+AF66+AF79+AF58+AF108</f>
        <v>2232.77258418714</v>
      </c>
      <c r="AG139" s="48" t="n">
        <f aca="false">AG59+AG66+AG79+AG58+AG108</f>
        <v>2255.76962630366</v>
      </c>
      <c r="AH139" s="48" t="n">
        <f aca="false">AH59+AH66+AH79+AH58+AH108</f>
        <v>2247.78411286817</v>
      </c>
      <c r="AI139" s="48" t="n">
        <f aca="false">AI59+AI66+AI79+AI58+AI108</f>
        <v>2213.00380481104</v>
      </c>
      <c r="AJ139" s="48" t="n">
        <f aca="false">AJ59+AJ66+AJ79+AJ58+AJ108</f>
        <v>2264.23837624495</v>
      </c>
      <c r="AK139" s="48" t="n">
        <f aca="false">AK59+AK66+AK79+AK58+AK108</f>
        <v>2287.55350478145</v>
      </c>
      <c r="AL139" s="48" t="n">
        <f aca="false">AL59+AL66+AL79+AL58+AL108</f>
        <v>2279.46149827445</v>
      </c>
      <c r="AM139" s="48" t="n">
        <f aca="false">AM59+AM66+AM79+AM58+AM108</f>
        <v>2243.73855139544</v>
      </c>
      <c r="AN139" s="48" t="n">
        <f aca="false">AN59+AN66+AN79+AN58+AN108</f>
        <v>2267.10540728229</v>
      </c>
      <c r="AO139" s="48" t="n">
        <f aca="false">AO59+AO66+AO79+AO58+AO108</f>
        <v>2290.44515239607</v>
      </c>
      <c r="AP139" s="48" t="n">
        <f aca="false">AP59+AP66+AP79+AP58+AP108</f>
        <v>2282.26507751399</v>
      </c>
      <c r="AQ139" s="48" t="n">
        <f aca="false">AQ59+AQ66+AQ79+AQ58+AQ108</f>
        <v>2246.23531801011</v>
      </c>
      <c r="AR139" s="48" t="n">
        <f aca="false">AR59+AR66+AR79+AR58+AR108</f>
        <v>2269.62351048867</v>
      </c>
      <c r="AS139" s="48" t="n">
        <f aca="false">AS59+AS66+AS79+AS58+AS108</f>
        <v>2292.9840406263</v>
      </c>
      <c r="AT139" s="48" t="n">
        <f aca="false">AT59+AT66+AT79+AT58+AT108</f>
        <v>2284.71387467699</v>
      </c>
      <c r="AU139" s="48" t="n">
        <f aca="false">AU59+AU66+AU79+AU58+AU108</f>
        <v>2272.6513403704</v>
      </c>
      <c r="AV139" s="48" t="n">
        <f aca="false">AV59+AV66+AV79+AV58+AV108</f>
        <v>2271.76061041021</v>
      </c>
      <c r="AW139" s="48" t="n">
        <f aca="false">AW59+AW66+AW79+AW58+AW108</f>
        <v>2295.13772672722</v>
      </c>
      <c r="AX139" s="48" t="n">
        <f aca="false">AX59+AX66+AX79+AX58+AX108</f>
        <v>2286.77515094656</v>
      </c>
      <c r="AY139" s="48" t="n">
        <f aca="false">AY59+AY66+AY79+AY58+AY108</f>
        <v>2250.11858294074</v>
      </c>
      <c r="AZ139" s="48" t="n">
        <f aca="false">AZ59+AZ66+AZ79+AZ58+AZ108</f>
        <v>2273.53716953258</v>
      </c>
      <c r="BA139" s="48" t="n">
        <f aca="false">BA59+BA66+BA79+BA58+BA108</f>
        <v>2296.92692399184</v>
      </c>
      <c r="BB139" s="48" t="n">
        <f aca="false">BB59+BB66+BB79+BB58+BB108</f>
        <v>2288.46995095388</v>
      </c>
      <c r="BC139" s="48" t="n">
        <f aca="false">BC59+BC66+BC79+BC58+BC108</f>
        <v>2251.49335409804</v>
      </c>
      <c r="BD139" s="48" t="n">
        <f aca="false">BD59+BD66+BD79+BD58+BD108</f>
        <v>2274.92087904561</v>
      </c>
      <c r="BE139" s="48" t="n">
        <f aca="false">BE59+BE66+BE79+BE58+BE108</f>
        <v>2298.31895410975</v>
      </c>
      <c r="BF139" s="48" t="n">
        <f aca="false">BF59+BF66+BF79+BF58+BF108</f>
        <v>2289.76530221853</v>
      </c>
      <c r="BG139" s="48" t="n">
        <f aca="false">BG59+BG66+BG79+BG58+BG108</f>
        <v>2252.46402732537</v>
      </c>
      <c r="BH139" s="48" t="n">
        <f aca="false">BH59+BH66+BH79+BH58+BH108</f>
        <v>2275.89602308012</v>
      </c>
      <c r="BI139" s="48" t="n">
        <f aca="false">BI59+BI66+BI79+BI58+BI108</f>
        <v>2299.2979271183</v>
      </c>
      <c r="BJ139" s="48" t="n">
        <f aca="false">BJ59+BJ66+BJ79+BJ58+BJ108</f>
        <v>2290.64522045888</v>
      </c>
      <c r="BK139" s="48" t="n">
        <f aca="false">BK59+BK66+BK79+BK58+BK108</f>
        <v>2277.5194135307</v>
      </c>
      <c r="BL139" s="48" t="n">
        <f aca="false">BL59+BL66+BL79+BL58+BL108</f>
        <v>2276.42816711555</v>
      </c>
      <c r="BM139" s="48" t="n">
        <f aca="false">BM59+BM66+BM79+BM58+BM108</f>
        <v>2299.82901456092</v>
      </c>
      <c r="BN139" s="48" t="n">
        <f aca="false">BN59+BN66+BN79+BN58+BN108</f>
        <v>2291.07456267138</v>
      </c>
      <c r="BO139" s="48" t="n">
        <f aca="false">BO59+BO66+BO79+BO58+BO108</f>
        <v>2253.10923468878</v>
      </c>
      <c r="BP139" s="48" t="n">
        <f aca="false">BP59+BP66+BP79+BP58+BP108</f>
        <v>2276.53582369783</v>
      </c>
      <c r="BQ139" s="48" t="n">
        <f aca="false">BQ59+BQ66+BQ79+BQ58+BQ108</f>
        <v>2299.93095798453</v>
      </c>
      <c r="BR139" s="48" t="n">
        <f aca="false">BR59+BR66+BR79+BR58+BR108</f>
        <v>2291.0723883732</v>
      </c>
      <c r="BS139" s="48" t="n">
        <f aca="false">BS59+BS66+BS79+BS58+BS108</f>
        <v>2252.7676145302</v>
      </c>
      <c r="BT139" s="48" t="n">
        <f aca="false">BT59+BT66+BT79+BT58+BT108</f>
        <v>2276.18415682849</v>
      </c>
      <c r="BU139" s="48" t="n">
        <f aca="false">BU59+BU66+BU79+BU58+BU108</f>
        <v>2299.56852332383</v>
      </c>
      <c r="BV139" s="48" t="n">
        <f aca="false">BV59+BV66+BV79+BV58+BV108</f>
        <v>2290.60314933822</v>
      </c>
      <c r="BW139" s="48" t="n">
        <f aca="false">BW59+BW66+BW79+BW58+BW108</f>
        <v>2251.95372205123</v>
      </c>
      <c r="BX139" s="48" t="n">
        <f aca="false">BX59+BX66+BX79+BX58+BX108</f>
        <v>2275.3549900142</v>
      </c>
      <c r="BY139" s="48" t="n">
        <f aca="false">BY59+BY66+BY79+BY58+BY108</f>
        <v>2298.72333223695</v>
      </c>
      <c r="BZ139" s="48" t="n">
        <f aca="false">BZ59+BZ66+BZ79+BZ58+BZ108</f>
        <v>2289.64835395796</v>
      </c>
      <c r="CA139" s="48" t="n">
        <f aca="false">CA59+CA66+CA79+CA58+CA108</f>
        <v>2275.34138298266</v>
      </c>
      <c r="CB139" s="48" t="n">
        <f aca="false">CB59+CB66+CB79+CB58+CB108</f>
        <v>2274.01119179652</v>
      </c>
      <c r="CC139" s="48" t="n">
        <f aca="false">CC59+CC66+CC79+CC58+CC108</f>
        <v>2297.35782882481</v>
      </c>
      <c r="CD139" s="48" t="n">
        <f aca="false">CD59+CD66+CD79+CD58+CD108</f>
        <v>2288.17011028439</v>
      </c>
      <c r="CE139" s="48" t="n">
        <f aca="false">CE59+CE66+CE79+CE58+CE108</f>
        <v>2248.81491269389</v>
      </c>
      <c r="CF139" s="48" t="n">
        <f aca="false">CF59+CF66+CF79+CF58+CF108</f>
        <v>2272.16888597195</v>
      </c>
      <c r="CG139" s="48" t="n">
        <f aca="false">CG59+CG66+CG79+CG58+CG108</f>
        <v>2295.48833903467</v>
      </c>
      <c r="CH139" s="48" t="n">
        <f aca="false">CH59+CH66+CH79+CH58+CH108</f>
        <v>2286.18504466367</v>
      </c>
      <c r="CI139" s="48" t="n">
        <f aca="false">CI59+CI66+CI79+CI58+CI108</f>
        <v>2246.46861373046</v>
      </c>
      <c r="CJ139" s="48" t="n">
        <f aca="false">CJ59+CJ66+CJ79+CJ58+CJ108</f>
        <v>2269.79033830776</v>
      </c>
      <c r="CK139" s="48" t="n">
        <f aca="false">CK59+CK66+CK79+CK58+CK108</f>
        <v>2293.07669775624</v>
      </c>
      <c r="CL139" s="48" t="n">
        <f aca="false">CL59+CL66+CL79+CL58+CL108</f>
        <v>2283.65465446152</v>
      </c>
      <c r="CM139" s="48" t="n">
        <f aca="false">CM59+CM66+CM79+CM58+CM108</f>
        <v>2243.57112957722</v>
      </c>
      <c r="CN139" s="48" t="n">
        <f aca="false">CN59+CN66+CN79+CN58+CN108</f>
        <v>2266.85449604117</v>
      </c>
      <c r="CO139" s="48" t="n">
        <f aca="false">CO59+CO66+CO79+CO58+CO108</f>
        <v>2290.10161785745</v>
      </c>
      <c r="CP139" s="48" t="n">
        <f aca="false">CP59+CP66+CP79+CP58+CP108</f>
        <v>2280.55751645417</v>
      </c>
      <c r="CQ139" s="48" t="n">
        <f aca="false">CQ59+CQ66+CQ79+CQ58+CQ108</f>
        <v>2264.93619137034</v>
      </c>
      <c r="CR139" s="48" t="n">
        <f aca="false">CR59+CR66+CR79+CR58+CR108</f>
        <v>2263.32113043559</v>
      </c>
      <c r="CS139" s="48" t="n">
        <f aca="false">CS59+CS66+CS79+CS58+CS108</f>
        <v>2286.52241107376</v>
      </c>
      <c r="CT139" s="48" t="n">
        <f aca="false">CT59+CT66+CT79+CT58+CT108</f>
        <v>2276.85258115707</v>
      </c>
      <c r="CU139" s="48" t="n">
        <f aca="false">CU59+CU66+CU79+CU58+CU108</f>
        <v>2237.7017294597</v>
      </c>
      <c r="CV139" s="48" t="n">
        <f aca="false">CV59+CV66+CV79+CV58+CV108</f>
        <v>2262.56508200925</v>
      </c>
      <c r="CW139" s="48" t="n">
        <f aca="false">CW59+CW66+CW79+CW58+CW108</f>
        <v>2287.42843455881</v>
      </c>
      <c r="CX139" s="48" t="n">
        <f aca="false">CX59+CX66+CX79+CX58+CX108</f>
        <v>2279.38239570403</v>
      </c>
      <c r="CY139" s="48" t="n">
        <f aca="false">CY59+CY66+CY79+CY58+CY108</f>
        <v>2239.92792695099</v>
      </c>
      <c r="CZ139" s="48" t="n">
        <f aca="false">CZ59+CZ66+CZ79+CZ58+CZ108</f>
        <v>2264.81601502822</v>
      </c>
      <c r="DA139" s="48" t="n">
        <f aca="false">DA59+DA66+DA79+DA58+DA108</f>
        <v>2289.70410310546</v>
      </c>
      <c r="DB139" s="48" t="n">
        <f aca="false">DB59+DB66+DB79+DB58+DB108</f>
        <v>2127.75796595667</v>
      </c>
      <c r="DC139" s="48" t="n">
        <f aca="false">DC59+DC66+DC79+DC58+DC108</f>
        <v>2091.34156892558</v>
      </c>
      <c r="DD139" s="48" t="n">
        <f aca="false">DD59+DD66+DD79+DD58+DD108</f>
        <v>2114.5786974692</v>
      </c>
      <c r="DE139" s="48" t="n">
        <f aca="false">DE59+DE66+DE79+DE58+DE108</f>
        <v>2137.81582601281</v>
      </c>
      <c r="DF139" s="48" t="n">
        <f aca="false">DF59+DF66+DF79+DF58+DF108</f>
        <v>2129.67377475099</v>
      </c>
      <c r="DG139" s="48" t="n">
        <f aca="false">DG59+DG66+DG79+DG58+DG108</f>
        <v>2116.20284972323</v>
      </c>
      <c r="DH139" s="48" t="n">
        <f aca="false">DH59+DH66+DH79+DH58+DH108</f>
        <v>2116.20284972323</v>
      </c>
      <c r="DI139" s="48" t="n">
        <f aca="false">DI59+DI66+DI79+DI58+DI108</f>
        <v>2139.45782609381</v>
      </c>
      <c r="DJ139" s="48" t="n">
        <f aca="false">DJ59+DJ66+DJ79+DJ58+DJ108</f>
        <v>2131.26763373715</v>
      </c>
      <c r="DK139" s="48" t="n">
        <f aca="false">DK59+DK66+DK79+DK58+DK108</f>
        <v>2094.22922134031</v>
      </c>
      <c r="DL139" s="48" t="n">
        <f aca="false">DL59+DL66+DL79+DL58+DL108</f>
        <v>2117.49843491076</v>
      </c>
      <c r="DM139" s="48" t="n">
        <f aca="false">DM59+DM66+DM79+DM58+DM108</f>
        <v>2140.76764848121</v>
      </c>
      <c r="DN139" s="48" t="n">
        <f aca="false">DN59+DN66+DN79+DN58+DN108</f>
        <v>2132.52923118543</v>
      </c>
      <c r="DO139" s="48" t="n">
        <f aca="false">DO59+DO66+DO79+DO58+DO108</f>
        <v>2095.17525809415</v>
      </c>
      <c r="DP139" s="48" t="n">
        <f aca="false">DP59+DP66+DP79+DP58+DP108</f>
        <v>2118.45498318408</v>
      </c>
      <c r="DQ139" s="48" t="n">
        <f aca="false">DQ59+DQ66+DQ79+DQ58+DQ108</f>
        <v>2141.73470827402</v>
      </c>
      <c r="DR139" s="48" t="n">
        <f aca="false">DR59+DR66+DR79+DR58+DR108</f>
        <v>2133.4479869401</v>
      </c>
      <c r="DS139" s="48" t="n">
        <f aca="false">DS59+DS66+DS79+DS58+DS108</f>
        <v>2095.77535956</v>
      </c>
      <c r="DT139" s="48" t="n">
        <f aca="false">DT59+DT66+DT79+DT58+DT108</f>
        <v>2119.061752444</v>
      </c>
      <c r="DU139" s="48" t="n">
        <f aca="false">DU59+DU66+DU79+DU58+DU108</f>
        <v>2142.348145328</v>
      </c>
      <c r="DV139" s="48" t="n">
        <f aca="false">DV59+DV66+DV79+DV58+DV108</f>
        <v>2134.01304575269</v>
      </c>
      <c r="DW139" s="48" t="n">
        <f aca="false">DW59+DW66+DW79+DW58+DW108</f>
        <v>2119.30772157993</v>
      </c>
      <c r="DX139" s="48" t="n">
        <f aca="false">DX59+DX66+DX79+DX58+DX108</f>
        <v>2119.30772157993</v>
      </c>
      <c r="DY139" s="48" t="n">
        <f aca="false">DY59+DY66+DY79+DY58+DY108</f>
        <v>2142.59681742147</v>
      </c>
      <c r="DZ139" s="48" t="n">
        <f aca="false">DZ59+DZ66+DZ79+DZ58+DZ108</f>
        <v>2134.2132704514</v>
      </c>
      <c r="EA139" s="48" t="n">
        <f aca="false">EA59+EA66+EA79+EA58+EA108</f>
        <v>2095.89387383467</v>
      </c>
      <c r="EB139" s="48" t="n">
        <f aca="false">EB59+EB66+EB79+EB58+EB108</f>
        <v>2119.18158354395</v>
      </c>
      <c r="EC139" s="48" t="n">
        <f aca="false">EC59+EC66+EC79+EC58+EC108</f>
        <v>2142.46929325322</v>
      </c>
      <c r="ED139" s="48" t="n">
        <f aca="false">ED59+ED66+ED79+ED58+ED108</f>
        <v>2134.03723494271</v>
      </c>
      <c r="EE139" s="48" t="n">
        <f aca="false">EE59+EE66+EE79+EE58+EE108</f>
        <v>2095.38963124086</v>
      </c>
      <c r="EF139" s="48" t="n">
        <f aca="false">EF59+EF66+EF79+EF58+EF108</f>
        <v>2118.67173825464</v>
      </c>
      <c r="EG139" s="48" t="n">
        <f aca="false">EG59+EG66+EG79+EG58+EG108</f>
        <v>2141.95384526843</v>
      </c>
      <c r="EH139" s="48" t="n">
        <f aca="false">EH59+EH66+EH79+EH58+EH108</f>
        <v>2133.47321704111</v>
      </c>
      <c r="EI139" s="48" t="n">
        <f aca="false">EI59+EI66+EI79+EI58+EI108</f>
        <v>2094.49412834513</v>
      </c>
      <c r="EJ139" s="48" t="n">
        <f aca="false">EJ59+EJ66+EJ79+EJ58+EJ108</f>
        <v>2117.76628532674</v>
      </c>
      <c r="EK139" s="48" t="n">
        <f aca="false">EK59+EK66+EK79+EK58+EK108</f>
        <v>2141.03844230835</v>
      </c>
      <c r="EL139" s="48" t="n">
        <f aca="false">EL59+EL66+EL79+EL58+EL108</f>
        <v>2132.50919112262</v>
      </c>
      <c r="EM139" s="48" t="n">
        <f aca="false">EM59+EM66+EM79+EM58+EM108</f>
        <v>2116.45301662203</v>
      </c>
      <c r="EN139" s="48" t="n">
        <f aca="false">EN59+EN66+EN79+EN58+EN108</f>
        <v>2116.45301662203</v>
      </c>
      <c r="EO139" s="48" t="n">
        <f aca="false">EO59+EO66+EO79+EO58+EO108</f>
        <v>2139.71074207941</v>
      </c>
    </row>
    <row r="140" customFormat="false" ht="15" hidden="false" customHeight="false" outlineLevel="0" collapsed="false">
      <c r="C140" s="26" t="s">
        <v>91</v>
      </c>
      <c r="D140" s="12" t="s">
        <v>27</v>
      </c>
      <c r="E140" s="34" t="n">
        <f aca="false">XIRR($J139:$EO139,$J$4:$EO$4)</f>
        <v>0.0981897026920008</v>
      </c>
    </row>
    <row r="141" customFormat="false" ht="15" hidden="false" customHeight="false" outlineLevel="0" collapsed="false">
      <c r="C141" s="26" t="s">
        <v>476</v>
      </c>
      <c r="D141" s="12" t="s">
        <v>33</v>
      </c>
      <c r="I141" s="57" t="n">
        <f aca="false">SUM(J141:EO141)</f>
        <v>161288.120273565</v>
      </c>
      <c r="J141" s="57" t="n">
        <f aca="false">J59+J66+J91+J95+J96+J79+J89+J97+J58+J108</f>
        <v>-4662.80993807469</v>
      </c>
      <c r="K141" s="57" t="n">
        <f aca="false">K59+K66+K91+K95+K96+K79+K89+K97+K58+K108</f>
        <v>-706.535577057768</v>
      </c>
      <c r="L141" s="57" t="n">
        <f aca="false">L59+L66+L91+L95+L96+L79+L89+L97+L58+L108</f>
        <v>-104.360496659404</v>
      </c>
      <c r="M141" s="57" t="n">
        <f aca="false">M59+M66+M91+M95+M96+M79+M89+M97+M58+M108</f>
        <v>-105.507315304013</v>
      </c>
      <c r="N141" s="57" t="n">
        <f aca="false">N59+N66+N91+N95+N96+N79+N89+N97+N58+N108</f>
        <v>-105.507315304013</v>
      </c>
      <c r="O141" s="57" t="n">
        <f aca="false">O59+O66+O91+O95+O96+O79+O89+O97+O58+O108</f>
        <v>-104.360496659404</v>
      </c>
      <c r="P141" s="57" t="n">
        <f aca="false">P59+P66+P91+P95+P96+P79+P89+P97+P58+P108</f>
        <v>-104.360496659404</v>
      </c>
      <c r="Q141" s="57" t="n">
        <f aca="false">Q59+Q66+Q91+Q95+Q96+Q79+Q89+Q97+Q58+Q108</f>
        <v>-105.507315304013</v>
      </c>
      <c r="R141" s="57" t="n">
        <f aca="false">R59+R66+R91+R95+R96+R79+R89+R97+R58+R108</f>
        <v>-4489.95849315338</v>
      </c>
      <c r="S141" s="57" t="n">
        <f aca="false">S59+S66+S91+S95+S96+S79+S89+S97+S58+S108</f>
        <v>-7326.12620687268</v>
      </c>
      <c r="T141" s="57" t="n">
        <f aca="false">T59+T66+T91+T95+T96+T79+T89+T97+T58+T108</f>
        <v>-3677.41596133854</v>
      </c>
      <c r="U141" s="57" t="n">
        <f aca="false">U59+U66+U91+U95+U96+U79+U89+U97+U58+U108</f>
        <v>-3708.01055317332</v>
      </c>
      <c r="V141" s="57" t="n">
        <f aca="false">V59+V66+V91+V95+V96+V79+V89+V97+V58+V108</f>
        <v>-3698.08610617388</v>
      </c>
      <c r="W141" s="57" t="n">
        <f aca="false">W59+W66+W91+W95+W96+W79+W89+W97+W58+W108</f>
        <v>-3609.02616297382</v>
      </c>
      <c r="X141" s="57" t="n">
        <f aca="false">X59+X66+X91+X95+X96+X79+X89+X97+X58+X108</f>
        <v>-3639.52328484964</v>
      </c>
      <c r="Y141" s="57" t="n">
        <f aca="false">Y59+Y66+Y91+Y95+Y96+Y79+Y89+Y97+Y58+Y108</f>
        <v>-5703.08892160144</v>
      </c>
      <c r="Z141" s="57" t="n">
        <f aca="false">Z59+Z66+Z91+Z95+Z96+Z79+Z89+Z97+Z58+Z108</f>
        <v>1392.55914281483</v>
      </c>
      <c r="AA141" s="57" t="n">
        <f aca="false">AA59+AA66+AA91+AA95+AA96+AA79+AA89+AA97+AA58+AA108</f>
        <v>1371.45687178281</v>
      </c>
      <c r="AB141" s="57" t="n">
        <f aca="false">AB59+AB66+AB91+AB95+AB96+AB79+AB89+AB97+AB58+AB108</f>
        <v>1386.22086233696</v>
      </c>
      <c r="AC141" s="57" t="n">
        <f aca="false">AC59+AC66+AC91+AC95+AC96+AC79+AC89+AC97+AC58+AC108</f>
        <v>1400.97677595446</v>
      </c>
      <c r="AD141" s="57" t="n">
        <f aca="false">AD59+AD66+AD91+AD95+AD96+AD79+AD89+AD97+AD58+AD108</f>
        <v>1390.29616705721</v>
      </c>
      <c r="AE141" s="57" t="n">
        <f aca="false">AE59+AE66+AE91+AE95+AE96+AE79+AE89+AE97+AE58+AE108</f>
        <v>1351.72474780482</v>
      </c>
      <c r="AF141" s="57" t="n">
        <f aca="false">AF59+AF66+AF91+AF95+AF96+AF79+AF89+AF97+AF58+AF108</f>
        <v>1351.29945580155</v>
      </c>
      <c r="AG141" s="57" t="n">
        <f aca="false">AG59+AG66+AG91+AG95+AG96+AG79+AG89+AG97+AG58+AG108</f>
        <v>1365.21752820946</v>
      </c>
      <c r="AH141" s="57" t="n">
        <f aca="false">AH59+AH66+AH91+AH95+AH96+AH79+AH89+AH97+AH58+AH108</f>
        <v>1360.38460432097</v>
      </c>
      <c r="AI141" s="57" t="n">
        <f aca="false">AI59+AI66+AI91+AI95+AI96+AI79+AI89+AI97+AI58+AI108</f>
        <v>1339.33516485586</v>
      </c>
      <c r="AJ141" s="57" t="n">
        <f aca="false">AJ59+AJ66+AJ91+AJ95+AJ96+AJ79+AJ89+AJ97+AJ58+AJ108</f>
        <v>1370.34291234756</v>
      </c>
      <c r="AK141" s="57" t="n">
        <f aca="false">AK59+AK66+AK91+AK95+AK96+AK79+AK89+AK97+AK58+AK108</f>
        <v>1384.45349428789</v>
      </c>
      <c r="AL141" s="57" t="n">
        <f aca="false">AL59+AL66+AL91+AL95+AL96+AL79+AL89+AL97+AL58+AL108</f>
        <v>1379.55611957687</v>
      </c>
      <c r="AM141" s="57" t="n">
        <f aca="false">AM59+AM66+AM91+AM95+AM96+AM79+AM89+AM97+AM58+AM108</f>
        <v>1357.93618433621</v>
      </c>
      <c r="AN141" s="57" t="n">
        <f aca="false">AN59+AN66+AN91+AN95+AN96+AN79+AN89+AN97+AN58+AN108</f>
        <v>1372.07807225946</v>
      </c>
      <c r="AO141" s="57" t="n">
        <f aca="false">AO59+AO66+AO91+AO95+AO96+AO79+AO89+AO97+AO58+AO108</f>
        <v>1386.20355243336</v>
      </c>
      <c r="AP141" s="57" t="n">
        <f aca="false">AP59+AP66+AP91+AP95+AP96+AP79+AP89+AP97+AP58+AP108</f>
        <v>1381.25287773641</v>
      </c>
      <c r="AQ141" s="57" t="n">
        <f aca="false">AQ59+AQ66+AQ91+AQ95+AQ96+AQ79+AQ89+AQ97+AQ58+AQ108</f>
        <v>1359.44725599279</v>
      </c>
      <c r="AR141" s="57" t="n">
        <f aca="false">AR59+AR66+AR91+AR95+AR96+AR79+AR89+AR97+AR58+AR108</f>
        <v>1373.60205706491</v>
      </c>
      <c r="AS141" s="57" t="n">
        <f aca="false">AS59+AS66+AS91+AS95+AS96+AS79+AS89+AS97+AS58+AS108</f>
        <v>1387.74011657251</v>
      </c>
      <c r="AT141" s="57" t="n">
        <f aca="false">AT59+AT66+AT91+AT95+AT96+AT79+AT89+AT97+AT58+AT108</f>
        <v>1382.73491773324</v>
      </c>
      <c r="AU141" s="57" t="n">
        <f aca="false">AU59+AU66+AU91+AU95+AU96+AU79+AU89+AU97+AU58+AU108</f>
        <v>1375.43453427299</v>
      </c>
      <c r="AV141" s="57" t="n">
        <f aca="false">AV59+AV66+AV91+AV95+AV96+AV79+AV89+AV97+AV58+AV108</f>
        <v>1374.89545433308</v>
      </c>
      <c r="AW141" s="57" t="n">
        <f aca="false">AW59+AW66+AW91+AW95+AW96+AW79+AW89+AW97+AW58+AW108</f>
        <v>1389.04355198578</v>
      </c>
      <c r="AX141" s="57" t="n">
        <f aca="false">AX59+AX66+AX91+AX95+AX96+AX79+AX89+AX97+AX58+AX108</f>
        <v>1383.98242566168</v>
      </c>
      <c r="AY141" s="57" t="n">
        <f aca="false">AY59+AY66+AY91+AY95+AY96+AY79+AY89+AY97+AY58+AY108</f>
        <v>1361.79745225747</v>
      </c>
      <c r="AZ141" s="57" t="n">
        <f aca="false">AZ59+AZ66+AZ91+AZ95+AZ96+AZ79+AZ89+AZ97+AZ58+AZ108</f>
        <v>1375.97064819389</v>
      </c>
      <c r="BA141" s="57" t="n">
        <f aca="false">BA59+BA66+BA91+BA95+BA96+BA79+BA89+BA97+BA58+BA108</f>
        <v>1390.12639459455</v>
      </c>
      <c r="BB141" s="57" t="n">
        <f aca="false">BB59+BB66+BB91+BB95+BB96+BB79+BB89+BB97+BB58+BB108</f>
        <v>1385.00813797276</v>
      </c>
      <c r="BC141" s="57" t="n">
        <f aca="false">BC59+BC66+BC91+BC95+BC96+BC79+BC89+BC97+BC58+BC108</f>
        <v>1362.62947945528</v>
      </c>
      <c r="BD141" s="57" t="n">
        <f aca="false">BD59+BD66+BD91+BD95+BD96+BD79+BD89+BD97+BD58+BD108</f>
        <v>1376.80808498662</v>
      </c>
      <c r="BE141" s="57" t="n">
        <f aca="false">BE59+BE66+BE91+BE95+BE96+BE79+BE89+BE97+BE58+BE108</f>
        <v>1390.96886711233</v>
      </c>
      <c r="BF141" s="57" t="n">
        <f aca="false">BF59+BF66+BF91+BF95+BF96+BF79+BF89+BF97+BF58+BF108</f>
        <v>1385.79209934493</v>
      </c>
      <c r="BG141" s="57" t="n">
        <f aca="false">BG59+BG66+BG91+BG95+BG96+BG79+BG89+BG97+BG58+BG108</f>
        <v>1363.21694197296</v>
      </c>
      <c r="BH141" s="57" t="n">
        <f aca="false">BH59+BH66+BH91+BH95+BH96+BH79+BH89+BH97+BH58+BH108</f>
        <v>1377.39825328785</v>
      </c>
      <c r="BI141" s="57" t="n">
        <f aca="false">BI59+BI66+BI91+BI95+BI96+BI79+BI89+BI97+BI58+BI108</f>
        <v>1391.56135275236</v>
      </c>
      <c r="BJ141" s="57" t="n">
        <f aca="false">BJ59+BJ66+BJ91+BJ95+BJ96+BJ79+BJ89+BJ97+BJ58+BJ108</f>
        <v>1386.32463590851</v>
      </c>
      <c r="BK141" s="57" t="n">
        <f aca="false">BK59+BK66+BK91+BK95+BK96+BK79+BK89+BK97+BK58+BK108</f>
        <v>1378.38074772005</v>
      </c>
      <c r="BL141" s="57" t="n">
        <f aca="false">BL59+BL66+BL91+BL95+BL96+BL79+BL89+BL97+BL58+BL108</f>
        <v>1377.72031293265</v>
      </c>
      <c r="BM141" s="57" t="n">
        <f aca="false">BM59+BM66+BM91+BM95+BM96+BM79+BM89+BM97+BM58+BM108</f>
        <v>1391.88277293514</v>
      </c>
      <c r="BN141" s="57" t="n">
        <f aca="false">BN59+BN66+BN91+BN95+BN96+BN79+BN89+BN97+BN58+BN108</f>
        <v>1386.58447871656</v>
      </c>
      <c r="BO141" s="57" t="n">
        <f aca="false">BO59+BO66+BO91+BO95+BO96+BO79+BO89+BO97+BO58+BO108</f>
        <v>1363.60742883447</v>
      </c>
      <c r="BP141" s="57" t="n">
        <f aca="false">BP59+BP66+BP91+BP95+BP96+BP79+BP89+BP97+BP58+BP108</f>
        <v>1377.78546792516</v>
      </c>
      <c r="BQ141" s="57" t="n">
        <f aca="false">BQ59+BQ66+BQ91+BQ95+BQ96+BQ79+BQ89+BQ97+BQ58+BQ108</f>
        <v>1391.94447025881</v>
      </c>
      <c r="BR141" s="57" t="n">
        <f aca="false">BR59+BR66+BR91+BR95+BR96+BR79+BR89+BR97+BR58+BR108</f>
        <v>1386.58316280647</v>
      </c>
      <c r="BS141" s="57" t="n">
        <f aca="false">BS59+BS66+BS91+BS95+BS96+BS79+BS89+BS97+BS58+BS108</f>
        <v>1363.40067641479</v>
      </c>
      <c r="BT141" s="57" t="n">
        <f aca="false">BT59+BT66+BT91+BT95+BT96+BT79+BT89+BT97+BT58+BT108</f>
        <v>1377.57263512143</v>
      </c>
      <c r="BU141" s="57" t="n">
        <f aca="false">BU59+BU66+BU91+BU95+BU96+BU79+BU89+BU97+BU58+BU108</f>
        <v>1391.72512066484</v>
      </c>
      <c r="BV141" s="57" t="n">
        <f aca="false">BV59+BV66+BV91+BV95+BV96+BV79+BV89+BV97+BV58+BV108</f>
        <v>1386.29917398599</v>
      </c>
      <c r="BW141" s="57" t="n">
        <f aca="false">BW59+BW66+BW91+BW95+BW96+BW79+BW89+BW97+BW58+BW108</f>
        <v>1362.90809939568</v>
      </c>
      <c r="BX141" s="57" t="n">
        <f aca="false">BX59+BX66+BX91+BX95+BX96+BX79+BX89+BX97+BX58+BX108</f>
        <v>1377.07081390023</v>
      </c>
      <c r="BY141" s="57" t="n">
        <f aca="false">BY59+BY66+BY91+BY95+BY96+BY79+BY89+BY97+BY58+BY108</f>
        <v>1391.21360137095</v>
      </c>
      <c r="BZ141" s="57" t="n">
        <f aca="false">BZ59+BZ66+BZ91+BZ95+BZ96+BZ79+BZ89+BZ97+BZ58+BZ108</f>
        <v>1385.72132092258</v>
      </c>
      <c r="CA141" s="57" t="n">
        <f aca="false">CA59+CA66+CA91+CA95+CA96+CA79+CA89+CA97+CA58+CA108</f>
        <v>1377.06257876944</v>
      </c>
      <c r="CB141" s="57" t="n">
        <f aca="false">CB59+CB66+CB91+CB95+CB96+CB79+CB89+CB97+CB58+CB108</f>
        <v>1376.25753187902</v>
      </c>
      <c r="CC141" s="57" t="n">
        <f aca="false">CC59+CC66+CC91+CC95+CC96+CC79+CC89+CC97+CC58+CC108</f>
        <v>1390.38718311829</v>
      </c>
      <c r="CD141" s="57" t="n">
        <f aca="false">CD59+CD66+CD91+CD95+CD96+CD79+CD89+CD97+CD58+CD108</f>
        <v>1384.82667097674</v>
      </c>
      <c r="CE141" s="57" t="n">
        <f aca="false">CE59+CE66+CE91+CE95+CE96+CE79+CE89+CE97+CE58+CE108</f>
        <v>1361.00845614214</v>
      </c>
      <c r="CF141" s="57" t="n">
        <f aca="false">CF59+CF66+CF91+CF95+CF96+CF79+CF89+CF97+CF58+CF108</f>
        <v>1375.14254736351</v>
      </c>
      <c r="CG141" s="57" t="n">
        <f aca="false">CG59+CG66+CG91+CG95+CG96+CG79+CG89+CG97+CG58+CG108</f>
        <v>1389.2557465565</v>
      </c>
      <c r="CH141" s="57" t="n">
        <f aca="false">CH59+CH66+CH91+CH95+CH96+CH79+CH89+CH97+CH58+CH108</f>
        <v>1383.62528660295</v>
      </c>
      <c r="CI141" s="57" t="n">
        <f aca="false">CI59+CI66+CI91+CI95+CI96+CI79+CI89+CI97+CI58+CI108</f>
        <v>1359.58844922574</v>
      </c>
      <c r="CJ141" s="57" t="n">
        <f aca="false">CJ59+CJ66+CJ91+CJ95+CJ96+CJ79+CJ89+CJ97+CJ58+CJ108</f>
        <v>1373.70302316529</v>
      </c>
      <c r="CK141" s="57" t="n">
        <f aca="false">CK59+CK66+CK91+CK95+CK96+CK79+CK89+CK97+CK58+CK108</f>
        <v>1387.79619372517</v>
      </c>
      <c r="CL141" s="57" t="n">
        <f aca="false">CL59+CL66+CL91+CL95+CL96+CL79+CL89+CL97+CL58+CL108</f>
        <v>1382.09386556742</v>
      </c>
      <c r="CM141" s="57" t="n">
        <f aca="false">CM59+CM66+CM91+CM95+CM96+CM79+CM89+CM97+CM58+CM108</f>
        <v>1357.83485874052</v>
      </c>
      <c r="CN141" s="57" t="n">
        <f aca="false">CN59+CN66+CN91+CN95+CN96+CN79+CN89+CN97+CN58+CN108</f>
        <v>1371.92621791199</v>
      </c>
      <c r="CO141" s="57" t="n">
        <f aca="false">CO59+CO66+CO91+CO95+CO96+CO79+CO89+CO97+CO58+CO108</f>
        <v>1385.99564140895</v>
      </c>
      <c r="CP141" s="57" t="n">
        <f aca="false">CP59+CP66+CP91+CP95+CP96+CP79+CP89+CP97+CP58+CP108</f>
        <v>1380.21944229057</v>
      </c>
      <c r="CQ141" s="57" t="n">
        <f aca="false">CQ59+CQ66+CQ91+CQ95+CQ96+CQ79+CQ89+CQ97+CQ58+CQ108</f>
        <v>1370.76523802716</v>
      </c>
      <c r="CR141" s="57" t="n">
        <f aca="false">CR59+CR66+CR91+CR95+CR96+CR79+CR89+CR97+CR58+CR108</f>
        <v>1369.787784713</v>
      </c>
      <c r="CS141" s="57" t="n">
        <f aca="false">CS59+CS66+CS91+CS95+CS96+CS79+CS89+CS97+CS58+CS108</f>
        <v>2292.21691256103</v>
      </c>
      <c r="CT141" s="57" t="n">
        <f aca="false">CT59+CT66+CT91+CT95+CT96+CT79+CT89+CT97+CT58+CT108</f>
        <v>2276.85258115707</v>
      </c>
      <c r="CU141" s="57" t="n">
        <f aca="false">CU59+CU66+CU91+CU95+CU96+CU79+CU89+CU97+CU58+CU108</f>
        <v>2237.7017294597</v>
      </c>
      <c r="CV141" s="57" t="n">
        <f aca="false">CV59+CV66+CV91+CV95+CV96+CV79+CV89+CV97+CV58+CV108</f>
        <v>2262.56508200925</v>
      </c>
      <c r="CW141" s="57" t="n">
        <f aca="false">CW59+CW66+CW91+CW95+CW96+CW79+CW89+CW97+CW58+CW108</f>
        <v>2287.42843455881</v>
      </c>
      <c r="CX141" s="57" t="n">
        <f aca="false">CX59+CX66+CX91+CX95+CX96+CX79+CX89+CX97+CX58+CX108</f>
        <v>2279.38239570403</v>
      </c>
      <c r="CY141" s="57" t="n">
        <f aca="false">CY59+CY66+CY91+CY95+CY96+CY79+CY89+CY97+CY58+CY108</f>
        <v>2239.92792695099</v>
      </c>
      <c r="CZ141" s="57" t="n">
        <f aca="false">CZ59+CZ66+CZ91+CZ95+CZ96+CZ79+CZ89+CZ97+CZ58+CZ108</f>
        <v>2264.81601502822</v>
      </c>
      <c r="DA141" s="57" t="n">
        <f aca="false">DA59+DA66+DA91+DA95+DA96+DA79+DA89+DA97+DA58+DA108</f>
        <v>2289.70410310546</v>
      </c>
      <c r="DB141" s="57" t="n">
        <f aca="false">DB59+DB66+DB91+DB95+DB96+DB79+DB89+DB97+DB58+DB108</f>
        <v>2127.75796595667</v>
      </c>
      <c r="DC141" s="57" t="n">
        <f aca="false">DC59+DC66+DC91+DC95+DC96+DC79+DC89+DC97+DC58+DC108</f>
        <v>2091.34156892558</v>
      </c>
      <c r="DD141" s="57" t="n">
        <f aca="false">DD59+DD66+DD91+DD95+DD96+DD79+DD89+DD97+DD58+DD108</f>
        <v>2114.5786974692</v>
      </c>
      <c r="DE141" s="57" t="n">
        <f aca="false">DE59+DE66+DE91+DE95+DE96+DE79+DE89+DE97+DE58+DE108</f>
        <v>2137.81582601281</v>
      </c>
      <c r="DF141" s="57" t="n">
        <f aca="false">DF59+DF66+DF91+DF95+DF96+DF79+DF89+DF97+DF58+DF108</f>
        <v>2129.67377475099</v>
      </c>
      <c r="DG141" s="57" t="n">
        <f aca="false">DG59+DG66+DG91+DG95+DG96+DG79+DG89+DG97+DG58+DG108</f>
        <v>2116.20284972323</v>
      </c>
      <c r="DH141" s="57" t="n">
        <f aca="false">DH59+DH66+DH91+DH95+DH96+DH79+DH89+DH97+DH58+DH108</f>
        <v>2116.20284972323</v>
      </c>
      <c r="DI141" s="57" t="n">
        <f aca="false">DI59+DI66+DI91+DI95+DI96+DI79+DI89+DI97+DI58+DI108</f>
        <v>2139.45782609381</v>
      </c>
      <c r="DJ141" s="57" t="n">
        <f aca="false">DJ59+DJ66+DJ91+DJ95+DJ96+DJ79+DJ89+DJ97+DJ58+DJ108</f>
        <v>2131.26763373715</v>
      </c>
      <c r="DK141" s="57" t="n">
        <f aca="false">DK59+DK66+DK91+DK95+DK96+DK79+DK89+DK97+DK58+DK108</f>
        <v>2094.22922134031</v>
      </c>
      <c r="DL141" s="57" t="n">
        <f aca="false">DL59+DL66+DL91+DL95+DL96+DL79+DL89+DL97+DL58+DL108</f>
        <v>2117.49843491076</v>
      </c>
      <c r="DM141" s="57" t="n">
        <f aca="false">DM59+DM66+DM91+DM95+DM96+DM79+DM89+DM97+DM58+DM108</f>
        <v>2140.76764848121</v>
      </c>
      <c r="DN141" s="57" t="n">
        <f aca="false">DN59+DN66+DN91+DN95+DN96+DN79+DN89+DN97+DN58+DN108</f>
        <v>2132.52923118543</v>
      </c>
      <c r="DO141" s="57" t="n">
        <f aca="false">DO59+DO66+DO91+DO95+DO96+DO79+DO89+DO97+DO58+DO108</f>
        <v>2095.17525809415</v>
      </c>
      <c r="DP141" s="57" t="n">
        <f aca="false">DP59+DP66+DP91+DP95+DP96+DP79+DP89+DP97+DP58+DP108</f>
        <v>2118.45498318408</v>
      </c>
      <c r="DQ141" s="57" t="n">
        <f aca="false">DQ59+DQ66+DQ91+DQ95+DQ96+DQ79+DQ89+DQ97+DQ58+DQ108</f>
        <v>2141.73470827402</v>
      </c>
      <c r="DR141" s="57" t="n">
        <f aca="false">DR59+DR66+DR91+DR95+DR96+DR79+DR89+DR97+DR58+DR108</f>
        <v>2133.4479869401</v>
      </c>
      <c r="DS141" s="57" t="n">
        <f aca="false">DS59+DS66+DS91+DS95+DS96+DS79+DS89+DS97+DS58+DS108</f>
        <v>2095.77535956</v>
      </c>
      <c r="DT141" s="57" t="n">
        <f aca="false">DT59+DT66+DT91+DT95+DT96+DT79+DT89+DT97+DT58+DT108</f>
        <v>2119.061752444</v>
      </c>
      <c r="DU141" s="57" t="n">
        <f aca="false">DU59+DU66+DU91+DU95+DU96+DU79+DU89+DU97+DU58+DU108</f>
        <v>2142.348145328</v>
      </c>
      <c r="DV141" s="57" t="n">
        <f aca="false">DV59+DV66+DV91+DV95+DV96+DV79+DV89+DV97+DV58+DV108</f>
        <v>2134.01304575269</v>
      </c>
      <c r="DW141" s="57" t="n">
        <f aca="false">DW59+DW66+DW91+DW95+DW96+DW79+DW89+DW97+DW58+DW108</f>
        <v>2119.30772157993</v>
      </c>
      <c r="DX141" s="57" t="n">
        <f aca="false">DX59+DX66+DX91+DX95+DX96+DX79+DX89+DX97+DX58+DX108</f>
        <v>2119.30772157993</v>
      </c>
      <c r="DY141" s="57" t="n">
        <f aca="false">DY59+DY66+DY91+DY95+DY96+DY79+DY89+DY97+DY58+DY108</f>
        <v>2142.59681742147</v>
      </c>
      <c r="DZ141" s="57" t="n">
        <f aca="false">DZ59+DZ66+DZ91+DZ95+DZ96+DZ79+DZ89+DZ97+DZ58+DZ108</f>
        <v>2134.2132704514</v>
      </c>
      <c r="EA141" s="57" t="n">
        <f aca="false">EA59+EA66+EA91+EA95+EA96+EA79+EA89+EA97+EA58+EA108</f>
        <v>2095.89387383467</v>
      </c>
      <c r="EB141" s="57" t="n">
        <f aca="false">EB59+EB66+EB91+EB95+EB96+EB79+EB89+EB97+EB58+EB108</f>
        <v>2119.18158354395</v>
      </c>
      <c r="EC141" s="57" t="n">
        <f aca="false">EC59+EC66+EC91+EC95+EC96+EC79+EC89+EC97+EC58+EC108</f>
        <v>2142.46929325322</v>
      </c>
      <c r="ED141" s="57" t="n">
        <f aca="false">ED59+ED66+ED91+ED95+ED96+ED79+ED89+ED97+ED58+ED108</f>
        <v>2134.03723494271</v>
      </c>
      <c r="EE141" s="57" t="n">
        <f aca="false">EE59+EE66+EE91+EE95+EE96+EE79+EE89+EE97+EE58+EE108</f>
        <v>2095.38963124086</v>
      </c>
      <c r="EF141" s="57" t="n">
        <f aca="false">EF59+EF66+EF91+EF95+EF96+EF79+EF89+EF97+EF58+EF108</f>
        <v>2118.67173825464</v>
      </c>
      <c r="EG141" s="57" t="n">
        <f aca="false">EG59+EG66+EG91+EG95+EG96+EG79+EG89+EG97+EG58+EG108</f>
        <v>2141.95384526843</v>
      </c>
      <c r="EH141" s="57" t="n">
        <f aca="false">EH59+EH66+EH91+EH95+EH96+EH79+EH89+EH97+EH58+EH108</f>
        <v>2133.47321704111</v>
      </c>
      <c r="EI141" s="57" t="n">
        <f aca="false">EI59+EI66+EI91+EI95+EI96+EI79+EI89+EI97+EI58+EI108</f>
        <v>2094.49412834513</v>
      </c>
      <c r="EJ141" s="57" t="n">
        <f aca="false">EJ59+EJ66+EJ91+EJ95+EJ96+EJ79+EJ89+EJ97+EJ58+EJ108</f>
        <v>2117.76628532674</v>
      </c>
      <c r="EK141" s="57" t="n">
        <f aca="false">EK59+EK66+EK91+EK95+EK96+EK79+EK89+EK97+EK58+EK108</f>
        <v>2141.03844230835</v>
      </c>
      <c r="EL141" s="57" t="n">
        <f aca="false">EL59+EL66+EL91+EL95+EL96+EL79+EL89+EL97+EL58+EL108</f>
        <v>2132.50919112262</v>
      </c>
      <c r="EM141" s="57" t="n">
        <f aca="false">EM59+EM66+EM91+EM95+EM96+EM79+EM89+EM97+EM58+EM108</f>
        <v>2116.45301662203</v>
      </c>
      <c r="EN141" s="57" t="n">
        <f aca="false">EN59+EN66+EN91+EN95+EN96+EN79+EN89+EN97+EN58+EN108</f>
        <v>2116.45301662203</v>
      </c>
      <c r="EO141" s="57" t="n">
        <f aca="false">EO59+EO66+EO91+EO95+EO96+EO79+EO89+EO97+EO58+EO108</f>
        <v>2139.71074207941</v>
      </c>
    </row>
    <row r="142" customFormat="false" ht="15" hidden="false" customHeight="false" outlineLevel="0" collapsed="false">
      <c r="C142" s="26" t="s">
        <v>88</v>
      </c>
      <c r="D142" s="12" t="s">
        <v>27</v>
      </c>
      <c r="E142" s="34" t="n">
        <f aca="false">XIRR($J141:$EO141,$J$4:$EO$4)</f>
        <v>0.120333275856183</v>
      </c>
    </row>
    <row r="143" customFormat="false" ht="15" hidden="false" customHeight="false" outlineLevel="0" collapsed="false">
      <c r="C143" s="26" t="s">
        <v>89</v>
      </c>
      <c r="D143" s="12" t="s">
        <v>13</v>
      </c>
      <c r="E143" s="60" t="n">
        <f aca="false">SUMIF($J141:$EO141,"&gt;0")/-SUMIF($J141:$EO141,"&lt;0")</f>
        <v>4.85394047019183</v>
      </c>
    </row>
    <row r="144" customFormat="false" ht="15" hidden="false" customHeight="false" outlineLevel="0" collapsed="false">
      <c r="C144" s="26" t="s">
        <v>90</v>
      </c>
      <c r="D144" s="12" t="s">
        <v>33</v>
      </c>
      <c r="E144" s="57" t="n">
        <f aca="false">XNPV(In_Discount_Rate,$J141:$EO141,$J$4:$EO$4)</f>
        <v>17723.4335623615</v>
      </c>
    </row>
    <row r="146" customFormat="false" ht="15" hidden="false" customHeight="false" outlineLevel="0" collapsed="false">
      <c r="C146" s="4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375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477</v>
      </c>
      <c r="F9" s="9" t="s">
        <v>478</v>
      </c>
    </row>
    <row r="11" customFormat="false" ht="15" hidden="false" customHeight="false" outlineLevel="0" collapsed="false">
      <c r="A11" s="10" t="s">
        <v>13</v>
      </c>
      <c r="B11" s="10"/>
      <c r="C11" s="10" t="s">
        <v>479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480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481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482</v>
      </c>
      <c r="D14" s="12" t="s">
        <v>43</v>
      </c>
      <c r="E14" s="28" t="str">
        <f aca="false">IF(F14=0,"OK","CHECK")</f>
        <v>OK</v>
      </c>
      <c r="F14" s="50" t="n">
        <f aca="false">N(Calc_1!$E41+Calc_1!$F41&gt;0)</f>
        <v>0</v>
      </c>
    </row>
    <row r="15" customFormat="false" ht="15" hidden="false" customHeight="false" outlineLevel="0" collapsed="false">
      <c r="C15" s="1" t="s">
        <v>483</v>
      </c>
      <c r="D15" s="12" t="s">
        <v>43</v>
      </c>
      <c r="E15" s="28" t="str">
        <f aca="false">IF(F15=0,"OK","CHECK")</f>
        <v>OK</v>
      </c>
      <c r="F15" s="50" t="n">
        <f aca="false">N(Calc_2!$E41+Calc_2!$F41&gt;0)</f>
        <v>0</v>
      </c>
    </row>
    <row r="16" customFormat="false" ht="15" hidden="false" customHeight="false" outlineLevel="0" collapsed="false">
      <c r="C16" s="1" t="s">
        <v>484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485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486</v>
      </c>
      <c r="D18" s="12" t="s">
        <v>43</v>
      </c>
      <c r="E18" s="28" t="str">
        <f aca="false">IF(F18=0,"OK","CHECK")</f>
        <v>OK</v>
      </c>
      <c r="F18" s="50" t="n">
        <f aca="false">N(Calc_1!$F85&gt;1+Tolerance)</f>
        <v>0</v>
      </c>
    </row>
    <row r="19" customFormat="false" ht="15" hidden="false" customHeight="false" outlineLevel="0" collapsed="false">
      <c r="C19" s="1" t="s">
        <v>487</v>
      </c>
      <c r="D19" s="12" t="s">
        <v>43</v>
      </c>
      <c r="E19" s="28" t="str">
        <f aca="false">IF(F19=0,"OK","CHECK")</f>
        <v>OK</v>
      </c>
      <c r="F19" s="50" t="n">
        <f aca="false">N(Calc_2!$F85&gt;1+Tolerance)</f>
        <v>0</v>
      </c>
    </row>
    <row r="20" customFormat="false" ht="15" hidden="false" customHeight="false" outlineLevel="0" collapsed="false">
      <c r="C20" s="1" t="s">
        <v>488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N((Calc_1!J$4&gt;=Calc_1!$F17)*ABS(Calc_1!J94)&gt;Tolerance)</f>
        <v>0</v>
      </c>
      <c r="K20" s="50" t="n">
        <f aca="false">N((Calc_1!K$4&gt;=Calc_1!$F17)*ABS(Calc_1!K94)&gt;Tolerance)</f>
        <v>0</v>
      </c>
      <c r="L20" s="50" t="n">
        <f aca="false">N((Calc_1!L$4&gt;=Calc_1!$F17)*ABS(Calc_1!L94)&gt;Tolerance)</f>
        <v>0</v>
      </c>
      <c r="M20" s="50" t="n">
        <f aca="false">N((Calc_1!M$4&gt;=Calc_1!$F17)*ABS(Calc_1!M94)&gt;Tolerance)</f>
        <v>0</v>
      </c>
      <c r="N20" s="50" t="n">
        <f aca="false">N((Calc_1!N$4&gt;=Calc_1!$F17)*ABS(Calc_1!N94)&gt;Tolerance)</f>
        <v>0</v>
      </c>
      <c r="O20" s="50" t="n">
        <f aca="false">N((Calc_1!O$4&gt;=Calc_1!$F17)*ABS(Calc_1!O94)&gt;Tolerance)</f>
        <v>0</v>
      </c>
      <c r="P20" s="50" t="n">
        <f aca="false">N((Calc_1!P$4&gt;=Calc_1!$F17)*ABS(Calc_1!P94)&gt;Tolerance)</f>
        <v>0</v>
      </c>
      <c r="Q20" s="50" t="n">
        <f aca="false">N((Calc_1!Q$4&gt;=Calc_1!$F17)*ABS(Calc_1!Q94)&gt;Tolerance)</f>
        <v>0</v>
      </c>
      <c r="R20" s="50" t="n">
        <f aca="false">N((Calc_1!R$4&gt;=Calc_1!$F17)*ABS(Calc_1!R94)&gt;Tolerance)</f>
        <v>0</v>
      </c>
      <c r="S20" s="50" t="n">
        <f aca="false">N((Calc_1!S$4&gt;=Calc_1!$F17)*ABS(Calc_1!S94)&gt;Tolerance)</f>
        <v>0</v>
      </c>
      <c r="T20" s="50" t="n">
        <f aca="false">N((Calc_1!T$4&gt;=Calc_1!$F17)*ABS(Calc_1!T94)&gt;Tolerance)</f>
        <v>0</v>
      </c>
      <c r="U20" s="50" t="n">
        <f aca="false">N((Calc_1!U$4&gt;=Calc_1!$F17)*ABS(Calc_1!U94)&gt;Tolerance)</f>
        <v>0</v>
      </c>
      <c r="V20" s="50" t="n">
        <f aca="false">N((Calc_1!V$4&gt;=Calc_1!$F17)*ABS(Calc_1!V94)&gt;Tolerance)</f>
        <v>0</v>
      </c>
      <c r="W20" s="50" t="n">
        <f aca="false">N((Calc_1!W$4&gt;=Calc_1!$F17)*ABS(Calc_1!W94)&gt;Tolerance)</f>
        <v>0</v>
      </c>
      <c r="X20" s="50" t="n">
        <f aca="false">N((Calc_1!X$4&gt;=Calc_1!$F17)*ABS(Calc_1!X94)&gt;Tolerance)</f>
        <v>0</v>
      </c>
      <c r="Y20" s="50" t="n">
        <f aca="false">N((Calc_1!Y$4&gt;=Calc_1!$F17)*ABS(Calc_1!Y94)&gt;Tolerance)</f>
        <v>0</v>
      </c>
      <c r="Z20" s="50" t="n">
        <f aca="false">N((Calc_1!Z$4&gt;=Calc_1!$F17)*ABS(Calc_1!Z94)&gt;Tolerance)</f>
        <v>0</v>
      </c>
      <c r="AA20" s="50" t="n">
        <f aca="false">N((Calc_1!AA$4&gt;=Calc_1!$F17)*ABS(Calc_1!AA94)&gt;Tolerance)</f>
        <v>0</v>
      </c>
      <c r="AB20" s="50" t="n">
        <f aca="false">N((Calc_1!AB$4&gt;=Calc_1!$F17)*ABS(Calc_1!AB94)&gt;Tolerance)</f>
        <v>0</v>
      </c>
      <c r="AC20" s="50" t="n">
        <f aca="false">N((Calc_1!AC$4&gt;=Calc_1!$F17)*ABS(Calc_1!AC94)&gt;Tolerance)</f>
        <v>0</v>
      </c>
      <c r="AD20" s="50" t="n">
        <f aca="false">N((Calc_1!AD$4&gt;=Calc_1!$F17)*ABS(Calc_1!AD94)&gt;Tolerance)</f>
        <v>0</v>
      </c>
      <c r="AE20" s="50" t="n">
        <f aca="false">N((Calc_1!AE$4&gt;=Calc_1!$F17)*ABS(Calc_1!AE94)&gt;Tolerance)</f>
        <v>0</v>
      </c>
      <c r="AF20" s="50" t="n">
        <f aca="false">N((Calc_1!AF$4&gt;=Calc_1!$F17)*ABS(Calc_1!AF94)&gt;Tolerance)</f>
        <v>0</v>
      </c>
      <c r="AG20" s="50" t="n">
        <f aca="false">N((Calc_1!AG$4&gt;=Calc_1!$F17)*ABS(Calc_1!AG94)&gt;Tolerance)</f>
        <v>0</v>
      </c>
      <c r="AH20" s="50" t="n">
        <f aca="false">N((Calc_1!AH$4&gt;=Calc_1!$F17)*ABS(Calc_1!AH94)&gt;Tolerance)</f>
        <v>0</v>
      </c>
      <c r="AI20" s="50" t="n">
        <f aca="false">N((Calc_1!AI$4&gt;=Calc_1!$F17)*ABS(Calc_1!AI94)&gt;Tolerance)</f>
        <v>0</v>
      </c>
      <c r="AJ20" s="50" t="n">
        <f aca="false">N((Calc_1!AJ$4&gt;=Calc_1!$F17)*ABS(Calc_1!AJ94)&gt;Tolerance)</f>
        <v>0</v>
      </c>
      <c r="AK20" s="50" t="n">
        <f aca="false">N((Calc_1!AK$4&gt;=Calc_1!$F17)*ABS(Calc_1!AK94)&gt;Tolerance)</f>
        <v>0</v>
      </c>
      <c r="AL20" s="50" t="n">
        <f aca="false">N((Calc_1!AL$4&gt;=Calc_1!$F17)*ABS(Calc_1!AL94)&gt;Tolerance)</f>
        <v>0</v>
      </c>
      <c r="AM20" s="50" t="n">
        <f aca="false">N((Calc_1!AM$4&gt;=Calc_1!$F17)*ABS(Calc_1!AM94)&gt;Tolerance)</f>
        <v>0</v>
      </c>
      <c r="AN20" s="50" t="n">
        <f aca="false">N((Calc_1!AN$4&gt;=Calc_1!$F17)*ABS(Calc_1!AN94)&gt;Tolerance)</f>
        <v>0</v>
      </c>
      <c r="AO20" s="50" t="n">
        <f aca="false">N((Calc_1!AO$4&gt;=Calc_1!$F17)*ABS(Calc_1!AO94)&gt;Tolerance)</f>
        <v>0</v>
      </c>
      <c r="AP20" s="50" t="n">
        <f aca="false">N((Calc_1!AP$4&gt;=Calc_1!$F17)*ABS(Calc_1!AP94)&gt;Tolerance)</f>
        <v>0</v>
      </c>
      <c r="AQ20" s="50" t="n">
        <f aca="false">N((Calc_1!AQ$4&gt;=Calc_1!$F17)*ABS(Calc_1!AQ94)&gt;Tolerance)</f>
        <v>0</v>
      </c>
      <c r="AR20" s="50" t="n">
        <f aca="false">N((Calc_1!AR$4&gt;=Calc_1!$F17)*ABS(Calc_1!AR94)&gt;Tolerance)</f>
        <v>0</v>
      </c>
      <c r="AS20" s="50" t="n">
        <f aca="false">N((Calc_1!AS$4&gt;=Calc_1!$F17)*ABS(Calc_1!AS94)&gt;Tolerance)</f>
        <v>0</v>
      </c>
      <c r="AT20" s="50" t="n">
        <f aca="false">N((Calc_1!AT$4&gt;=Calc_1!$F17)*ABS(Calc_1!AT94)&gt;Tolerance)</f>
        <v>0</v>
      </c>
      <c r="AU20" s="50" t="n">
        <f aca="false">N((Calc_1!AU$4&gt;=Calc_1!$F17)*ABS(Calc_1!AU94)&gt;Tolerance)</f>
        <v>0</v>
      </c>
      <c r="AV20" s="50" t="n">
        <f aca="false">N((Calc_1!AV$4&gt;=Calc_1!$F17)*ABS(Calc_1!AV94)&gt;Tolerance)</f>
        <v>0</v>
      </c>
      <c r="AW20" s="50" t="n">
        <f aca="false">N((Calc_1!AW$4&gt;=Calc_1!$F17)*ABS(Calc_1!AW94)&gt;Tolerance)</f>
        <v>0</v>
      </c>
      <c r="AX20" s="50" t="n">
        <f aca="false">N((Calc_1!AX$4&gt;=Calc_1!$F17)*ABS(Calc_1!AX94)&gt;Tolerance)</f>
        <v>0</v>
      </c>
      <c r="AY20" s="50" t="n">
        <f aca="false">N((Calc_1!AY$4&gt;=Calc_1!$F17)*ABS(Calc_1!AY94)&gt;Tolerance)</f>
        <v>0</v>
      </c>
      <c r="AZ20" s="50" t="n">
        <f aca="false">N((Calc_1!AZ$4&gt;=Calc_1!$F17)*ABS(Calc_1!AZ94)&gt;Tolerance)</f>
        <v>0</v>
      </c>
      <c r="BA20" s="50" t="n">
        <f aca="false">N((Calc_1!BA$4&gt;=Calc_1!$F17)*ABS(Calc_1!BA94)&gt;Tolerance)</f>
        <v>0</v>
      </c>
      <c r="BB20" s="50" t="n">
        <f aca="false">N((Calc_1!BB$4&gt;=Calc_1!$F17)*ABS(Calc_1!BB94)&gt;Tolerance)</f>
        <v>0</v>
      </c>
      <c r="BC20" s="50" t="n">
        <f aca="false">N((Calc_1!BC$4&gt;=Calc_1!$F17)*ABS(Calc_1!BC94)&gt;Tolerance)</f>
        <v>0</v>
      </c>
      <c r="BD20" s="50" t="n">
        <f aca="false">N((Calc_1!BD$4&gt;=Calc_1!$F17)*ABS(Calc_1!BD94)&gt;Tolerance)</f>
        <v>0</v>
      </c>
      <c r="BE20" s="50" t="n">
        <f aca="false">N((Calc_1!BE$4&gt;=Calc_1!$F17)*ABS(Calc_1!BE94)&gt;Tolerance)</f>
        <v>0</v>
      </c>
      <c r="BF20" s="50" t="n">
        <f aca="false">N((Calc_1!BF$4&gt;=Calc_1!$F17)*ABS(Calc_1!BF94)&gt;Tolerance)</f>
        <v>0</v>
      </c>
      <c r="BG20" s="50" t="n">
        <f aca="false">N((Calc_1!BG$4&gt;=Calc_1!$F17)*ABS(Calc_1!BG94)&gt;Tolerance)</f>
        <v>0</v>
      </c>
      <c r="BH20" s="50" t="n">
        <f aca="false">N((Calc_1!BH$4&gt;=Calc_1!$F17)*ABS(Calc_1!BH94)&gt;Tolerance)</f>
        <v>0</v>
      </c>
      <c r="BI20" s="50" t="n">
        <f aca="false">N((Calc_1!BI$4&gt;=Calc_1!$F17)*ABS(Calc_1!BI94)&gt;Tolerance)</f>
        <v>0</v>
      </c>
      <c r="BJ20" s="50" t="n">
        <f aca="false">N((Calc_1!BJ$4&gt;=Calc_1!$F17)*ABS(Calc_1!BJ94)&gt;Tolerance)</f>
        <v>0</v>
      </c>
      <c r="BK20" s="50" t="n">
        <f aca="false">N((Calc_1!BK$4&gt;=Calc_1!$F17)*ABS(Calc_1!BK94)&gt;Tolerance)</f>
        <v>0</v>
      </c>
      <c r="BL20" s="50" t="n">
        <f aca="false">N((Calc_1!BL$4&gt;=Calc_1!$F17)*ABS(Calc_1!BL94)&gt;Tolerance)</f>
        <v>0</v>
      </c>
      <c r="BM20" s="50" t="n">
        <f aca="false">N((Calc_1!BM$4&gt;=Calc_1!$F17)*ABS(Calc_1!BM94)&gt;Tolerance)</f>
        <v>0</v>
      </c>
      <c r="BN20" s="50" t="n">
        <f aca="false">N((Calc_1!BN$4&gt;=Calc_1!$F17)*ABS(Calc_1!BN94)&gt;Tolerance)</f>
        <v>0</v>
      </c>
      <c r="BO20" s="50" t="n">
        <f aca="false">N((Calc_1!BO$4&gt;=Calc_1!$F17)*ABS(Calc_1!BO94)&gt;Tolerance)</f>
        <v>0</v>
      </c>
      <c r="BP20" s="50" t="n">
        <f aca="false">N((Calc_1!BP$4&gt;=Calc_1!$F17)*ABS(Calc_1!BP94)&gt;Tolerance)</f>
        <v>0</v>
      </c>
      <c r="BQ20" s="50" t="n">
        <f aca="false">N((Calc_1!BQ$4&gt;=Calc_1!$F17)*ABS(Calc_1!BQ94)&gt;Tolerance)</f>
        <v>0</v>
      </c>
      <c r="BR20" s="50" t="n">
        <f aca="false">N((Calc_1!BR$4&gt;=Calc_1!$F17)*ABS(Calc_1!BR94)&gt;Tolerance)</f>
        <v>0</v>
      </c>
      <c r="BS20" s="50" t="n">
        <f aca="false">N((Calc_1!BS$4&gt;=Calc_1!$F17)*ABS(Calc_1!BS94)&gt;Tolerance)</f>
        <v>0</v>
      </c>
      <c r="BT20" s="50" t="n">
        <f aca="false">N((Calc_1!BT$4&gt;=Calc_1!$F17)*ABS(Calc_1!BT94)&gt;Tolerance)</f>
        <v>0</v>
      </c>
      <c r="BU20" s="50" t="n">
        <f aca="false">N((Calc_1!BU$4&gt;=Calc_1!$F17)*ABS(Calc_1!BU94)&gt;Tolerance)</f>
        <v>0</v>
      </c>
      <c r="BV20" s="50" t="n">
        <f aca="false">N((Calc_1!BV$4&gt;=Calc_1!$F17)*ABS(Calc_1!BV94)&gt;Tolerance)</f>
        <v>0</v>
      </c>
      <c r="BW20" s="50" t="n">
        <f aca="false">N((Calc_1!BW$4&gt;=Calc_1!$F17)*ABS(Calc_1!BW94)&gt;Tolerance)</f>
        <v>0</v>
      </c>
      <c r="BX20" s="50" t="n">
        <f aca="false">N((Calc_1!BX$4&gt;=Calc_1!$F17)*ABS(Calc_1!BX94)&gt;Tolerance)</f>
        <v>0</v>
      </c>
      <c r="BY20" s="50" t="n">
        <f aca="false">N((Calc_1!BY$4&gt;=Calc_1!$F17)*ABS(Calc_1!BY94)&gt;Tolerance)</f>
        <v>0</v>
      </c>
      <c r="BZ20" s="50" t="n">
        <f aca="false">N((Calc_1!BZ$4&gt;=Calc_1!$F17)*ABS(Calc_1!BZ94)&gt;Tolerance)</f>
        <v>0</v>
      </c>
      <c r="CA20" s="50" t="n">
        <f aca="false">N((Calc_1!CA$4&gt;=Calc_1!$F17)*ABS(Calc_1!CA94)&gt;Tolerance)</f>
        <v>0</v>
      </c>
      <c r="CB20" s="50" t="n">
        <f aca="false">N((Calc_1!CB$4&gt;=Calc_1!$F17)*ABS(Calc_1!CB94)&gt;Tolerance)</f>
        <v>0</v>
      </c>
      <c r="CC20" s="50" t="n">
        <f aca="false">N((Calc_1!CC$4&gt;=Calc_1!$F17)*ABS(Calc_1!CC94)&gt;Tolerance)</f>
        <v>0</v>
      </c>
      <c r="CD20" s="50" t="n">
        <f aca="false">N((Calc_1!CD$4&gt;=Calc_1!$F17)*ABS(Calc_1!CD94)&gt;Tolerance)</f>
        <v>0</v>
      </c>
      <c r="CE20" s="50" t="n">
        <f aca="false">N((Calc_1!CE$4&gt;=Calc_1!$F17)*ABS(Calc_1!CE94)&gt;Tolerance)</f>
        <v>0</v>
      </c>
      <c r="CF20" s="50" t="n">
        <f aca="false">N((Calc_1!CF$4&gt;=Calc_1!$F17)*ABS(Calc_1!CF94)&gt;Tolerance)</f>
        <v>0</v>
      </c>
      <c r="CG20" s="50" t="n">
        <f aca="false">N((Calc_1!CG$4&gt;=Calc_1!$F17)*ABS(Calc_1!CG94)&gt;Tolerance)</f>
        <v>0</v>
      </c>
      <c r="CH20" s="50" t="n">
        <f aca="false">N((Calc_1!CH$4&gt;=Calc_1!$F17)*ABS(Calc_1!CH94)&gt;Tolerance)</f>
        <v>0</v>
      </c>
      <c r="CI20" s="50" t="n">
        <f aca="false">N((Calc_1!CI$4&gt;=Calc_1!$F17)*ABS(Calc_1!CI94)&gt;Tolerance)</f>
        <v>0</v>
      </c>
      <c r="CJ20" s="50" t="n">
        <f aca="false">N((Calc_1!CJ$4&gt;=Calc_1!$F17)*ABS(Calc_1!CJ94)&gt;Tolerance)</f>
        <v>0</v>
      </c>
      <c r="CK20" s="50" t="n">
        <f aca="false">N((Calc_1!CK$4&gt;=Calc_1!$F17)*ABS(Calc_1!CK94)&gt;Tolerance)</f>
        <v>0</v>
      </c>
      <c r="CL20" s="50" t="n">
        <f aca="false">N((Calc_1!CL$4&gt;=Calc_1!$F17)*ABS(Calc_1!CL94)&gt;Tolerance)</f>
        <v>0</v>
      </c>
      <c r="CM20" s="50" t="n">
        <f aca="false">N((Calc_1!CM$4&gt;=Calc_1!$F17)*ABS(Calc_1!CM94)&gt;Tolerance)</f>
        <v>0</v>
      </c>
      <c r="CN20" s="50" t="n">
        <f aca="false">N((Calc_1!CN$4&gt;=Calc_1!$F17)*ABS(Calc_1!CN94)&gt;Tolerance)</f>
        <v>0</v>
      </c>
      <c r="CO20" s="50" t="n">
        <f aca="false">N((Calc_1!CO$4&gt;=Calc_1!$F17)*ABS(Calc_1!CO94)&gt;Tolerance)</f>
        <v>0</v>
      </c>
      <c r="CP20" s="50" t="n">
        <f aca="false">N((Calc_1!CP$4&gt;=Calc_1!$F17)*ABS(Calc_1!CP94)&gt;Tolerance)</f>
        <v>0</v>
      </c>
      <c r="CQ20" s="50" t="n">
        <f aca="false">N((Calc_1!CQ$4&gt;=Calc_1!$F17)*ABS(Calc_1!CQ94)&gt;Tolerance)</f>
        <v>0</v>
      </c>
      <c r="CR20" s="50" t="n">
        <f aca="false">N((Calc_1!CR$4&gt;=Calc_1!$F17)*ABS(Calc_1!CR94)&gt;Tolerance)</f>
        <v>0</v>
      </c>
      <c r="CS20" s="50" t="n">
        <f aca="false">N((Calc_1!CS$4&gt;=Calc_1!$F17)*ABS(Calc_1!CS94)&gt;Tolerance)</f>
        <v>0</v>
      </c>
      <c r="CT20" s="50" t="n">
        <f aca="false">N((Calc_1!CT$4&gt;=Calc_1!$F17)*ABS(Calc_1!CT94)&gt;Tolerance)</f>
        <v>0</v>
      </c>
      <c r="CU20" s="50" t="n">
        <f aca="false">N((Calc_1!CU$4&gt;=Calc_1!$F17)*ABS(Calc_1!CU94)&gt;Tolerance)</f>
        <v>0</v>
      </c>
      <c r="CV20" s="50" t="n">
        <f aca="false">N((Calc_1!CV$4&gt;=Calc_1!$F17)*ABS(Calc_1!CV94)&gt;Tolerance)</f>
        <v>0</v>
      </c>
      <c r="CW20" s="50" t="n">
        <f aca="false">N((Calc_1!CW$4&gt;=Calc_1!$F17)*ABS(Calc_1!CW94)&gt;Tolerance)</f>
        <v>0</v>
      </c>
      <c r="CX20" s="50" t="n">
        <f aca="false">N((Calc_1!CX$4&gt;=Calc_1!$F17)*ABS(Calc_1!CX94)&gt;Tolerance)</f>
        <v>0</v>
      </c>
      <c r="CY20" s="50" t="n">
        <f aca="false">N((Calc_1!CY$4&gt;=Calc_1!$F17)*ABS(Calc_1!CY94)&gt;Tolerance)</f>
        <v>0</v>
      </c>
      <c r="CZ20" s="50" t="n">
        <f aca="false">N((Calc_1!CZ$4&gt;=Calc_1!$F17)*ABS(Calc_1!CZ94)&gt;Tolerance)</f>
        <v>0</v>
      </c>
      <c r="DA20" s="50" t="n">
        <f aca="false">N((Calc_1!DA$4&gt;=Calc_1!$F17)*ABS(Calc_1!DA94)&gt;Tolerance)</f>
        <v>0</v>
      </c>
      <c r="DB20" s="50" t="n">
        <f aca="false">N((Calc_1!DB$4&gt;=Calc_1!$F17)*ABS(Calc_1!DB94)&gt;Tolerance)</f>
        <v>0</v>
      </c>
      <c r="DC20" s="50" t="n">
        <f aca="false">N((Calc_1!DC$4&gt;=Calc_1!$F17)*ABS(Calc_1!DC94)&gt;Tolerance)</f>
        <v>0</v>
      </c>
      <c r="DD20" s="50" t="n">
        <f aca="false">N((Calc_1!DD$4&gt;=Calc_1!$F17)*ABS(Calc_1!DD94)&gt;Tolerance)</f>
        <v>0</v>
      </c>
      <c r="DE20" s="50" t="n">
        <f aca="false">N((Calc_1!DE$4&gt;=Calc_1!$F17)*ABS(Calc_1!DE94)&gt;Tolerance)</f>
        <v>0</v>
      </c>
      <c r="DF20" s="50" t="n">
        <f aca="false">N((Calc_1!DF$4&gt;=Calc_1!$F17)*ABS(Calc_1!DF94)&gt;Tolerance)</f>
        <v>0</v>
      </c>
      <c r="DG20" s="50" t="n">
        <f aca="false">N((Calc_1!DG$4&gt;=Calc_1!$F17)*ABS(Calc_1!DG94)&gt;Tolerance)</f>
        <v>0</v>
      </c>
      <c r="DH20" s="50" t="n">
        <f aca="false">N((Calc_1!DH$4&gt;=Calc_1!$F17)*ABS(Calc_1!DH94)&gt;Tolerance)</f>
        <v>0</v>
      </c>
      <c r="DI20" s="50" t="n">
        <f aca="false">N((Calc_1!DI$4&gt;=Calc_1!$F17)*ABS(Calc_1!DI94)&gt;Tolerance)</f>
        <v>0</v>
      </c>
      <c r="DJ20" s="50" t="n">
        <f aca="false">N((Calc_1!DJ$4&gt;=Calc_1!$F17)*ABS(Calc_1!DJ94)&gt;Tolerance)</f>
        <v>0</v>
      </c>
      <c r="DK20" s="50" t="n">
        <f aca="false">N((Calc_1!DK$4&gt;=Calc_1!$F17)*ABS(Calc_1!DK94)&gt;Tolerance)</f>
        <v>0</v>
      </c>
      <c r="DL20" s="50" t="n">
        <f aca="false">N((Calc_1!DL$4&gt;=Calc_1!$F17)*ABS(Calc_1!DL94)&gt;Tolerance)</f>
        <v>0</v>
      </c>
      <c r="DM20" s="50" t="n">
        <f aca="false">N((Calc_1!DM$4&gt;=Calc_1!$F17)*ABS(Calc_1!DM94)&gt;Tolerance)</f>
        <v>0</v>
      </c>
      <c r="DN20" s="50" t="n">
        <f aca="false">N((Calc_1!DN$4&gt;=Calc_1!$F17)*ABS(Calc_1!DN94)&gt;Tolerance)</f>
        <v>0</v>
      </c>
      <c r="DO20" s="50" t="n">
        <f aca="false">N((Calc_1!DO$4&gt;=Calc_1!$F17)*ABS(Calc_1!DO94)&gt;Tolerance)</f>
        <v>0</v>
      </c>
      <c r="DP20" s="50" t="n">
        <f aca="false">N((Calc_1!DP$4&gt;=Calc_1!$F17)*ABS(Calc_1!DP94)&gt;Tolerance)</f>
        <v>0</v>
      </c>
      <c r="DQ20" s="50" t="n">
        <f aca="false">N((Calc_1!DQ$4&gt;=Calc_1!$F17)*ABS(Calc_1!DQ94)&gt;Tolerance)</f>
        <v>0</v>
      </c>
      <c r="DR20" s="50" t="n">
        <f aca="false">N((Calc_1!DR$4&gt;=Calc_1!$F17)*ABS(Calc_1!DR94)&gt;Tolerance)</f>
        <v>0</v>
      </c>
      <c r="DS20" s="50" t="n">
        <f aca="false">N((Calc_1!DS$4&gt;=Calc_1!$F17)*ABS(Calc_1!DS94)&gt;Tolerance)</f>
        <v>0</v>
      </c>
      <c r="DT20" s="50" t="n">
        <f aca="false">N((Calc_1!DT$4&gt;=Calc_1!$F17)*ABS(Calc_1!DT94)&gt;Tolerance)</f>
        <v>0</v>
      </c>
      <c r="DU20" s="50" t="n">
        <f aca="false">N((Calc_1!DU$4&gt;=Calc_1!$F17)*ABS(Calc_1!DU94)&gt;Tolerance)</f>
        <v>0</v>
      </c>
      <c r="DV20" s="50" t="n">
        <f aca="false">N((Calc_1!DV$4&gt;=Calc_1!$F17)*ABS(Calc_1!DV94)&gt;Tolerance)</f>
        <v>0</v>
      </c>
      <c r="DW20" s="50" t="n">
        <f aca="false">N((Calc_1!DW$4&gt;=Calc_1!$F17)*ABS(Calc_1!DW94)&gt;Tolerance)</f>
        <v>0</v>
      </c>
      <c r="DX20" s="50" t="n">
        <f aca="false">N((Calc_1!DX$4&gt;=Calc_1!$F17)*ABS(Calc_1!DX94)&gt;Tolerance)</f>
        <v>0</v>
      </c>
      <c r="DY20" s="50" t="n">
        <f aca="false">N((Calc_1!DY$4&gt;=Calc_1!$F17)*ABS(Calc_1!DY94)&gt;Tolerance)</f>
        <v>0</v>
      </c>
      <c r="DZ20" s="50" t="n">
        <f aca="false">N((Calc_1!DZ$4&gt;=Calc_1!$F17)*ABS(Calc_1!DZ94)&gt;Tolerance)</f>
        <v>0</v>
      </c>
      <c r="EA20" s="50" t="n">
        <f aca="false">N((Calc_1!EA$4&gt;=Calc_1!$F17)*ABS(Calc_1!EA94)&gt;Tolerance)</f>
        <v>0</v>
      </c>
      <c r="EB20" s="50" t="n">
        <f aca="false">N((Calc_1!EB$4&gt;=Calc_1!$F17)*ABS(Calc_1!EB94)&gt;Tolerance)</f>
        <v>0</v>
      </c>
      <c r="EC20" s="50" t="n">
        <f aca="false">N((Calc_1!EC$4&gt;=Calc_1!$F17)*ABS(Calc_1!EC94)&gt;Tolerance)</f>
        <v>0</v>
      </c>
      <c r="ED20" s="50" t="n">
        <f aca="false">N((Calc_1!ED$4&gt;=Calc_1!$F17)*ABS(Calc_1!ED94)&gt;Tolerance)</f>
        <v>0</v>
      </c>
      <c r="EE20" s="50" t="n">
        <f aca="false">N((Calc_1!EE$4&gt;=Calc_1!$F17)*ABS(Calc_1!EE94)&gt;Tolerance)</f>
        <v>0</v>
      </c>
      <c r="EF20" s="50" t="n">
        <f aca="false">N((Calc_1!EF$4&gt;=Calc_1!$F17)*ABS(Calc_1!EF94)&gt;Tolerance)</f>
        <v>0</v>
      </c>
      <c r="EG20" s="50" t="n">
        <f aca="false">N((Calc_1!EG$4&gt;=Calc_1!$F17)*ABS(Calc_1!EG94)&gt;Tolerance)</f>
        <v>0</v>
      </c>
      <c r="EH20" s="50" t="n">
        <f aca="false">N((Calc_1!EH$4&gt;=Calc_1!$F17)*ABS(Calc_1!EH94)&gt;Tolerance)</f>
        <v>0</v>
      </c>
      <c r="EI20" s="50" t="n">
        <f aca="false">N((Calc_1!EI$4&gt;=Calc_1!$F17)*ABS(Calc_1!EI94)&gt;Tolerance)</f>
        <v>0</v>
      </c>
      <c r="EJ20" s="50" t="n">
        <f aca="false">N((Calc_1!EJ$4&gt;=Calc_1!$F17)*ABS(Calc_1!EJ94)&gt;Tolerance)</f>
        <v>0</v>
      </c>
      <c r="EK20" s="50" t="n">
        <f aca="false">N((Calc_1!EK$4&gt;=Calc_1!$F17)*ABS(Calc_1!EK94)&gt;Tolerance)</f>
        <v>0</v>
      </c>
      <c r="EL20" s="50" t="n">
        <f aca="false">N((Calc_1!EL$4&gt;=Calc_1!$F17)*ABS(Calc_1!EL94)&gt;Tolerance)</f>
        <v>0</v>
      </c>
      <c r="EM20" s="50" t="n">
        <f aca="false">N((Calc_1!EM$4&gt;=Calc_1!$F17)*ABS(Calc_1!EM94)&gt;Tolerance)</f>
        <v>0</v>
      </c>
      <c r="EN20" s="50" t="n">
        <f aca="false">N((Calc_1!EN$4&gt;=Calc_1!$F17)*ABS(Calc_1!EN94)&gt;Tolerance)</f>
        <v>0</v>
      </c>
      <c r="EO20" s="50" t="n">
        <f aca="false">N((Calc_1!EO$4&gt;=Calc_1!$F17)*ABS(Calc_1!EO94)&gt;Tolerance)</f>
        <v>0</v>
      </c>
    </row>
    <row r="21" customFormat="false" ht="15" hidden="false" customHeight="false" outlineLevel="0" collapsed="false">
      <c r="C21" s="1" t="s">
        <v>489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N((Calc_2!J$4&gt;=Calc_2!$F17)*ABS(Calc_2!J94)&gt;Tolerance)</f>
        <v>0</v>
      </c>
      <c r="K21" s="50" t="n">
        <f aca="false">N((Calc_2!K$4&gt;=Calc_2!$F17)*ABS(Calc_2!K94)&gt;Tolerance)</f>
        <v>0</v>
      </c>
      <c r="L21" s="50" t="n">
        <f aca="false">N((Calc_2!L$4&gt;=Calc_2!$F17)*ABS(Calc_2!L94)&gt;Tolerance)</f>
        <v>0</v>
      </c>
      <c r="M21" s="50" t="n">
        <f aca="false">N((Calc_2!M$4&gt;=Calc_2!$F17)*ABS(Calc_2!M94)&gt;Tolerance)</f>
        <v>0</v>
      </c>
      <c r="N21" s="50" t="n">
        <f aca="false">N((Calc_2!N$4&gt;=Calc_2!$F17)*ABS(Calc_2!N94)&gt;Tolerance)</f>
        <v>0</v>
      </c>
      <c r="O21" s="50" t="n">
        <f aca="false">N((Calc_2!O$4&gt;=Calc_2!$F17)*ABS(Calc_2!O94)&gt;Tolerance)</f>
        <v>0</v>
      </c>
      <c r="P21" s="50" t="n">
        <f aca="false">N((Calc_2!P$4&gt;=Calc_2!$F17)*ABS(Calc_2!P94)&gt;Tolerance)</f>
        <v>0</v>
      </c>
      <c r="Q21" s="50" t="n">
        <f aca="false">N((Calc_2!Q$4&gt;=Calc_2!$F17)*ABS(Calc_2!Q94)&gt;Tolerance)</f>
        <v>0</v>
      </c>
      <c r="R21" s="50" t="n">
        <f aca="false">N((Calc_2!R$4&gt;=Calc_2!$F17)*ABS(Calc_2!R94)&gt;Tolerance)</f>
        <v>0</v>
      </c>
      <c r="S21" s="50" t="n">
        <f aca="false">N((Calc_2!S$4&gt;=Calc_2!$F17)*ABS(Calc_2!S94)&gt;Tolerance)</f>
        <v>0</v>
      </c>
      <c r="T21" s="50" t="n">
        <f aca="false">N((Calc_2!T$4&gt;=Calc_2!$F17)*ABS(Calc_2!T94)&gt;Tolerance)</f>
        <v>0</v>
      </c>
      <c r="U21" s="50" t="n">
        <f aca="false">N((Calc_2!U$4&gt;=Calc_2!$F17)*ABS(Calc_2!U94)&gt;Tolerance)</f>
        <v>0</v>
      </c>
      <c r="V21" s="50" t="n">
        <f aca="false">N((Calc_2!V$4&gt;=Calc_2!$F17)*ABS(Calc_2!V94)&gt;Tolerance)</f>
        <v>0</v>
      </c>
      <c r="W21" s="50" t="n">
        <f aca="false">N((Calc_2!W$4&gt;=Calc_2!$F17)*ABS(Calc_2!W94)&gt;Tolerance)</f>
        <v>0</v>
      </c>
      <c r="X21" s="50" t="n">
        <f aca="false">N((Calc_2!X$4&gt;=Calc_2!$F17)*ABS(Calc_2!X94)&gt;Tolerance)</f>
        <v>0</v>
      </c>
      <c r="Y21" s="50" t="n">
        <f aca="false">N((Calc_2!Y$4&gt;=Calc_2!$F17)*ABS(Calc_2!Y94)&gt;Tolerance)</f>
        <v>0</v>
      </c>
      <c r="Z21" s="50" t="n">
        <f aca="false">N((Calc_2!Z$4&gt;=Calc_2!$F17)*ABS(Calc_2!Z94)&gt;Tolerance)</f>
        <v>0</v>
      </c>
      <c r="AA21" s="50" t="n">
        <f aca="false">N((Calc_2!AA$4&gt;=Calc_2!$F17)*ABS(Calc_2!AA94)&gt;Tolerance)</f>
        <v>0</v>
      </c>
      <c r="AB21" s="50" t="n">
        <f aca="false">N((Calc_2!AB$4&gt;=Calc_2!$F17)*ABS(Calc_2!AB94)&gt;Tolerance)</f>
        <v>0</v>
      </c>
      <c r="AC21" s="50" t="n">
        <f aca="false">N((Calc_2!AC$4&gt;=Calc_2!$F17)*ABS(Calc_2!AC94)&gt;Tolerance)</f>
        <v>0</v>
      </c>
      <c r="AD21" s="50" t="n">
        <f aca="false">N((Calc_2!AD$4&gt;=Calc_2!$F17)*ABS(Calc_2!AD94)&gt;Tolerance)</f>
        <v>0</v>
      </c>
      <c r="AE21" s="50" t="n">
        <f aca="false">N((Calc_2!AE$4&gt;=Calc_2!$F17)*ABS(Calc_2!AE94)&gt;Tolerance)</f>
        <v>0</v>
      </c>
      <c r="AF21" s="50" t="n">
        <f aca="false">N((Calc_2!AF$4&gt;=Calc_2!$F17)*ABS(Calc_2!AF94)&gt;Tolerance)</f>
        <v>0</v>
      </c>
      <c r="AG21" s="50" t="n">
        <f aca="false">N((Calc_2!AG$4&gt;=Calc_2!$F17)*ABS(Calc_2!AG94)&gt;Tolerance)</f>
        <v>0</v>
      </c>
      <c r="AH21" s="50" t="n">
        <f aca="false">N((Calc_2!AH$4&gt;=Calc_2!$F17)*ABS(Calc_2!AH94)&gt;Tolerance)</f>
        <v>0</v>
      </c>
      <c r="AI21" s="50" t="n">
        <f aca="false">N((Calc_2!AI$4&gt;=Calc_2!$F17)*ABS(Calc_2!AI94)&gt;Tolerance)</f>
        <v>0</v>
      </c>
      <c r="AJ21" s="50" t="n">
        <f aca="false">N((Calc_2!AJ$4&gt;=Calc_2!$F17)*ABS(Calc_2!AJ94)&gt;Tolerance)</f>
        <v>0</v>
      </c>
      <c r="AK21" s="50" t="n">
        <f aca="false">N((Calc_2!AK$4&gt;=Calc_2!$F17)*ABS(Calc_2!AK94)&gt;Tolerance)</f>
        <v>0</v>
      </c>
      <c r="AL21" s="50" t="n">
        <f aca="false">N((Calc_2!AL$4&gt;=Calc_2!$F17)*ABS(Calc_2!AL94)&gt;Tolerance)</f>
        <v>0</v>
      </c>
      <c r="AM21" s="50" t="n">
        <f aca="false">N((Calc_2!AM$4&gt;=Calc_2!$F17)*ABS(Calc_2!AM94)&gt;Tolerance)</f>
        <v>0</v>
      </c>
      <c r="AN21" s="50" t="n">
        <f aca="false">N((Calc_2!AN$4&gt;=Calc_2!$F17)*ABS(Calc_2!AN94)&gt;Tolerance)</f>
        <v>0</v>
      </c>
      <c r="AO21" s="50" t="n">
        <f aca="false">N((Calc_2!AO$4&gt;=Calc_2!$F17)*ABS(Calc_2!AO94)&gt;Tolerance)</f>
        <v>0</v>
      </c>
      <c r="AP21" s="50" t="n">
        <f aca="false">N((Calc_2!AP$4&gt;=Calc_2!$F17)*ABS(Calc_2!AP94)&gt;Tolerance)</f>
        <v>0</v>
      </c>
      <c r="AQ21" s="50" t="n">
        <f aca="false">N((Calc_2!AQ$4&gt;=Calc_2!$F17)*ABS(Calc_2!AQ94)&gt;Tolerance)</f>
        <v>0</v>
      </c>
      <c r="AR21" s="50" t="n">
        <f aca="false">N((Calc_2!AR$4&gt;=Calc_2!$F17)*ABS(Calc_2!AR94)&gt;Tolerance)</f>
        <v>0</v>
      </c>
      <c r="AS21" s="50" t="n">
        <f aca="false">N((Calc_2!AS$4&gt;=Calc_2!$F17)*ABS(Calc_2!AS94)&gt;Tolerance)</f>
        <v>0</v>
      </c>
      <c r="AT21" s="50" t="n">
        <f aca="false">N((Calc_2!AT$4&gt;=Calc_2!$F17)*ABS(Calc_2!AT94)&gt;Tolerance)</f>
        <v>0</v>
      </c>
      <c r="AU21" s="50" t="n">
        <f aca="false">N((Calc_2!AU$4&gt;=Calc_2!$F17)*ABS(Calc_2!AU94)&gt;Tolerance)</f>
        <v>0</v>
      </c>
      <c r="AV21" s="50" t="n">
        <f aca="false">N((Calc_2!AV$4&gt;=Calc_2!$F17)*ABS(Calc_2!AV94)&gt;Tolerance)</f>
        <v>0</v>
      </c>
      <c r="AW21" s="50" t="n">
        <f aca="false">N((Calc_2!AW$4&gt;=Calc_2!$F17)*ABS(Calc_2!AW94)&gt;Tolerance)</f>
        <v>0</v>
      </c>
      <c r="AX21" s="50" t="n">
        <f aca="false">N((Calc_2!AX$4&gt;=Calc_2!$F17)*ABS(Calc_2!AX94)&gt;Tolerance)</f>
        <v>0</v>
      </c>
      <c r="AY21" s="50" t="n">
        <f aca="false">N((Calc_2!AY$4&gt;=Calc_2!$F17)*ABS(Calc_2!AY94)&gt;Tolerance)</f>
        <v>0</v>
      </c>
      <c r="AZ21" s="50" t="n">
        <f aca="false">N((Calc_2!AZ$4&gt;=Calc_2!$F17)*ABS(Calc_2!AZ94)&gt;Tolerance)</f>
        <v>0</v>
      </c>
      <c r="BA21" s="50" t="n">
        <f aca="false">N((Calc_2!BA$4&gt;=Calc_2!$F17)*ABS(Calc_2!BA94)&gt;Tolerance)</f>
        <v>0</v>
      </c>
      <c r="BB21" s="50" t="n">
        <f aca="false">N((Calc_2!BB$4&gt;=Calc_2!$F17)*ABS(Calc_2!BB94)&gt;Tolerance)</f>
        <v>0</v>
      </c>
      <c r="BC21" s="50" t="n">
        <f aca="false">N((Calc_2!BC$4&gt;=Calc_2!$F17)*ABS(Calc_2!BC94)&gt;Tolerance)</f>
        <v>0</v>
      </c>
      <c r="BD21" s="50" t="n">
        <f aca="false">N((Calc_2!BD$4&gt;=Calc_2!$F17)*ABS(Calc_2!BD94)&gt;Tolerance)</f>
        <v>0</v>
      </c>
      <c r="BE21" s="50" t="n">
        <f aca="false">N((Calc_2!BE$4&gt;=Calc_2!$F17)*ABS(Calc_2!BE94)&gt;Tolerance)</f>
        <v>0</v>
      </c>
      <c r="BF21" s="50" t="n">
        <f aca="false">N((Calc_2!BF$4&gt;=Calc_2!$F17)*ABS(Calc_2!BF94)&gt;Tolerance)</f>
        <v>0</v>
      </c>
      <c r="BG21" s="50" t="n">
        <f aca="false">N((Calc_2!BG$4&gt;=Calc_2!$F17)*ABS(Calc_2!BG94)&gt;Tolerance)</f>
        <v>0</v>
      </c>
      <c r="BH21" s="50" t="n">
        <f aca="false">N((Calc_2!BH$4&gt;=Calc_2!$F17)*ABS(Calc_2!BH94)&gt;Tolerance)</f>
        <v>0</v>
      </c>
      <c r="BI21" s="50" t="n">
        <f aca="false">N((Calc_2!BI$4&gt;=Calc_2!$F17)*ABS(Calc_2!BI94)&gt;Tolerance)</f>
        <v>0</v>
      </c>
      <c r="BJ21" s="50" t="n">
        <f aca="false">N((Calc_2!BJ$4&gt;=Calc_2!$F17)*ABS(Calc_2!BJ94)&gt;Tolerance)</f>
        <v>0</v>
      </c>
      <c r="BK21" s="50" t="n">
        <f aca="false">N((Calc_2!BK$4&gt;=Calc_2!$F17)*ABS(Calc_2!BK94)&gt;Tolerance)</f>
        <v>0</v>
      </c>
      <c r="BL21" s="50" t="n">
        <f aca="false">N((Calc_2!BL$4&gt;=Calc_2!$F17)*ABS(Calc_2!BL94)&gt;Tolerance)</f>
        <v>0</v>
      </c>
      <c r="BM21" s="50" t="n">
        <f aca="false">N((Calc_2!BM$4&gt;=Calc_2!$F17)*ABS(Calc_2!BM94)&gt;Tolerance)</f>
        <v>0</v>
      </c>
      <c r="BN21" s="50" t="n">
        <f aca="false">N((Calc_2!BN$4&gt;=Calc_2!$F17)*ABS(Calc_2!BN94)&gt;Tolerance)</f>
        <v>0</v>
      </c>
      <c r="BO21" s="50" t="n">
        <f aca="false">N((Calc_2!BO$4&gt;=Calc_2!$F17)*ABS(Calc_2!BO94)&gt;Tolerance)</f>
        <v>0</v>
      </c>
      <c r="BP21" s="50" t="n">
        <f aca="false">N((Calc_2!BP$4&gt;=Calc_2!$F17)*ABS(Calc_2!BP94)&gt;Tolerance)</f>
        <v>0</v>
      </c>
      <c r="BQ21" s="50" t="n">
        <f aca="false">N((Calc_2!BQ$4&gt;=Calc_2!$F17)*ABS(Calc_2!BQ94)&gt;Tolerance)</f>
        <v>0</v>
      </c>
      <c r="BR21" s="50" t="n">
        <f aca="false">N((Calc_2!BR$4&gt;=Calc_2!$F17)*ABS(Calc_2!BR94)&gt;Tolerance)</f>
        <v>0</v>
      </c>
      <c r="BS21" s="50" t="n">
        <f aca="false">N((Calc_2!BS$4&gt;=Calc_2!$F17)*ABS(Calc_2!BS94)&gt;Tolerance)</f>
        <v>0</v>
      </c>
      <c r="BT21" s="50" t="n">
        <f aca="false">N((Calc_2!BT$4&gt;=Calc_2!$F17)*ABS(Calc_2!BT94)&gt;Tolerance)</f>
        <v>0</v>
      </c>
      <c r="BU21" s="50" t="n">
        <f aca="false">N((Calc_2!BU$4&gt;=Calc_2!$F17)*ABS(Calc_2!BU94)&gt;Tolerance)</f>
        <v>0</v>
      </c>
      <c r="BV21" s="50" t="n">
        <f aca="false">N((Calc_2!BV$4&gt;=Calc_2!$F17)*ABS(Calc_2!BV94)&gt;Tolerance)</f>
        <v>0</v>
      </c>
      <c r="BW21" s="50" t="n">
        <f aca="false">N((Calc_2!BW$4&gt;=Calc_2!$F17)*ABS(Calc_2!BW94)&gt;Tolerance)</f>
        <v>0</v>
      </c>
      <c r="BX21" s="50" t="n">
        <f aca="false">N((Calc_2!BX$4&gt;=Calc_2!$F17)*ABS(Calc_2!BX94)&gt;Tolerance)</f>
        <v>0</v>
      </c>
      <c r="BY21" s="50" t="n">
        <f aca="false">N((Calc_2!BY$4&gt;=Calc_2!$F17)*ABS(Calc_2!BY94)&gt;Tolerance)</f>
        <v>0</v>
      </c>
      <c r="BZ21" s="50" t="n">
        <f aca="false">N((Calc_2!BZ$4&gt;=Calc_2!$F17)*ABS(Calc_2!BZ94)&gt;Tolerance)</f>
        <v>0</v>
      </c>
      <c r="CA21" s="50" t="n">
        <f aca="false">N((Calc_2!CA$4&gt;=Calc_2!$F17)*ABS(Calc_2!CA94)&gt;Tolerance)</f>
        <v>0</v>
      </c>
      <c r="CB21" s="50" t="n">
        <f aca="false">N((Calc_2!CB$4&gt;=Calc_2!$F17)*ABS(Calc_2!CB94)&gt;Tolerance)</f>
        <v>0</v>
      </c>
      <c r="CC21" s="50" t="n">
        <f aca="false">N((Calc_2!CC$4&gt;=Calc_2!$F17)*ABS(Calc_2!CC94)&gt;Tolerance)</f>
        <v>0</v>
      </c>
      <c r="CD21" s="50" t="n">
        <f aca="false">N((Calc_2!CD$4&gt;=Calc_2!$F17)*ABS(Calc_2!CD94)&gt;Tolerance)</f>
        <v>0</v>
      </c>
      <c r="CE21" s="50" t="n">
        <f aca="false">N((Calc_2!CE$4&gt;=Calc_2!$F17)*ABS(Calc_2!CE94)&gt;Tolerance)</f>
        <v>0</v>
      </c>
      <c r="CF21" s="50" t="n">
        <f aca="false">N((Calc_2!CF$4&gt;=Calc_2!$F17)*ABS(Calc_2!CF94)&gt;Tolerance)</f>
        <v>0</v>
      </c>
      <c r="CG21" s="50" t="n">
        <f aca="false">N((Calc_2!CG$4&gt;=Calc_2!$F17)*ABS(Calc_2!CG94)&gt;Tolerance)</f>
        <v>0</v>
      </c>
      <c r="CH21" s="50" t="n">
        <f aca="false">N((Calc_2!CH$4&gt;=Calc_2!$F17)*ABS(Calc_2!CH94)&gt;Tolerance)</f>
        <v>0</v>
      </c>
      <c r="CI21" s="50" t="n">
        <f aca="false">N((Calc_2!CI$4&gt;=Calc_2!$F17)*ABS(Calc_2!CI94)&gt;Tolerance)</f>
        <v>0</v>
      </c>
      <c r="CJ21" s="50" t="n">
        <f aca="false">N((Calc_2!CJ$4&gt;=Calc_2!$F17)*ABS(Calc_2!CJ94)&gt;Tolerance)</f>
        <v>0</v>
      </c>
      <c r="CK21" s="50" t="n">
        <f aca="false">N((Calc_2!CK$4&gt;=Calc_2!$F17)*ABS(Calc_2!CK94)&gt;Tolerance)</f>
        <v>0</v>
      </c>
      <c r="CL21" s="50" t="n">
        <f aca="false">N((Calc_2!CL$4&gt;=Calc_2!$F17)*ABS(Calc_2!CL94)&gt;Tolerance)</f>
        <v>0</v>
      </c>
      <c r="CM21" s="50" t="n">
        <f aca="false">N((Calc_2!CM$4&gt;=Calc_2!$F17)*ABS(Calc_2!CM94)&gt;Tolerance)</f>
        <v>0</v>
      </c>
      <c r="CN21" s="50" t="n">
        <f aca="false">N((Calc_2!CN$4&gt;=Calc_2!$F17)*ABS(Calc_2!CN94)&gt;Tolerance)</f>
        <v>0</v>
      </c>
      <c r="CO21" s="50" t="n">
        <f aca="false">N((Calc_2!CO$4&gt;=Calc_2!$F17)*ABS(Calc_2!CO94)&gt;Tolerance)</f>
        <v>0</v>
      </c>
      <c r="CP21" s="50" t="n">
        <f aca="false">N((Calc_2!CP$4&gt;=Calc_2!$F17)*ABS(Calc_2!CP94)&gt;Tolerance)</f>
        <v>0</v>
      </c>
      <c r="CQ21" s="50" t="n">
        <f aca="false">N((Calc_2!CQ$4&gt;=Calc_2!$F17)*ABS(Calc_2!CQ94)&gt;Tolerance)</f>
        <v>0</v>
      </c>
      <c r="CR21" s="50" t="n">
        <f aca="false">N((Calc_2!CR$4&gt;=Calc_2!$F17)*ABS(Calc_2!CR94)&gt;Tolerance)</f>
        <v>0</v>
      </c>
      <c r="CS21" s="50" t="n">
        <f aca="false">N((Calc_2!CS$4&gt;=Calc_2!$F17)*ABS(Calc_2!CS94)&gt;Tolerance)</f>
        <v>0</v>
      </c>
      <c r="CT21" s="50" t="n">
        <f aca="false">N((Calc_2!CT$4&gt;=Calc_2!$F17)*ABS(Calc_2!CT94)&gt;Tolerance)</f>
        <v>0</v>
      </c>
      <c r="CU21" s="50" t="n">
        <f aca="false">N((Calc_2!CU$4&gt;=Calc_2!$F17)*ABS(Calc_2!CU94)&gt;Tolerance)</f>
        <v>0</v>
      </c>
      <c r="CV21" s="50" t="n">
        <f aca="false">N((Calc_2!CV$4&gt;=Calc_2!$F17)*ABS(Calc_2!CV94)&gt;Tolerance)</f>
        <v>0</v>
      </c>
      <c r="CW21" s="50" t="n">
        <f aca="false">N((Calc_2!CW$4&gt;=Calc_2!$F17)*ABS(Calc_2!CW94)&gt;Tolerance)</f>
        <v>0</v>
      </c>
      <c r="CX21" s="50" t="n">
        <f aca="false">N((Calc_2!CX$4&gt;=Calc_2!$F17)*ABS(Calc_2!CX94)&gt;Tolerance)</f>
        <v>0</v>
      </c>
      <c r="CY21" s="50" t="n">
        <f aca="false">N((Calc_2!CY$4&gt;=Calc_2!$F17)*ABS(Calc_2!CY94)&gt;Tolerance)</f>
        <v>0</v>
      </c>
      <c r="CZ21" s="50" t="n">
        <f aca="false">N((Calc_2!CZ$4&gt;=Calc_2!$F17)*ABS(Calc_2!CZ94)&gt;Tolerance)</f>
        <v>0</v>
      </c>
      <c r="DA21" s="50" t="n">
        <f aca="false">N((Calc_2!DA$4&gt;=Calc_2!$F17)*ABS(Calc_2!DA94)&gt;Tolerance)</f>
        <v>0</v>
      </c>
      <c r="DB21" s="50" t="n">
        <f aca="false">N((Calc_2!DB$4&gt;=Calc_2!$F17)*ABS(Calc_2!DB94)&gt;Tolerance)</f>
        <v>0</v>
      </c>
      <c r="DC21" s="50" t="n">
        <f aca="false">N((Calc_2!DC$4&gt;=Calc_2!$F17)*ABS(Calc_2!DC94)&gt;Tolerance)</f>
        <v>0</v>
      </c>
      <c r="DD21" s="50" t="n">
        <f aca="false">N((Calc_2!DD$4&gt;=Calc_2!$F17)*ABS(Calc_2!DD94)&gt;Tolerance)</f>
        <v>0</v>
      </c>
      <c r="DE21" s="50" t="n">
        <f aca="false">N((Calc_2!DE$4&gt;=Calc_2!$F17)*ABS(Calc_2!DE94)&gt;Tolerance)</f>
        <v>0</v>
      </c>
      <c r="DF21" s="50" t="n">
        <f aca="false">N((Calc_2!DF$4&gt;=Calc_2!$F17)*ABS(Calc_2!DF94)&gt;Tolerance)</f>
        <v>0</v>
      </c>
      <c r="DG21" s="50" t="n">
        <f aca="false">N((Calc_2!DG$4&gt;=Calc_2!$F17)*ABS(Calc_2!DG94)&gt;Tolerance)</f>
        <v>0</v>
      </c>
      <c r="DH21" s="50" t="n">
        <f aca="false">N((Calc_2!DH$4&gt;=Calc_2!$F17)*ABS(Calc_2!DH94)&gt;Tolerance)</f>
        <v>0</v>
      </c>
      <c r="DI21" s="50" t="n">
        <f aca="false">N((Calc_2!DI$4&gt;=Calc_2!$F17)*ABS(Calc_2!DI94)&gt;Tolerance)</f>
        <v>0</v>
      </c>
      <c r="DJ21" s="50" t="n">
        <f aca="false">N((Calc_2!DJ$4&gt;=Calc_2!$F17)*ABS(Calc_2!DJ94)&gt;Tolerance)</f>
        <v>0</v>
      </c>
      <c r="DK21" s="50" t="n">
        <f aca="false">N((Calc_2!DK$4&gt;=Calc_2!$F17)*ABS(Calc_2!DK94)&gt;Tolerance)</f>
        <v>0</v>
      </c>
      <c r="DL21" s="50" t="n">
        <f aca="false">N((Calc_2!DL$4&gt;=Calc_2!$F17)*ABS(Calc_2!DL94)&gt;Tolerance)</f>
        <v>0</v>
      </c>
      <c r="DM21" s="50" t="n">
        <f aca="false">N((Calc_2!DM$4&gt;=Calc_2!$F17)*ABS(Calc_2!DM94)&gt;Tolerance)</f>
        <v>0</v>
      </c>
      <c r="DN21" s="50" t="n">
        <f aca="false">N((Calc_2!DN$4&gt;=Calc_2!$F17)*ABS(Calc_2!DN94)&gt;Tolerance)</f>
        <v>0</v>
      </c>
      <c r="DO21" s="50" t="n">
        <f aca="false">N((Calc_2!DO$4&gt;=Calc_2!$F17)*ABS(Calc_2!DO94)&gt;Tolerance)</f>
        <v>0</v>
      </c>
      <c r="DP21" s="50" t="n">
        <f aca="false">N((Calc_2!DP$4&gt;=Calc_2!$F17)*ABS(Calc_2!DP94)&gt;Tolerance)</f>
        <v>0</v>
      </c>
      <c r="DQ21" s="50" t="n">
        <f aca="false">N((Calc_2!DQ$4&gt;=Calc_2!$F17)*ABS(Calc_2!DQ94)&gt;Tolerance)</f>
        <v>0</v>
      </c>
      <c r="DR21" s="50" t="n">
        <f aca="false">N((Calc_2!DR$4&gt;=Calc_2!$F17)*ABS(Calc_2!DR94)&gt;Tolerance)</f>
        <v>0</v>
      </c>
      <c r="DS21" s="50" t="n">
        <f aca="false">N((Calc_2!DS$4&gt;=Calc_2!$F17)*ABS(Calc_2!DS94)&gt;Tolerance)</f>
        <v>0</v>
      </c>
      <c r="DT21" s="50" t="n">
        <f aca="false">N((Calc_2!DT$4&gt;=Calc_2!$F17)*ABS(Calc_2!DT94)&gt;Tolerance)</f>
        <v>0</v>
      </c>
      <c r="DU21" s="50" t="n">
        <f aca="false">N((Calc_2!DU$4&gt;=Calc_2!$F17)*ABS(Calc_2!DU94)&gt;Tolerance)</f>
        <v>0</v>
      </c>
      <c r="DV21" s="50" t="n">
        <f aca="false">N((Calc_2!DV$4&gt;=Calc_2!$F17)*ABS(Calc_2!DV94)&gt;Tolerance)</f>
        <v>0</v>
      </c>
      <c r="DW21" s="50" t="n">
        <f aca="false">N((Calc_2!DW$4&gt;=Calc_2!$F17)*ABS(Calc_2!DW94)&gt;Tolerance)</f>
        <v>0</v>
      </c>
      <c r="DX21" s="50" t="n">
        <f aca="false">N((Calc_2!DX$4&gt;=Calc_2!$F17)*ABS(Calc_2!DX94)&gt;Tolerance)</f>
        <v>0</v>
      </c>
      <c r="DY21" s="50" t="n">
        <f aca="false">N((Calc_2!DY$4&gt;=Calc_2!$F17)*ABS(Calc_2!DY94)&gt;Tolerance)</f>
        <v>0</v>
      </c>
      <c r="DZ21" s="50" t="n">
        <f aca="false">N((Calc_2!DZ$4&gt;=Calc_2!$F17)*ABS(Calc_2!DZ94)&gt;Tolerance)</f>
        <v>0</v>
      </c>
      <c r="EA21" s="50" t="n">
        <f aca="false">N((Calc_2!EA$4&gt;=Calc_2!$F17)*ABS(Calc_2!EA94)&gt;Tolerance)</f>
        <v>0</v>
      </c>
      <c r="EB21" s="50" t="n">
        <f aca="false">N((Calc_2!EB$4&gt;=Calc_2!$F17)*ABS(Calc_2!EB94)&gt;Tolerance)</f>
        <v>0</v>
      </c>
      <c r="EC21" s="50" t="n">
        <f aca="false">N((Calc_2!EC$4&gt;=Calc_2!$F17)*ABS(Calc_2!EC94)&gt;Tolerance)</f>
        <v>0</v>
      </c>
      <c r="ED21" s="50" t="n">
        <f aca="false">N((Calc_2!ED$4&gt;=Calc_2!$F17)*ABS(Calc_2!ED94)&gt;Tolerance)</f>
        <v>0</v>
      </c>
      <c r="EE21" s="50" t="n">
        <f aca="false">N((Calc_2!EE$4&gt;=Calc_2!$F17)*ABS(Calc_2!EE94)&gt;Tolerance)</f>
        <v>0</v>
      </c>
      <c r="EF21" s="50" t="n">
        <f aca="false">N((Calc_2!EF$4&gt;=Calc_2!$F17)*ABS(Calc_2!EF94)&gt;Tolerance)</f>
        <v>0</v>
      </c>
      <c r="EG21" s="50" t="n">
        <f aca="false">N((Calc_2!EG$4&gt;=Calc_2!$F17)*ABS(Calc_2!EG94)&gt;Tolerance)</f>
        <v>0</v>
      </c>
      <c r="EH21" s="50" t="n">
        <f aca="false">N((Calc_2!EH$4&gt;=Calc_2!$F17)*ABS(Calc_2!EH94)&gt;Tolerance)</f>
        <v>0</v>
      </c>
      <c r="EI21" s="50" t="n">
        <f aca="false">N((Calc_2!EI$4&gt;=Calc_2!$F17)*ABS(Calc_2!EI94)&gt;Tolerance)</f>
        <v>0</v>
      </c>
      <c r="EJ21" s="50" t="n">
        <f aca="false">N((Calc_2!EJ$4&gt;=Calc_2!$F17)*ABS(Calc_2!EJ94)&gt;Tolerance)</f>
        <v>0</v>
      </c>
      <c r="EK21" s="50" t="n">
        <f aca="false">N((Calc_2!EK$4&gt;=Calc_2!$F17)*ABS(Calc_2!EK94)&gt;Tolerance)</f>
        <v>0</v>
      </c>
      <c r="EL21" s="50" t="n">
        <f aca="false">N((Calc_2!EL$4&gt;=Calc_2!$F17)*ABS(Calc_2!EL94)&gt;Tolerance)</f>
        <v>0</v>
      </c>
      <c r="EM21" s="50" t="n">
        <f aca="false">N((Calc_2!EM$4&gt;=Calc_2!$F17)*ABS(Calc_2!EM94)&gt;Tolerance)</f>
        <v>0</v>
      </c>
      <c r="EN21" s="50" t="n">
        <f aca="false">N((Calc_2!EN$4&gt;=Calc_2!$F17)*ABS(Calc_2!EN94)&gt;Tolerance)</f>
        <v>0</v>
      </c>
      <c r="EO21" s="50" t="n">
        <f aca="false">N((Calc_2!EO$4&gt;=Calc_2!$F17)*ABS(Calc_2!EO94)&gt;Tolerance)</f>
        <v>0</v>
      </c>
    </row>
    <row r="22" customFormat="false" ht="15" hidden="false" customHeight="false" outlineLevel="0" collapsed="false">
      <c r="C22" s="1" t="s">
        <v>490</v>
      </c>
      <c r="D22" s="12" t="s">
        <v>43</v>
      </c>
      <c r="E22" s="28" t="str">
        <f aca="false">IF(F22=0,"OK","CHECK")</f>
        <v>OK</v>
      </c>
      <c r="F22" s="50" t="n">
        <f aca="false">N(Calc_1!$E98&lt;In_DSCR-Tolerance)</f>
        <v>0</v>
      </c>
    </row>
    <row r="23" customFormat="false" ht="15" hidden="false" customHeight="false" outlineLevel="0" collapsed="false">
      <c r="C23" s="1" t="s">
        <v>491</v>
      </c>
      <c r="D23" s="12" t="s">
        <v>43</v>
      </c>
      <c r="E23" s="28" t="str">
        <f aca="false">IF(F23=0,"OK","CHECK")</f>
        <v>OK</v>
      </c>
      <c r="F23" s="50" t="n">
        <f aca="false">N(Calc_2!$E98&lt;In_DSCR-Tolerance)</f>
        <v>0</v>
      </c>
    </row>
    <row r="24" customFormat="false" ht="15" hidden="false" customHeight="false" outlineLevel="0" collapsed="false">
      <c r="C24" s="1" t="s">
        <v>492</v>
      </c>
      <c r="D24" s="12" t="s">
        <v>43</v>
      </c>
      <c r="E24" s="28" t="str">
        <f aca="false">IF(F24=0,"OK","CHECK")</f>
        <v>OK</v>
      </c>
      <c r="F24" s="50" t="n">
        <f aca="false">N(ABS(Calc_1!$E119+Calc_1!$I124-Calc_1!$E94)&gt;Tolerance)</f>
        <v>0</v>
      </c>
    </row>
    <row r="25" customFormat="false" ht="15" hidden="false" customHeight="false" outlineLevel="0" collapsed="false">
      <c r="C25" s="1" t="s">
        <v>493</v>
      </c>
      <c r="D25" s="12" t="s">
        <v>43</v>
      </c>
      <c r="E25" s="28" t="str">
        <f aca="false">IF(F25=0,"OK","CHECK")</f>
        <v>OK</v>
      </c>
      <c r="F25" s="50" t="n">
        <f aca="false">N(ABS(Calc_2!$E119+Calc_2!$I124-Calc_2!$E94)&gt;Tolerance)</f>
        <v>0</v>
      </c>
    </row>
    <row r="26" customFormat="false" ht="15" hidden="false" customHeight="false" outlineLevel="0" collapsed="false">
      <c r="C26" s="1" t="s">
        <v>494</v>
      </c>
      <c r="D26" s="12" t="s">
        <v>43</v>
      </c>
      <c r="E26" s="28" t="str">
        <f aca="false">IF(F26=0,"OK","CHECK")</f>
        <v>OK</v>
      </c>
      <c r="F26" s="50" t="n">
        <f aca="false">N(ISERROR(Calc_1!$E129))+N(ISERROR(Calc_1!$E142))+N(ISERROR(Calc_1!$E140))+N(ISERROR(Calc_1!$E136))</f>
        <v>0</v>
      </c>
    </row>
    <row r="27" customFormat="false" ht="15" hidden="false" customHeight="false" outlineLevel="0" collapsed="false">
      <c r="C27" s="1" t="s">
        <v>495</v>
      </c>
      <c r="D27" s="12" t="s">
        <v>43</v>
      </c>
      <c r="E27" s="28" t="str">
        <f aca="false">IF(F27=0,"OK","CHECK")</f>
        <v>OK</v>
      </c>
      <c r="F27" s="50" t="n">
        <f aca="false">N(ISERROR(Calc_2!$E129))+N(ISERROR(Calc_2!$E142))+N(ISERROR(Calc_2!$E140))+N(ISERROR(Calc_2!$E136))</f>
        <v>0</v>
      </c>
    </row>
    <row r="28" customFormat="false" ht="15" hidden="false" customHeight="false" outlineLevel="0" collapsed="false">
      <c r="C28" s="1" t="s">
        <v>496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497</v>
      </c>
      <c r="F30" s="62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3" t="str">
        <f aca="false">IF(F32=0,"OK","CHECK")</f>
        <v>OK</v>
      </c>
      <c r="F32" s="62" t="n">
        <f aca="false">SUMPRODUCT(ABS(F12:F28))</f>
        <v>0</v>
      </c>
    </row>
    <row r="34" customFormat="false" ht="15" hidden="false" customHeight="false" outlineLevel="0" collapsed="false">
      <c r="C34" s="42" t="s">
        <v>163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2026-10-14T06:43:25Z</dcterms:created>
  <dc:creator>openpyxl</dc:creator>
  <dc:description/>
  <dc:language>en-US</dc:language>
  <cp:lastModifiedBy/>
  <dcterms:modified xsi:type="dcterms:W3CDTF">2026-10-14T06:43:32Z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