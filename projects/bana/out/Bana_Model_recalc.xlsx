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hecks_1_Stored" vbProcedure="false">Dashboard!$H$106:$O$106</definedName>
    <definedName function="false" hidden="false" name="Checks_2_Stored" vbProcedure="false">Dashboard!$H$107:$O$107</definedName>
    <definedName function="false" hidden="false" name="COD_IRR_1_Stored" vbProcedure="false">Dashboard!$H$92:$O$92</definedName>
    <definedName function="false" hidden="false" name="COD_IRR_2_Stored" vbProcedure="false">Dashboard!$H$93:$O$93</definedName>
    <definedName function="false" hidden="false" name="COD_MOIC_1_Stored" vbProcedure="false">Dashboard!$H$94:$O$94</definedName>
    <definedName function="false" hidden="false" name="COD_MOIC_2_Stored" vbProcedure="false">Dashboard!$H$95:$O$95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Dashboard!$H$100:$O$100</definedName>
    <definedName function="false" hidden="false" name="Debt_COD_2_Stored" vbProcedure="false">Dashboard!$H$101:$O$101</definedName>
    <definedName function="false" hidden="false" name="Equity_COD_1_Stored" vbProcedure="false">Dashboard!$H$102:$O$102</definedName>
    <definedName function="false" hidden="false" name="Equity_COD_2_Stored" vbProcedure="false">Dashboard!$H$103:$O$103</definedName>
    <definedName function="false" hidden="false" name="GoalSeek_Topics" vbProcedure="false">Inputs!$F$103</definedName>
    <definedName function="false" hidden="false" name="HTM_IRR_1_Stored" vbProcedure="false">Dashboard!$H$96:$O$96</definedName>
    <definedName function="false" hidden="false" name="HTM_IRR_2_Stored" vbProcedure="false">Dashboard!$H$97:$O$97</definedName>
    <definedName function="false" hidden="false" name="HTM_MOIC_1_Stored" vbProcedure="false">Dashboard!$H$98:$O$98</definedName>
    <definedName function="false" hidden="false" name="HTM_MOIC_2_Stored" vbProcedure="false">Dashboard!$H$99:$O$99</definedName>
    <definedName function="false" hidden="false" name="In_Admin" vbProcedure="false">Inputs!$F$84</definedName>
    <definedName function="false" hidden="false" name="In_Award_Date" vbProcedure="false">Inputs!$F$21</definedName>
    <definedName function="false" hidden="false" name="In_Bench_BESS" vbProcedure="false">Inputs!$F$56</definedName>
    <definedName function="false" hidden="false" name="In_Bench_Wind" vbProcedure="false">Inputs!$F$57</definedName>
    <definedName function="false" hidden="false" name="In_BESS_Built" vbProcedure="false">Inputs!$F$51</definedName>
    <definedName function="false" hidden="false" name="In_BESS_Capex" vbProcedure="false">Inputs!$F$73</definedName>
    <definedName function="false" hidden="false" name="In_Bid_Date" vbProcedure="false">Inputs!$F$20</definedName>
    <definedName function="false" hidden="false" name="In_Bid_Rate" vbProcedure="false">Inputs!$F$59</definedName>
    <definedName function="false" hidden="false" name="In_Bottleneck_Loss" vbProcedure="false">Inputs!$F$50</definedName>
    <definedName function="false" hidden="false" name="In_Capex_Contingency" vbProcedure="false">Inputs!$F$72</definedName>
    <definedName function="false" hidden="false" name="In_CIT" vbProcedure="false">Inputs!$F$40</definedName>
    <definedName function="false" hidden="false" name="In_Closing" vbProcedure="false">Inputs!$F$24</definedName>
    <definedName function="false" hidden="false" name="In_COD" vbProcedure="false">Inputs!$F$27</definedName>
    <definedName function="false" hidden="false" name="In_COD_Price" vbProcedure="false">Inputs!$F$36</definedName>
    <definedName function="false" hidden="false" name="In_COD_Price_CN" vbProcedure="false">Inputs!$F$37</definedName>
    <definedName function="false" hidden="false" name="In_Commitment_Fee" vbProcedure="false">Inputs!$F$98</definedName>
    <definedName function="false" hidden="false" name="In_Curtailment" vbProcedure="false">Inputs!$F$77</definedName>
    <definedName function="false" hidden="false" name="In_DD" vbProcedure="false">Inputs!$F$34</definedName>
    <definedName function="false" hidden="false" name="In_Debt_Rate" vbProcedure="false">Inputs!$F$96</definedName>
    <definedName function="false" hidden="false" name="In_Debt_Tenor" vbProcedure="false">Inputs!$F$95</definedName>
    <definedName function="false" hidden="false" name="In_Decision_Date" vbProcedure="false">Inputs!$F$22</definedName>
    <definedName function="false" hidden="false" name="In_Degradation" vbProcedure="false">Inputs!$F$78</definedName>
    <definedName function="false" hidden="false" name="In_Dep_Years" vbProcedure="false">Inputs!$F$42</definedName>
    <definedName function="false" hidden="false" name="In_Devex" vbProcedure="false">Inputs!$F$35</definedName>
    <definedName function="false" hidden="false" name="In_Direct_Fee" vbProcedure="false">Inputs!$F$62</definedName>
    <definedName function="false" hidden="false" name="In_Discount_Rate" vbProcedure="false">Inputs!$F$39</definedName>
    <definedName function="false" hidden="false" name="In_DSCR" vbProcedure="false">Inputs!$F$94</definedName>
    <definedName function="false" hidden="false" name="In_DSRA_Months" vbProcedure="false">Inputs!$F$99</definedName>
    <definedName function="false" hidden="false" name="In_Fixed_Opex" vbProcedure="false">Inputs!$F$82</definedName>
    <definedName function="false" hidden="false" name="In_FX" vbProcedure="false">Inputs!$F$32</definedName>
    <definedName function="false" hidden="false" name="In_Gearing" vbProcedure="false">Inputs!$F$92</definedName>
    <definedName function="false" hidden="false" name="In_Gearing_CN" vbProcedure="false">Inputs!$F$93</definedName>
    <definedName function="false" hidden="false" name="In_Guarantee_Fee" vbProcedure="false">Inputs!$F$64</definedName>
    <definedName function="false" hidden="false" name="In_HCSSZ_Date" vbProcedure="false">Inputs!$F$26</definedName>
    <definedName function="false" hidden="false" name="In_HIPA" vbProcedure="false">Inputs!$F$88</definedName>
    <definedName function="false" hidden="false" name="In_Indirect_Fee" vbProcedure="false">Inputs!$F$63</definedName>
    <definedName function="false" hidden="false" name="In_Innovation" vbProcedure="false">Inputs!$F$89</definedName>
    <definedName function="false" hidden="false" name="In_Lease" vbProcedure="false">Inputs!$F$83</definedName>
    <definedName function="false" hidden="false" name="In_Life" vbProcedure="false">Inputs!$F$28</definedName>
    <definedName function="false" hidden="false" name="In_Loss_Cap" vbProcedure="false">Inputs!$F$43</definedName>
    <definedName function="false" hidden="false" name="In_Loss_Years" vbProcedure="false">Inputs!$F$44</definedName>
    <definedName function="false" hidden="false" name="In_MEKH" vbProcedure="false">Inputs!$F$87</definedName>
    <definedName function="false" hidden="false" name="In_Min_Hours" vbProcedure="false">Inputs!$F$52</definedName>
    <definedName function="false" hidden="false" name="In_Model_Start" vbProcedure="false">Inputs!$F$19</definedName>
    <definedName function="false" hidden="false" name="In_MVA" vbProcedure="false">Inputs!$F$48</definedName>
    <definedName function="false" hidden="false" name="In_NTP" vbProcedure="false">Inputs!$F$25</definedName>
    <definedName function="false" hidden="false" name="In_Opex_Contingency" vbProcedure="false">Inputs!$F$85</definedName>
    <definedName function="false" hidden="false" name="In_Opex_Esc" vbProcedure="false">Inputs!$F$86</definedName>
    <definedName function="false" hidden="false" name="In_Other_Wind" vbProcedure="false">Inputs!$F$69</definedName>
    <definedName function="false" hidden="false" name="In_Overbuild_Built" vbProcedure="false">Inputs!$F$49</definedName>
    <definedName function="false" hidden="false" name="In_P50_Hours" vbProcedure="false">Inputs!$F$76</definedName>
    <definedName function="false" hidden="false" name="In_Part_Fee" vbProcedure="false">Inputs!$F$58</definedName>
    <definedName function="false" hidden="false" name="In_PB_Days" vbProcedure="false">Inputs!$F$23</definedName>
    <definedName function="false" hidden="false" name="In_PB_Rate" vbProcedure="false">Inputs!$F$60</definedName>
    <definedName function="false" hidden="false" name="In_PB_Release" vbProcedure="false">Inputs!$F$29</definedName>
    <definedName function="false" hidden="false" name="In_PPA_Esc" vbProcedure="false">Inputs!$F$80</definedName>
    <definedName function="false" hidden="false" name="In_PPA_Price" vbProcedure="false">Inputs!$F$79</definedName>
    <definedName function="false" hidden="false" name="In_Purchase_Price" vbProcedure="false">Inputs!$F$33</definedName>
    <definedName function="false" hidden="false" name="In_Sale_Costs" vbProcedure="false">Inputs!$F$38</definedName>
    <definedName function="false" hidden="false" name="In_Sale_Gain_Taxed" vbProcedure="false">Inputs!$F$41</definedName>
    <definedName function="false" hidden="false" name="In_Sanction_Lag" vbProcedure="false">Inputs!$F$55</definedName>
    <definedName function="false" hidden="false" name="In_Sanction_Regime" vbProcedure="false">Inputs!$F$54</definedName>
    <definedName function="false" hidden="false" name="In_Substation" vbProcedure="false">Inputs!$F$70</definedName>
    <definedName function="false" hidden="false" name="In_Substation_CN" vbProcedure="false">Inputs!$F$71</definedName>
    <definedName function="false" hidden="false" name="In_Tolerance_Cap" vbProcedure="false">Inputs!$F$53</definedName>
    <definedName function="false" hidden="false" name="In_TSO_Security" vbProcedure="false">Inputs!$F$61</definedName>
    <definedName function="false" hidden="false" name="In_Turbine" vbProcedure="false">Inputs!$F$67</definedName>
    <definedName function="false" hidden="false" name="In_Turbine_CN" vbProcedure="false">Inputs!$F$68</definedName>
    <definedName function="false" hidden="false" name="In_Upfront_Fee" vbProcedure="false">Inputs!$F$97</definedName>
    <definedName function="false" hidden="false" name="In_Var_Opex" vbProcedure="false">Inputs!$F$81</definedName>
    <definedName function="false" hidden="false" name="Live_Results" vbProcedure="false">Dashboard!$E$92:$E$107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Dashboard!$H$104:$O$104</definedName>
    <definedName function="false" hidden="false" name="Min_DSCR_2_Stored" vbProcedure="false">Dashboard!$H$105:$O$105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Capacity_Used_1" vbProcedure="false">Dashboard!$E$79</definedName>
    <definedName function="false" hidden="false" name="Out_Capacity_Used_2" vbProcedure="false">Dashboard!$F$79</definedName>
    <definedName function="false" hidden="false" name="Out_Checks_1" vbProcedure="false">Dashboard!$E$89</definedName>
    <definedName function="false" hidden="false" name="Out_Checks_2" vbProcedure="false">Dashboard!$F$89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Dashboard!$E$76</definedName>
    <definedName function="false" hidden="false" name="Out_Debt_Capacity_2" vbProcedure="false">Dashboard!$F$76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Share_1" vbProcedure="false">Dashboard!$E$78</definedName>
    <definedName function="false" hidden="false" name="Out_Debt_Share_2" vbProcedure="false">Dashboard!$F$78</definedName>
    <definedName function="false" hidden="false" name="Out_DSRA_1" vbProcedure="false">Dashboard!$E$80</definedName>
    <definedName function="false" hidden="false" name="Out_DSRA_2" vbProcedure="false">Dashboard!$F$80</definedName>
    <definedName function="false" hidden="false" name="Out_EBITDA_Life_1" vbProcedure="false">Dashboard!$E$86</definedName>
    <definedName function="false" hidden="false" name="Out_EBITDA_Life_2" vbProcedure="false">Dashboard!$F$86</definedName>
    <definedName function="false" hidden="false" name="Out_EBITDA_Year1_1" vbProcedure="false">Dashboard!$E$84</definedName>
    <definedName function="false" hidden="false" name="Out_EBITDA_Year1_2" vbProcedure="false">Dashboard!$F$84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Cap_1" vbProcedure="false">Dashboard!$E$77</definedName>
    <definedName function="false" hidden="false" name="Out_Gearing_Cap_2" vbProcedure="false">Dashboard!$F$77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Dashboard!$E$82</definedName>
    <definedName function="false" hidden="false" name="Out_Gen_Year1_2" vbProcedure="false">Dashboard!$F$82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Dashboard!$E$81</definedName>
    <definedName function="false" hidden="false" name="Out_Min_DSCR_2" vbProcedure="false">Dashboard!$F$81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Dashboard!$E$85</definedName>
    <definedName function="false" hidden="false" name="Out_Revenue_Life_2" vbProcedure="false">Dashboard!$F$85</definedName>
    <definedName function="false" hidden="false" name="Out_Revenue_Year1_1" vbProcedure="false">Dashboard!$E$83</definedName>
    <definedName function="false" hidden="false" name="Out_Revenue_Year1_2" vbProcedure="false">Dashboard!$F$83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Dashboard!$E$87</definedName>
    <definedName function="false" hidden="false" name="Out_Tax_Life_2" vbProcedure="false">Dashboard!$F$87</definedName>
    <definedName function="false" hidden="false" name="Out_Tax_Losses_Lapsed_1" vbProcedure="false">Dashboard!$E$88</definedName>
    <definedName function="false" hidden="false" name="Out_Tax_Losses_Lapsed_2" vbProcedure="false">Dashboard!$F$88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Inputs!$F$47</definedName>
    <definedName function="false" hidden="false" name="Scenario_Name" vbProcedure="false">Dashboard!$S$12</definedName>
    <definedName function="false" hidden="false" name="Scenario_Names" vbProcedure="false">Inputs!$H$7:$O$7</definedName>
    <definedName function="false" hidden="false" name="Scenario_Selected" vbProcedure="false">Inputs!$F$5</definedName>
    <definedName function="false" hidden="false" name="Solver_Topics" vbProcedure="false">Inputs!$F$102</definedName>
    <definedName function="false" hidden="false" name="Stored_Results" vbProcedure="false">Dashboard!$H$92:$O$107</definedName>
    <definedName function="false" hidden="false" name="Tax_1_Copy" vbProcedure="false">Calc_1!$J$109:$EO$109</definedName>
    <definedName function="false" hidden="false" name="Tax_1_Delta" vbProcedure="false">Calc_1!$I$110</definedName>
    <definedName function="false" hidden="false" name="Tax_1_Paste" vbProcedure="false">Calc_1!$J$82:$EO$82</definedName>
    <definedName function="false" hidden="false" name="Tax_2_Copy" vbProcedure="false">Calc_2!$J$109:$EO$109</definedName>
    <definedName function="false" hidden="false" name="Tax_2_Delta" vbProcedure="false">Calc_2!$I$110</definedName>
    <definedName function="false" hidden="false" name="Tax_2_Paste" vbProcedure="false">Calc_2!$J$82:$EO$82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<sst xmlns="http://schemas.openxmlformats.org/spreadsheetml/2006/main" count="1137" uniqueCount="485">
  <si>
    <t xml:space="preserve">Project Bana</t>
  </si>
  <si>
    <t xml:space="preserve">50 MW onshore wind, Ács Katódgyár – sale at COD vs hold to maturity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</si>
  <si>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</si>
  <si>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</si>
  <si>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</si>
  <si>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</si>
  <si>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</si>
  <si>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</si>
  <si>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</si>
  <si>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</si>
  <si>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</si>
  <si>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</si>
  <si>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</si>
  <si>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</si>
  <si>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</si>
  <si>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</si>
  <si>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</si>
  <si>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</si>
  <si>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</si>
  <si>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</si>
  <si>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</si>
  <si>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</si>
  <si>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</si>
  <si>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</si>
  <si>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</si>
  <si>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</si>
  <si>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</si>
  <si>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</si>
  <si>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</si>
  <si>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</si>
  <si>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</si>
  <si>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</si>
  <si>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</si>
  <si>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</si>
  <si>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</si>
  <si>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</si>
  <si>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</si>
  <si>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</si>
  <si>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</si>
  <si>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</si>
  <si>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</si>
  <si>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</si>
  <si>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</si>
  <si>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</si>
  <si>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</si>
  <si>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</si>
  <si>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</si>
  <si>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</si>
  <si>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</si>
  <si>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</si>
  <si>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</si>
  <si>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</si>
  <si>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</si>
  <si>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</si>
  <si>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</si>
  <si>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</si>
  <si>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</si>
  <si>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</si>
  <si>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</si>
  <si>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</si>
  <si>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</si>
  <si>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</si>
  <si>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</si>
  <si>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</si>
  <si>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</si>
  <si>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</si>
  <si>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</si>
  <si>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</si>
  <si>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cap, EU</t>
  </si>
  <si>
    <t xml:space="preserve">BESS energy committed</t>
  </si>
  <si>
    <t xml:space="preserve">MWh</t>
  </si>
  <si>
    <t xml:space="preserve">Debt share cap, CN</t>
  </si>
  <si>
    <t xml:space="preserve">BESS built</t>
  </si>
  <si>
    <t xml:space="preserve">CIT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</si>
  <si>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</si>
  <si>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</si>
  <si>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</si>
  <si>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</si>
  <si>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</si>
  <si>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</si>
  <si>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</si>
  <si>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</si>
  <si>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</si>
  <si>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</si>
  <si>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</si>
  <si>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</si>
  <si>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</si>
  <si>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</si>
  <si>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</si>
  <si>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</si>
  <si>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</si>
  <si>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</si>
  <si>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</si>
  <si>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</si>
  <si>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</si>
  <si>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</si>
  <si>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</si>
  <si>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</si>
  <si>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</si>
  <si>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</si>
  <si>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</si>
  <si>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</si>
  <si>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</si>
  <si>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</si>
  <si>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</si>
  <si>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</si>
  <si>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</si>
  <si>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</si>
  <si>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</si>
  <si>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</si>
  <si>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</si>
  <si>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</si>
  <si>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</si>
  <si>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</si>
  <si>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</si>
  <si>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</si>
  <si>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</si>
  <si>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</si>
  <si>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</si>
  <si>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</si>
  <si>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</si>
  <si>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</si>
  <si>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</si>
  <si>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</si>
  <si>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Hold to maturity: debt and tax</t>
  </si>
  <si>
    <t xml:space="preserve">Debt capacity at target DSCR (PV at COD)</t>
  </si>
  <si>
    <t xml:space="preserve">Debt share cap of construction cost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</si>
  <si>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</si>
  <si>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</si>
  <si>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</si>
  <si>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</si>
  <si>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</si>
  <si>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</si>
  <si>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</si>
  <si>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</si>
  <si>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</si>
  <si>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</si>
  <si>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</si>
  <si>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</si>
  <si>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</si>
  <si>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</si>
  <si>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</si>
  <si>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</si>
  <si>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</si>
  <si>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</si>
  <si>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</si>
  <si>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</si>
  <si>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</si>
  <si>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</si>
  <si>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</si>
  <si>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</si>
  <si>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</si>
  <si>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</si>
  <si>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</si>
  <si>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</si>
  <si>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</si>
  <si>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</si>
  <si>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</si>
  <si>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</si>
  <si>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</si>
  <si>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</si>
  <si>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</si>
  <si>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</si>
  <si>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</si>
  <si>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</si>
  <si>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Turbine +10%</t>
  </si>
  <si>
    <t xml:space="preserve">Yield −10%</t>
  </si>
  <si>
    <t xml:space="preserve">PPA −10%</t>
  </si>
  <si>
    <t xml:space="preserve">Full PB call</t>
  </si>
  <si>
    <t xml:space="preserve">Rate +1 pp</t>
  </si>
  <si>
    <t xml:space="preserve">Tenor 10 years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</si>
  <si>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</si>
  <si>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</si>
  <si>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</si>
  <si>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</si>
  <si>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</si>
  <si>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</si>
  <si>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</si>
  <si>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</si>
  <si>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</si>
  <si>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</si>
  <si>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</si>
  <si>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</si>
  <si>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</si>
  <si>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</si>
  <si>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</si>
  <si>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</si>
  <si>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</si>
  <si>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</si>
  <si>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</si>
  <si>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</si>
  <si>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</si>
  <si>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</si>
  <si>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</si>
  <si>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</si>
  <si>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</si>
  <si>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</si>
  <si>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</si>
  <si>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</si>
  <si>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</si>
  <si>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</si>
  <si>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</si>
  <si>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</si>
  <si>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</si>
  <si>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</si>
  <si>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</si>
  <si>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</si>
  <si>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</si>
  <si>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</si>
  <si>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</si>
  <si>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</si>
  <si>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</si>
  <si>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</si>
  <si>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</si>
  <si>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</si>
  <si>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</si>
  <si>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</si>
  <si>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</si>
  <si>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</si>
  <si>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</si>
  <si>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</si>
  <si>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</si>
  <si>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</si>
  <si>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</si>
  <si>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</t>
  </si>
  <si>
    <t xml:space="preserve">Bana v3 Inputs E12; Tao. 19. §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</si>
  <si>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</si>
  <si>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</si>
  <si>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</si>
  <si>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</si>
  <si>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</si>
  <si>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</si>
  <si>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</si>
  <si>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</si>
  <si>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</si>
  <si>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</si>
  <si>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</si>
  <si>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</si>
  <si>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</si>
  <si>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</si>
  <si>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</si>
  <si>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User 13-Oct-26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</si>
  <si>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</si>
  <si>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</si>
  <si>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</si>
  <si>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</si>
  <si>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</si>
  <si>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</si>
  <si>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</si>
  <si>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</si>
  <si>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</si>
  <si>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</si>
  <si>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</si>
  <si>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</si>
  <si>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</si>
  <si>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</si>
  <si>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</si>
  <si>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</si>
  <si>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</si>
  <si>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</si>
  <si>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</si>
  <si>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</si>
  <si>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</si>
  <si>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</si>
  <si>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</si>
  <si>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</si>
  <si>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</si>
  <si>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</si>
  <si>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</si>
  <si>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</si>
  <si>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</si>
  <si>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</si>
  <si>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</si>
  <si>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</si>
  <si>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</si>
  <si>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</si>
  <si>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</si>
  <si>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12-Oct-26 (Bora SPEC v2.1)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</si>
  <si>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</si>
  <si>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</si>
  <si>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</si>
  <si>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</si>
  <si>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</si>
  <si>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</si>
  <si>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</si>
  <si>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</si>
  <si>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</si>
  <si>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</si>
  <si>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</si>
  <si>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</si>
  <si>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</si>
  <si>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Bana v3 Inputs E179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</si>
  <si>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</si>
  <si>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</si>
  <si>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</si>
  <si>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</si>
  <si>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</si>
  <si>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</si>
  <si>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</si>
  <si>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</si>
  <si>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</si>
  <si>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</si>
  <si>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</si>
  <si>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</si>
  <si>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</si>
  <si>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</si>
  <si>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</si>
  <si>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</si>
  <si>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</si>
  <si>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</si>
  <si>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</si>
  <si>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</si>
  <si>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</si>
  <si>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</si>
  <si>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</si>
  <si>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</si>
  <si>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</si>
  <si>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</si>
  <si>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EU</t>
  </si>
  <si>
    <t xml:space="preserve">Rock Assumptions G547</t>
  </si>
  <si>
    <t xml:space="preserve">Debt share cap of construction cost, CN</t>
  </si>
  <si>
    <t xml:space="preserve">Rock G547 less 10 pp (Bana v3 CN)</t>
  </si>
  <si>
    <t xml:space="preserve">Target DSCR for sizing and sculpting</t>
  </si>
  <si>
    <t xml:space="preserve">Rock Assumptions G549</t>
  </si>
  <si>
    <t xml:space="preserve">Rock G540; set 8: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</si>
  <si>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</si>
  <si>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</si>
  <si>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</si>
  <si>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</si>
  <si>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</si>
  <si>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</si>
  <si>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</si>
  <si>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</si>
  <si>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</si>
  <si>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</si>
  <si>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</si>
  <si>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</si>
  <si>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</si>
  <si>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</si>
  <si>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</si>
  <si>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</si>
  <si>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</si>
  <si>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</si>
  <si>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</si>
  <si>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</si>
  <si>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</si>
  <si>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</si>
  <si>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</si>
  <si>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</si>
  <si>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</si>
  <si>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</si>
  <si>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</si>
  <si>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</si>
  <si>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</si>
  <si>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</si>
  <si>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</si>
  <si>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</si>
  <si>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</si>
  <si>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</si>
  <si>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</si>
  <si>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</si>
  <si>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</si>
  <si>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</si>
  <si>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</si>
  <si>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</si>
  <si>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</si>
  <si>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</si>
  <si>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</si>
  <si>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</si>
  <si>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</si>
  <si>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</si>
  <si>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</si>
  <si>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</si>
  <si>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</si>
  <si>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</si>
  <si>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</si>
  <si>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</si>
  <si>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</si>
  <si>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</si>
  <si>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</si>
  <si>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</si>
  <si>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</si>
  <si>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</si>
  <si>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</si>
  <si>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</si>
  <si>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</si>
  <si>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</si>
  <si>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</si>
  <si>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</si>
  <si>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</si>
  <si>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</si>
  <si>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</si>
  <si>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</si>
  <si>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</si>
  <si>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</si>
  <si>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</si>
  <si>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</si>
  <si>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</si>
  <si>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</si>
  <si>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</si>
  <si>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</si>
  <si>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</si>
  <si>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</si>
  <si>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</si>
  <si>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</si>
  <si>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</si>
  <si>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</si>
  <si>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</si>
  <si>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</si>
  <si>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</si>
  <si>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</si>
  <si>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</si>
  <si>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</si>
  <si>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</si>
  <si>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</si>
  <si>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</si>
  <si>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</si>
  <si>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</si>
  <si>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</si>
  <si>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</si>
  <si>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</si>
  <si>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</si>
  <si>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</si>
  <si>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</si>
  <si>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</si>
  <si>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</si>
  <si>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</si>
  <si>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</si>
  <si>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</si>
  <si>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</si>
  <si>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</si>
  <si>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</si>
  <si>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cap, this route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</si>
  <si>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</si>
  <si>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</si>
  <si>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</si>
  <si>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</si>
  <si>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</si>
  <si>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</si>
  <si>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</si>
  <si>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</si>
  <si>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</si>
  <si>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</si>
  <si>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</si>
  <si>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</si>
  <si>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</si>
  <si>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</si>
  <si>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</si>
  <si>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</si>
  <si>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</si>
  <si>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</si>
  <si>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</si>
  <si>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</si>
  <si>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– copy</t>
  </si>
  <si>
    <t xml:space="preserve">Corporate income tax – delta</t>
  </si>
  <si>
    <t xml:space="preserve">Funding to COD (E: uses and sources)</t>
  </si>
  <si>
    <t xml:space="preserve">FEP equity (E), peak including the DSRA (F)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</si>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</sst>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3"/>
    <col collapsed="false" customWidth="true" hidden="false" outlineLevel="0" max="17" min="17" style="1" width="34"/>
    <col collapsed="false" customWidth="true" hidden="false" outlineLevel="0" max="18" min="18" style="1" width="10"/>
    <col collapsed="false" customWidth="true" hidden="false" outlineLevel="0" max="19" min="19" style="1" width="12"/>
    <col collapsed="false" customWidth="false" hidden="true" outlineLevel="1" max="16384" min="2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46308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Q9" s="8" t="s">
        <v>11</v>
      </c>
      <c r="R9" s="8" t="s">
        <v>8</v>
      </c>
      <c r="S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Q11" s="10" t="s">
        <v>5</v>
      </c>
      <c r="R11" s="10"/>
      <c r="S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Calc_1!$F$31</f>
        <v>20</v>
      </c>
      <c r="J12" s="15" t="n">
        <f aca="false">Calc_2!$F$31</f>
        <v>20</v>
      </c>
      <c r="Q12" s="14" t="s">
        <v>5</v>
      </c>
      <c r="R12" s="12" t="s">
        <v>21</v>
      </c>
      <c r="S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Calc_1!$F$32</f>
        <v>15</v>
      </c>
      <c r="J13" s="15" t="n">
        <f aca="false">Calc_2!$F$32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Calc_1!$F$33</f>
        <v>5</v>
      </c>
      <c r="J14" s="15" t="n">
        <f aca="false">Calc_2!$F$33</f>
        <v>5</v>
      </c>
      <c r="Q14" s="10" t="s">
        <v>29</v>
      </c>
      <c r="R14" s="10"/>
      <c r="S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Calc_1!$F$34</f>
        <v>7.5</v>
      </c>
      <c r="J15" s="15" t="n">
        <f aca="false">Calc_2!$F$34</f>
        <v>7.5</v>
      </c>
      <c r="Q15" s="14" t="s">
        <v>32</v>
      </c>
      <c r="R15" s="12" t="s">
        <v>33</v>
      </c>
      <c r="S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Q16" s="14" t="s">
        <v>37</v>
      </c>
      <c r="R16" s="12" t="s">
        <v>38</v>
      </c>
      <c r="S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Calc_1!$F$36</f>
        <v>0</v>
      </c>
      <c r="J17" s="15" t="n">
        <f aca="false">Calc_2!$F$36</f>
        <v>0</v>
      </c>
      <c r="Q17" s="14" t="s">
        <v>41</v>
      </c>
      <c r="R17" s="12" t="s">
        <v>27</v>
      </c>
      <c r="S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Calc_1!$F$35</f>
        <v>0</v>
      </c>
      <c r="J18" s="15" t="n">
        <f aca="false">Calc_2!$F$35</f>
        <v>0</v>
      </c>
      <c r="Q18" s="14" t="s">
        <v>45</v>
      </c>
      <c r="R18" s="12" t="s">
        <v>43</v>
      </c>
      <c r="S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Calc_1!$F$37</f>
        <v>0</v>
      </c>
      <c r="J19" s="15" t="n">
        <f aca="false">Calc_2!$F$37</f>
        <v>0</v>
      </c>
      <c r="Q19" s="14" t="s">
        <v>47</v>
      </c>
      <c r="R19" s="12" t="s">
        <v>19</v>
      </c>
      <c r="S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Calc_1!$F$38</f>
        <v>12</v>
      </c>
      <c r="J20" s="15" t="n">
        <f aca="false">Calc_2!$F$38</f>
        <v>0</v>
      </c>
      <c r="Q20" s="14" t="s">
        <v>49</v>
      </c>
      <c r="R20" s="12" t="s">
        <v>19</v>
      </c>
      <c r="S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Calc_1!$F$39</f>
        <v>0</v>
      </c>
      <c r="J21" s="15" t="n">
        <f aca="false">Calc_2!$F$39</f>
        <v>0</v>
      </c>
      <c r="Q21" s="14" t="s">
        <v>51</v>
      </c>
      <c r="R21" s="12" t="s">
        <v>19</v>
      </c>
      <c r="S21" s="19" t="n">
        <f aca="false">In_Turbine</f>
        <v>600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Calc_1!$E40</f>
        <v>59.5</v>
      </c>
      <c r="F22" s="27" t="n">
        <f aca="false">Calc_2!$E40</f>
        <v>47.5</v>
      </c>
      <c r="Q22" s="14" t="s">
        <v>54</v>
      </c>
      <c r="R22" s="12" t="s">
        <v>19</v>
      </c>
      <c r="S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IF(Calc_1!$E41+Calc_1!$F41=0,"OK","CHECK")</f>
        <v>OK</v>
      </c>
      <c r="F23" s="28" t="str">
        <f aca="false">IF(Calc_2!$E41+Calc_2!$F41=0,"OK","CHECK")</f>
        <v>OK</v>
      </c>
      <c r="Q23" s="14" t="s">
        <v>56</v>
      </c>
      <c r="R23" s="12" t="s">
        <v>57</v>
      </c>
      <c r="S23" s="19" t="n">
        <f aca="false">In_P50_Hours</f>
        <v>2460</v>
      </c>
    </row>
    <row r="24" customFormat="false" ht="15" hidden="false" customHeight="false" outlineLevel="0" collapsed="false">
      <c r="Q24" s="1" t="s">
        <v>58</v>
      </c>
      <c r="R24" s="12" t="s">
        <v>24</v>
      </c>
      <c r="S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Q25" s="14" t="s">
        <v>60</v>
      </c>
      <c r="R25" s="12" t="s">
        <v>27</v>
      </c>
      <c r="S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Calc_1!$E24</f>
        <v>60</v>
      </c>
      <c r="F26" s="29" t="n">
        <f aca="false">Calc_2!$E24</f>
        <v>60</v>
      </c>
      <c r="Q26" s="14" t="s">
        <v>63</v>
      </c>
      <c r="R26" s="12" t="s">
        <v>13</v>
      </c>
      <c r="S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Calc_1!$F24</f>
        <v>55</v>
      </c>
      <c r="F27" s="29" t="n">
        <f aca="false">Calc_2!$F24</f>
        <v>55</v>
      </c>
      <c r="Q27" s="14" t="s">
        <v>65</v>
      </c>
      <c r="R27" s="12" t="s">
        <v>66</v>
      </c>
      <c r="S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Calc_1!$E25</f>
        <v>10</v>
      </c>
      <c r="F28" s="29" t="n">
        <f aca="false">Calc_2!$E25</f>
        <v>10</v>
      </c>
      <c r="Q28" s="14" t="s">
        <v>68</v>
      </c>
      <c r="R28" s="12" t="s">
        <v>27</v>
      </c>
      <c r="S28" s="23" t="n">
        <f aca="false">In_Gearing</f>
        <v>0.8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Calc_1!$E26</f>
        <v>40</v>
      </c>
      <c r="F29" s="29" t="n">
        <f aca="false">Calc_2!$E26</f>
        <v>40</v>
      </c>
      <c r="Q29" s="14" t="s">
        <v>71</v>
      </c>
      <c r="R29" s="12" t="s">
        <v>27</v>
      </c>
      <c r="S29" s="23" t="n">
        <f aca="false">In_Gearing_CN</f>
        <v>0.7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Calc_1!$F25</f>
        <v>10</v>
      </c>
      <c r="F30" s="29" t="n">
        <f aca="false">Calc_2!$F25</f>
        <v>10</v>
      </c>
      <c r="Q30" s="14" t="s">
        <v>73</v>
      </c>
      <c r="R30" s="12" t="s">
        <v>27</v>
      </c>
      <c r="S30" s="23" t="n">
        <f aca="false">In_CIT</f>
        <v>0.09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Calc_1!$E28</f>
        <v>0.0833333333333333</v>
      </c>
      <c r="F31" s="23" t="n">
        <f aca="false">Calc_2!$E28</f>
        <v>0.0833333333333333</v>
      </c>
      <c r="Q31" s="14" t="s">
        <v>75</v>
      </c>
      <c r="R31" s="12" t="s">
        <v>27</v>
      </c>
      <c r="S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Calc_1!$E27</f>
        <v>0.00454545454545455</v>
      </c>
      <c r="F32" s="32" t="n">
        <f aca="false">Calc_2!$E27</f>
        <v>0.00454545454545455</v>
      </c>
      <c r="Q32" s="14" t="s">
        <v>77</v>
      </c>
      <c r="R32" s="12" t="s">
        <v>78</v>
      </c>
      <c r="S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Calc_1!$E57/Thousand</f>
        <v>0</v>
      </c>
      <c r="F33" s="33" t="n">
        <f aca="false">Calc_2!$E57/Thousand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Calc_1!$F57/Thousand</f>
        <v>2.21643835616438</v>
      </c>
      <c r="F34" s="33" t="n">
        <f aca="false">Calc_2!$F57/Thousand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Calc_1!$I129/Thousand</f>
        <v>41.3871450046578</v>
      </c>
      <c r="F37" s="33" t="n">
        <f aca="false">Calc_2!$I129/Thousand</f>
        <v>30.2252818902668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Calc_1!$E130</f>
        <v>0.624343544593479</v>
      </c>
      <c r="F38" s="34" t="n">
        <f aca="false">Calc_2!$E130</f>
        <v>0.47383720841244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Calc_1!$E131</f>
        <v>2.68350091902412</v>
      </c>
      <c r="F39" s="30" t="n">
        <f aca="false">Calc_2!$E131</f>
        <v>2.00126916528766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Calc_1!$E132/Thousand</f>
        <v>28.4733902277952</v>
      </c>
      <c r="F40" s="33" t="n">
        <f aca="false">Calc_2!$E132/Thousand</f>
        <v>19.8103623570828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Calc_1!$I137/Thousand</f>
        <v>134.539527402984</v>
      </c>
      <c r="F41" s="33" t="n">
        <f aca="false">Calc_2!$I137/Thousand</f>
        <v>148.354918341456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Calc_1!$E138</f>
        <v>0.119964137616349</v>
      </c>
      <c r="F42" s="34" t="n">
        <f aca="false">Calc_2!$E138</f>
        <v>0.12592370397166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Calc_1!$E139</f>
        <v>6.17426460476343</v>
      </c>
      <c r="F43" s="30" t="n">
        <f aca="false">Calc_2!$E139</f>
        <v>5.73637782064561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Calc_1!$E140/Thousand</f>
        <v>13.4791979280703</v>
      </c>
      <c r="F44" s="33" t="n">
        <f aca="false">Calc_2!$E140/Thousand</f>
        <v>16.9289551785453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Calc_1!$E136</f>
        <v>0.087034916708748</v>
      </c>
      <c r="F45" s="23" t="n">
        <f aca="false">Calc_2!$E136</f>
        <v>0.0949295483894887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Calc_1!$E113/Thousand</f>
        <v>5.15</v>
      </c>
      <c r="F48" s="33" t="n">
        <f aca="false">Calc_2!$E113/Thousand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Calc_1!$E114/Thousand</f>
        <v>1.11492155376243</v>
      </c>
      <c r="F49" s="33" t="n">
        <f aca="false">Calc_2!$E114/Thousand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Calc_1!$E115/Thousand</f>
        <v>70.15125</v>
      </c>
      <c r="F50" s="33" t="n">
        <f aca="false">Calc_2!$E115/Thousand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Calc_1!$E116/Thousand</f>
        <v>8.15482315068493</v>
      </c>
      <c r="F51" s="33" t="n">
        <f aca="false">Calc_2!$E116/Thousand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Calc_1!$E117/Thousand</f>
        <v>2.5</v>
      </c>
      <c r="F52" s="33" t="n">
        <f aca="false">Calc_2!$E117/Thousand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Calc_1!$E118/Thousand</f>
        <v>4.83919009336073</v>
      </c>
      <c r="F53" s="33" t="n">
        <f aca="false">Calc_2!$E118/Thousand</f>
        <v>3.87355320775171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Calc_1!$E119/Thousand</f>
        <v>0.340170197534084</v>
      </c>
      <c r="F54" s="33" t="n">
        <f aca="false">Calc_2!$E119/Thousand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Calc_1!$E120/Thousand</f>
        <v>92.2503549953422</v>
      </c>
      <c r="F55" s="27" t="n">
        <f aca="false">Calc_2!$E120/Thousand</f>
        <v>84.2497181097332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Calc_1!$E95/Thousand</f>
        <v>67.6663796990003</v>
      </c>
      <c r="F56" s="33" t="n">
        <f aca="false">Calc_2!$E95/Thousand</f>
        <v>54.0627484734684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Calc_1!$E121/Thousand</f>
        <v>24.5839752963419</v>
      </c>
      <c r="F57" s="27" t="n">
        <f aca="false">Calc_2!$E121/Thousand</f>
        <v>30.1869696362648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Calc_1!$F121/Thousand</f>
        <v>26.0016712866069</v>
      </c>
      <c r="F58" s="33" t="n">
        <f aca="false">Calc_2!$F121/Thousand</f>
        <v>31.3224417390827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Calc_1!$E122</f>
        <v>0.733508068369134</v>
      </c>
      <c r="F59" s="23" t="n">
        <f aca="false">Calc_2!$E122</f>
        <v>0.641696490937252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Calc_1!$E48/Thousand</f>
        <v>0.00821917808219178</v>
      </c>
      <c r="F62" s="35" t="n">
        <f aca="false">Calc_2!$E48/Thousand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Calc_1!$E49/Thousand</f>
        <v>0.443287671232877</v>
      </c>
      <c r="F63" s="35" t="n">
        <f aca="false">Calc_2!$E49/Thousand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Calc_1!$F$50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Calc_1!$E50/Thousand</f>
        <v>2.21643835616438</v>
      </c>
      <c r="F64" s="35" t="n">
        <f aca="false">Calc_2!$E50/Thousand</f>
        <v>2.21643835616438</v>
      </c>
      <c r="H64" s="14" t="s">
        <v>113</v>
      </c>
      <c r="I64" s="21" t="n">
        <f aca="false">Calc_1!$F$50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Calc_1!$E51/Thousand</f>
        <v>0.616438356164384</v>
      </c>
      <c r="F65" s="35" t="n">
        <f aca="false">Calc_2!$E51/Thousand</f>
        <v>0.616438356164384</v>
      </c>
      <c r="H65" s="14" t="s">
        <v>110</v>
      </c>
      <c r="I65" s="21" t="n">
        <f aca="false">Calc_1!$F$50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Calc_1!$E52/Thousand</f>
        <v>1.26027397260274</v>
      </c>
      <c r="F66" s="35" t="n">
        <f aca="false">Calc_2!$E52/Thousand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Calc_1!$E53/Thousand</f>
        <v>6.89454917808219</v>
      </c>
      <c r="F67" s="35" t="n">
        <f aca="false">Calc_2!$E53/Thousand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(-Calc_1!$E55)/Thousand</f>
        <v>0.490264019515857</v>
      </c>
      <c r="F68" s="35" t="n">
        <f aca="false">(-Calc_2!$E55)/Thousand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Calc_1!$E126/Thousand</f>
        <v>134.1375</v>
      </c>
      <c r="F71" s="33" t="n">
        <f aca="false">Calc_2!$E126/Thousand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Calc_1!$E127/Thousand</f>
        <v>65.9711203009997</v>
      </c>
      <c r="F72" s="33" t="n">
        <f aca="false">Calc_2!$E127/Thousand</f>
        <v>60.4122515265316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Calc_1!$E128/Thousand</f>
        <v>-0</v>
      </c>
      <c r="F73" s="33" t="n">
        <f aca="false">Calc_2!$E128/Thousand</f>
        <v>-0</v>
      </c>
    </row>
    <row r="75" customFormat="false" ht="15" hidden="false" customHeight="false" outlineLevel="0" collapsed="false">
      <c r="A75" s="10" t="s">
        <v>13</v>
      </c>
      <c r="B75" s="10"/>
      <c r="C75" s="10" t="s">
        <v>124</v>
      </c>
      <c r="D75" s="10"/>
      <c r="E75" s="11" t="s">
        <v>9</v>
      </c>
      <c r="F75" s="11" t="s">
        <v>10</v>
      </c>
      <c r="G75" s="10"/>
      <c r="H75" s="10"/>
      <c r="I75" s="10"/>
      <c r="J75" s="10"/>
      <c r="K75" s="10"/>
      <c r="L75" s="10"/>
      <c r="M75" s="10"/>
      <c r="N75" s="10"/>
      <c r="O75" s="10"/>
    </row>
    <row r="76" customFormat="false" ht="15" hidden="false" customHeight="false" outlineLevel="0" collapsed="false">
      <c r="C76" s="1" t="s">
        <v>125</v>
      </c>
      <c r="D76" s="12" t="s">
        <v>80</v>
      </c>
      <c r="E76" s="33" t="n">
        <f aca="false">Calc_1!$E84/Thousand</f>
        <v>87.5035453688995</v>
      </c>
      <c r="F76" s="33" t="n">
        <f aca="false">Calc_2!$E84/Thousand</f>
        <v>86.8133267405873</v>
      </c>
    </row>
    <row r="77" customFormat="false" ht="15" hidden="false" customHeight="false" outlineLevel="0" collapsed="false">
      <c r="C77" s="1" t="s">
        <v>126</v>
      </c>
      <c r="D77" s="12" t="s">
        <v>27</v>
      </c>
      <c r="E77" s="23" t="n">
        <f aca="false">Calc_1!$E85</f>
        <v>0.8</v>
      </c>
      <c r="F77" s="23" t="n">
        <f aca="false">Calc_2!$E85</f>
        <v>0.7</v>
      </c>
    </row>
    <row r="78" customFormat="false" ht="15" hidden="false" customHeight="false" outlineLevel="0" collapsed="false">
      <c r="C78" s="1" t="s">
        <v>127</v>
      </c>
      <c r="D78" s="12" t="s">
        <v>27</v>
      </c>
      <c r="E78" s="23" t="n">
        <f aca="false">Calc_1!$E86</f>
        <v>0.8</v>
      </c>
      <c r="F78" s="23" t="n">
        <f aca="false">Calc_2!$E86</f>
        <v>0.7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Calc_1!$F86</f>
        <v>0.773298720797321</v>
      </c>
      <c r="F79" s="23" t="n">
        <f aca="false">Calc_2!$F86</f>
        <v>0.622747111569827</v>
      </c>
    </row>
    <row r="80" customFormat="false" ht="15" hidden="false" customHeight="false" outlineLevel="0" collapsed="false">
      <c r="C80" s="1" t="s">
        <v>129</v>
      </c>
      <c r="D80" s="12" t="s">
        <v>80</v>
      </c>
      <c r="E80" s="33" t="n">
        <f aca="false">Calc_1!$E98/Thousand</f>
        <v>1.41769599026504</v>
      </c>
      <c r="F80" s="33" t="n">
        <f aca="false">Calc_2!$E98/Thousand</f>
        <v>1.13547210281793</v>
      </c>
    </row>
    <row r="81" customFormat="false" ht="15" hidden="false" customHeight="false" outlineLevel="0" collapsed="false">
      <c r="C81" s="1" t="s">
        <v>130</v>
      </c>
      <c r="D81" s="12" t="s">
        <v>13</v>
      </c>
      <c r="E81" s="30" t="n">
        <f aca="false">Calc_1!$E99</f>
        <v>1.5517935924719</v>
      </c>
      <c r="F81" s="30" t="n">
        <f aca="false">Calc_2!$E99</f>
        <v>1.92694591063623</v>
      </c>
    </row>
    <row r="82" customFormat="false" ht="15" hidden="false" customHeight="false" outlineLevel="0" collapsed="false">
      <c r="C82" s="1" t="s">
        <v>131</v>
      </c>
      <c r="D82" s="12" t="s">
        <v>132</v>
      </c>
      <c r="E82" s="37" t="n">
        <f aca="false">Calc_1!$E71/Thousand</f>
        <v>131.89149288</v>
      </c>
      <c r="F82" s="37" t="n">
        <f aca="false">Calc_2!$E71/Thousand</f>
        <v>131.89149288</v>
      </c>
    </row>
    <row r="83" customFormat="false" ht="15" hidden="false" customHeight="false" outlineLevel="0" collapsed="false">
      <c r="C83" s="1" t="s">
        <v>133</v>
      </c>
      <c r="D83" s="12" t="s">
        <v>80</v>
      </c>
      <c r="E83" s="33" t="n">
        <f aca="false">Calc_1!$E72/Thousand</f>
        <v>11.988936702792</v>
      </c>
      <c r="F83" s="33" t="n">
        <f aca="false">Calc_2!$E72/Thousand</f>
        <v>11.988936702792</v>
      </c>
    </row>
    <row r="84" customFormat="false" ht="15" hidden="false" customHeight="false" outlineLevel="0" collapsed="false">
      <c r="C84" s="1" t="s">
        <v>134</v>
      </c>
      <c r="D84" s="12" t="s">
        <v>80</v>
      </c>
      <c r="E84" s="33" t="n">
        <f aca="false">Calc_1!$E79/Thousand</f>
        <v>8.95390595038936</v>
      </c>
      <c r="F84" s="33" t="n">
        <f aca="false">Calc_2!$E79/Thousand</f>
        <v>8.95390595038936</v>
      </c>
    </row>
    <row r="85" customFormat="false" ht="15" hidden="false" customHeight="false" outlineLevel="0" collapsed="false">
      <c r="C85" s="1" t="s">
        <v>135</v>
      </c>
      <c r="D85" s="12" t="s">
        <v>80</v>
      </c>
      <c r="E85" s="33" t="n">
        <f aca="false">Calc_1!$I72/Thousand</f>
        <v>398.096796528086</v>
      </c>
      <c r="F85" s="33" t="n">
        <f aca="false">Calc_2!$I72/Thousand</f>
        <v>398.096796528086</v>
      </c>
    </row>
    <row r="86" customFormat="false" ht="15" hidden="false" customHeight="false" outlineLevel="0" collapsed="false">
      <c r="C86" s="1" t="s">
        <v>136</v>
      </c>
      <c r="D86" s="12" t="s">
        <v>80</v>
      </c>
      <c r="E86" s="33" t="n">
        <f aca="false">Calc_1!$I79/Thousand</f>
        <v>275.591293022842</v>
      </c>
      <c r="F86" s="33" t="n">
        <f aca="false">Calc_2!$I79/Thousand</f>
        <v>275.591293022842</v>
      </c>
    </row>
    <row r="87" customFormat="false" ht="15" hidden="false" customHeight="false" outlineLevel="0" collapsed="false">
      <c r="C87" s="1" t="s">
        <v>137</v>
      </c>
      <c r="D87" s="12" t="s">
        <v>80</v>
      </c>
      <c r="E87" s="33" t="n">
        <f aca="false">(SUM(Calc_1!$J109:$EO109))/Thousand</f>
        <v>-13.3952809329621</v>
      </c>
      <c r="F87" s="33" t="n">
        <f aca="false">(SUM(Calc_2!$J109:$EO109))/Thousand</f>
        <v>-14.6724644513527</v>
      </c>
    </row>
    <row r="88" customFormat="false" ht="15" hidden="false" customHeight="false" outlineLevel="0" collapsed="false">
      <c r="C88" s="1" t="s">
        <v>138</v>
      </c>
      <c r="D88" s="12" t="s">
        <v>80</v>
      </c>
      <c r="E88" s="33" t="n">
        <f aca="false">(-Calc_1!$I107)/Thousand</f>
        <v>0.901646474744928</v>
      </c>
      <c r="F88" s="33" t="n">
        <f aca="false">(-Calc_2!$I107)/Thousand</f>
        <v>-0</v>
      </c>
    </row>
    <row r="89" customFormat="false" ht="15" hidden="false" customHeight="false" outlineLevel="0" collapsed="false">
      <c r="C89" s="1" t="s">
        <v>139</v>
      </c>
      <c r="D89" s="12" t="s">
        <v>140</v>
      </c>
      <c r="E89" s="31" t="n">
        <f aca="false">Model_Checks</f>
        <v>0</v>
      </c>
      <c r="F89" s="31" t="n">
        <f aca="false">Model_Checks</f>
        <v>0</v>
      </c>
    </row>
    <row r="91" customFormat="false" ht="15" hidden="false" customHeight="false" outlineLevel="0" collapsed="false">
      <c r="A91" s="10" t="s">
        <v>13</v>
      </c>
      <c r="B91" s="10"/>
      <c r="C91" s="10" t="s">
        <v>141</v>
      </c>
      <c r="D91" s="10"/>
      <c r="E91" s="11" t="s">
        <v>12</v>
      </c>
      <c r="F91" s="11"/>
      <c r="G91" s="10"/>
      <c r="H91" s="11" t="str">
        <f aca="false">Inputs!H$7</f>
        <v>Base</v>
      </c>
      <c r="I91" s="11" t="str">
        <f aca="false">Inputs!I$7</f>
        <v>COD price −10%</v>
      </c>
      <c r="J91" s="11" t="str">
        <f aca="false">Inputs!J$7</f>
        <v>Turbine +10%</v>
      </c>
      <c r="K91" s="11" t="str">
        <f aca="false">Inputs!K$7</f>
        <v>Yield −10%</v>
      </c>
      <c r="L91" s="11" t="str">
        <f aca="false">Inputs!L$7</f>
        <v>PPA −10%</v>
      </c>
      <c r="M91" s="11" t="str">
        <f aca="false">Inputs!M$7</f>
        <v>Full PB call</v>
      </c>
      <c r="N91" s="11" t="str">
        <f aca="false">Inputs!N$7</f>
        <v>Rate +1 pp</v>
      </c>
      <c r="O91" s="11" t="str">
        <f aca="false">Inputs!O$7</f>
        <v>Tenor 10 years</v>
      </c>
    </row>
    <row r="92" customFormat="false" ht="15" hidden="false" customHeight="false" outlineLevel="0" collapsed="false">
      <c r="C92" s="1" t="s">
        <v>142</v>
      </c>
      <c r="D92" s="12" t="s">
        <v>27</v>
      </c>
      <c r="E92" s="23" t="n">
        <f aca="false">Calc_1!$E130</f>
        <v>0.624343544593479</v>
      </c>
      <c r="H92" s="38" t="n">
        <v>0.624343544593479</v>
      </c>
      <c r="I92" s="38" t="n">
        <v>0.476738274009575</v>
      </c>
      <c r="J92" s="38" t="n">
        <v>0.582008841043721</v>
      </c>
      <c r="K92" s="38" t="n">
        <v>0.624343544593479</v>
      </c>
      <c r="L92" s="38" t="n">
        <v>0.624343544593479</v>
      </c>
      <c r="M92" s="38" t="n">
        <v>0.601925306515448</v>
      </c>
      <c r="N92" s="38" t="n">
        <v>0.617852751593615</v>
      </c>
      <c r="O92" s="38" t="n">
        <v>0.577119303040713</v>
      </c>
    </row>
    <row r="93" customFormat="false" ht="15" hidden="false" customHeight="false" outlineLevel="0" collapsed="false">
      <c r="C93" s="1" t="s">
        <v>143</v>
      </c>
      <c r="D93" s="12" t="s">
        <v>27</v>
      </c>
      <c r="E93" s="23" t="n">
        <f aca="false">Calc_2!$E130</f>
        <v>0.47383720841244</v>
      </c>
      <c r="H93" s="38" t="n">
        <v>0.47383720841244</v>
      </c>
      <c r="I93" s="38" t="n">
        <v>0.328291735817911</v>
      </c>
      <c r="J93" s="38" t="n">
        <v>0.433414058247871</v>
      </c>
      <c r="K93" s="38" t="n">
        <v>0.47383720841244</v>
      </c>
      <c r="L93" s="38" t="n">
        <v>0.47383720841244</v>
      </c>
      <c r="M93" s="38" t="n">
        <v>0.447933579721229</v>
      </c>
      <c r="N93" s="38" t="n">
        <v>0.467874719012393</v>
      </c>
      <c r="O93" s="38" t="n">
        <v>0.47383720841244</v>
      </c>
    </row>
    <row r="94" customFormat="false" ht="15" hidden="false" customHeight="false" outlineLevel="0" collapsed="false">
      <c r="C94" s="1" t="s">
        <v>144</v>
      </c>
      <c r="D94" s="12" t="s">
        <v>13</v>
      </c>
      <c r="E94" s="30" t="n">
        <f aca="false">Calc_1!$E131</f>
        <v>2.68350091902412</v>
      </c>
      <c r="H94" s="39" t="n">
        <v>2.68350091902412</v>
      </c>
      <c r="I94" s="39" t="n">
        <v>2.13787109966793</v>
      </c>
      <c r="J94" s="39" t="n">
        <v>2.48759627164955</v>
      </c>
      <c r="K94" s="39" t="n">
        <v>2.68350091902412</v>
      </c>
      <c r="L94" s="39" t="n">
        <v>2.68350091902412</v>
      </c>
      <c r="M94" s="39" t="n">
        <v>2.59334306906508</v>
      </c>
      <c r="N94" s="39" t="n">
        <v>2.65696568317941</v>
      </c>
      <c r="O94" s="39" t="n">
        <v>2.2319774457774</v>
      </c>
    </row>
    <row r="95" customFormat="false" ht="15" hidden="false" customHeight="false" outlineLevel="0" collapsed="false">
      <c r="C95" s="1" t="s">
        <v>145</v>
      </c>
      <c r="D95" s="12" t="s">
        <v>13</v>
      </c>
      <c r="E95" s="30" t="n">
        <f aca="false">Calc_2!$E131</f>
        <v>2.00126916528766</v>
      </c>
      <c r="H95" s="39" t="n">
        <v>2.00126916528766</v>
      </c>
      <c r="I95" s="39" t="n">
        <v>1.62039290846102</v>
      </c>
      <c r="J95" s="39" t="n">
        <v>1.87396836110237</v>
      </c>
      <c r="K95" s="39" t="n">
        <v>2.00126916528766</v>
      </c>
      <c r="L95" s="39" t="n">
        <v>2.00126916528766</v>
      </c>
      <c r="M95" s="39" t="n">
        <v>1.92784548669815</v>
      </c>
      <c r="N95" s="39" t="n">
        <v>1.98413289962687</v>
      </c>
      <c r="O95" s="39" t="n">
        <v>2.00126916528766</v>
      </c>
    </row>
    <row r="96" customFormat="false" ht="15" hidden="false" customHeight="false" outlineLevel="0" collapsed="false">
      <c r="C96" s="1" t="s">
        <v>146</v>
      </c>
      <c r="D96" s="12" t="s">
        <v>27</v>
      </c>
      <c r="E96" s="23" t="n">
        <f aca="false">Calc_1!$E138</f>
        <v>0.119964137616349</v>
      </c>
      <c r="H96" s="38" t="n">
        <v>0.119964137616361</v>
      </c>
      <c r="I96" s="38" t="n">
        <v>0.119964137616361</v>
      </c>
      <c r="J96" s="38" t="n">
        <v>0.112317892314166</v>
      </c>
      <c r="K96" s="38" t="n">
        <v>0.0935640431128808</v>
      </c>
      <c r="L96" s="38" t="n">
        <v>0.0905417985549582</v>
      </c>
      <c r="M96" s="38" t="n">
        <v>0.113878099009195</v>
      </c>
      <c r="N96" s="38" t="n">
        <v>0.109152898481422</v>
      </c>
      <c r="O96" s="38" t="n">
        <v>0.0972160717259156</v>
      </c>
    </row>
    <row r="97" customFormat="false" ht="15" hidden="false" customHeight="false" outlineLevel="0" collapsed="false">
      <c r="C97" s="1" t="s">
        <v>147</v>
      </c>
      <c r="D97" s="12" t="s">
        <v>27</v>
      </c>
      <c r="E97" s="23" t="n">
        <f aca="false">Calc_2!$E138</f>
        <v>0.12592370397166</v>
      </c>
      <c r="H97" s="38" t="n">
        <v>0.125923703971663</v>
      </c>
      <c r="I97" s="38" t="n">
        <v>0.125923703971663</v>
      </c>
      <c r="J97" s="38" t="n">
        <v>0.119778382906334</v>
      </c>
      <c r="K97" s="38" t="n">
        <v>0.102253929974751</v>
      </c>
      <c r="L97" s="38" t="n">
        <v>0.0995222319691515</v>
      </c>
      <c r="M97" s="38" t="n">
        <v>0.120212561674967</v>
      </c>
      <c r="N97" s="38" t="n">
        <v>0.118165201883318</v>
      </c>
      <c r="O97" s="38" t="n">
        <v>0.109861862933439</v>
      </c>
    </row>
    <row r="98" customFormat="false" ht="15" hidden="false" customHeight="false" outlineLevel="0" collapsed="false">
      <c r="C98" s="1" t="s">
        <v>148</v>
      </c>
      <c r="D98" s="12" t="s">
        <v>13</v>
      </c>
      <c r="E98" s="30" t="n">
        <f aca="false">Calc_1!$E139</f>
        <v>6.17426460476343</v>
      </c>
      <c r="H98" s="39" t="n">
        <v>6.17426460476335</v>
      </c>
      <c r="I98" s="39" t="n">
        <v>6.17426460476335</v>
      </c>
      <c r="J98" s="39" t="n">
        <v>5.83628091129226</v>
      </c>
      <c r="K98" s="39" t="n">
        <v>4.95430721747097</v>
      </c>
      <c r="L98" s="39" t="n">
        <v>4.81093706141736</v>
      </c>
      <c r="M98" s="39" t="n">
        <v>5.82090751423521</v>
      </c>
      <c r="N98" s="39" t="n">
        <v>5.8259644777693</v>
      </c>
      <c r="O98" s="39" t="n">
        <v>5.249406955059</v>
      </c>
    </row>
    <row r="99" customFormat="false" ht="15" hidden="false" customHeight="false" outlineLevel="0" collapsed="false">
      <c r="C99" s="1" t="s">
        <v>149</v>
      </c>
      <c r="D99" s="12" t="s">
        <v>13</v>
      </c>
      <c r="E99" s="30" t="n">
        <f aca="false">Calc_2!$E139</f>
        <v>5.73637782064561</v>
      </c>
      <c r="H99" s="39" t="n">
        <v>5.73637782064561</v>
      </c>
      <c r="I99" s="39" t="n">
        <v>5.73637782064561</v>
      </c>
      <c r="J99" s="39" t="n">
        <v>5.47800058891021</v>
      </c>
      <c r="K99" s="39" t="n">
        <v>4.72670993337735</v>
      </c>
      <c r="L99" s="39" t="n">
        <v>4.60775819918129</v>
      </c>
      <c r="M99" s="39" t="n">
        <v>5.49623514378319</v>
      </c>
      <c r="N99" s="39" t="n">
        <v>5.50910945377204</v>
      </c>
      <c r="O99" s="39" t="n">
        <v>6.02902625889674</v>
      </c>
    </row>
    <row r="100" customFormat="false" ht="15" hidden="false" customHeight="false" outlineLevel="0" collapsed="false">
      <c r="C100" s="1" t="s">
        <v>150</v>
      </c>
      <c r="D100" s="12" t="s">
        <v>80</v>
      </c>
      <c r="E100" s="33" t="n">
        <f aca="false">Calc_1!$E95/Thousand</f>
        <v>67.6663796990003</v>
      </c>
      <c r="H100" s="40" t="n">
        <v>67.6663796990003</v>
      </c>
      <c r="I100" s="40" t="n">
        <v>67.6663796990003</v>
      </c>
      <c r="J100" s="40" t="n">
        <v>70.5626869771952</v>
      </c>
      <c r="K100" s="40" t="n">
        <v>67.6663796990003</v>
      </c>
      <c r="L100" s="40" t="n">
        <v>67.6663796990003</v>
      </c>
      <c r="M100" s="40" t="n">
        <v>67.6663796990003</v>
      </c>
      <c r="N100" s="40" t="n">
        <v>68.2897370953083</v>
      </c>
      <c r="O100" s="40" t="n">
        <v>57.3151199920069</v>
      </c>
    </row>
    <row r="101" customFormat="false" ht="15" hidden="false" customHeight="false" outlineLevel="0" collapsed="false">
      <c r="C101" s="1" t="s">
        <v>151</v>
      </c>
      <c r="D101" s="12" t="s">
        <v>80</v>
      </c>
      <c r="E101" s="33" t="n">
        <f aca="false">Calc_2!$E95/Thousand</f>
        <v>54.0627484734684</v>
      </c>
      <c r="H101" s="40" t="n">
        <v>54.0627484734684</v>
      </c>
      <c r="I101" s="40" t="n">
        <v>54.0627484734684</v>
      </c>
      <c r="J101" s="40" t="n">
        <v>56.1746391971522</v>
      </c>
      <c r="K101" s="40" t="n">
        <v>54.0627484734684</v>
      </c>
      <c r="L101" s="40" t="n">
        <v>54.0627484734684</v>
      </c>
      <c r="M101" s="40" t="n">
        <v>54.0627484734684</v>
      </c>
      <c r="N101" s="40" t="n">
        <v>54.5626815649957</v>
      </c>
      <c r="O101" s="40" t="n">
        <v>54.0627484734684</v>
      </c>
    </row>
    <row r="102" customFormat="false" ht="15" hidden="false" customHeight="false" outlineLevel="0" collapsed="false">
      <c r="C102" s="1" t="s">
        <v>152</v>
      </c>
      <c r="D102" s="12" t="s">
        <v>80</v>
      </c>
      <c r="E102" s="33" t="n">
        <f aca="false">Calc_1!$E121/Thousand</f>
        <v>24.5839752963419</v>
      </c>
      <c r="H102" s="40" t="n">
        <v>24.5839752963419</v>
      </c>
      <c r="I102" s="40" t="n">
        <v>24.5839752963419</v>
      </c>
      <c r="J102" s="40" t="n">
        <v>25.3557274311957</v>
      </c>
      <c r="K102" s="40" t="n">
        <v>24.5839752963419</v>
      </c>
      <c r="L102" s="40" t="n">
        <v>24.5839752963419</v>
      </c>
      <c r="M102" s="40" t="n">
        <v>24.5839752963419</v>
      </c>
      <c r="N102" s="40" t="n">
        <v>24.5948840507773</v>
      </c>
      <c r="O102" s="40" t="n">
        <v>34.1949602368899</v>
      </c>
    </row>
    <row r="103" customFormat="false" ht="15" hidden="false" customHeight="false" outlineLevel="0" collapsed="false">
      <c r="C103" s="1" t="s">
        <v>153</v>
      </c>
      <c r="D103" s="12" t="s">
        <v>80</v>
      </c>
      <c r="E103" s="33" t="n">
        <f aca="false">Calc_2!$E121/Thousand</f>
        <v>30.1869696362648</v>
      </c>
      <c r="H103" s="40" t="n">
        <v>30.1869696362648</v>
      </c>
      <c r="I103" s="40" t="n">
        <v>30.1869696362648</v>
      </c>
      <c r="J103" s="40" t="n">
        <v>31.1106430679291</v>
      </c>
      <c r="K103" s="40" t="n">
        <v>30.1869696362648</v>
      </c>
      <c r="L103" s="40" t="n">
        <v>30.1869696362648</v>
      </c>
      <c r="M103" s="40" t="n">
        <v>30.1869696362648</v>
      </c>
      <c r="N103" s="40" t="n">
        <v>30.1957184653665</v>
      </c>
      <c r="O103" s="40" t="n">
        <v>30.1869696362648</v>
      </c>
    </row>
    <row r="104" customFormat="false" ht="15" hidden="false" customHeight="false" outlineLevel="0" collapsed="false">
      <c r="C104" s="1" t="s">
        <v>154</v>
      </c>
      <c r="D104" s="12" t="s">
        <v>13</v>
      </c>
      <c r="E104" s="30" t="n">
        <f aca="false">Calc_1!$E99</f>
        <v>1.5517935924719</v>
      </c>
      <c r="H104" s="39" t="n">
        <v>1.55179359247249</v>
      </c>
      <c r="I104" s="39" t="n">
        <v>1.55179359247249</v>
      </c>
      <c r="J104" s="39" t="n">
        <v>1.49167083689523</v>
      </c>
      <c r="K104" s="39" t="n">
        <v>1.37364349570861</v>
      </c>
      <c r="L104" s="39" t="n">
        <v>1.35395824697932</v>
      </c>
      <c r="M104" s="39" t="n">
        <v>1.55179359246892</v>
      </c>
      <c r="N104" s="39" t="n">
        <v>1.432110718366</v>
      </c>
      <c r="O104" s="39" t="n">
        <v>1.2</v>
      </c>
    </row>
    <row r="105" customFormat="false" ht="15" hidden="false" customHeight="false" outlineLevel="0" collapsed="false">
      <c r="C105" s="1" t="s">
        <v>155</v>
      </c>
      <c r="D105" s="12" t="s">
        <v>13</v>
      </c>
      <c r="E105" s="30" t="n">
        <f aca="false">Calc_2!$E99</f>
        <v>1.92694591063623</v>
      </c>
      <c r="H105" s="39" t="n">
        <v>1.92694591063654</v>
      </c>
      <c r="I105" s="39" t="n">
        <v>1.92694591063654</v>
      </c>
      <c r="J105" s="39" t="n">
        <v>1.85868073500365</v>
      </c>
      <c r="K105" s="39" t="n">
        <v>1.70548675693337</v>
      </c>
      <c r="L105" s="39" t="n">
        <v>1.68096508544622</v>
      </c>
      <c r="M105" s="39" t="n">
        <v>1.92694591063715</v>
      </c>
      <c r="N105" s="39" t="n">
        <v>1.77776521555098</v>
      </c>
      <c r="O105" s="39" t="n">
        <v>1.26618029326218</v>
      </c>
    </row>
    <row r="106" customFormat="false" ht="15" hidden="false" customHeight="false" outlineLevel="0" collapsed="false">
      <c r="C106" s="1" t="s">
        <v>156</v>
      </c>
      <c r="D106" s="12" t="s">
        <v>140</v>
      </c>
      <c r="E106" s="31" t="n">
        <f aca="false">Model_Checks</f>
        <v>0</v>
      </c>
      <c r="H106" s="41" t="n">
        <v>0</v>
      </c>
      <c r="I106" s="41" t="n">
        <v>0</v>
      </c>
      <c r="J106" s="41" t="n">
        <v>0</v>
      </c>
      <c r="K106" s="41" t="n">
        <v>0</v>
      </c>
      <c r="L106" s="41" t="n">
        <v>0</v>
      </c>
      <c r="M106" s="41" t="n">
        <v>0</v>
      </c>
      <c r="N106" s="41" t="n">
        <v>0</v>
      </c>
      <c r="O106" s="41" t="n">
        <v>0</v>
      </c>
    </row>
    <row r="107" customFormat="false" ht="15" hidden="false" customHeight="false" outlineLevel="0" collapsed="false">
      <c r="C107" s="1" t="s">
        <v>157</v>
      </c>
      <c r="D107" s="12" t="s">
        <v>140</v>
      </c>
      <c r="E107" s="31" t="n">
        <f aca="false">Model_Checks</f>
        <v>0</v>
      </c>
      <c r="H107" s="41" t="n">
        <v>0</v>
      </c>
      <c r="I107" s="41" t="n">
        <v>0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n">
        <v>0</v>
      </c>
      <c r="O107" s="41" t="n">
        <v>0</v>
      </c>
    </row>
    <row r="109" customFormat="false" ht="15" hidden="false" customHeight="false" outlineLevel="0" collapsed="false">
      <c r="C109" s="42" t="s">
        <v>158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S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159</v>
      </c>
      <c r="D4" s="1" t="s">
        <v>160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161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162</v>
      </c>
      <c r="C7" s="8" t="s">
        <v>8</v>
      </c>
      <c r="D7" s="8" t="s">
        <v>163</v>
      </c>
      <c r="F7" s="9" t="s">
        <v>12</v>
      </c>
      <c r="H7" s="45" t="s">
        <v>22</v>
      </c>
      <c r="I7" s="45" t="s">
        <v>164</v>
      </c>
      <c r="J7" s="45" t="s">
        <v>165</v>
      </c>
      <c r="K7" s="45" t="s">
        <v>166</v>
      </c>
      <c r="L7" s="45" t="s">
        <v>167</v>
      </c>
      <c r="M7" s="45" t="s">
        <v>168</v>
      </c>
      <c r="N7" s="45" t="s">
        <v>169</v>
      </c>
      <c r="O7" s="45" t="s">
        <v>170</v>
      </c>
    </row>
    <row r="10" customFormat="false" ht="15" hidden="false" customHeight="false" outlineLevel="0" collapsed="false">
      <c r="A10" s="10" t="s">
        <v>13</v>
      </c>
      <c r="B10" s="10"/>
      <c r="C10" s="10" t="s">
        <v>171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172</v>
      </c>
      <c r="C11" s="12" t="s">
        <v>140</v>
      </c>
      <c r="D11" s="14" t="s">
        <v>173</v>
      </c>
      <c r="F11" s="45" t="n">
        <v>1000</v>
      </c>
    </row>
    <row r="12" customFormat="false" ht="15" hidden="false" customHeight="false" outlineLevel="0" collapsed="false">
      <c r="B12" s="1" t="s">
        <v>174</v>
      </c>
      <c r="C12" s="12" t="s">
        <v>140</v>
      </c>
      <c r="D12" s="14" t="s">
        <v>173</v>
      </c>
      <c r="F12" s="45" t="n">
        <v>1000000</v>
      </c>
    </row>
    <row r="13" customFormat="false" ht="15" hidden="false" customHeight="false" outlineLevel="0" collapsed="false">
      <c r="B13" s="1" t="s">
        <v>175</v>
      </c>
      <c r="C13" s="12" t="s">
        <v>176</v>
      </c>
      <c r="D13" s="14" t="s">
        <v>177</v>
      </c>
      <c r="F13" s="45" t="n">
        <v>365</v>
      </c>
    </row>
    <row r="14" customFormat="false" ht="15" hidden="false" customHeight="false" outlineLevel="0" collapsed="false">
      <c r="B14" s="1" t="s">
        <v>178</v>
      </c>
      <c r="C14" s="12" t="s">
        <v>179</v>
      </c>
      <c r="F14" s="45" t="n">
        <v>12</v>
      </c>
    </row>
    <row r="15" customFormat="false" ht="15" hidden="false" customHeight="false" outlineLevel="0" collapsed="false">
      <c r="B15" s="1" t="s">
        <v>180</v>
      </c>
      <c r="C15" s="12" t="s">
        <v>179</v>
      </c>
      <c r="D15" s="14" t="s">
        <v>181</v>
      </c>
      <c r="F15" s="45" t="n">
        <v>3</v>
      </c>
    </row>
    <row r="16" customFormat="false" ht="15" hidden="false" customHeight="false" outlineLevel="0" collapsed="false">
      <c r="B16" s="1" t="s">
        <v>182</v>
      </c>
      <c r="C16" s="12" t="s">
        <v>140</v>
      </c>
      <c r="D16" s="14" t="s">
        <v>183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184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185</v>
      </c>
      <c r="C19" s="12" t="s">
        <v>38</v>
      </c>
      <c r="D19" s="14" t="s">
        <v>186</v>
      </c>
      <c r="F19" s="46" t="n">
        <f aca="false">IF(INDEX($H19:$O19,1,Scenario_Selected)="",$H19,INDEX($H19:$O19,1,Scenario_Selected))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</row>
    <row r="20" customFormat="false" ht="15" hidden="false" customHeight="false" outlineLevel="0" collapsed="false">
      <c r="B20" s="1" t="s">
        <v>187</v>
      </c>
      <c r="C20" s="12" t="s">
        <v>38</v>
      </c>
      <c r="D20" s="14" t="s">
        <v>188</v>
      </c>
      <c r="F20" s="46" t="n">
        <f aca="false">IF(INDEX($H20:$O20,1,Scenario_Selected)="",$H20,INDEX($H20:$O20,1,Scenario_Selected))</f>
        <v>46325</v>
      </c>
      <c r="H20" s="5" t="n">
        <v>46325</v>
      </c>
      <c r="I20" s="5"/>
      <c r="J20" s="5"/>
      <c r="K20" s="5"/>
      <c r="L20" s="5"/>
      <c r="M20" s="5"/>
      <c r="N20" s="5"/>
      <c r="O20" s="5"/>
    </row>
    <row r="21" customFormat="false" ht="15" hidden="false" customHeight="false" outlineLevel="0" collapsed="false">
      <c r="B21" s="1" t="s">
        <v>189</v>
      </c>
      <c r="C21" s="12" t="s">
        <v>38</v>
      </c>
      <c r="D21" s="14" t="s">
        <v>190</v>
      </c>
      <c r="F21" s="46" t="n">
        <f aca="false">IF(INDEX($H21:$O21,1,Scenario_Selected)="",$H21,INDEX($H21:$O21,1,Scenario_Selected))</f>
        <v>46369</v>
      </c>
      <c r="H21" s="5" t="n">
        <v>46369</v>
      </c>
      <c r="I21" s="5"/>
      <c r="J21" s="5"/>
      <c r="K21" s="5"/>
      <c r="L21" s="5"/>
      <c r="M21" s="5"/>
      <c r="N21" s="5"/>
      <c r="O21" s="5"/>
    </row>
    <row r="22" customFormat="false" ht="15" hidden="false" customHeight="false" outlineLevel="0" collapsed="false">
      <c r="B22" s="1" t="s">
        <v>191</v>
      </c>
      <c r="C22" s="12" t="s">
        <v>38</v>
      </c>
      <c r="D22" s="14" t="s">
        <v>192</v>
      </c>
      <c r="F22" s="46" t="n">
        <f aca="false">IF(INDEX($H22:$O22,1,Scenario_Selected)="",$H22,INDEX($H22:$O22,1,Scenario_Selected))</f>
        <v>46418</v>
      </c>
      <c r="H22" s="5" t="n">
        <v>46418</v>
      </c>
      <c r="I22" s="5"/>
      <c r="J22" s="5"/>
      <c r="K22" s="5"/>
      <c r="L22" s="5"/>
      <c r="M22" s="5"/>
      <c r="N22" s="5"/>
      <c r="O22" s="5"/>
    </row>
    <row r="23" customFormat="false" ht="15" hidden="false" customHeight="false" outlineLevel="0" collapsed="false">
      <c r="B23" s="1" t="s">
        <v>193</v>
      </c>
      <c r="C23" s="12" t="s">
        <v>176</v>
      </c>
      <c r="D23" s="14" t="s">
        <v>194</v>
      </c>
      <c r="F23" s="44" t="n">
        <f aca="false">IF(INDEX($H23:$O23,1,Scenario_Selected)="",$H23,INDEX($H23:$O23,1,Scenario_Selected))</f>
        <v>15</v>
      </c>
      <c r="H23" s="47" t="n">
        <v>15</v>
      </c>
      <c r="I23" s="47"/>
      <c r="J23" s="47"/>
      <c r="K23" s="47"/>
      <c r="L23" s="47"/>
      <c r="M23" s="47"/>
      <c r="N23" s="47"/>
      <c r="O23" s="47"/>
    </row>
    <row r="24" customFormat="false" ht="15" hidden="false" customHeight="false" outlineLevel="0" collapsed="false">
      <c r="B24" s="1" t="s">
        <v>195</v>
      </c>
      <c r="C24" s="12" t="s">
        <v>38</v>
      </c>
      <c r="D24" s="14" t="s">
        <v>196</v>
      </c>
      <c r="F24" s="46" t="n">
        <f aca="false">IF(INDEX($H24:$O24,1,Scenario_Selected)="",$H24,INDEX($H24:$O24,1,Scenario_Selected))</f>
        <v>46387</v>
      </c>
      <c r="H24" s="5" t="n">
        <v>46387</v>
      </c>
      <c r="I24" s="5"/>
      <c r="J24" s="5"/>
      <c r="K24" s="5"/>
      <c r="L24" s="5"/>
      <c r="M24" s="5"/>
      <c r="N24" s="5"/>
      <c r="O24" s="5"/>
    </row>
    <row r="25" customFormat="false" ht="15" hidden="false" customHeight="false" outlineLevel="0" collapsed="false">
      <c r="B25" s="1" t="s">
        <v>197</v>
      </c>
      <c r="C25" s="12" t="s">
        <v>38</v>
      </c>
      <c r="D25" s="14" t="s">
        <v>198</v>
      </c>
      <c r="F25" s="46" t="n">
        <f aca="false">IF(INDEX($H25:$O25,1,Scenario_Selected)="",$H25,INDEX($H25:$O25,1,Scenario_Selected))</f>
        <v>47026</v>
      </c>
      <c r="H25" s="5" t="n">
        <v>47026</v>
      </c>
      <c r="I25" s="5"/>
      <c r="J25" s="5"/>
      <c r="K25" s="5"/>
      <c r="L25" s="5"/>
      <c r="M25" s="5"/>
      <c r="N25" s="5"/>
      <c r="O25" s="5"/>
    </row>
    <row r="26" customFormat="false" ht="15" hidden="false" customHeight="false" outlineLevel="0" collapsed="false">
      <c r="B26" s="1" t="s">
        <v>199</v>
      </c>
      <c r="C26" s="12" t="s">
        <v>38</v>
      </c>
      <c r="D26" s="14" t="s">
        <v>200</v>
      </c>
      <c r="F26" s="46" t="n">
        <f aca="false">IF(INDEX($H26:$O26,1,Scenario_Selected)="",$H26,INDEX($H26:$O26,1,Scenario_Selected))</f>
        <v>47126</v>
      </c>
      <c r="H26" s="5" t="n">
        <v>47126</v>
      </c>
      <c r="I26" s="5"/>
      <c r="J26" s="5"/>
      <c r="K26" s="5"/>
      <c r="L26" s="5"/>
      <c r="M26" s="5"/>
      <c r="N26" s="5"/>
      <c r="O26" s="5"/>
    </row>
    <row r="27" customFormat="false" ht="15" hidden="false" customHeight="false" outlineLevel="0" collapsed="false">
      <c r="B27" s="1" t="s">
        <v>201</v>
      </c>
      <c r="C27" s="12" t="s">
        <v>38</v>
      </c>
      <c r="D27" s="14" t="s">
        <v>202</v>
      </c>
      <c r="F27" s="46" t="n">
        <f aca="false">IF(INDEX($H27:$O27,1,Scenario_Selected)="",$H27,INDEX($H27:$O27,1,Scenario_Selected))</f>
        <v>47756</v>
      </c>
      <c r="H27" s="5" t="n">
        <v>47756</v>
      </c>
      <c r="I27" s="5"/>
      <c r="J27" s="5"/>
      <c r="K27" s="5"/>
      <c r="L27" s="5"/>
      <c r="M27" s="5"/>
      <c r="N27" s="5"/>
      <c r="O27" s="5"/>
    </row>
    <row r="28" customFormat="false" ht="15" hidden="false" customHeight="false" outlineLevel="0" collapsed="false">
      <c r="B28" s="1" t="s">
        <v>203</v>
      </c>
      <c r="C28" s="12" t="s">
        <v>66</v>
      </c>
      <c r="D28" s="14" t="s">
        <v>204</v>
      </c>
      <c r="F28" s="44" t="n">
        <f aca="false">IF(INDEX($H28:$O28,1,Scenario_Selected)="",$H28,INDEX($H28:$O28,1,Scenario_Selected))</f>
        <v>30</v>
      </c>
      <c r="H28" s="47" t="n">
        <v>30</v>
      </c>
      <c r="I28" s="47"/>
      <c r="J28" s="47"/>
      <c r="K28" s="47"/>
      <c r="L28" s="47"/>
      <c r="M28" s="47"/>
      <c r="N28" s="47"/>
      <c r="O28" s="47"/>
    </row>
    <row r="29" customFormat="false" ht="15" hidden="false" customHeight="false" outlineLevel="0" collapsed="false">
      <c r="B29" s="1" t="s">
        <v>205</v>
      </c>
      <c r="C29" s="12" t="s">
        <v>38</v>
      </c>
      <c r="D29" s="14" t="s">
        <v>206</v>
      </c>
      <c r="F29" s="46" t="n">
        <f aca="false">IF(INDEX($H29:$O29,1,Scenario_Selected)="",$H29,INDEX($H29:$O29,1,Scenario_Selected))</f>
        <v>48669</v>
      </c>
      <c r="H29" s="5" t="n">
        <v>48669</v>
      </c>
      <c r="I29" s="5"/>
      <c r="J29" s="5"/>
      <c r="K29" s="5"/>
      <c r="L29" s="5"/>
      <c r="M29" s="5"/>
      <c r="N29" s="5"/>
      <c r="O29" s="5"/>
    </row>
    <row r="31" customFormat="false" ht="15" hidden="false" customHeight="false" outlineLevel="0" collapsed="false">
      <c r="A31" s="10" t="s">
        <v>13</v>
      </c>
      <c r="B31" s="10"/>
      <c r="C31" s="10" t="s">
        <v>207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208</v>
      </c>
      <c r="C32" s="12" t="s">
        <v>78</v>
      </c>
      <c r="D32" s="14" t="s">
        <v>209</v>
      </c>
      <c r="F32" s="48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  <c r="N32" s="13"/>
      <c r="O32" s="13"/>
    </row>
    <row r="33" customFormat="false" ht="15" hidden="false" customHeight="false" outlineLevel="0" collapsed="false">
      <c r="B33" s="1" t="s">
        <v>210</v>
      </c>
      <c r="C33" s="12" t="s">
        <v>33</v>
      </c>
      <c r="D33" s="14" t="s">
        <v>211</v>
      </c>
      <c r="F33" s="48" t="n">
        <f aca="false">IF(INDEX($H33:$O33,1,Scenario_Selected)="",$H33,INDEX($H33:$O33,1,Scenario_Selected))</f>
        <v>4500</v>
      </c>
      <c r="H33" s="13" t="n">
        <v>4500</v>
      </c>
      <c r="I33" s="13"/>
      <c r="J33" s="13"/>
      <c r="K33" s="13"/>
      <c r="L33" s="13"/>
      <c r="M33" s="13"/>
      <c r="N33" s="13"/>
      <c r="O33" s="13"/>
    </row>
    <row r="34" customFormat="false" ht="15" hidden="false" customHeight="false" outlineLevel="0" collapsed="false">
      <c r="B34" s="1" t="s">
        <v>212</v>
      </c>
      <c r="C34" s="12" t="s">
        <v>33</v>
      </c>
      <c r="D34" s="14" t="s">
        <v>213</v>
      </c>
      <c r="F34" s="48" t="n">
        <f aca="false">IF(INDEX($H34:$O34,1,Scenario_Selected)="",$H34,INDEX($H34:$O34,1,Scenario_Selected))</f>
        <v>150</v>
      </c>
      <c r="H34" s="13" t="n">
        <v>150</v>
      </c>
      <c r="I34" s="13"/>
      <c r="J34" s="13"/>
      <c r="K34" s="13"/>
      <c r="L34" s="13"/>
      <c r="M34" s="13"/>
      <c r="N34" s="13"/>
      <c r="O34" s="13"/>
    </row>
    <row r="35" customFormat="false" ht="15" hidden="false" customHeight="false" outlineLevel="0" collapsed="false">
      <c r="B35" s="1" t="s">
        <v>214</v>
      </c>
      <c r="C35" s="12" t="s">
        <v>33</v>
      </c>
      <c r="D35" s="14" t="s">
        <v>215</v>
      </c>
      <c r="F35" s="48" t="n">
        <f aca="false">IF(INDEX($H35:$O35,1,Scenario_Selected)="",$H35,INDEX($H35:$O35,1,Scenario_Selected))</f>
        <v>500</v>
      </c>
      <c r="H35" s="13" t="n">
        <v>500</v>
      </c>
      <c r="I35" s="13"/>
      <c r="J35" s="13"/>
      <c r="K35" s="13"/>
      <c r="L35" s="13"/>
      <c r="M35" s="13"/>
      <c r="N35" s="13"/>
      <c r="O35" s="13"/>
    </row>
    <row r="36" customFormat="false" ht="15" hidden="false" customHeight="false" outlineLevel="0" collapsed="false">
      <c r="B36" s="1" t="s">
        <v>216</v>
      </c>
      <c r="C36" s="12" t="s">
        <v>19</v>
      </c>
      <c r="D36" s="14" t="s">
        <v>217</v>
      </c>
      <c r="F36" s="48" t="n">
        <f aca="false">IF(INDEX($H36:$O36,1,Scenario_Selected)="",$H36,INDEX($H36:$O36,1,Scenario_Selected))</f>
        <v>2450</v>
      </c>
      <c r="H36" s="13" t="n">
        <v>2450</v>
      </c>
      <c r="I36" s="13" t="n">
        <v>2205</v>
      </c>
      <c r="J36" s="13"/>
      <c r="K36" s="13"/>
      <c r="L36" s="13"/>
      <c r="M36" s="13"/>
      <c r="N36" s="13"/>
      <c r="O36" s="13"/>
    </row>
    <row r="37" customFormat="false" ht="15" hidden="false" customHeight="false" outlineLevel="0" collapsed="false">
      <c r="B37" s="1" t="s">
        <v>218</v>
      </c>
      <c r="C37" s="12" t="s">
        <v>19</v>
      </c>
      <c r="D37" s="14" t="s">
        <v>219</v>
      </c>
      <c r="F37" s="48" t="n">
        <f aca="false">IF(INDEX($H37:$O37,1,Scenario_Selected)="",$H37,INDEX($H37:$O37,1,Scenario_Selected))</f>
        <v>2100</v>
      </c>
      <c r="H37" s="13" t="n">
        <v>2100</v>
      </c>
      <c r="I37" s="13" t="n">
        <v>1890</v>
      </c>
      <c r="J37" s="13"/>
      <c r="K37" s="13"/>
      <c r="L37" s="13"/>
      <c r="M37" s="13"/>
      <c r="N37" s="13"/>
      <c r="O37" s="13"/>
    </row>
    <row r="38" customFormat="false" ht="15" hidden="false" customHeight="false" outlineLevel="0" collapsed="false">
      <c r="B38" s="1" t="s">
        <v>220</v>
      </c>
      <c r="C38" s="12" t="s">
        <v>33</v>
      </c>
      <c r="D38" s="14" t="s">
        <v>221</v>
      </c>
      <c r="F38" s="48" t="n">
        <f aca="false">IF(INDEX($H38:$O38,1,Scenario_Selected)="",$H38,INDEX($H38:$O38,1,Scenario_Selected))</f>
        <v>500</v>
      </c>
      <c r="H38" s="13" t="n">
        <v>500</v>
      </c>
      <c r="I38" s="13"/>
      <c r="J38" s="13"/>
      <c r="K38" s="13"/>
      <c r="L38" s="13"/>
      <c r="M38" s="13"/>
      <c r="N38" s="13"/>
      <c r="O38" s="13"/>
    </row>
    <row r="39" customFormat="false" ht="15" hidden="false" customHeight="false" outlineLevel="0" collapsed="false">
      <c r="B39" s="1" t="s">
        <v>222</v>
      </c>
      <c r="C39" s="12" t="s">
        <v>27</v>
      </c>
      <c r="D39" s="14" t="s">
        <v>223</v>
      </c>
      <c r="F39" s="49" t="n">
        <f aca="false">IF(INDEX($H39:$O39,1,Scenario_Selected)="",$H39,INDEX($H39:$O39,1,Scenario_Selected))</f>
        <v>0.08</v>
      </c>
      <c r="H39" s="18" t="n">
        <v>0.08</v>
      </c>
      <c r="I39" s="18"/>
      <c r="J39" s="18"/>
      <c r="K39" s="18"/>
      <c r="L39" s="18"/>
      <c r="M39" s="18"/>
      <c r="N39" s="18"/>
      <c r="O39" s="18"/>
    </row>
    <row r="40" customFormat="false" ht="15" hidden="false" customHeight="false" outlineLevel="0" collapsed="false">
      <c r="B40" s="1" t="s">
        <v>224</v>
      </c>
      <c r="C40" s="12" t="s">
        <v>27</v>
      </c>
      <c r="D40" s="14" t="s">
        <v>225</v>
      </c>
      <c r="F40" s="49" t="n">
        <f aca="false">IF(INDEX($H40:$O40,1,Scenario_Selected)="",$H40,INDEX($H40:$O40,1,Scenario_Selected))</f>
        <v>0.09</v>
      </c>
      <c r="H40" s="18" t="n">
        <v>0.09</v>
      </c>
      <c r="I40" s="18"/>
      <c r="J40" s="18"/>
      <c r="K40" s="18"/>
      <c r="L40" s="18"/>
      <c r="M40" s="18"/>
      <c r="N40" s="18"/>
      <c r="O40" s="18"/>
    </row>
    <row r="41" customFormat="false" ht="15" hidden="false" customHeight="false" outlineLevel="0" collapsed="false">
      <c r="B41" s="1" t="s">
        <v>226</v>
      </c>
      <c r="C41" s="12" t="s">
        <v>43</v>
      </c>
      <c r="D41" s="14" t="s">
        <v>227</v>
      </c>
      <c r="F41" s="50" t="n">
        <f aca="false">IF(INDEX($H41:$O41,1,Scenario_Selected)="",$H41,INDEX($H41:$O41,1,Scenario_Selected))</f>
        <v>0</v>
      </c>
      <c r="H41" s="24" t="n">
        <v>0</v>
      </c>
      <c r="I41" s="24"/>
      <c r="J41" s="24"/>
      <c r="K41" s="24"/>
      <c r="L41" s="24"/>
      <c r="M41" s="24"/>
      <c r="N41" s="24"/>
      <c r="O41" s="24"/>
    </row>
    <row r="42" customFormat="false" ht="15" hidden="false" customHeight="false" outlineLevel="0" collapsed="false">
      <c r="B42" s="1" t="s">
        <v>228</v>
      </c>
      <c r="C42" s="12" t="s">
        <v>66</v>
      </c>
      <c r="D42" s="14" t="s">
        <v>229</v>
      </c>
      <c r="F42" s="44" t="n">
        <f aca="false">IF(INDEX($H42:$O42,1,Scenario_Selected)="",$H42,INDEX($H42:$O42,1,Scenario_Selected))</f>
        <v>20</v>
      </c>
      <c r="H42" s="47" t="n">
        <v>20</v>
      </c>
      <c r="I42" s="47"/>
      <c r="J42" s="47"/>
      <c r="K42" s="47"/>
      <c r="L42" s="47"/>
      <c r="M42" s="47"/>
      <c r="N42" s="47"/>
      <c r="O42" s="47"/>
    </row>
    <row r="43" customFormat="false" ht="15" hidden="false" customHeight="false" outlineLevel="0" collapsed="false">
      <c r="B43" s="1" t="s">
        <v>230</v>
      </c>
      <c r="C43" s="12" t="s">
        <v>27</v>
      </c>
      <c r="D43" s="14" t="s">
        <v>231</v>
      </c>
      <c r="F43" s="49" t="n">
        <f aca="false">IF(INDEX($H43:$O43,1,Scenario_Selected)="",$H43,INDEX($H43:$O43,1,Scenario_Selected))</f>
        <v>0.5</v>
      </c>
      <c r="H43" s="18" t="n">
        <v>0.5</v>
      </c>
      <c r="I43" s="18"/>
      <c r="J43" s="18"/>
      <c r="K43" s="18"/>
      <c r="L43" s="18"/>
      <c r="M43" s="18"/>
      <c r="N43" s="18"/>
      <c r="O43" s="18"/>
    </row>
    <row r="44" customFormat="false" ht="15" hidden="false" customHeight="false" outlineLevel="0" collapsed="false">
      <c r="B44" s="1" t="s">
        <v>232</v>
      </c>
      <c r="C44" s="12" t="s">
        <v>66</v>
      </c>
      <c r="D44" s="14" t="s">
        <v>233</v>
      </c>
      <c r="F44" s="44" t="n">
        <f aca="false">IF(INDEX($H44:$O44,1,Scenario_Selected)="",$H44,INDEX($H44:$O44,1,Scenario_Selected))</f>
        <v>5</v>
      </c>
      <c r="H44" s="47" t="n">
        <v>5</v>
      </c>
      <c r="I44" s="47"/>
      <c r="J44" s="47"/>
      <c r="K44" s="47"/>
      <c r="L44" s="47"/>
      <c r="M44" s="47"/>
      <c r="N44" s="47"/>
      <c r="O44" s="47"/>
    </row>
    <row r="46" customFormat="false" ht="15" hidden="false" customHeight="false" outlineLevel="0" collapsed="false">
      <c r="A46" s="10" t="s">
        <v>13</v>
      </c>
      <c r="B46" s="10"/>
      <c r="C46" s="10" t="s">
        <v>234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" hidden="false" customHeight="false" outlineLevel="0" collapsed="false">
      <c r="B47" s="1" t="s">
        <v>235</v>
      </c>
      <c r="C47" s="12" t="s">
        <v>140</v>
      </c>
      <c r="D47" s="14" t="s">
        <v>236</v>
      </c>
      <c r="F47" s="45" t="n">
        <v>2</v>
      </c>
    </row>
    <row r="48" customFormat="false" ht="15" hidden="false" customHeight="false" outlineLevel="0" collapsed="false">
      <c r="B48" s="1" t="s">
        <v>237</v>
      </c>
      <c r="C48" s="12" t="s">
        <v>238</v>
      </c>
      <c r="D48" s="14" t="s">
        <v>239</v>
      </c>
      <c r="F48" s="48" t="n">
        <f aca="false">IF(INDEX($H48:$O48,1,Scenario_Selected)="",$H48,INDEX($H48:$O48,1,Scenario_Selected))</f>
        <v>50</v>
      </c>
      <c r="H48" s="13" t="n">
        <v>50</v>
      </c>
      <c r="I48" s="13"/>
      <c r="J48" s="13"/>
      <c r="K48" s="13"/>
      <c r="L48" s="13"/>
      <c r="M48" s="13"/>
      <c r="N48" s="13"/>
      <c r="O48" s="13"/>
    </row>
    <row r="49" customFormat="false" ht="15" hidden="false" customHeight="false" outlineLevel="0" collapsed="false">
      <c r="B49" s="1" t="s">
        <v>240</v>
      </c>
      <c r="C49" s="12" t="s">
        <v>27</v>
      </c>
      <c r="D49" s="14" t="s">
        <v>241</v>
      </c>
      <c r="F49" s="49" t="n">
        <f aca="false">IF(INDEX($H49:$O49,1,Scenario_Selected)="",$H49,INDEX($H49:$O49,1,Scenario_Selected))</f>
        <v>0.1</v>
      </c>
      <c r="H49" s="18" t="n">
        <v>0.1</v>
      </c>
      <c r="I49" s="18"/>
      <c r="J49" s="18"/>
      <c r="K49" s="18"/>
      <c r="L49" s="18"/>
      <c r="M49" s="18"/>
      <c r="N49" s="18"/>
      <c r="O49" s="18"/>
    </row>
    <row r="50" customFormat="false" ht="15" hidden="false" customHeight="false" outlineLevel="0" collapsed="false">
      <c r="B50" s="1" t="s">
        <v>242</v>
      </c>
      <c r="C50" s="12" t="s">
        <v>27</v>
      </c>
      <c r="D50" s="14" t="s">
        <v>243</v>
      </c>
      <c r="F50" s="49" t="n">
        <f aca="false">IF(INDEX($H50:$O50,1,Scenario_Selected)="",$H50,INDEX($H50:$O50,1,Scenario_Selected))</f>
        <v>0.05</v>
      </c>
      <c r="H50" s="18" t="n">
        <v>0.05</v>
      </c>
      <c r="I50" s="18"/>
      <c r="J50" s="18"/>
      <c r="K50" s="18"/>
      <c r="L50" s="18"/>
      <c r="M50" s="18"/>
      <c r="N50" s="18"/>
      <c r="O50" s="18"/>
    </row>
    <row r="51" customFormat="false" ht="15" hidden="false" customHeight="false" outlineLevel="0" collapsed="false">
      <c r="B51" s="1" t="s">
        <v>244</v>
      </c>
      <c r="C51" s="12" t="s">
        <v>43</v>
      </c>
      <c r="D51" s="14" t="s">
        <v>245</v>
      </c>
      <c r="F51" s="50" t="n">
        <f aca="false">IF(INDEX($H51:$O51,1,Scenario_Selected)="",$H51,INDEX($H51:$O51,1,Scenario_Selected))</f>
        <v>1</v>
      </c>
      <c r="H51" s="24" t="n">
        <v>1</v>
      </c>
      <c r="I51" s="24"/>
      <c r="J51" s="24"/>
      <c r="K51" s="24"/>
      <c r="L51" s="24"/>
      <c r="M51" s="24"/>
      <c r="N51" s="24"/>
      <c r="O51" s="24"/>
    </row>
    <row r="52" customFormat="false" ht="15" hidden="false" customHeight="false" outlineLevel="0" collapsed="false">
      <c r="B52" s="1" t="s">
        <v>246</v>
      </c>
      <c r="C52" s="12" t="s">
        <v>35</v>
      </c>
      <c r="D52" s="14" t="s">
        <v>247</v>
      </c>
      <c r="F52" s="37" t="n">
        <f aca="false">IF(INDEX($H52:$O52,1,Scenario_Selected)="",$H52,INDEX($H52:$O52,1,Scenario_Selected))</f>
        <v>4</v>
      </c>
      <c r="H52" s="20" t="n">
        <v>4</v>
      </c>
      <c r="I52" s="20"/>
      <c r="J52" s="20"/>
      <c r="K52" s="20"/>
      <c r="L52" s="20"/>
      <c r="M52" s="20"/>
      <c r="N52" s="20"/>
      <c r="O52" s="20"/>
    </row>
    <row r="53" customFormat="false" ht="15" hidden="false" customHeight="false" outlineLevel="0" collapsed="false">
      <c r="B53" s="1" t="s">
        <v>248</v>
      </c>
      <c r="C53" s="12" t="s">
        <v>27</v>
      </c>
      <c r="D53" s="14" t="s">
        <v>249</v>
      </c>
      <c r="F53" s="49" t="n">
        <f aca="false">IF(INDEX($H53:$O53,1,Scenario_Selected)="",$H53,INDEX($H53:$O53,1,Scenario_Selected))</f>
        <v>0.1</v>
      </c>
      <c r="H53" s="18" t="n">
        <v>0.1</v>
      </c>
      <c r="I53" s="18"/>
      <c r="J53" s="18"/>
      <c r="K53" s="18"/>
      <c r="L53" s="18"/>
      <c r="M53" s="18"/>
      <c r="N53" s="18"/>
      <c r="O53" s="18"/>
    </row>
    <row r="54" customFormat="false" ht="15" hidden="false" customHeight="false" outlineLevel="0" collapsed="false">
      <c r="B54" s="1" t="s">
        <v>250</v>
      </c>
      <c r="C54" s="12" t="s">
        <v>43</v>
      </c>
      <c r="D54" s="14" t="s">
        <v>251</v>
      </c>
      <c r="F54" s="50" t="n">
        <f aca="false">IF(INDEX($H54:$O54,1,Scenario_Selected)="",$H54,INDEX($H54:$O54,1,Scenario_Selected))</f>
        <v>1</v>
      </c>
      <c r="H54" s="24" t="n">
        <v>1</v>
      </c>
      <c r="I54" s="24"/>
      <c r="J54" s="24"/>
      <c r="K54" s="24"/>
      <c r="L54" s="24"/>
      <c r="M54" s="24" t="n">
        <v>2</v>
      </c>
      <c r="N54" s="24"/>
      <c r="O54" s="24"/>
    </row>
    <row r="55" customFormat="false" ht="15" hidden="false" customHeight="false" outlineLevel="0" collapsed="false">
      <c r="B55" s="1" t="s">
        <v>252</v>
      </c>
      <c r="C55" s="12" t="s">
        <v>179</v>
      </c>
      <c r="D55" s="14" t="s">
        <v>253</v>
      </c>
      <c r="F55" s="44" t="n">
        <f aca="false">IF(INDEX($H55:$O55,1,Scenario_Selected)="",$H55,INDEX($H55:$O55,1,Scenario_Selected))</f>
        <v>6</v>
      </c>
      <c r="H55" s="47" t="n">
        <v>6</v>
      </c>
      <c r="I55" s="47"/>
      <c r="J55" s="47"/>
      <c r="K55" s="47"/>
      <c r="L55" s="47"/>
      <c r="M55" s="47"/>
      <c r="N55" s="47"/>
      <c r="O55" s="47"/>
    </row>
    <row r="56" customFormat="false" ht="15" hidden="false" customHeight="false" outlineLevel="0" collapsed="false">
      <c r="B56" s="1" t="s">
        <v>254</v>
      </c>
      <c r="C56" s="12" t="s">
        <v>255</v>
      </c>
      <c r="D56" s="14" t="s">
        <v>256</v>
      </c>
      <c r="F56" s="48" t="n">
        <f aca="false">IF(INDEX($H56:$O56,1,Scenario_Selected)="",$H56,INDEX($H56:$O56,1,Scenario_Selected))</f>
        <v>200</v>
      </c>
      <c r="H56" s="13" t="n">
        <v>200</v>
      </c>
      <c r="I56" s="13"/>
      <c r="J56" s="13"/>
      <c r="K56" s="13"/>
      <c r="L56" s="13"/>
      <c r="M56" s="13"/>
      <c r="N56" s="13"/>
      <c r="O56" s="13"/>
    </row>
    <row r="57" customFormat="false" ht="15" hidden="false" customHeight="false" outlineLevel="0" collapsed="false">
      <c r="B57" s="1" t="s">
        <v>257</v>
      </c>
      <c r="C57" s="12" t="s">
        <v>258</v>
      </c>
      <c r="D57" s="14" t="s">
        <v>256</v>
      </c>
      <c r="F57" s="48" t="n">
        <f aca="false">IF(INDEX($H57:$O57,1,Scenario_Selected)="",$H57,INDEX($H57:$O57,1,Scenario_Selected))</f>
        <v>406</v>
      </c>
      <c r="H57" s="13" t="n">
        <v>406</v>
      </c>
      <c r="I57" s="13"/>
      <c r="J57" s="13"/>
      <c r="K57" s="13"/>
      <c r="L57" s="13"/>
      <c r="M57" s="13"/>
      <c r="N57" s="13"/>
      <c r="O57" s="13"/>
    </row>
    <row r="58" customFormat="false" ht="15" hidden="false" customHeight="false" outlineLevel="0" collapsed="false">
      <c r="B58" s="1" t="s">
        <v>259</v>
      </c>
      <c r="C58" s="12" t="s">
        <v>260</v>
      </c>
      <c r="D58" s="14" t="s">
        <v>261</v>
      </c>
      <c r="F58" s="37" t="n">
        <f aca="false">IF(INDEX($H58:$O58,1,Scenario_Selected)="",$H58,INDEX($H58:$O58,1,Scenario_Selected))</f>
        <v>3</v>
      </c>
      <c r="H58" s="20" t="n">
        <v>3</v>
      </c>
      <c r="I58" s="20"/>
      <c r="J58" s="20"/>
      <c r="K58" s="20"/>
      <c r="L58" s="20"/>
      <c r="M58" s="20"/>
      <c r="N58" s="20"/>
      <c r="O58" s="20"/>
    </row>
    <row r="59" customFormat="false" ht="15" hidden="false" customHeight="false" outlineLevel="0" collapsed="false">
      <c r="B59" s="1" t="s">
        <v>262</v>
      </c>
      <c r="C59" s="12" t="s">
        <v>27</v>
      </c>
      <c r="D59" s="14" t="s">
        <v>263</v>
      </c>
      <c r="F59" s="51" t="n">
        <f aca="false">IF(INDEX($H59:$O59,1,Scenario_Selected)="",$H59,INDEX($H59:$O59,1,Scenario_Selected))</f>
        <v>0.005</v>
      </c>
      <c r="H59" s="52" t="n">
        <v>0.005</v>
      </c>
      <c r="I59" s="52"/>
      <c r="J59" s="52"/>
      <c r="K59" s="52"/>
      <c r="L59" s="52"/>
      <c r="M59" s="52"/>
      <c r="N59" s="52"/>
      <c r="O59" s="52"/>
    </row>
    <row r="60" customFormat="false" ht="15" hidden="false" customHeight="false" outlineLevel="0" collapsed="false">
      <c r="B60" s="1" t="s">
        <v>264</v>
      </c>
      <c r="C60" s="12" t="s">
        <v>27</v>
      </c>
      <c r="D60" s="14" t="s">
        <v>265</v>
      </c>
      <c r="F60" s="51" t="n">
        <f aca="false">IF(INDEX($H60:$O60,1,Scenario_Selected)="",$H60,INDEX($H60:$O60,1,Scenario_Selected))</f>
        <v>0.025</v>
      </c>
      <c r="H60" s="52" t="n">
        <v>0.025</v>
      </c>
      <c r="I60" s="52"/>
      <c r="J60" s="52"/>
      <c r="K60" s="52"/>
      <c r="L60" s="52"/>
      <c r="M60" s="52"/>
      <c r="N60" s="52"/>
      <c r="O60" s="52"/>
    </row>
    <row r="61" customFormat="false" ht="15" hidden="false" customHeight="false" outlineLevel="0" collapsed="false">
      <c r="B61" s="1" t="s">
        <v>266</v>
      </c>
      <c r="C61" s="12" t="s">
        <v>267</v>
      </c>
      <c r="D61" s="14" t="s">
        <v>268</v>
      </c>
      <c r="F61" s="37" t="n">
        <f aca="false">IF(INDEX($H61:$O61,1,Scenario_Selected)="",$H61,INDEX($H61:$O61,1,Scenario_Selected))</f>
        <v>4.5</v>
      </c>
      <c r="H61" s="20" t="n">
        <v>4.5</v>
      </c>
      <c r="I61" s="20"/>
      <c r="J61" s="20"/>
      <c r="K61" s="20"/>
      <c r="L61" s="20"/>
      <c r="M61" s="20"/>
      <c r="N61" s="20"/>
      <c r="O61" s="20"/>
    </row>
    <row r="62" customFormat="false" ht="15" hidden="false" customHeight="false" outlineLevel="0" collapsed="false">
      <c r="B62" s="1" t="s">
        <v>269</v>
      </c>
      <c r="C62" s="12" t="s">
        <v>260</v>
      </c>
      <c r="D62" s="14" t="s">
        <v>270</v>
      </c>
      <c r="F62" s="37" t="n">
        <f aca="false">IF(INDEX($H62:$O62,1,Scenario_Selected)="",$H62,INDEX($H62:$O62,1,Scenario_Selected))</f>
        <v>460</v>
      </c>
      <c r="H62" s="20" t="n">
        <v>460</v>
      </c>
      <c r="I62" s="20"/>
      <c r="J62" s="20"/>
      <c r="K62" s="20"/>
      <c r="L62" s="20"/>
      <c r="M62" s="20"/>
      <c r="N62" s="20"/>
      <c r="O62" s="20"/>
    </row>
    <row r="63" customFormat="false" ht="15" hidden="false" customHeight="false" outlineLevel="0" collapsed="false">
      <c r="B63" s="1" t="s">
        <v>271</v>
      </c>
      <c r="C63" s="12" t="s">
        <v>267</v>
      </c>
      <c r="D63" s="14" t="s">
        <v>272</v>
      </c>
      <c r="F63" s="33" t="n">
        <f aca="false">IF(INDEX($H63:$O63,1,Scenario_Selected)="",$H63,INDEX($H63:$O63,1,Scenario_Selected))</f>
        <v>54.830209</v>
      </c>
      <c r="H63" s="17" t="n">
        <v>54.830209</v>
      </c>
      <c r="I63" s="17"/>
      <c r="J63" s="17"/>
      <c r="K63" s="17"/>
      <c r="L63" s="17"/>
      <c r="M63" s="17"/>
      <c r="N63" s="17"/>
      <c r="O63" s="17"/>
    </row>
    <row r="64" customFormat="false" ht="15" hidden="false" customHeight="false" outlineLevel="0" collapsed="false">
      <c r="B64" s="1" t="s">
        <v>273</v>
      </c>
      <c r="C64" s="12" t="s">
        <v>27</v>
      </c>
      <c r="D64" s="14" t="s">
        <v>274</v>
      </c>
      <c r="F64" s="49" t="n">
        <f aca="false">IF(INDEX($H64:$O64,1,Scenario_Selected)="",$H64,INDEX($H64:$O64,1,Scenario_Selected))</f>
        <v>0.06</v>
      </c>
      <c r="H64" s="18" t="n">
        <v>0.06</v>
      </c>
      <c r="I64" s="18"/>
      <c r="J64" s="18"/>
      <c r="K64" s="18"/>
      <c r="L64" s="18"/>
      <c r="M64" s="18"/>
      <c r="N64" s="18"/>
      <c r="O64" s="18"/>
    </row>
    <row r="66" customFormat="false" ht="15" hidden="false" customHeight="false" outlineLevel="0" collapsed="false">
      <c r="A66" s="10" t="s">
        <v>13</v>
      </c>
      <c r="B66" s="10"/>
      <c r="C66" s="10" t="s">
        <v>275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276</v>
      </c>
      <c r="C67" s="12" t="s">
        <v>19</v>
      </c>
      <c r="D67" s="14" t="s">
        <v>277</v>
      </c>
      <c r="F67" s="48" t="n">
        <f aca="false">IF(INDEX($H67:$O67,1,Scenario_Selected)="",$H67,INDEX($H67:$O67,1,Scenario_Selected))</f>
        <v>600</v>
      </c>
      <c r="H67" s="13" t="n">
        <v>600</v>
      </c>
      <c r="I67" s="13"/>
      <c r="J67" s="13" t="n">
        <v>660</v>
      </c>
      <c r="K67" s="13"/>
      <c r="L67" s="13"/>
      <c r="M67" s="13"/>
      <c r="N67" s="13"/>
      <c r="O67" s="13"/>
    </row>
    <row r="68" customFormat="false" ht="15" hidden="false" customHeight="false" outlineLevel="0" collapsed="false">
      <c r="B68" s="1" t="s">
        <v>278</v>
      </c>
      <c r="C68" s="12" t="s">
        <v>19</v>
      </c>
      <c r="D68" s="14" t="s">
        <v>279</v>
      </c>
      <c r="F68" s="48" t="n">
        <f aca="false">IF(INDEX($H68:$O68,1,Scenario_Selected)="",$H68,INDEX($H68:$O68,1,Scenario_Selected))</f>
        <v>500</v>
      </c>
      <c r="H68" s="13" t="n">
        <v>500</v>
      </c>
      <c r="I68" s="13"/>
      <c r="J68" s="13" t="n">
        <v>550</v>
      </c>
      <c r="K68" s="13"/>
      <c r="L68" s="13"/>
      <c r="M68" s="13"/>
      <c r="N68" s="13"/>
      <c r="O68" s="13"/>
    </row>
    <row r="69" customFormat="false" ht="15" hidden="false" customHeight="false" outlineLevel="0" collapsed="false">
      <c r="B69" s="1" t="s">
        <v>280</v>
      </c>
      <c r="C69" s="12" t="s">
        <v>19</v>
      </c>
      <c r="D69" s="14" t="s">
        <v>281</v>
      </c>
      <c r="F69" s="48" t="n">
        <f aca="false">IF(INDEX($H69:$O69,1,Scenario_Selected)="",$H69,INDEX($H69:$O69,1,Scenario_Selected))</f>
        <v>355</v>
      </c>
      <c r="H69" s="13" t="n">
        <v>355</v>
      </c>
      <c r="I69" s="13"/>
      <c r="J69" s="13"/>
      <c r="K69" s="13"/>
      <c r="L69" s="13"/>
      <c r="M69" s="13"/>
      <c r="N69" s="13"/>
      <c r="O69" s="13"/>
    </row>
    <row r="70" customFormat="false" ht="15" hidden="false" customHeight="false" outlineLevel="0" collapsed="false">
      <c r="B70" s="1" t="s">
        <v>282</v>
      </c>
      <c r="C70" s="12" t="s">
        <v>33</v>
      </c>
      <c r="D70" s="14" t="s">
        <v>283</v>
      </c>
      <c r="F70" s="48" t="n">
        <f aca="false">IF(INDEX($H70:$O70,1,Scenario_Selected)="",$H70,INDEX($H70:$O70,1,Scenario_Selected))</f>
        <v>12000</v>
      </c>
      <c r="H70" s="13" t="n">
        <v>12000</v>
      </c>
      <c r="I70" s="13"/>
      <c r="J70" s="13"/>
      <c r="K70" s="13"/>
      <c r="L70" s="13"/>
      <c r="M70" s="13"/>
      <c r="N70" s="13"/>
      <c r="O70" s="13"/>
    </row>
    <row r="71" customFormat="false" ht="15" hidden="false" customHeight="false" outlineLevel="0" collapsed="false">
      <c r="B71" s="1" t="s">
        <v>284</v>
      </c>
      <c r="C71" s="12" t="s">
        <v>33</v>
      </c>
      <c r="D71" s="14" t="s">
        <v>285</v>
      </c>
      <c r="F71" s="48" t="n">
        <f aca="false">IF(INDEX($H71:$O71,1,Scenario_Selected)="",$H71,INDEX($H71:$O71,1,Scenario_Selected))</f>
        <v>10800</v>
      </c>
      <c r="H71" s="13" t="n">
        <v>10800</v>
      </c>
      <c r="I71" s="13"/>
      <c r="J71" s="13"/>
      <c r="K71" s="13"/>
      <c r="L71" s="13"/>
      <c r="M71" s="13"/>
      <c r="N71" s="13"/>
      <c r="O71" s="13"/>
    </row>
    <row r="72" customFormat="false" ht="15" hidden="false" customHeight="false" outlineLevel="0" collapsed="false">
      <c r="B72" s="1" t="s">
        <v>286</v>
      </c>
      <c r="C72" s="12" t="s">
        <v>27</v>
      </c>
      <c r="D72" s="14" t="s">
        <v>287</v>
      </c>
      <c r="F72" s="49" t="n">
        <f aca="false">IF(INDEX($H72:$O72,1,Scenario_Selected)="",$H72,INDEX($H72:$O72,1,Scenario_Selected))</f>
        <v>0.05</v>
      </c>
      <c r="H72" s="18" t="n">
        <v>0.05</v>
      </c>
      <c r="I72" s="18"/>
      <c r="J72" s="18"/>
      <c r="K72" s="18"/>
      <c r="L72" s="18"/>
      <c r="M72" s="18"/>
      <c r="N72" s="18"/>
      <c r="O72" s="18"/>
    </row>
    <row r="73" customFormat="false" ht="15" hidden="false" customHeight="false" outlineLevel="0" collapsed="false">
      <c r="B73" s="1" t="s">
        <v>288</v>
      </c>
      <c r="C73" s="12" t="s">
        <v>19</v>
      </c>
      <c r="D73" s="14" t="s">
        <v>289</v>
      </c>
      <c r="F73" s="48" t="n">
        <f aca="false">IF(INDEX($H73:$O73,1,Scenario_Selected)="",$H73,INDEX($H73:$O73,1,Scenario_Selected))</f>
        <v>240</v>
      </c>
      <c r="H73" s="13" t="n">
        <v>240</v>
      </c>
      <c r="I73" s="13"/>
      <c r="J73" s="13"/>
      <c r="K73" s="13"/>
      <c r="L73" s="13"/>
      <c r="M73" s="13"/>
      <c r="N73" s="13"/>
      <c r="O73" s="13"/>
    </row>
    <row r="75" customFormat="false" ht="15" hidden="false" customHeight="false" outlineLevel="0" collapsed="false">
      <c r="A75" s="10" t="s">
        <v>13</v>
      </c>
      <c r="B75" s="10"/>
      <c r="C75" s="10" t="s">
        <v>290</v>
      </c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customFormat="false" ht="15" hidden="false" customHeight="false" outlineLevel="0" collapsed="false">
      <c r="B76" s="1" t="s">
        <v>56</v>
      </c>
      <c r="C76" s="12" t="s">
        <v>57</v>
      </c>
      <c r="D76" s="14" t="s">
        <v>291</v>
      </c>
      <c r="F76" s="48" t="n">
        <f aca="false">IF(INDEX($H76:$O76,1,Scenario_Selected)="",$H76,INDEX($H76:$O76,1,Scenario_Selected))</f>
        <v>2460</v>
      </c>
      <c r="H76" s="13" t="n">
        <v>2460</v>
      </c>
      <c r="I76" s="13"/>
      <c r="J76" s="13"/>
      <c r="K76" s="13" t="n">
        <v>2214</v>
      </c>
      <c r="L76" s="13"/>
      <c r="M76" s="13"/>
      <c r="N76" s="13"/>
      <c r="O76" s="13"/>
    </row>
    <row r="77" customFormat="false" ht="15" hidden="false" customHeight="false" outlineLevel="0" collapsed="false">
      <c r="B77" s="1" t="s">
        <v>292</v>
      </c>
      <c r="C77" s="12" t="s">
        <v>27</v>
      </c>
      <c r="D77" s="14" t="s">
        <v>293</v>
      </c>
      <c r="F77" s="49" t="n">
        <f aca="false">IF(INDEX($H77:$O77,1,Scenario_Selected)="",$H77,INDEX($H77:$O77,1,Scenario_Selected))</f>
        <v>0.02</v>
      </c>
      <c r="H77" s="18" t="n">
        <v>0.02</v>
      </c>
      <c r="I77" s="18"/>
      <c r="J77" s="18"/>
      <c r="K77" s="18"/>
      <c r="L77" s="18"/>
      <c r="M77" s="18"/>
      <c r="N77" s="18"/>
      <c r="O77" s="18"/>
    </row>
    <row r="78" customFormat="false" ht="15" hidden="false" customHeight="false" outlineLevel="0" collapsed="false">
      <c r="B78" s="1" t="s">
        <v>294</v>
      </c>
      <c r="C78" s="12" t="s">
        <v>27</v>
      </c>
      <c r="D78" s="14" t="s">
        <v>295</v>
      </c>
      <c r="F78" s="51" t="n">
        <f aca="false">IF(INDEX($H78:$O78,1,Scenario_Selected)="",$H78,INDEX($H78:$O78,1,Scenario_Selected))</f>
        <v>0.003</v>
      </c>
      <c r="H78" s="52" t="n">
        <v>0.003</v>
      </c>
      <c r="I78" s="52"/>
      <c r="J78" s="52"/>
      <c r="K78" s="52"/>
      <c r="L78" s="52"/>
      <c r="M78" s="52"/>
      <c r="N78" s="52"/>
      <c r="O78" s="52"/>
    </row>
    <row r="79" customFormat="false" ht="15" hidden="false" customHeight="false" outlineLevel="0" collapsed="false">
      <c r="B79" s="1" t="s">
        <v>296</v>
      </c>
      <c r="C79" s="12" t="s">
        <v>24</v>
      </c>
      <c r="D79" s="14" t="s">
        <v>241</v>
      </c>
      <c r="F79" s="37" t="n">
        <f aca="false">IF(INDEX($H79:$O79,1,Scenario_Selected)="",$H79,INDEX($H79:$O79,1,Scenario_Selected))</f>
        <v>90</v>
      </c>
      <c r="H79" s="20" t="n">
        <v>90</v>
      </c>
      <c r="I79" s="20"/>
      <c r="J79" s="20"/>
      <c r="K79" s="20"/>
      <c r="L79" s="20" t="n">
        <v>81</v>
      </c>
      <c r="M79" s="20"/>
      <c r="N79" s="20"/>
      <c r="O79" s="20"/>
    </row>
    <row r="80" customFormat="false" ht="15" hidden="false" customHeight="false" outlineLevel="0" collapsed="false">
      <c r="B80" s="1" t="s">
        <v>297</v>
      </c>
      <c r="C80" s="12" t="s">
        <v>27</v>
      </c>
      <c r="D80" s="14" t="s">
        <v>298</v>
      </c>
      <c r="F80" s="49" t="n">
        <f aca="false">IF(INDEX($H80:$O80,1,Scenario_Selected)="",$H80,INDEX($H80:$O80,1,Scenario_Selected))</f>
        <v>0.01</v>
      </c>
      <c r="H80" s="18" t="n">
        <v>0.01</v>
      </c>
      <c r="I80" s="18"/>
      <c r="J80" s="18"/>
      <c r="K80" s="18"/>
      <c r="L80" s="18"/>
      <c r="M80" s="18"/>
      <c r="N80" s="18"/>
      <c r="O80" s="18"/>
    </row>
    <row r="81" customFormat="false" ht="15" hidden="false" customHeight="false" outlineLevel="0" collapsed="false">
      <c r="B81" s="1" t="s">
        <v>299</v>
      </c>
      <c r="C81" s="12" t="s">
        <v>24</v>
      </c>
      <c r="D81" s="14" t="s">
        <v>300</v>
      </c>
      <c r="F81" s="37" t="n">
        <f aca="false">IF(INDEX($H81:$O81,1,Scenario_Selected)="",$H81,INDEX($H81:$O81,1,Scenario_Selected))</f>
        <v>5</v>
      </c>
      <c r="H81" s="20" t="n">
        <v>5</v>
      </c>
      <c r="I81" s="20"/>
      <c r="J81" s="20"/>
      <c r="K81" s="20"/>
      <c r="L81" s="20"/>
      <c r="M81" s="20"/>
      <c r="N81" s="20"/>
      <c r="O81" s="20"/>
    </row>
    <row r="82" customFormat="false" ht="15" hidden="false" customHeight="false" outlineLevel="0" collapsed="false">
      <c r="B82" s="1" t="s">
        <v>301</v>
      </c>
      <c r="C82" s="12" t="s">
        <v>19</v>
      </c>
      <c r="D82" s="14" t="s">
        <v>302</v>
      </c>
      <c r="F82" s="48" t="n">
        <f aca="false">IF(INDEX($H82:$O82,1,Scenario_Selected)="",$H82,INDEX($H82:$O82,1,Scenario_Selected))</f>
        <v>22</v>
      </c>
      <c r="H82" s="13" t="n">
        <v>22</v>
      </c>
      <c r="I82" s="13"/>
      <c r="J82" s="13"/>
      <c r="K82" s="13"/>
      <c r="L82" s="13"/>
      <c r="M82" s="13"/>
      <c r="N82" s="13"/>
      <c r="O82" s="13"/>
    </row>
    <row r="83" customFormat="false" ht="15" hidden="false" customHeight="false" outlineLevel="0" collapsed="false">
      <c r="B83" s="1" t="s">
        <v>303</v>
      </c>
      <c r="C83" s="12" t="s">
        <v>19</v>
      </c>
      <c r="D83" s="14" t="s">
        <v>304</v>
      </c>
      <c r="F83" s="48" t="n">
        <f aca="false">IF(INDEX($H83:$O83,1,Scenario_Selected)="",$H83,INDEX($H83:$O83,1,Scenario_Selected))</f>
        <v>3</v>
      </c>
      <c r="H83" s="13" t="n">
        <v>3</v>
      </c>
      <c r="I83" s="13"/>
      <c r="J83" s="13"/>
      <c r="K83" s="13"/>
      <c r="L83" s="13"/>
      <c r="M83" s="13"/>
      <c r="N83" s="13"/>
      <c r="O83" s="13"/>
    </row>
    <row r="84" customFormat="false" ht="15" hidden="false" customHeight="false" outlineLevel="0" collapsed="false">
      <c r="B84" s="1" t="s">
        <v>305</v>
      </c>
      <c r="C84" s="12" t="s">
        <v>33</v>
      </c>
      <c r="D84" s="14" t="s">
        <v>306</v>
      </c>
      <c r="F84" s="48" t="n">
        <f aca="false">IF(INDEX($H84:$O84,1,Scenario_Selected)="",$H84,INDEX($H84:$O84,1,Scenario_Selected))</f>
        <v>150</v>
      </c>
      <c r="H84" s="13" t="n">
        <v>150</v>
      </c>
      <c r="I84" s="13"/>
      <c r="J84" s="13"/>
      <c r="K84" s="13"/>
      <c r="L84" s="13"/>
      <c r="M84" s="13"/>
      <c r="N84" s="13"/>
      <c r="O84" s="13"/>
    </row>
    <row r="85" customFormat="false" ht="15" hidden="false" customHeight="false" outlineLevel="0" collapsed="false">
      <c r="B85" s="1" t="s">
        <v>307</v>
      </c>
      <c r="C85" s="12" t="s">
        <v>27</v>
      </c>
      <c r="D85" s="14" t="s">
        <v>308</v>
      </c>
      <c r="F85" s="49" t="n">
        <f aca="false">IF(INDEX($H85:$O85,1,Scenario_Selected)="",$H85,INDEX($H85:$O85,1,Scenario_Selected))</f>
        <v>0.05</v>
      </c>
      <c r="H85" s="18" t="n">
        <v>0.05</v>
      </c>
      <c r="I85" s="18"/>
      <c r="J85" s="18"/>
      <c r="K85" s="18"/>
      <c r="L85" s="18"/>
      <c r="M85" s="18"/>
      <c r="N85" s="18"/>
      <c r="O85" s="18"/>
    </row>
    <row r="86" customFormat="false" ht="15" hidden="false" customHeight="false" outlineLevel="0" collapsed="false">
      <c r="B86" s="1" t="s">
        <v>309</v>
      </c>
      <c r="C86" s="12" t="s">
        <v>27</v>
      </c>
      <c r="D86" s="14" t="s">
        <v>310</v>
      </c>
      <c r="F86" s="49" t="n">
        <f aca="false">IF(INDEX($H86:$O86,1,Scenario_Selected)="",$H86,INDEX($H86:$O86,1,Scenario_Selected))</f>
        <v>0.025</v>
      </c>
      <c r="H86" s="18" t="n">
        <v>0.025</v>
      </c>
      <c r="I86" s="18"/>
      <c r="J86" s="18"/>
      <c r="K86" s="18"/>
      <c r="L86" s="18"/>
      <c r="M86" s="18"/>
      <c r="N86" s="18"/>
      <c r="O86" s="18"/>
    </row>
    <row r="87" customFormat="false" ht="15" hidden="false" customHeight="false" outlineLevel="0" collapsed="false">
      <c r="B87" s="1" t="s">
        <v>311</v>
      </c>
      <c r="C87" s="12" t="s">
        <v>27</v>
      </c>
      <c r="D87" s="14" t="s">
        <v>312</v>
      </c>
      <c r="F87" s="51" t="n">
        <f aca="false">IF(INDEX($H87:$O87,1,Scenario_Selected)="",$H87,INDEX($H87:$O87,1,Scenario_Selected))</f>
        <v>0.001</v>
      </c>
      <c r="H87" s="52" t="n">
        <v>0.001</v>
      </c>
      <c r="I87" s="52"/>
      <c r="J87" s="52"/>
      <c r="K87" s="52"/>
      <c r="L87" s="52"/>
      <c r="M87" s="52"/>
      <c r="N87" s="52"/>
      <c r="O87" s="52"/>
    </row>
    <row r="88" customFormat="false" ht="15" hidden="false" customHeight="false" outlineLevel="0" collapsed="false">
      <c r="B88" s="1" t="s">
        <v>313</v>
      </c>
      <c r="C88" s="12" t="s">
        <v>27</v>
      </c>
      <c r="D88" s="14" t="s">
        <v>314</v>
      </c>
      <c r="F88" s="49" t="n">
        <f aca="false">IF(INDEX($H88:$O88,1,Scenario_Selected)="",$H88,INDEX($H88:$O88,1,Scenario_Selected))</f>
        <v>0.02</v>
      </c>
      <c r="H88" s="18" t="n">
        <v>0.02</v>
      </c>
      <c r="I88" s="18"/>
      <c r="J88" s="18"/>
      <c r="K88" s="18"/>
      <c r="L88" s="18"/>
      <c r="M88" s="18"/>
      <c r="N88" s="18"/>
      <c r="O88" s="18"/>
    </row>
    <row r="89" customFormat="false" ht="15" hidden="false" customHeight="false" outlineLevel="0" collapsed="false">
      <c r="B89" s="1" t="s">
        <v>315</v>
      </c>
      <c r="C89" s="12" t="s">
        <v>27</v>
      </c>
      <c r="D89" s="14" t="s">
        <v>316</v>
      </c>
      <c r="F89" s="51" t="n">
        <f aca="false">IF(INDEX($H89:$O89,1,Scenario_Selected)="",$H89,INDEX($H89:$O89,1,Scenario_Selected))</f>
        <v>0.003</v>
      </c>
      <c r="H89" s="52" t="n">
        <v>0.003</v>
      </c>
      <c r="I89" s="52"/>
      <c r="J89" s="52"/>
      <c r="K89" s="52"/>
      <c r="L89" s="52"/>
      <c r="M89" s="52"/>
      <c r="N89" s="52"/>
      <c r="O89" s="52"/>
    </row>
    <row r="91" customFormat="false" ht="15" hidden="false" customHeight="false" outlineLevel="0" collapsed="false">
      <c r="A91" s="10" t="s">
        <v>13</v>
      </c>
      <c r="B91" s="10"/>
      <c r="C91" s="10" t="s">
        <v>317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customFormat="false" ht="15" hidden="false" customHeight="false" outlineLevel="0" collapsed="false">
      <c r="B92" s="1" t="s">
        <v>318</v>
      </c>
      <c r="C92" s="12" t="s">
        <v>27</v>
      </c>
      <c r="D92" s="14" t="s">
        <v>319</v>
      </c>
      <c r="F92" s="49" t="n">
        <f aca="false">IF(INDEX($H92:$O92,1,Scenario_Selected)="",$H92,INDEX($H92:$O92,1,Scenario_Selected))</f>
        <v>0.8</v>
      </c>
      <c r="H92" s="18" t="n">
        <v>0.8</v>
      </c>
      <c r="I92" s="18"/>
      <c r="J92" s="18"/>
      <c r="K92" s="18"/>
      <c r="L92" s="18"/>
      <c r="M92" s="18"/>
      <c r="N92" s="18"/>
      <c r="O92" s="18"/>
    </row>
    <row r="93" customFormat="false" ht="15" hidden="false" customHeight="false" outlineLevel="0" collapsed="false">
      <c r="B93" s="1" t="s">
        <v>320</v>
      </c>
      <c r="C93" s="12" t="s">
        <v>27</v>
      </c>
      <c r="D93" s="14" t="s">
        <v>321</v>
      </c>
      <c r="F93" s="49" t="n">
        <f aca="false">IF(INDEX($H93:$O93,1,Scenario_Selected)="",$H93,INDEX($H93:$O93,1,Scenario_Selected))</f>
        <v>0.7</v>
      </c>
      <c r="H93" s="18" t="n">
        <v>0.7</v>
      </c>
      <c r="I93" s="18"/>
      <c r="J93" s="18"/>
      <c r="K93" s="18"/>
      <c r="L93" s="18"/>
      <c r="M93" s="18"/>
      <c r="N93" s="18"/>
      <c r="O93" s="18"/>
    </row>
    <row r="94" customFormat="false" ht="15" hidden="false" customHeight="false" outlineLevel="0" collapsed="false">
      <c r="B94" s="1" t="s">
        <v>322</v>
      </c>
      <c r="C94" s="12" t="s">
        <v>13</v>
      </c>
      <c r="D94" s="14" t="s">
        <v>323</v>
      </c>
      <c r="F94" s="53" t="n">
        <f aca="false">IF(INDEX($H94:$O94,1,Scenario_Selected)="",$H94,INDEX($H94:$O94,1,Scenario_Selected))</f>
        <v>1.2</v>
      </c>
      <c r="H94" s="22" t="n">
        <v>1.2</v>
      </c>
      <c r="I94" s="22"/>
      <c r="J94" s="22"/>
      <c r="K94" s="22"/>
      <c r="L94" s="22"/>
      <c r="M94" s="22"/>
      <c r="N94" s="22"/>
      <c r="O94" s="22"/>
    </row>
    <row r="95" customFormat="false" ht="15" hidden="false" customHeight="false" outlineLevel="0" collapsed="false">
      <c r="B95" s="1" t="s">
        <v>65</v>
      </c>
      <c r="C95" s="12" t="s">
        <v>66</v>
      </c>
      <c r="D95" s="14" t="s">
        <v>324</v>
      </c>
      <c r="F95" s="44" t="n">
        <f aca="false">IF(INDEX($H95:$O95,1,Scenario_Selected)="",$H95,INDEX($H95:$O95,1,Scenario_Selected))</f>
        <v>18</v>
      </c>
      <c r="H95" s="47" t="n">
        <v>18</v>
      </c>
      <c r="I95" s="47"/>
      <c r="J95" s="47"/>
      <c r="K95" s="47"/>
      <c r="L95" s="47"/>
      <c r="M95" s="47"/>
      <c r="N95" s="47"/>
      <c r="O95" s="47" t="n">
        <v>10</v>
      </c>
    </row>
    <row r="96" customFormat="false" ht="15" hidden="false" customHeight="false" outlineLevel="0" collapsed="false">
      <c r="B96" s="1" t="s">
        <v>325</v>
      </c>
      <c r="C96" s="12" t="s">
        <v>27</v>
      </c>
      <c r="D96" s="14" t="s">
        <v>326</v>
      </c>
      <c r="F96" s="49" t="n">
        <f aca="false">IF(INDEX($H96:$O96,1,Scenario_Selected)="",$H96,INDEX($H96:$O96,1,Scenario_Selected))</f>
        <v>0.05</v>
      </c>
      <c r="H96" s="18" t="n">
        <v>0.05</v>
      </c>
      <c r="I96" s="18"/>
      <c r="J96" s="18"/>
      <c r="K96" s="18"/>
      <c r="L96" s="18"/>
      <c r="M96" s="18"/>
      <c r="N96" s="18" t="n">
        <v>0.06</v>
      </c>
      <c r="O96" s="18"/>
    </row>
    <row r="97" customFormat="false" ht="15" hidden="false" customHeight="false" outlineLevel="0" collapsed="false">
      <c r="B97" s="1" t="s">
        <v>327</v>
      </c>
      <c r="C97" s="12" t="s">
        <v>27</v>
      </c>
      <c r="D97" s="14" t="s">
        <v>328</v>
      </c>
      <c r="F97" s="51" t="n">
        <f aca="false">IF(INDEX($H97:$O97,1,Scenario_Selected)="",$H97,INDEX($H97:$O97,1,Scenario_Selected))</f>
        <v>0.0175</v>
      </c>
      <c r="H97" s="52" t="n">
        <v>0.0175</v>
      </c>
      <c r="I97" s="52"/>
      <c r="J97" s="52"/>
      <c r="K97" s="52"/>
      <c r="L97" s="52"/>
      <c r="M97" s="52"/>
      <c r="N97" s="52"/>
      <c r="O97" s="52"/>
    </row>
    <row r="98" customFormat="false" ht="15" hidden="false" customHeight="false" outlineLevel="0" collapsed="false">
      <c r="B98" s="1" t="s">
        <v>329</v>
      </c>
      <c r="C98" s="12" t="s">
        <v>27</v>
      </c>
      <c r="D98" s="14" t="s">
        <v>330</v>
      </c>
      <c r="F98" s="51" t="n">
        <f aca="false">IF(INDEX($H98:$O98,1,Scenario_Selected)="",$H98,INDEX($H98:$O98,1,Scenario_Selected))</f>
        <v>0.009</v>
      </c>
      <c r="H98" s="52" t="n">
        <v>0.009</v>
      </c>
      <c r="I98" s="52"/>
      <c r="J98" s="52"/>
      <c r="K98" s="52"/>
      <c r="L98" s="52"/>
      <c r="M98" s="52"/>
      <c r="N98" s="52"/>
      <c r="O98" s="52"/>
    </row>
    <row r="99" customFormat="false" ht="15" hidden="false" customHeight="false" outlineLevel="0" collapsed="false">
      <c r="B99" s="1" t="s">
        <v>331</v>
      </c>
      <c r="C99" s="12" t="s">
        <v>179</v>
      </c>
      <c r="D99" s="14" t="s">
        <v>332</v>
      </c>
      <c r="F99" s="44" t="n">
        <f aca="false">IF(INDEX($H99:$O99,1,Scenario_Selected)="",$H99,INDEX($H99:$O99,1,Scenario_Selected))</f>
        <v>6</v>
      </c>
      <c r="H99" s="47" t="n">
        <v>6</v>
      </c>
      <c r="I99" s="47"/>
      <c r="J99" s="47"/>
      <c r="K99" s="47"/>
      <c r="L99" s="47"/>
      <c r="M99" s="47"/>
      <c r="N99" s="47"/>
      <c r="O99" s="47"/>
    </row>
    <row r="101" customFormat="false" ht="15" hidden="false" customHeight="false" outlineLevel="0" collapsed="false">
      <c r="A101" s="10" t="s">
        <v>13</v>
      </c>
      <c r="B101" s="10"/>
      <c r="C101" s="10" t="s">
        <v>333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customFormat="false" ht="15" hidden="false" customHeight="false" outlineLevel="0" collapsed="false">
      <c r="B102" s="1" t="s">
        <v>334</v>
      </c>
      <c r="C102" s="12" t="s">
        <v>21</v>
      </c>
      <c r="D102" s="14" t="s">
        <v>335</v>
      </c>
      <c r="F102" s="4" t="s">
        <v>336</v>
      </c>
    </row>
    <row r="103" customFormat="false" ht="15" hidden="false" customHeight="false" outlineLevel="0" collapsed="false">
      <c r="B103" s="1" t="s">
        <v>337</v>
      </c>
      <c r="C103" s="12" t="s">
        <v>21</v>
      </c>
      <c r="D103" s="14" t="s">
        <v>338</v>
      </c>
      <c r="F103" s="4"/>
    </row>
    <row r="105" customFormat="false" ht="15" hidden="false" customHeight="false" outlineLevel="0" collapsed="false">
      <c r="C105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339</v>
      </c>
      <c r="D5" s="10"/>
      <c r="E5" s="10" t="s">
        <v>340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341</v>
      </c>
      <c r="F6" s="9" t="s">
        <v>342</v>
      </c>
      <c r="J6" s="9" t="s">
        <v>343</v>
      </c>
    </row>
    <row r="7" customFormat="false" ht="15" hidden="false" customHeight="false" outlineLevel="0" collapsed="false">
      <c r="C7" s="1" t="s">
        <v>344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345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346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347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348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349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350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351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352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353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354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355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356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357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358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359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360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361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362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363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364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365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366</v>
      </c>
      <c r="D5" s="12" t="s">
        <v>176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367</v>
      </c>
      <c r="D6" s="12" t="s">
        <v>368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369</v>
      </c>
      <c r="D7" s="12" t="s">
        <v>370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371</v>
      </c>
      <c r="D8" s="12" t="s">
        <v>140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373</v>
      </c>
      <c r="D12" s="12" t="s">
        <v>368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374</v>
      </c>
      <c r="D13" s="12" t="s">
        <v>368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290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375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376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377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378</v>
      </c>
      <c r="D19" s="12" t="s">
        <v>368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379</v>
      </c>
      <c r="D20" s="12" t="s">
        <v>140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380</v>
      </c>
      <c r="D21" s="12" t="s">
        <v>368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381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382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383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384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385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386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387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388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389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390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391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392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393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394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395</v>
      </c>
      <c r="D38" s="12" t="s">
        <v>43</v>
      </c>
      <c r="E38" s="50" t="n">
        <f aca="false">INDEX(Dash_EU_Turbine,1,$A$1)</f>
        <v>1</v>
      </c>
      <c r="F38" s="33" t="n">
        <f aca="false">$E38*Osz9a_Pts*Osz9_W</f>
        <v>12</v>
      </c>
    </row>
    <row r="39" customFormat="false" ht="15" hidden="false" customHeight="false" outlineLevel="0" collapsed="false">
      <c r="C39" s="1" t="s">
        <v>396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59.5</v>
      </c>
    </row>
    <row r="41" customFormat="false" ht="15" hidden="false" customHeight="false" outlineLevel="0" collapsed="false">
      <c r="C41" s="1" t="s">
        <v>397</v>
      </c>
      <c r="D41" s="12" t="s">
        <v>140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398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212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399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400</v>
      </c>
      <c r="D47" s="12" t="s">
        <v>260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401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402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403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404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405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406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407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408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409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410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411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412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413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414</v>
      </c>
      <c r="D62" s="12" t="s">
        <v>19</v>
      </c>
      <c r="E62" s="48" t="n">
        <f aca="false">IF($E38=1,In_Turbine,In_Turbine_CN)</f>
        <v>600</v>
      </c>
    </row>
    <row r="63" customFormat="false" ht="15" hidden="false" customHeight="false" outlineLevel="0" collapsed="false">
      <c r="C63" s="1" t="s">
        <v>415</v>
      </c>
      <c r="D63" s="12" t="s">
        <v>33</v>
      </c>
      <c r="E63" s="48" t="n">
        <f aca="false">IF($E38=1,In_Substation,In_Substation_CN)</f>
        <v>12000</v>
      </c>
    </row>
    <row r="64" customFormat="false" ht="15" hidden="false" customHeight="false" outlineLevel="0" collapsed="false">
      <c r="C64" s="1" t="s">
        <v>416</v>
      </c>
      <c r="D64" s="12" t="s">
        <v>33</v>
      </c>
      <c r="E64" s="48" t="n">
        <f aca="false">(($E62+In_Other_Wind)*$F24+$E63)*(1+In_Capex_Contingency)+In_BESS_Capex*$F25</f>
        <v>70151.25</v>
      </c>
      <c r="I64" s="48" t="n">
        <f aca="false">SUM(J64:EO64)</f>
        <v>-70151.25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-8840.9794520548</v>
      </c>
      <c r="S64" s="48" t="n">
        <f aca="false">-$E64*S12</f>
        <v>-8648.78424657534</v>
      </c>
      <c r="T64" s="48" t="n">
        <f aca="false">-$E64*T12</f>
        <v>-8744.88184931507</v>
      </c>
      <c r="U64" s="48" t="n">
        <f aca="false">-$E64*U12</f>
        <v>-8840.9794520548</v>
      </c>
      <c r="V64" s="48" t="n">
        <f aca="false">-$E64*V12</f>
        <v>-8840.9794520548</v>
      </c>
      <c r="W64" s="48" t="n">
        <f aca="false">-$E64*W12</f>
        <v>-8648.78424657534</v>
      </c>
      <c r="X64" s="48" t="n">
        <f aca="false">-$E64*X12</f>
        <v>-8744.88184931507</v>
      </c>
      <c r="Y64" s="48" t="n">
        <f aca="false">-$E64*Y12</f>
        <v>-8840.9794520548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417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418</v>
      </c>
      <c r="D66" s="12" t="s">
        <v>33</v>
      </c>
      <c r="E66" s="57" t="n">
        <f aca="false">SUMPRODUCT($J66:$EO66/$J21:$EO21)*$E21</f>
        <v>-84582.9746237504</v>
      </c>
      <c r="I66" s="57" t="n">
        <f aca="false">SUM(J66:EO66)</f>
        <v>-80806.073150685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-8840.9794520548</v>
      </c>
      <c r="S66" s="57" t="n">
        <f aca="false">S64+S54+S65</f>
        <v>-16803.6073972603</v>
      </c>
      <c r="T66" s="57" t="n">
        <f aca="false">T64+T54+T65</f>
        <v>-8744.88184931507</v>
      </c>
      <c r="U66" s="57" t="n">
        <f aca="false">U64+U54+U65</f>
        <v>-8840.9794520548</v>
      </c>
      <c r="V66" s="57" t="n">
        <f aca="false">V64+V54+V65</f>
        <v>-8840.9794520548</v>
      </c>
      <c r="W66" s="57" t="n">
        <f aca="false">W64+W54+W65</f>
        <v>-8648.78424657534</v>
      </c>
      <c r="X66" s="57" t="n">
        <f aca="false">X64+X54+X65</f>
        <v>-8744.88184931507</v>
      </c>
      <c r="Y66" s="57" t="n">
        <f aca="false">Y64+Y54+Y65</f>
        <v>-11340.9794520548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290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419</v>
      </c>
      <c r="D69" s="12" t="s">
        <v>368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420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421</v>
      </c>
      <c r="D71" s="12" t="s">
        <v>70</v>
      </c>
      <c r="E71" s="48" t="n">
        <f aca="false">SUMIF($J$7:$EO$7,YEAR(In_COD)+1,$J71:$EO71)</f>
        <v>131891.49288</v>
      </c>
      <c r="I71" s="48" t="n">
        <f aca="false">SUM(J71:EO71)</f>
        <v>3794983.6793788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33269.04</v>
      </c>
      <c r="AA71" s="48" t="n">
        <f aca="false">$F24*In_P50_Hours*(1-In_Curtailment)*(1-$E27)*(1-In_Degradation)^(AA20-1)*AA15*AA$6</f>
        <v>32545.8</v>
      </c>
      <c r="AB71" s="48" t="n">
        <f aca="false">$F24*In_P50_Hours*(1-In_Curtailment)*(1-$E27)*(1-In_Degradation)^(AB20-1)*AB15*AB$6</f>
        <v>32907.42</v>
      </c>
      <c r="AC71" s="48" t="n">
        <f aca="false">$F24*In_P50_Hours*(1-In_Curtailment)*(1-$E27)*(1-In_Degradation)^(AC20-1)*AC15*AC$6</f>
        <v>33269.04</v>
      </c>
      <c r="AD71" s="48" t="n">
        <f aca="false">$F24*In_P50_Hours*(1-In_Curtailment)*(1-$E27)*(1-In_Degradation)^(AD20-1)*AD15*AD$6</f>
        <v>33169.23288</v>
      </c>
      <c r="AE71" s="48" t="n">
        <f aca="false">$F24*In_P50_Hours*(1-In_Curtailment)*(1-$E27)*(1-In_Degradation)^(AE20-1)*AE15*AE$6</f>
        <v>32808.69774</v>
      </c>
      <c r="AF71" s="48" t="n">
        <f aca="false">$F24*In_P50_Hours*(1-In_Curtailment)*(1-$E27)*(1-In_Degradation)^(AF20-1)*AF15*AF$6</f>
        <v>32808.69774</v>
      </c>
      <c r="AG71" s="48" t="n">
        <f aca="false">$F24*In_P50_Hours*(1-In_Curtailment)*(1-$E27)*(1-In_Degradation)^(AG20-1)*AG15*AG$6</f>
        <v>33169.23288</v>
      </c>
      <c r="AH71" s="48" t="n">
        <f aca="false">$F24*In_P50_Hours*(1-In_Curtailment)*(1-$E27)*(1-In_Degradation)^(AH20-1)*AH15*AH$6</f>
        <v>33069.72518136</v>
      </c>
      <c r="AI71" s="48" t="n">
        <f aca="false">$F24*In_P50_Hours*(1-In_Curtailment)*(1-$E27)*(1-In_Degradation)^(AI20-1)*AI15*AI$6</f>
        <v>32350.8181122</v>
      </c>
      <c r="AJ71" s="48" t="n">
        <f aca="false">$F24*In_P50_Hours*(1-In_Curtailment)*(1-$E27)*(1-In_Degradation)^(AJ20-1)*AJ15*AJ$6</f>
        <v>32710.27164678</v>
      </c>
      <c r="AK71" s="48" t="n">
        <f aca="false">$F24*In_P50_Hours*(1-In_Curtailment)*(1-$E27)*(1-In_Degradation)^(AK20-1)*AK15*AK$6</f>
        <v>33069.72518136</v>
      </c>
      <c r="AL71" s="48" t="n">
        <f aca="false">$F24*In_P50_Hours*(1-In_Curtailment)*(1-$E27)*(1-In_Degradation)^(AL20-1)*AL15*AL$6</f>
        <v>32970.5160058159</v>
      </c>
      <c r="AM71" s="48" t="n">
        <f aca="false">$F24*In_P50_Hours*(1-In_Curtailment)*(1-$E27)*(1-In_Degradation)^(AM20-1)*AM15*AM$6</f>
        <v>32253.7656578634</v>
      </c>
      <c r="AN71" s="48" t="n">
        <f aca="false">$F24*In_P50_Hours*(1-In_Curtailment)*(1-$E27)*(1-In_Degradation)^(AN20-1)*AN15*AN$6</f>
        <v>32612.1408318397</v>
      </c>
      <c r="AO71" s="48" t="n">
        <f aca="false">$F24*In_P50_Hours*(1-In_Curtailment)*(1-$E27)*(1-In_Degradation)^(AO20-1)*AO15*AO$6</f>
        <v>32970.5160058159</v>
      </c>
      <c r="AP71" s="48" t="n">
        <f aca="false">$F24*In_P50_Hours*(1-In_Curtailment)*(1-$E27)*(1-In_Degradation)^(AP20-1)*AP15*AP$6</f>
        <v>32871.6044577985</v>
      </c>
      <c r="AQ71" s="48" t="n">
        <f aca="false">$F24*In_P50_Hours*(1-In_Curtailment)*(1-$E27)*(1-In_Degradation)^(AQ20-1)*AQ15*AQ$6</f>
        <v>32157.0043608898</v>
      </c>
      <c r="AR71" s="48" t="n">
        <f aca="false">$F24*In_P50_Hours*(1-In_Curtailment)*(1-$E27)*(1-In_Degradation)^(AR20-1)*AR15*AR$6</f>
        <v>32514.3044093442</v>
      </c>
      <c r="AS71" s="48" t="n">
        <f aca="false">$F24*In_P50_Hours*(1-In_Curtailment)*(1-$E27)*(1-In_Degradation)^(AS20-1)*AS15*AS$6</f>
        <v>32871.6044577985</v>
      </c>
      <c r="AT71" s="48" t="n">
        <f aca="false">$F24*In_P50_Hours*(1-In_Curtailment)*(1-$E27)*(1-In_Degradation)^(AT20-1)*AT15*AT$6</f>
        <v>32772.9896444251</v>
      </c>
      <c r="AU71" s="48" t="n">
        <f aca="false">$F24*In_P50_Hours*(1-In_Curtailment)*(1-$E27)*(1-In_Degradation)^(AU20-1)*AU15*AU$6</f>
        <v>32416.7614961161</v>
      </c>
      <c r="AV71" s="48" t="n">
        <f aca="false">$F24*In_P50_Hours*(1-In_Curtailment)*(1-$E27)*(1-In_Degradation)^(AV20-1)*AV15*AV$6</f>
        <v>32416.7614961161</v>
      </c>
      <c r="AW71" s="48" t="n">
        <f aca="false">$F24*In_P50_Hours*(1-In_Curtailment)*(1-$E27)*(1-In_Degradation)^(AW20-1)*AW15*AW$6</f>
        <v>32772.9896444251</v>
      </c>
      <c r="AX71" s="48" t="n">
        <f aca="false">$F24*In_P50_Hours*(1-In_Curtailment)*(1-$E27)*(1-In_Degradation)^(AX20-1)*AX15*AX$6</f>
        <v>32674.6706754918</v>
      </c>
      <c r="AY71" s="48" t="n">
        <f aca="false">$F24*In_P50_Hours*(1-In_Curtailment)*(1-$E27)*(1-In_Degradation)^(AY20-1)*AY15*AY$6</f>
        <v>31964.3517477637</v>
      </c>
      <c r="AZ71" s="48" t="n">
        <f aca="false">$F24*In_P50_Hours*(1-In_Curtailment)*(1-$E27)*(1-In_Degradation)^(AZ20-1)*AZ15*AZ$6</f>
        <v>32319.5112116278</v>
      </c>
      <c r="BA71" s="48" t="n">
        <f aca="false">$F24*In_P50_Hours*(1-In_Curtailment)*(1-$E27)*(1-In_Degradation)^(BA20-1)*BA15*BA$6</f>
        <v>32674.6706754918</v>
      </c>
      <c r="BB71" s="48" t="n">
        <f aca="false">$F24*In_P50_Hours*(1-In_Curtailment)*(1-$E27)*(1-In_Degradation)^(BB20-1)*BB15*BB$6</f>
        <v>32576.6466634653</v>
      </c>
      <c r="BC71" s="48" t="n">
        <f aca="false">$F24*In_P50_Hours*(1-In_Curtailment)*(1-$E27)*(1-In_Degradation)^(BC20-1)*BC15*BC$6</f>
        <v>31868.4586925204</v>
      </c>
      <c r="BD71" s="48" t="n">
        <f aca="false">$F24*In_P50_Hours*(1-In_Curtailment)*(1-$E27)*(1-In_Degradation)^(BD20-1)*BD15*BD$6</f>
        <v>32222.5526779929</v>
      </c>
      <c r="BE71" s="48" t="n">
        <f aca="false">$F24*In_P50_Hours*(1-In_Curtailment)*(1-$E27)*(1-In_Degradation)^(BE20-1)*BE15*BE$6</f>
        <v>32576.6466634653</v>
      </c>
      <c r="BF71" s="48" t="n">
        <f aca="false">$F24*In_P50_Hours*(1-In_Curtailment)*(1-$E27)*(1-In_Degradation)^(BF20-1)*BF15*BF$6</f>
        <v>32478.9167234749</v>
      </c>
      <c r="BG71" s="48" t="n">
        <f aca="false">$F24*In_P50_Hours*(1-In_Curtailment)*(1-$E27)*(1-In_Degradation)^(BG20-1)*BG15*BG$6</f>
        <v>31772.8533164429</v>
      </c>
      <c r="BH71" s="48" t="n">
        <f aca="false">$F24*In_P50_Hours*(1-In_Curtailment)*(1-$E27)*(1-In_Degradation)^(BH20-1)*BH15*BH$6</f>
        <v>32125.8850199589</v>
      </c>
      <c r="BI71" s="48" t="n">
        <f aca="false">$F24*In_P50_Hours*(1-In_Curtailment)*(1-$E27)*(1-In_Degradation)^(BI20-1)*BI15*BI$6</f>
        <v>32478.9167234749</v>
      </c>
      <c r="BJ71" s="48" t="n">
        <f aca="false">$F24*In_P50_Hours*(1-In_Curtailment)*(1-$E27)*(1-In_Degradation)^(BJ20-1)*BJ15*BJ$6</f>
        <v>32381.4799733045</v>
      </c>
      <c r="BK71" s="48" t="n">
        <f aca="false">$F24*In_P50_Hours*(1-In_Curtailment)*(1-$E27)*(1-In_Degradation)^(BK20-1)*BK15*BK$6</f>
        <v>32029.507364899</v>
      </c>
      <c r="BL71" s="48" t="n">
        <f aca="false">$F24*In_P50_Hours*(1-In_Curtailment)*(1-$E27)*(1-In_Degradation)^(BL20-1)*BL15*BL$6</f>
        <v>32029.507364899</v>
      </c>
      <c r="BM71" s="48" t="n">
        <f aca="false">$F24*In_P50_Hours*(1-In_Curtailment)*(1-$E27)*(1-In_Degradation)^(BM20-1)*BM15*BM$6</f>
        <v>32381.4799733045</v>
      </c>
      <c r="BN71" s="48" t="n">
        <f aca="false">$F24*In_P50_Hours*(1-In_Curtailment)*(1-$E27)*(1-In_Degradation)^(BN20-1)*BN15*BN$6</f>
        <v>32284.3355333846</v>
      </c>
      <c r="BO71" s="48" t="n">
        <f aca="false">$F24*In_P50_Hours*(1-In_Curtailment)*(1-$E27)*(1-In_Degradation)^(BO20-1)*BO15*BO$6</f>
        <v>31582.5021522241</v>
      </c>
      <c r="BP71" s="48" t="n">
        <f aca="false">$F24*In_P50_Hours*(1-In_Curtailment)*(1-$E27)*(1-In_Degradation)^(BP20-1)*BP15*BP$6</f>
        <v>31933.4188428043</v>
      </c>
      <c r="BQ71" s="48" t="n">
        <f aca="false">$F24*In_P50_Hours*(1-In_Curtailment)*(1-$E27)*(1-In_Degradation)^(BQ20-1)*BQ15*BQ$6</f>
        <v>32284.3355333846</v>
      </c>
      <c r="BR71" s="48" t="n">
        <f aca="false">$F24*In_P50_Hours*(1-In_Curtailment)*(1-$E27)*(1-In_Degradation)^(BR20-1)*BR15*BR$6</f>
        <v>32187.4825267845</v>
      </c>
      <c r="BS71" s="48" t="n">
        <f aca="false">$F24*In_P50_Hours*(1-In_Curtailment)*(1-$E27)*(1-In_Degradation)^(BS20-1)*BS15*BS$6</f>
        <v>31487.7546457674</v>
      </c>
      <c r="BT71" s="48" t="n">
        <f aca="false">$F24*In_P50_Hours*(1-In_Curtailment)*(1-$E27)*(1-In_Degradation)^(BT20-1)*BT15*BT$6</f>
        <v>31837.6185862759</v>
      </c>
      <c r="BU71" s="48" t="n">
        <f aca="false">$F24*In_P50_Hours*(1-In_Curtailment)*(1-$E27)*(1-In_Degradation)^(BU20-1)*BU15*BU$6</f>
        <v>32187.4825267845</v>
      </c>
      <c r="BV71" s="48" t="n">
        <f aca="false">$F24*In_P50_Hours*(1-In_Curtailment)*(1-$E27)*(1-In_Degradation)^(BV20-1)*BV15*BV$6</f>
        <v>32090.9200792041</v>
      </c>
      <c r="BW71" s="48" t="n">
        <f aca="false">$F24*In_P50_Hours*(1-In_Curtailment)*(1-$E27)*(1-In_Degradation)^(BW20-1)*BW15*BW$6</f>
        <v>31393.2913818301</v>
      </c>
      <c r="BX71" s="48" t="n">
        <f aca="false">$F24*In_P50_Hours*(1-In_Curtailment)*(1-$E27)*(1-In_Degradation)^(BX20-1)*BX15*BX$6</f>
        <v>31742.1057305171</v>
      </c>
      <c r="BY71" s="48" t="n">
        <f aca="false">$F24*In_P50_Hours*(1-In_Curtailment)*(1-$E27)*(1-In_Degradation)^(BY20-1)*BY15*BY$6</f>
        <v>32090.9200792041</v>
      </c>
      <c r="BZ71" s="48" t="n">
        <f aca="false">$F24*In_P50_Hours*(1-In_Curtailment)*(1-$E27)*(1-In_Degradation)^(BZ20-1)*BZ15*BZ$6</f>
        <v>31994.6473189665</v>
      </c>
      <c r="CA71" s="48" t="n">
        <f aca="false">$F24*In_P50_Hours*(1-In_Curtailment)*(1-$E27)*(1-In_Degradation)^(CA20-1)*CA15*CA$6</f>
        <v>31646.8794133255</v>
      </c>
      <c r="CB71" s="48" t="n">
        <f aca="false">$F24*In_P50_Hours*(1-In_Curtailment)*(1-$E27)*(1-In_Degradation)^(CB20-1)*CB15*CB$6</f>
        <v>31646.8794133255</v>
      </c>
      <c r="CC71" s="48" t="n">
        <f aca="false">$F24*In_P50_Hours*(1-In_Curtailment)*(1-$E27)*(1-In_Degradation)^(CC20-1)*CC15*CC$6</f>
        <v>31994.6473189665</v>
      </c>
      <c r="CD71" s="48" t="n">
        <f aca="false">$F24*In_P50_Hours*(1-In_Curtailment)*(1-$E27)*(1-In_Degradation)^(CD20-1)*CD15*CD$6</f>
        <v>31898.6633770096</v>
      </c>
      <c r="CE71" s="48" t="n">
        <f aca="false">$F24*In_P50_Hours*(1-In_Curtailment)*(1-$E27)*(1-In_Degradation)^(CE20-1)*CE15*CE$6</f>
        <v>31205.2141731616</v>
      </c>
      <c r="CF71" s="48" t="n">
        <f aca="false">$F24*In_P50_Hours*(1-In_Curtailment)*(1-$E27)*(1-In_Degradation)^(CF20-1)*CF15*CF$6</f>
        <v>31551.9387750856</v>
      </c>
      <c r="CG71" s="48" t="n">
        <f aca="false">$F24*In_P50_Hours*(1-In_Curtailment)*(1-$E27)*(1-In_Degradation)^(CG20-1)*CG15*CG$6</f>
        <v>31898.6633770096</v>
      </c>
      <c r="CH71" s="48" t="n">
        <f aca="false">$F24*In_P50_Hours*(1-In_Curtailment)*(1-$E27)*(1-In_Degradation)^(CH20-1)*CH15*CH$6</f>
        <v>31802.9673868786</v>
      </c>
      <c r="CI71" s="48" t="n">
        <f aca="false">$F24*In_P50_Hours*(1-In_Curtailment)*(1-$E27)*(1-In_Degradation)^(CI20-1)*CI15*CI$6</f>
        <v>31111.5985306421</v>
      </c>
      <c r="CJ71" s="48" t="n">
        <f aca="false">$F24*In_P50_Hours*(1-In_Curtailment)*(1-$E27)*(1-In_Degradation)^(CJ20-1)*CJ15*CJ$6</f>
        <v>31457.2829587603</v>
      </c>
      <c r="CK71" s="48" t="n">
        <f aca="false">$F24*In_P50_Hours*(1-In_Curtailment)*(1-$E27)*(1-In_Degradation)^(CK20-1)*CK15*CK$6</f>
        <v>31802.9673868786</v>
      </c>
      <c r="CL71" s="48" t="n">
        <f aca="false">$F24*In_P50_Hours*(1-In_Curtailment)*(1-$E27)*(1-In_Degradation)^(CL20-1)*CL15*CL$6</f>
        <v>31707.5584847179</v>
      </c>
      <c r="CM71" s="48" t="n">
        <f aca="false">$F24*In_P50_Hours*(1-In_Curtailment)*(1-$E27)*(1-In_Degradation)^(CM20-1)*CM15*CM$6</f>
        <v>31018.2637350501</v>
      </c>
      <c r="CN71" s="48" t="n">
        <f aca="false">$F24*In_P50_Hours*(1-In_Curtailment)*(1-$E27)*(1-In_Degradation)^(CN20-1)*CN15*CN$6</f>
        <v>31362.911109884</v>
      </c>
      <c r="CO71" s="48" t="n">
        <f aca="false">$F24*In_P50_Hours*(1-In_Curtailment)*(1-$E27)*(1-In_Degradation)^(CO20-1)*CO15*CO$6</f>
        <v>31707.5584847179</v>
      </c>
      <c r="CP71" s="48" t="n">
        <f aca="false">$F24*In_P50_Hours*(1-In_Curtailment)*(1-$E27)*(1-In_Degradation)^(CP20-1)*CP15*CP$6</f>
        <v>31612.4358092638</v>
      </c>
      <c r="CQ71" s="48" t="n">
        <f aca="false">$F24*In_P50_Hours*(1-In_Curtailment)*(1-$E27)*(1-In_Degradation)^(CQ20-1)*CQ15*CQ$6</f>
        <v>31268.8223765544</v>
      </c>
      <c r="CR71" s="48" t="n">
        <f aca="false">$F24*In_P50_Hours*(1-In_Curtailment)*(1-$E27)*(1-In_Degradation)^(CR20-1)*CR15*CR$6</f>
        <v>31268.8223765544</v>
      </c>
      <c r="CS71" s="48" t="n">
        <f aca="false">$F24*In_P50_Hours*(1-In_Curtailment)*(1-$E27)*(1-In_Degradation)^(CS20-1)*CS15*CS$6</f>
        <v>31612.4358092638</v>
      </c>
      <c r="CT71" s="48" t="n">
        <f aca="false">$F24*In_P50_Hours*(1-In_Curtailment)*(1-$E27)*(1-In_Degradation)^(CT20-1)*CT15*CT$6</f>
        <v>31517.598501836</v>
      </c>
      <c r="CU71" s="48" t="n">
        <f aca="false">$F24*In_P50_Hours*(1-In_Curtailment)*(1-$E27)*(1-In_Degradation)^(CU20-1)*CU15*CU$6</f>
        <v>30832.4333170135</v>
      </c>
      <c r="CV71" s="48" t="n">
        <f aca="false">$F24*In_P50_Hours*(1-In_Curtailment)*(1-$E27)*(1-In_Degradation)^(CV20-1)*CV15*CV$6</f>
        <v>31175.0159094247</v>
      </c>
      <c r="CW71" s="48" t="n">
        <f aca="false">$F24*In_P50_Hours*(1-In_Curtailment)*(1-$E27)*(1-In_Degradation)^(CW20-1)*CW15*CW$6</f>
        <v>31517.598501836</v>
      </c>
      <c r="CX71" s="48" t="n">
        <f aca="false">$F24*In_P50_Hours*(1-In_Curtailment)*(1-$E27)*(1-In_Degradation)^(CX20-1)*CX15*CX$6</f>
        <v>31423.0457063305</v>
      </c>
      <c r="CY71" s="48" t="n">
        <f aca="false">$F24*In_P50_Hours*(1-In_Curtailment)*(1-$E27)*(1-In_Degradation)^(CY20-1)*CY15*CY$6</f>
        <v>30739.9360170624</v>
      </c>
      <c r="CZ71" s="48" t="n">
        <f aca="false">$F24*In_P50_Hours*(1-In_Curtailment)*(1-$E27)*(1-In_Degradation)^(CZ20-1)*CZ15*CZ$6</f>
        <v>31081.4908616964</v>
      </c>
      <c r="DA71" s="48" t="n">
        <f aca="false">$F24*In_P50_Hours*(1-In_Curtailment)*(1-$E27)*(1-In_Degradation)^(DA20-1)*DA15*DA$6</f>
        <v>31423.0457063305</v>
      </c>
      <c r="DB71" s="48" t="n">
        <f aca="false">$F24*In_P50_Hours*(1-In_Curtailment)*(1-$E27)*(1-In_Degradation)^(DB20-1)*DB15*DB$6</f>
        <v>31328.7765692115</v>
      </c>
      <c r="DC71" s="48" t="n">
        <f aca="false">$F24*In_P50_Hours*(1-In_Curtailment)*(1-$E27)*(1-In_Degradation)^(DC20-1)*DC15*DC$6</f>
        <v>30647.7162090112</v>
      </c>
      <c r="DD71" s="48" t="n">
        <f aca="false">$F24*In_P50_Hours*(1-In_Curtailment)*(1-$E27)*(1-In_Degradation)^(DD20-1)*DD15*DD$6</f>
        <v>30988.2463891114</v>
      </c>
      <c r="DE71" s="48" t="n">
        <f aca="false">$F24*In_P50_Hours*(1-In_Curtailment)*(1-$E27)*(1-In_Degradation)^(DE20-1)*DE15*DE$6</f>
        <v>31328.7765692115</v>
      </c>
      <c r="DF71" s="48" t="n">
        <f aca="false">$F24*In_P50_Hours*(1-In_Curtailment)*(1-$E27)*(1-In_Degradation)^(DF20-1)*DF15*DF$6</f>
        <v>31234.7902395038</v>
      </c>
      <c r="DG71" s="48" t="n">
        <f aca="false">$F24*In_P50_Hours*(1-In_Curtailment)*(1-$E27)*(1-In_Degradation)^(DG20-1)*DG15*DG$6</f>
        <v>30895.281649944</v>
      </c>
      <c r="DH71" s="48" t="n">
        <f aca="false">$F24*In_P50_Hours*(1-In_Curtailment)*(1-$E27)*(1-In_Degradation)^(DH20-1)*DH15*DH$6</f>
        <v>30895.281649944</v>
      </c>
      <c r="DI71" s="48" t="n">
        <f aca="false">$F24*In_P50_Hours*(1-In_Curtailment)*(1-$E27)*(1-In_Degradation)^(DI20-1)*DI15*DI$6</f>
        <v>31234.7902395038</v>
      </c>
      <c r="DJ71" s="48" t="n">
        <f aca="false">$F24*In_P50_Hours*(1-In_Curtailment)*(1-$E27)*(1-In_Degradation)^(DJ20-1)*DJ15*DJ$6</f>
        <v>31141.0858687853</v>
      </c>
      <c r="DK71" s="48" t="n">
        <f aca="false">$F24*In_P50_Hours*(1-In_Curtailment)*(1-$E27)*(1-In_Degradation)^(DK20-1)*DK15*DK$6</f>
        <v>30464.105741203</v>
      </c>
      <c r="DL71" s="48" t="n">
        <f aca="false">$F24*In_P50_Hours*(1-In_Curtailment)*(1-$E27)*(1-In_Degradation)^(DL20-1)*DL15*DL$6</f>
        <v>30802.5958049942</v>
      </c>
      <c r="DM71" s="48" t="n">
        <f aca="false">$F24*In_P50_Hours*(1-In_Curtailment)*(1-$E27)*(1-In_Degradation)^(DM20-1)*DM15*DM$6</f>
        <v>31141.0858687853</v>
      </c>
      <c r="DN71" s="48" t="n">
        <f aca="false">$F24*In_P50_Hours*(1-In_Curtailment)*(1-$E27)*(1-In_Degradation)^(DN20-1)*DN15*DN$6</f>
        <v>31047.662611179</v>
      </c>
      <c r="DO71" s="48" t="n">
        <f aca="false">$F24*In_P50_Hours*(1-In_Curtailment)*(1-$E27)*(1-In_Degradation)^(DO20-1)*DO15*DO$6</f>
        <v>30372.7134239794</v>
      </c>
      <c r="DP71" s="48" t="n">
        <f aca="false">$F24*In_P50_Hours*(1-In_Curtailment)*(1-$E27)*(1-In_Degradation)^(DP20-1)*DP15*DP$6</f>
        <v>30710.1880175792</v>
      </c>
      <c r="DQ71" s="48" t="n">
        <f aca="false">$F24*In_P50_Hours*(1-In_Curtailment)*(1-$E27)*(1-In_Degradation)^(DQ20-1)*DQ15*DQ$6</f>
        <v>31047.662611179</v>
      </c>
      <c r="DR71" s="48" t="n">
        <f aca="false">$F24*In_P50_Hours*(1-In_Curtailment)*(1-$E27)*(1-In_Degradation)^(DR20-1)*DR15*DR$6</f>
        <v>30954.5196233454</v>
      </c>
      <c r="DS71" s="48" t="n">
        <f aca="false">$F24*In_P50_Hours*(1-In_Curtailment)*(1-$E27)*(1-In_Degradation)^(DS20-1)*DS15*DS$6</f>
        <v>30281.5952837075</v>
      </c>
      <c r="DT71" s="48" t="n">
        <f aca="false">$F24*In_P50_Hours*(1-In_Curtailment)*(1-$E27)*(1-In_Degradation)^(DT20-1)*DT15*DT$6</f>
        <v>30618.0574535265</v>
      </c>
      <c r="DU71" s="48" t="n">
        <f aca="false">$F24*In_P50_Hours*(1-In_Curtailment)*(1-$E27)*(1-In_Degradation)^(DU20-1)*DU15*DU$6</f>
        <v>30954.5196233454</v>
      </c>
      <c r="DV71" s="48" t="n">
        <f aca="false">$F24*In_P50_Hours*(1-In_Curtailment)*(1-$E27)*(1-In_Degradation)^(DV20-1)*DV15*DV$6</f>
        <v>30861.6560644754</v>
      </c>
      <c r="DW71" s="48" t="n">
        <f aca="false">$F24*In_P50_Hours*(1-In_Curtailment)*(1-$E27)*(1-In_Degradation)^(DW20-1)*DW15*DW$6</f>
        <v>30526.2032811659</v>
      </c>
      <c r="DX71" s="48" t="n">
        <f aca="false">$F24*In_P50_Hours*(1-In_Curtailment)*(1-$E27)*(1-In_Degradation)^(DX20-1)*DX15*DX$6</f>
        <v>30526.2032811659</v>
      </c>
      <c r="DY71" s="48" t="n">
        <f aca="false">$F24*In_P50_Hours*(1-In_Curtailment)*(1-$E27)*(1-In_Degradation)^(DY20-1)*DY15*DY$6</f>
        <v>30861.6560644754</v>
      </c>
      <c r="DZ71" s="48" t="n">
        <f aca="false">$F24*In_P50_Hours*(1-In_Curtailment)*(1-$E27)*(1-In_Degradation)^(DZ20-1)*DZ15*DZ$6</f>
        <v>30769.071096282</v>
      </c>
      <c r="EA71" s="48" t="n">
        <f aca="false">$F24*In_P50_Hours*(1-In_Curtailment)*(1-$E27)*(1-In_Degradation)^(EA20-1)*EA15*EA$6</f>
        <v>30100.1782463628</v>
      </c>
      <c r="EB71" s="48" t="n">
        <f aca="false">$F24*In_P50_Hours*(1-In_Curtailment)*(1-$E27)*(1-In_Degradation)^(EB20-1)*EB15*EB$6</f>
        <v>30434.6246713224</v>
      </c>
      <c r="EC71" s="48" t="n">
        <f aca="false">$F24*In_P50_Hours*(1-In_Curtailment)*(1-$E27)*(1-In_Degradation)^(EC20-1)*EC15*EC$6</f>
        <v>30769.071096282</v>
      </c>
      <c r="ED71" s="48" t="n">
        <f aca="false">$F24*In_P50_Hours*(1-In_Curtailment)*(1-$E27)*(1-In_Degradation)^(ED20-1)*ED15*ED$6</f>
        <v>30676.7638829931</v>
      </c>
      <c r="EE71" s="48" t="n">
        <f aca="false">$F24*In_P50_Hours*(1-In_Curtailment)*(1-$E27)*(1-In_Degradation)^(EE20-1)*EE15*EE$6</f>
        <v>30009.8777116237</v>
      </c>
      <c r="EF71" s="48" t="n">
        <f aca="false">$F24*In_P50_Hours*(1-In_Curtailment)*(1-$E27)*(1-In_Degradation)^(EF20-1)*EF15*EF$6</f>
        <v>30343.3207973084</v>
      </c>
      <c r="EG71" s="48" t="n">
        <f aca="false">$F24*In_P50_Hours*(1-In_Curtailment)*(1-$E27)*(1-In_Degradation)^(EG20-1)*EG15*EG$6</f>
        <v>30676.7638829931</v>
      </c>
      <c r="EH71" s="48" t="n">
        <f aca="false">$F24*In_P50_Hours*(1-In_Curtailment)*(1-$E27)*(1-In_Degradation)^(EH20-1)*EH15*EH$6</f>
        <v>30584.7335913441</v>
      </c>
      <c r="EI71" s="48" t="n">
        <f aca="false">$F24*In_P50_Hours*(1-In_Curtailment)*(1-$E27)*(1-In_Degradation)^(EI20-1)*EI15*EI$6</f>
        <v>29919.8480784888</v>
      </c>
      <c r="EJ71" s="48" t="n">
        <f aca="false">$F24*In_P50_Hours*(1-In_Curtailment)*(1-$E27)*(1-In_Degradation)^(EJ20-1)*EJ15*EJ$6</f>
        <v>30252.2908349165</v>
      </c>
      <c r="EK71" s="48" t="n">
        <f aca="false">$F24*In_P50_Hours*(1-In_Curtailment)*(1-$E27)*(1-In_Degradation)^(EK20-1)*EK15*EK$6</f>
        <v>30584.7335913441</v>
      </c>
      <c r="EL71" s="48" t="n">
        <f aca="false">$F24*In_P50_Hours*(1-In_Curtailment)*(1-$E27)*(1-In_Degradation)^(EL20-1)*EL15*EL$6</f>
        <v>30492.9793905701</v>
      </c>
      <c r="EM71" s="48" t="n">
        <f aca="false">$F24*In_P50_Hours*(1-In_Curtailment)*(1-$E27)*(1-In_Degradation)^(EM20-1)*EM15*EM$6</f>
        <v>30161.5339624117</v>
      </c>
      <c r="EN71" s="48" t="n">
        <f aca="false">$F24*In_P50_Hours*(1-In_Curtailment)*(1-$E27)*(1-In_Degradation)^(EN20-1)*EN15*EN$6</f>
        <v>30161.5339624117</v>
      </c>
      <c r="EO71" s="48" t="n">
        <f aca="false">$F24*In_P50_Hours*(1-In_Curtailment)*(1-$E27)*(1-In_Degradation)^(EO20-1)*EO15*EO$6</f>
        <v>30492.9793905701</v>
      </c>
    </row>
    <row r="72" customFormat="false" ht="15" hidden="false" customHeight="false" outlineLevel="0" collapsed="false">
      <c r="C72" s="1" t="s">
        <v>422</v>
      </c>
      <c r="D72" s="12" t="s">
        <v>33</v>
      </c>
      <c r="E72" s="48" t="n">
        <f aca="false">SUMIF($J$7:$EO$7,YEAR(In_COD)+1,$J72:$EO72)</f>
        <v>11988.936702792</v>
      </c>
      <c r="I72" s="48" t="n">
        <f aca="false">SUM(J72:EO72)</f>
        <v>398096.796528086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2994.2136</v>
      </c>
      <c r="AA72" s="48" t="n">
        <f aca="false">AA71*AA70/Thousand</f>
        <v>2958.41322</v>
      </c>
      <c r="AB72" s="48" t="n">
        <f aca="false">AB71*AB70/Thousand</f>
        <v>2991.284478</v>
      </c>
      <c r="AC72" s="48" t="n">
        <f aca="false">AC71*AC70/Thousand</f>
        <v>3024.155736</v>
      </c>
      <c r="AD72" s="48" t="n">
        <f aca="false">AD71*AD70/Thousand</f>
        <v>3015.083268792</v>
      </c>
      <c r="AE72" s="48" t="n">
        <f aca="false">AE71*AE70/Thousand</f>
        <v>3012.13373081166</v>
      </c>
      <c r="AF72" s="48" t="n">
        <f aca="false">AF71*AF70/Thousand</f>
        <v>3012.13373081166</v>
      </c>
      <c r="AG72" s="48" t="n">
        <f aca="false">AG71*AG70/Thousand</f>
        <v>3045.23410147992</v>
      </c>
      <c r="AH72" s="48" t="n">
        <f aca="false">AH71*AH70/Thousand</f>
        <v>3036.09839917548</v>
      </c>
      <c r="AI72" s="48" t="n">
        <f aca="false">AI71*AI70/Thousand</f>
        <v>2999.7972226636</v>
      </c>
      <c r="AJ72" s="48" t="n">
        <f aca="false">AJ71*AJ70/Thousand</f>
        <v>3033.12830291542</v>
      </c>
      <c r="AK72" s="48" t="n">
        <f aca="false">AK71*AK70/Thousand</f>
        <v>3066.45938316724</v>
      </c>
      <c r="AL72" s="48" t="n">
        <f aca="false">AL71*AL70/Thousand</f>
        <v>3057.26000501774</v>
      </c>
      <c r="AM72" s="48" t="n">
        <f aca="false">AM71*AM70/Thousand</f>
        <v>3020.70580930557</v>
      </c>
      <c r="AN72" s="48" t="n">
        <f aca="false">AN71*AN70/Thousand</f>
        <v>3054.26920718674</v>
      </c>
      <c r="AO72" s="48" t="n">
        <f aca="false">AO71*AO70/Thousand</f>
        <v>3087.83260506791</v>
      </c>
      <c r="AP72" s="48" t="n">
        <f aca="false">AP71*AP70/Thousand</f>
        <v>3078.56910725271</v>
      </c>
      <c r="AQ72" s="48" t="n">
        <f aca="false">AQ71*AQ70/Thousand</f>
        <v>3041.76012879643</v>
      </c>
      <c r="AR72" s="48" t="n">
        <f aca="false">AR71*AR70/Thousand</f>
        <v>3075.55746356083</v>
      </c>
      <c r="AS72" s="48" t="n">
        <f aca="false">AS71*AS70/Thousand</f>
        <v>3109.35479832524</v>
      </c>
      <c r="AT72" s="48" t="n">
        <f aca="false">AT71*AT70/Thousand</f>
        <v>3100.02673393026</v>
      </c>
      <c r="AU72" s="48" t="n">
        <f aca="false">AU71*AU70/Thousand</f>
        <v>3096.99409908185</v>
      </c>
      <c r="AV72" s="48" t="n">
        <f aca="false">AV71*AV70/Thousand</f>
        <v>3096.99409908185</v>
      </c>
      <c r="AW72" s="48" t="n">
        <f aca="false">AW71*AW70/Thousand</f>
        <v>3131.02700126956</v>
      </c>
      <c r="AX72" s="48" t="n">
        <f aca="false">AX71*AX70/Thousand</f>
        <v>3121.63392026575</v>
      </c>
      <c r="AY72" s="48" t="n">
        <f aca="false">AY71*AY70/Thousand</f>
        <v>3084.31003643649</v>
      </c>
      <c r="AZ72" s="48" t="n">
        <f aca="false">AZ71*AZ70/Thousand</f>
        <v>3118.58014795245</v>
      </c>
      <c r="BA72" s="48" t="n">
        <f aca="false">BA71*BA70/Thousand</f>
        <v>3152.85025946841</v>
      </c>
      <c r="BB72" s="48" t="n">
        <f aca="false">BB71*BB70/Thousand</f>
        <v>3143.39170869001</v>
      </c>
      <c r="BC72" s="48" t="n">
        <f aca="false">BC71*BC70/Thousand</f>
        <v>3105.80767739045</v>
      </c>
      <c r="BD72" s="48" t="n">
        <f aca="false">BD71*BD70/Thousand</f>
        <v>3140.31665158368</v>
      </c>
      <c r="BE72" s="48" t="n">
        <f aca="false">BE71*BE70/Thousand</f>
        <v>3174.82562577691</v>
      </c>
      <c r="BF72" s="48" t="n">
        <f aca="false">BF71*BF70/Thousand</f>
        <v>3165.30114889958</v>
      </c>
      <c r="BG72" s="48" t="n">
        <f aca="false">BG71*BG70/Thousand</f>
        <v>3127.45515690186</v>
      </c>
      <c r="BH72" s="48" t="n">
        <f aca="false">BH71*BH70/Thousand</f>
        <v>3162.20465864522</v>
      </c>
      <c r="BI72" s="48" t="n">
        <f aca="false">BI71*BI70/Thousand</f>
        <v>3196.95416038857</v>
      </c>
      <c r="BJ72" s="48" t="n">
        <f aca="false">BJ71*BJ70/Thousand</f>
        <v>3187.36329790741</v>
      </c>
      <c r="BK72" s="48" t="n">
        <f aca="false">BK71*BK70/Thousand</f>
        <v>3184.24522511597</v>
      </c>
      <c r="BL72" s="48" t="n">
        <f aca="false">BL71*BL70/Thousand</f>
        <v>3184.24522511597</v>
      </c>
      <c r="BM72" s="48" t="n">
        <f aca="false">BM71*BM70/Thousand</f>
        <v>3219.23693088648</v>
      </c>
      <c r="BN72" s="48" t="n">
        <f aca="false">BN71*BN70/Thousand</f>
        <v>3209.57922009382</v>
      </c>
      <c r="BO72" s="48" t="n">
        <f aca="false">BO71*BO70/Thousand</f>
        <v>3171.20381637531</v>
      </c>
      <c r="BP72" s="48" t="n">
        <f aca="false">BP71*BP70/Thousand</f>
        <v>3206.43941433503</v>
      </c>
      <c r="BQ72" s="48" t="n">
        <f aca="false">BQ71*BQ70/Thousand</f>
        <v>3241.67501229476</v>
      </c>
      <c r="BR72" s="48" t="n">
        <f aca="false">BR71*BR70/Thousand</f>
        <v>3231.94998725787</v>
      </c>
      <c r="BS72" s="48" t="n">
        <f aca="false">BS71*BS70/Thousand</f>
        <v>3193.30710697544</v>
      </c>
      <c r="BT72" s="48" t="n">
        <f aca="false">BT71*BT70/Thousand</f>
        <v>3228.78829705295</v>
      </c>
      <c r="BU72" s="48" t="n">
        <f aca="false">BU71*BU70/Thousand</f>
        <v>3264.26948713045</v>
      </c>
      <c r="BV72" s="48" t="n">
        <f aca="false">BV71*BV70/Thousand</f>
        <v>3254.47667866906</v>
      </c>
      <c r="BW72" s="48" t="n">
        <f aca="false">BW71*BW70/Thousand</f>
        <v>3215.56445751106</v>
      </c>
      <c r="BX72" s="48" t="n">
        <f aca="false">BX71*BX70/Thousand</f>
        <v>3251.29295148341</v>
      </c>
      <c r="BY72" s="48" t="n">
        <f aca="false">BY71*BY70/Thousand</f>
        <v>3287.02144545575</v>
      </c>
      <c r="BZ72" s="48" t="n">
        <f aca="false">BZ71*BZ70/Thousand</f>
        <v>3277.16038111938</v>
      </c>
      <c r="CA72" s="48" t="n">
        <f aca="false">CA71*CA70/Thousand</f>
        <v>3273.95446335525</v>
      </c>
      <c r="CB72" s="48" t="n">
        <f aca="false">CB71*CB70/Thousand</f>
        <v>3273.95446335525</v>
      </c>
      <c r="CC72" s="48" t="n">
        <f aca="false">CC71*CC70/Thousand</f>
        <v>3309.93198493058</v>
      </c>
      <c r="CD72" s="48" t="n">
        <f aca="false">CD71*CD70/Thousand</f>
        <v>3300.00218897579</v>
      </c>
      <c r="CE72" s="48" t="n">
        <f aca="false">CE71*CE70/Thousand</f>
        <v>3260.54564106412</v>
      </c>
      <c r="CF72" s="48" t="n">
        <f aca="false">CF71*CF70/Thousand</f>
        <v>3296.77392596483</v>
      </c>
      <c r="CG72" s="48" t="n">
        <f aca="false">CG71*CG70/Thousand</f>
        <v>3333.00221086555</v>
      </c>
      <c r="CH72" s="48" t="n">
        <f aca="false">CH71*CH70/Thousand</f>
        <v>3323.00320423295</v>
      </c>
      <c r="CI72" s="48" t="n">
        <f aca="false">CI71*CI70/Thousand</f>
        <v>3283.27164418234</v>
      </c>
      <c r="CJ72" s="48" t="n">
        <f aca="false">CJ71*CJ70/Thousand</f>
        <v>3319.75244022881</v>
      </c>
      <c r="CK72" s="48" t="n">
        <f aca="false">CK71*CK70/Thousand</f>
        <v>3356.23323627528</v>
      </c>
      <c r="CL72" s="48" t="n">
        <f aca="false">CL71*CL70/Thousand</f>
        <v>3346.16453656645</v>
      </c>
      <c r="CM72" s="48" t="n">
        <f aca="false">CM71*CM70/Thousand</f>
        <v>3306.15604754229</v>
      </c>
      <c r="CN72" s="48" t="n">
        <f aca="false">CN71*CN70/Thousand</f>
        <v>3342.8911147372</v>
      </c>
      <c r="CO72" s="48" t="n">
        <f aca="false">CO71*CO70/Thousand</f>
        <v>3379.62618193212</v>
      </c>
      <c r="CP72" s="48" t="n">
        <f aca="false">CP71*CP70/Thousand</f>
        <v>3369.48730338632</v>
      </c>
      <c r="CQ72" s="48" t="n">
        <f aca="false">CQ71*CQ70/Thousand</f>
        <v>3366.19106580692</v>
      </c>
      <c r="CR72" s="48" t="n">
        <f aca="false">CR71*CR70/Thousand</f>
        <v>3366.19106580692</v>
      </c>
      <c r="CS72" s="48" t="n">
        <f aca="false">CS71*CS70/Thousand</f>
        <v>3403.18217642018</v>
      </c>
      <c r="CT72" s="48" t="n">
        <f aca="false">CT71*CT70/Thousand</f>
        <v>3392.97262989092</v>
      </c>
      <c r="CU72" s="48" t="n">
        <f aca="false">CU71*CU70/Thousand</f>
        <v>3352.40447888136</v>
      </c>
      <c r="CV72" s="48" t="n">
        <f aca="false">CV71*CV70/Thousand</f>
        <v>3389.65341753559</v>
      </c>
      <c r="CW72" s="48" t="n">
        <f aca="false">CW71*CW70/Thousand</f>
        <v>3426.90235618983</v>
      </c>
      <c r="CX72" s="48" t="n">
        <f aca="false">CX71*CX70/Thousand</f>
        <v>3416.62164912126</v>
      </c>
      <c r="CY72" s="48" t="n">
        <f aca="false">CY71*CY70/Thousand</f>
        <v>3375.77073809916</v>
      </c>
      <c r="CZ72" s="48" t="n">
        <f aca="false">CZ71*CZ70/Thousand</f>
        <v>3413.27930185582</v>
      </c>
      <c r="DA72" s="48" t="n">
        <f aca="false">DA71*DA70/Thousand</f>
        <v>3450.78786561248</v>
      </c>
      <c r="DB72" s="48" t="n">
        <f aca="false">DB71*DB70/Thousand</f>
        <v>3440.43550201564</v>
      </c>
      <c r="DC72" s="48" t="n">
        <f aca="false">DC71*DC70/Thousand</f>
        <v>3399.29986014371</v>
      </c>
      <c r="DD72" s="48" t="n">
        <f aca="false">DD71*DD70/Thousand</f>
        <v>3437.06985858975</v>
      </c>
      <c r="DE72" s="48" t="n">
        <f aca="false">DE71*DE70/Thousand</f>
        <v>3474.83985703579</v>
      </c>
      <c r="DF72" s="48" t="n">
        <f aca="false">DF71*DF70/Thousand</f>
        <v>3464.41533746469</v>
      </c>
      <c r="DG72" s="48" t="n">
        <f aca="false">DG71*DG70/Thousand</f>
        <v>3461.02623550412</v>
      </c>
      <c r="DH72" s="48" t="n">
        <f aca="false">DH71*DH70/Thousand</f>
        <v>3461.02623550412</v>
      </c>
      <c r="DI72" s="48" t="n">
        <f aca="false">DI71*DI70/Thousand</f>
        <v>3499.05949083933</v>
      </c>
      <c r="DJ72" s="48" t="n">
        <f aca="false">DJ71*DJ70/Thousand</f>
        <v>3488.56231236681</v>
      </c>
      <c r="DK72" s="48" t="n">
        <f aca="false">DK71*DK70/Thousand</f>
        <v>3446.85124124069</v>
      </c>
      <c r="DL72" s="48" t="n">
        <f aca="false">DL71*DL70/Thousand</f>
        <v>3485.14958836559</v>
      </c>
      <c r="DM72" s="48" t="n">
        <f aca="false">DM71*DM70/Thousand</f>
        <v>3523.44793549048</v>
      </c>
      <c r="DN72" s="48" t="n">
        <f aca="false">DN71*DN70/Thousand</f>
        <v>3512.87759168401</v>
      </c>
      <c r="DO72" s="48" t="n">
        <f aca="false">DO71*DO70/Thousand</f>
        <v>3470.87579439214</v>
      </c>
      <c r="DP72" s="48" t="n">
        <f aca="false">DP71*DP70/Thousand</f>
        <v>3509.4410809965</v>
      </c>
      <c r="DQ72" s="48" t="n">
        <f aca="false">DQ71*DQ70/Thousand</f>
        <v>3548.00636760085</v>
      </c>
      <c r="DR72" s="48" t="n">
        <f aca="false">DR71*DR70/Thousand</f>
        <v>3537.36234849805</v>
      </c>
      <c r="DS72" s="48" t="n">
        <f aca="false">DS71*DS70/Thousand</f>
        <v>3495.06779867905</v>
      </c>
      <c r="DT72" s="48" t="n">
        <f aca="false">DT71*DT70/Thousand</f>
        <v>3533.90188533104</v>
      </c>
      <c r="DU72" s="48" t="n">
        <f aca="false">DU71*DU70/Thousand</f>
        <v>3572.73597198303</v>
      </c>
      <c r="DV72" s="48" t="n">
        <f aca="false">DV71*DV70/Thousand</f>
        <v>3562.01776406708</v>
      </c>
      <c r="DW72" s="48" t="n">
        <f aca="false">DW71*DW70/Thousand</f>
        <v>3558.5331814718</v>
      </c>
      <c r="DX72" s="48" t="n">
        <f aca="false">DX71*DX70/Thousand</f>
        <v>3558.5331814718</v>
      </c>
      <c r="DY72" s="48" t="n">
        <f aca="false">DY71*DY70/Thousand</f>
        <v>3597.63794170775</v>
      </c>
      <c r="DZ72" s="48" t="n">
        <f aca="false">DZ71*DZ70/Thousand</f>
        <v>3586.84502788263</v>
      </c>
      <c r="EA72" s="48" t="n">
        <f aca="false">EA71*EA70/Thousand</f>
        <v>3543.95883733186</v>
      </c>
      <c r="EB72" s="48" t="n">
        <f aca="false">EB71*EB70/Thousand</f>
        <v>3583.33615774666</v>
      </c>
      <c r="EC72" s="48" t="n">
        <f aca="false">EC71*EC70/Thousand</f>
        <v>3622.71347816146</v>
      </c>
      <c r="ED72" s="48" t="n">
        <f aca="false">ED71*ED70/Thousand</f>
        <v>3611.84533772697</v>
      </c>
      <c r="EE72" s="48" t="n">
        <f aca="false">EE71*EE70/Thousand</f>
        <v>3568.66023042806</v>
      </c>
      <c r="EF72" s="48" t="n">
        <f aca="false">EF71*EF70/Thousand</f>
        <v>3608.31201076615</v>
      </c>
      <c r="EG72" s="48" t="n">
        <f aca="false">EG71*EG70/Thousand</f>
        <v>3647.96379110424</v>
      </c>
      <c r="EH72" s="48" t="n">
        <f aca="false">EH71*EH70/Thousand</f>
        <v>3637.01989973093</v>
      </c>
      <c r="EI72" s="48" t="n">
        <f aca="false">EI71*EI70/Thousand</f>
        <v>3593.53379223414</v>
      </c>
      <c r="EJ72" s="48" t="n">
        <f aca="false">EJ71*EJ70/Thousand</f>
        <v>3633.46194548119</v>
      </c>
      <c r="EK72" s="48" t="n">
        <f aca="false">EK71*EK70/Thousand</f>
        <v>3673.39009872824</v>
      </c>
      <c r="EL72" s="48" t="n">
        <f aca="false">EL71*EL70/Thousand</f>
        <v>3662.36992843205</v>
      </c>
      <c r="EM72" s="48" t="n">
        <f aca="false">EM71*EM70/Thousand</f>
        <v>3658.78717524119</v>
      </c>
      <c r="EN72" s="48" t="n">
        <f aca="false">EN71*EN70/Thousand</f>
        <v>3658.78717524119</v>
      </c>
      <c r="EO72" s="48" t="n">
        <f aca="false">EO71*EO70/Thousand</f>
        <v>3698.99362771637</v>
      </c>
    </row>
    <row r="73" customFormat="false" ht="15" hidden="false" customHeight="false" outlineLevel="0" collapsed="false">
      <c r="C73" s="1" t="s">
        <v>423</v>
      </c>
      <c r="D73" s="12" t="s">
        <v>33</v>
      </c>
      <c r="I73" s="48" t="n">
        <f aca="false">SUM(J73:EO73)</f>
        <v>-28132.3883354309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-166.3452</v>
      </c>
      <c r="AA73" s="48" t="n">
        <f aca="false">-In_Var_Opex*AA71*AA69/Thousand</f>
        <v>-166.797225</v>
      </c>
      <c r="AB73" s="48" t="n">
        <f aca="false">-In_Var_Opex*AB71*AB69/Thousand</f>
        <v>-168.6505275</v>
      </c>
      <c r="AC73" s="48" t="n">
        <f aca="false">-In_Var_Opex*AC71*AC69/Thousand</f>
        <v>-170.50383</v>
      </c>
      <c r="AD73" s="48" t="n">
        <f aca="false">-In_Var_Opex*AD71*AD69/Thousand</f>
        <v>-169.99231851</v>
      </c>
      <c r="AE73" s="48" t="n">
        <f aca="false">-In_Var_Opex*AE71*AE69/Thousand</f>
        <v>-172.348190315438</v>
      </c>
      <c r="AF73" s="48" t="n">
        <f aca="false">-In_Var_Opex*AF71*AF69/Thousand</f>
        <v>-172.348190315438</v>
      </c>
      <c r="AG73" s="48" t="n">
        <f aca="false">-In_Var_Opex*AG71*AG69/Thousand</f>
        <v>-174.24212647275</v>
      </c>
      <c r="AH73" s="48" t="n">
        <f aca="false">-In_Var_Opex*AH71*AH69/Thousand</f>
        <v>-173.719400093332</v>
      </c>
      <c r="AI73" s="48" t="n">
        <f aca="false">-In_Var_Opex*AI71*AI69/Thousand</f>
        <v>-174.191463680542</v>
      </c>
      <c r="AJ73" s="48" t="n">
        <f aca="false">-In_Var_Opex*AJ71*AJ69/Thousand</f>
        <v>-176.126924388103</v>
      </c>
      <c r="AK73" s="48" t="n">
        <f aca="false">-In_Var_Opex*AK71*AK69/Thousand</f>
        <v>-178.062385095665</v>
      </c>
      <c r="AL73" s="48" t="n">
        <f aca="false">-In_Var_Opex*AL71*AL69/Thousand</f>
        <v>-177.528197940378</v>
      </c>
      <c r="AM73" s="48" t="n">
        <f aca="false">-In_Var_Opex*AM71*AM69/Thousand</f>
        <v>-178.010611521738</v>
      </c>
      <c r="AN73" s="48" t="n">
        <f aca="false">-In_Var_Opex*AN71*AN69/Thousand</f>
        <v>-179.988507205313</v>
      </c>
      <c r="AO73" s="48" t="n">
        <f aca="false">-In_Var_Opex*AO71*AO69/Thousand</f>
        <v>-181.966402888888</v>
      </c>
      <c r="AP73" s="48" t="n">
        <f aca="false">-In_Var_Opex*AP71*AP69/Thousand</f>
        <v>-181.420503680221</v>
      </c>
      <c r="AQ73" s="48" t="n">
        <f aca="false">-In_Var_Opex*AQ71*AQ69/Thousand</f>
        <v>-181.913494179352</v>
      </c>
      <c r="AR73" s="48" t="n">
        <f aca="false">-In_Var_Opex*AR71*AR69/Thousand</f>
        <v>-183.934755225789</v>
      </c>
      <c r="AS73" s="48" t="n">
        <f aca="false">-In_Var_Opex*AS71*AS69/Thousand</f>
        <v>-185.956016272226</v>
      </c>
      <c r="AT73" s="48" t="n">
        <f aca="false">-In_Var_Opex*AT71*AT69/Thousand</f>
        <v>-185.39814822341</v>
      </c>
      <c r="AU73" s="48" t="n">
        <f aca="false">-In_Var_Opex*AU71*AU69/Thousand</f>
        <v>-187.967524734115</v>
      </c>
      <c r="AV73" s="48" t="n">
        <f aca="false">-In_Var_Opex*AV71*AV69/Thousand</f>
        <v>-187.967524734115</v>
      </c>
      <c r="AW73" s="48" t="n">
        <f aca="false">-In_Var_Opex*AW71*AW69/Thousand</f>
        <v>-190.033101928995</v>
      </c>
      <c r="AX73" s="48" t="n">
        <f aca="false">-In_Var_Opex*AX71*AX69/Thousand</f>
        <v>-189.463002623208</v>
      </c>
      <c r="AY73" s="48" t="n">
        <f aca="false">-In_Var_Opex*AY71*AY69/Thousand</f>
        <v>-189.977847739032</v>
      </c>
      <c r="AZ73" s="48" t="n">
        <f aca="false">-In_Var_Opex*AZ71*AZ69/Thousand</f>
        <v>-192.08871271391</v>
      </c>
      <c r="BA73" s="48" t="n">
        <f aca="false">-In_Var_Opex*BA71*BA69/Thousand</f>
        <v>-194.199577688788</v>
      </c>
      <c r="BB73" s="48" t="n">
        <f aca="false">-In_Var_Opex*BB71*BB69/Thousand</f>
        <v>-193.616978955722</v>
      </c>
      <c r="BC73" s="48" t="n">
        <f aca="false">-In_Var_Opex*BC71*BC69/Thousand</f>
        <v>-194.14311205071</v>
      </c>
      <c r="BD73" s="48" t="n">
        <f aca="false">-In_Var_Opex*BD71*BD69/Thousand</f>
        <v>-196.300257740162</v>
      </c>
      <c r="BE73" s="48" t="n">
        <f aca="false">-In_Var_Opex*BE71*BE69/Thousand</f>
        <v>-198.457403429615</v>
      </c>
      <c r="BF73" s="48" t="n">
        <f aca="false">-In_Var_Opex*BF71*BF69/Thousand</f>
        <v>-197.862031219326</v>
      </c>
      <c r="BG73" s="48" t="n">
        <f aca="false">-In_Var_Opex*BG71*BG69/Thousand</f>
        <v>-198.399699782422</v>
      </c>
      <c r="BH73" s="48" t="n">
        <f aca="false">-In_Var_Opex*BH71*BH69/Thousand</f>
        <v>-200.604140891115</v>
      </c>
      <c r="BI73" s="48" t="n">
        <f aca="false">-In_Var_Opex*BI71*BI69/Thousand</f>
        <v>-202.808581999809</v>
      </c>
      <c r="BJ73" s="48" t="n">
        <f aca="false">-In_Var_Opex*BJ71*BJ69/Thousand</f>
        <v>-202.20015625381</v>
      </c>
      <c r="BK73" s="48" t="n">
        <f aca="false">-In_Var_Opex*BK71*BK69/Thousand</f>
        <v>-205.002386680153</v>
      </c>
      <c r="BL73" s="48" t="n">
        <f aca="false">-In_Var_Opex*BL71*BL69/Thousand</f>
        <v>-205.002386680153</v>
      </c>
      <c r="BM73" s="48" t="n">
        <f aca="false">-In_Var_Opex*BM71*BM69/Thousand</f>
        <v>-207.255160160155</v>
      </c>
      <c r="BN73" s="48" t="n">
        <f aca="false">-In_Var_Opex*BN71*BN69/Thousand</f>
        <v>-206.633394679674</v>
      </c>
      <c r="BO73" s="48" t="n">
        <f aca="false">-In_Var_Opex*BO71*BO69/Thousand</f>
        <v>-207.194898469565</v>
      </c>
      <c r="BP73" s="48" t="n">
        <f aca="false">-In_Var_Opex*BP71*BP69/Thousand</f>
        <v>-209.497064008115</v>
      </c>
      <c r="BQ73" s="48" t="n">
        <f aca="false">-In_Var_Opex*BQ71*BQ69/Thousand</f>
        <v>-211.799229546666</v>
      </c>
      <c r="BR73" s="48" t="n">
        <f aca="false">-In_Var_Opex*BR71*BR69/Thousand</f>
        <v>-211.163831858026</v>
      </c>
      <c r="BS73" s="48" t="n">
        <f aca="false">-In_Var_Opex*BS71*BS69/Thousand</f>
        <v>-211.73764661851</v>
      </c>
      <c r="BT73" s="48" t="n">
        <f aca="false">-In_Var_Opex*BT71*BT69/Thousand</f>
        <v>-214.090287136493</v>
      </c>
      <c r="BU73" s="48" t="n">
        <f aca="false">-In_Var_Opex*BU71*BU69/Thousand</f>
        <v>-216.442927654477</v>
      </c>
      <c r="BV73" s="48" t="n">
        <f aca="false">-In_Var_Opex*BV71*BV69/Thousand</f>
        <v>-215.793598871513</v>
      </c>
      <c r="BW73" s="48" t="n">
        <f aca="false">-In_Var_Opex*BW71*BW69/Thousand</f>
        <v>-216.379994520621</v>
      </c>
      <c r="BX73" s="48" t="n">
        <f aca="false">-In_Var_Opex*BX71*BX69/Thousand</f>
        <v>-218.784216681961</v>
      </c>
      <c r="BY73" s="48" t="n">
        <f aca="false">-In_Var_Opex*BY71*BY69/Thousand</f>
        <v>-221.188438843301</v>
      </c>
      <c r="BZ73" s="48" t="n">
        <f aca="false">-In_Var_Opex*BZ71*BZ69/Thousand</f>
        <v>-220.524873526771</v>
      </c>
      <c r="CA73" s="48" t="n">
        <f aca="false">-In_Var_Opex*CA71*CA69/Thousand</f>
        <v>-223.581060632713</v>
      </c>
      <c r="CB73" s="48" t="n">
        <f aca="false">-In_Var_Opex*CB71*CB69/Thousand</f>
        <v>-223.581060632713</v>
      </c>
      <c r="CC73" s="48" t="n">
        <f aca="false">-In_Var_Opex*CC71*CC69/Thousand</f>
        <v>-226.037995364941</v>
      </c>
      <c r="CD73" s="48" t="n">
        <f aca="false">-In_Var_Opex*CD71*CD69/Thousand</f>
        <v>-225.359881378846</v>
      </c>
      <c r="CE73" s="48" t="n">
        <f aca="false">-In_Var_Opex*CE71*CE69/Thousand</f>
        <v>-225.972272360853</v>
      </c>
      <c r="CF73" s="48" t="n">
        <f aca="false">-In_Var_Opex*CF71*CF69/Thousand</f>
        <v>-228.483075387085</v>
      </c>
      <c r="CG73" s="48" t="n">
        <f aca="false">-In_Var_Opex*CG71*CG69/Thousand</f>
        <v>-230.993878413317</v>
      </c>
      <c r="CH73" s="48" t="n">
        <f aca="false">-In_Var_Opex*CH71*CH69/Thousand</f>
        <v>-230.300896778077</v>
      </c>
      <c r="CI73" s="48" t="n">
        <f aca="false">-In_Var_Opex*CI71*CI69/Thousand</f>
        <v>-230.926714432365</v>
      </c>
      <c r="CJ73" s="48" t="n">
        <f aca="false">-In_Var_Opex*CJ71*CJ69/Thousand</f>
        <v>-233.492566814947</v>
      </c>
      <c r="CK73" s="48" t="n">
        <f aca="false">-In_Var_Opex*CK71*CK69/Thousand</f>
        <v>-236.058419197529</v>
      </c>
      <c r="CL73" s="48" t="n">
        <f aca="false">-In_Var_Opex*CL71*CL69/Thousand</f>
        <v>-235.350243939936</v>
      </c>
      <c r="CM73" s="48" t="n">
        <f aca="false">-In_Var_Opex*CM71*CM69/Thousand</f>
        <v>-235.989782646295</v>
      </c>
      <c r="CN73" s="48" t="n">
        <f aca="false">-In_Var_Opex*CN71*CN69/Thousand</f>
        <v>-238.611891342365</v>
      </c>
      <c r="CO73" s="48" t="n">
        <f aca="false">-In_Var_Opex*CO71*CO69/Thousand</f>
        <v>-241.234000038435</v>
      </c>
      <c r="CP73" s="48" t="n">
        <f aca="false">-In_Var_Opex*CP71*CP69/Thousand</f>
        <v>-240.510298038319</v>
      </c>
      <c r="CQ73" s="48" t="n">
        <f aca="false">-In_Var_Opex*CQ71*CQ69/Thousand</f>
        <v>-243.843457060046</v>
      </c>
      <c r="CR73" s="48" t="n">
        <f aca="false">-In_Var_Opex*CR71*CR69/Thousand</f>
        <v>-243.843457060046</v>
      </c>
      <c r="CS73" s="48" t="n">
        <f aca="false">-In_Var_Opex*CS71*CS69/Thousand</f>
        <v>-246.523055489277</v>
      </c>
      <c r="CT73" s="48" t="n">
        <f aca="false">-In_Var_Opex*CT71*CT69/Thousand</f>
        <v>-245.783486322809</v>
      </c>
      <c r="CU73" s="48" t="n">
        <f aca="false">-In_Var_Opex*CU71*CU69/Thousand</f>
        <v>-246.451376231295</v>
      </c>
      <c r="CV73" s="48" t="n">
        <f aca="false">-In_Var_Opex*CV71*CV69/Thousand</f>
        <v>-249.189724856088</v>
      </c>
      <c r="CW73" s="48" t="n">
        <f aca="false">-In_Var_Opex*CW71*CW69/Thousand</f>
        <v>-251.92807348088</v>
      </c>
      <c r="CX73" s="48" t="n">
        <f aca="false">-In_Var_Opex*CX71*CX69/Thousand</f>
        <v>-251.172289260437</v>
      </c>
      <c r="CY73" s="48" t="n">
        <f aca="false">-In_Var_Opex*CY71*CY69/Thousand</f>
        <v>-251.854822655166</v>
      </c>
      <c r="CZ73" s="48" t="n">
        <f aca="false">-In_Var_Opex*CZ71*CZ69/Thousand</f>
        <v>-254.653209573557</v>
      </c>
      <c r="DA73" s="48" t="n">
        <f aca="false">-In_Var_Opex*DA71*DA69/Thousand</f>
        <v>-257.451596491948</v>
      </c>
      <c r="DB73" s="48" t="n">
        <f aca="false">-In_Var_Opex*DB71*DB69/Thousand</f>
        <v>-256.679241702472</v>
      </c>
      <c r="DC73" s="48" t="n">
        <f aca="false">-In_Var_Opex*DC71*DC69/Thousand</f>
        <v>-257.376739641881</v>
      </c>
      <c r="DD73" s="48" t="n">
        <f aca="false">-In_Var_Opex*DD71*DD69/Thousand</f>
        <v>-260.236481193457</v>
      </c>
      <c r="DE73" s="48" t="n">
        <f aca="false">-In_Var_Opex*DE71*DE69/Thousand</f>
        <v>-263.096222745034</v>
      </c>
      <c r="DF73" s="48" t="n">
        <f aca="false">-In_Var_Opex*DF71*DF69/Thousand</f>
        <v>-262.306934076799</v>
      </c>
      <c r="DG73" s="48" t="n">
        <f aca="false">-In_Var_Opex*DG71*DG69/Thousand</f>
        <v>-265.942166043624</v>
      </c>
      <c r="DH73" s="48" t="n">
        <f aca="false">-In_Var_Opex*DH71*DH69/Thousand</f>
        <v>-265.942166043624</v>
      </c>
      <c r="DI73" s="48" t="n">
        <f aca="false">-In_Var_Opex*DI71*DI69/Thousand</f>
        <v>-268.864607428719</v>
      </c>
      <c r="DJ73" s="48" t="n">
        <f aca="false">-In_Var_Opex*DJ71*DJ69/Thousand</f>
        <v>-268.058013606433</v>
      </c>
      <c r="DK73" s="48" t="n">
        <f aca="false">-In_Var_Opex*DK71*DK69/Thousand</f>
        <v>-268.786432121667</v>
      </c>
      <c r="DL73" s="48" t="n">
        <f aca="false">-In_Var_Opex*DL71*DL69/Thousand</f>
        <v>-271.77294803413</v>
      </c>
      <c r="DM73" s="48" t="n">
        <f aca="false">-In_Var_Opex*DM71*DM69/Thousand</f>
        <v>-274.759463946593</v>
      </c>
      <c r="DN73" s="48" t="n">
        <f aca="false">-In_Var_Opex*DN71*DN69/Thousand</f>
        <v>-273.935185554754</v>
      </c>
      <c r="DO73" s="48" t="n">
        <f aca="false">-In_Var_Opex*DO71*DO69/Thousand</f>
        <v>-274.679574645935</v>
      </c>
      <c r="DP73" s="48" t="n">
        <f aca="false">-In_Var_Opex*DP71*DP69/Thousand</f>
        <v>-277.731569919779</v>
      </c>
      <c r="DQ73" s="48" t="n">
        <f aca="false">-In_Var_Opex*DQ71*DQ69/Thousand</f>
        <v>-280.783565193622</v>
      </c>
      <c r="DR73" s="48" t="n">
        <f aca="false">-In_Var_Opex*DR71*DR69/Thousand</f>
        <v>-279.941214498041</v>
      </c>
      <c r="DS73" s="48" t="n">
        <f aca="false">-In_Var_Opex*DS71*DS69/Thousand</f>
        <v>-280.701924320047</v>
      </c>
      <c r="DT73" s="48" t="n">
        <f aca="false">-In_Var_Opex*DT71*DT69/Thousand</f>
        <v>-283.82083459027</v>
      </c>
      <c r="DU73" s="48" t="n">
        <f aca="false">-In_Var_Opex*DU71*DU69/Thousand</f>
        <v>-286.939744860493</v>
      </c>
      <c r="DV73" s="48" t="n">
        <f aca="false">-In_Var_Opex*DV71*DV69/Thousand</f>
        <v>-286.078925625911</v>
      </c>
      <c r="DW73" s="48" t="n">
        <f aca="false">-In_Var_Opex*DW71*DW69/Thousand</f>
        <v>-290.043606388661</v>
      </c>
      <c r="DX73" s="48" t="n">
        <f aca="false">-In_Var_Opex*DX71*DX69/Thousand</f>
        <v>-290.043606388661</v>
      </c>
      <c r="DY73" s="48" t="n">
        <f aca="false">-In_Var_Opex*DY71*DY69/Thousand</f>
        <v>-293.230898766559</v>
      </c>
      <c r="DZ73" s="48" t="n">
        <f aca="false">-In_Var_Opex*DZ71*DZ69/Thousand</f>
        <v>-292.351206070259</v>
      </c>
      <c r="EA73" s="48" t="n">
        <f aca="false">-In_Var_Opex*EA71*EA69/Thousand</f>
        <v>-293.14563869545</v>
      </c>
      <c r="EB73" s="48" t="n">
        <f aca="false">-In_Var_Opex*EB71*EB69/Thousand</f>
        <v>-296.402812458733</v>
      </c>
      <c r="EC73" s="48" t="n">
        <f aca="false">-In_Var_Opex*EC71*EC69/Thousand</f>
        <v>-299.659986222016</v>
      </c>
      <c r="ED73" s="48" t="n">
        <f aca="false">-In_Var_Opex*ED71*ED69/Thousand</f>
        <v>-298.76100626335</v>
      </c>
      <c r="EE73" s="48" t="n">
        <f aca="false">-In_Var_Opex*EE71*EE69/Thousand</f>
        <v>-299.572856823848</v>
      </c>
      <c r="EF73" s="48" t="n">
        <f aca="false">-In_Var_Opex*EF71*EF69/Thousand</f>
        <v>-302.90144412189</v>
      </c>
      <c r="EG73" s="48" t="n">
        <f aca="false">-In_Var_Opex*EG71*EG69/Thousand</f>
        <v>-306.230031419933</v>
      </c>
      <c r="EH73" s="48" t="n">
        <f aca="false">-In_Var_Opex*EH71*EH69/Thousand</f>
        <v>-305.311341325673</v>
      </c>
      <c r="EI73" s="48" t="n">
        <f aca="false">-In_Var_Opex*EI71*EI69/Thousand</f>
        <v>-306.140991709711</v>
      </c>
      <c r="EJ73" s="48" t="n">
        <f aca="false">-In_Var_Opex*EJ71*EJ69/Thousand</f>
        <v>-309.542558284263</v>
      </c>
      <c r="EK73" s="48" t="n">
        <f aca="false">-In_Var_Opex*EK71*EK69/Thousand</f>
        <v>-312.944124858815</v>
      </c>
      <c r="EL73" s="48" t="n">
        <f aca="false">-In_Var_Opex*EL71*EL69/Thousand</f>
        <v>-312.005292484239</v>
      </c>
      <c r="EM73" s="48" t="n">
        <f aca="false">-In_Var_Opex*EM71*EM69/Thousand</f>
        <v>-316.329278874645</v>
      </c>
      <c r="EN73" s="48" t="n">
        <f aca="false">-In_Var_Opex*EN71*EN69/Thousand</f>
        <v>-316.329278874645</v>
      </c>
      <c r="EO73" s="48" t="n">
        <f aca="false">-In_Var_Opex*EO71*EO69/Thousand</f>
        <v>-319.805424796345</v>
      </c>
    </row>
    <row r="74" customFormat="false" ht="15" hidden="false" customHeight="false" outlineLevel="0" collapsed="false">
      <c r="C74" s="1" t="s">
        <v>424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425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426</v>
      </c>
      <c r="D76" s="12" t="s">
        <v>33</v>
      </c>
      <c r="I76" s="48" t="n">
        <f aca="false">SUM(J76:EO76)</f>
        <v>-9554.32311667406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-71.8611264</v>
      </c>
      <c r="AA76" s="48" t="n">
        <f aca="false">-AA72*(In_MEKH+In_HIPA+In_Innovation)</f>
        <v>-71.00191728</v>
      </c>
      <c r="AB76" s="48" t="n">
        <f aca="false">-AB72*(In_MEKH+In_HIPA+In_Innovation)</f>
        <v>-71.790827472</v>
      </c>
      <c r="AC76" s="48" t="n">
        <f aca="false">-AC72*(In_MEKH+In_HIPA+In_Innovation)</f>
        <v>-72.579737664</v>
      </c>
      <c r="AD76" s="48" t="n">
        <f aca="false">-AD72*(In_MEKH+In_HIPA+In_Innovation)</f>
        <v>-72.361998451008</v>
      </c>
      <c r="AE76" s="48" t="n">
        <f aca="false">-AE72*(In_MEKH+In_HIPA+In_Innovation)</f>
        <v>-72.2912095394799</v>
      </c>
      <c r="AF76" s="48" t="n">
        <f aca="false">-AF72*(In_MEKH+In_HIPA+In_Innovation)</f>
        <v>-72.2912095394799</v>
      </c>
      <c r="AG76" s="48" t="n">
        <f aca="false">-AG72*(In_MEKH+In_HIPA+In_Innovation)</f>
        <v>-73.0856184355181</v>
      </c>
      <c r="AH76" s="48" t="n">
        <f aca="false">-AH72*(In_MEKH+In_HIPA+In_Innovation)</f>
        <v>-72.8663615802116</v>
      </c>
      <c r="AI76" s="48" t="n">
        <f aca="false">-AI72*(In_MEKH+In_HIPA+In_Innovation)</f>
        <v>-71.9951333439264</v>
      </c>
      <c r="AJ76" s="48" t="n">
        <f aca="false">-AJ72*(In_MEKH+In_HIPA+In_Innovation)</f>
        <v>-72.7950792699701</v>
      </c>
      <c r="AK76" s="48" t="n">
        <f aca="false">-AK72*(In_MEKH+In_HIPA+In_Innovation)</f>
        <v>-73.5950251960137</v>
      </c>
      <c r="AL76" s="48" t="n">
        <f aca="false">-AL72*(In_MEKH+In_HIPA+In_Innovation)</f>
        <v>-73.3742401204257</v>
      </c>
      <c r="AM76" s="48" t="n">
        <f aca="false">-AM72*(In_MEKH+In_HIPA+In_Innovation)</f>
        <v>-72.4969394233336</v>
      </c>
      <c r="AN76" s="48" t="n">
        <f aca="false">-AN72*(In_MEKH+In_HIPA+In_Innovation)</f>
        <v>-73.3024609724817</v>
      </c>
      <c r="AO76" s="48" t="n">
        <f aca="false">-AO72*(In_MEKH+In_HIPA+In_Innovation)</f>
        <v>-74.1079825216299</v>
      </c>
      <c r="AP76" s="48" t="n">
        <f aca="false">-AP72*(In_MEKH+In_HIPA+In_Innovation)</f>
        <v>-73.885658574065</v>
      </c>
      <c r="AQ76" s="48" t="n">
        <f aca="false">-AQ72*(In_MEKH+In_HIPA+In_Innovation)</f>
        <v>-73.0022430911142</v>
      </c>
      <c r="AR76" s="48" t="n">
        <f aca="false">-AR72*(In_MEKH+In_HIPA+In_Innovation)</f>
        <v>-73.81337912546</v>
      </c>
      <c r="AS76" s="48" t="n">
        <f aca="false">-AS72*(In_MEKH+In_HIPA+In_Innovation)</f>
        <v>-74.6245151598057</v>
      </c>
      <c r="AT76" s="48" t="n">
        <f aca="false">-AT72*(In_MEKH+In_HIPA+In_Innovation)</f>
        <v>-74.4006416143263</v>
      </c>
      <c r="AU76" s="48" t="n">
        <f aca="false">-AU72*(In_MEKH+In_HIPA+In_Innovation)</f>
        <v>-74.3278583779644</v>
      </c>
      <c r="AV76" s="48" t="n">
        <f aca="false">-AV72*(In_MEKH+In_HIPA+In_Innovation)</f>
        <v>-74.3278583779644</v>
      </c>
      <c r="AW76" s="48" t="n">
        <f aca="false">-AW72*(In_MEKH+In_HIPA+In_Innovation)</f>
        <v>-75.1446480304695</v>
      </c>
      <c r="AX76" s="48" t="n">
        <f aca="false">-AX72*(In_MEKH+In_HIPA+In_Innovation)</f>
        <v>-74.9192140863781</v>
      </c>
      <c r="AY76" s="48" t="n">
        <f aca="false">-AY72*(In_MEKH+In_HIPA+In_Innovation)</f>
        <v>-74.0234408744757</v>
      </c>
      <c r="AZ76" s="48" t="n">
        <f aca="false">-AZ72*(In_MEKH+In_HIPA+In_Innovation)</f>
        <v>-74.8459235508588</v>
      </c>
      <c r="BA76" s="48" t="n">
        <f aca="false">-BA72*(In_MEKH+In_HIPA+In_Innovation)</f>
        <v>-75.6684062272419</v>
      </c>
      <c r="BB76" s="48" t="n">
        <f aca="false">-BB72*(In_MEKH+In_HIPA+In_Innovation)</f>
        <v>-75.4414010085602</v>
      </c>
      <c r="BC76" s="48" t="n">
        <f aca="false">-BC72*(In_MEKH+In_HIPA+In_Innovation)</f>
        <v>-74.5393842573708</v>
      </c>
      <c r="BD76" s="48" t="n">
        <f aca="false">-BD72*(In_MEKH+In_HIPA+In_Innovation)</f>
        <v>-75.3675996380083</v>
      </c>
      <c r="BE76" s="48" t="n">
        <f aca="false">-BE72*(In_MEKH+In_HIPA+In_Innovation)</f>
        <v>-76.1958150186458</v>
      </c>
      <c r="BF76" s="48" t="n">
        <f aca="false">-BF72*(In_MEKH+In_HIPA+In_Innovation)</f>
        <v>-75.9672275735898</v>
      </c>
      <c r="BG76" s="48" t="n">
        <f aca="false">-BG72*(In_MEKH+In_HIPA+In_Innovation)</f>
        <v>-75.0589237656447</v>
      </c>
      <c r="BH76" s="48" t="n">
        <f aca="false">-BH72*(In_MEKH+In_HIPA+In_Innovation)</f>
        <v>-75.8929118074852</v>
      </c>
      <c r="BI76" s="48" t="n">
        <f aca="false">-BI72*(In_MEKH+In_HIPA+In_Innovation)</f>
        <v>-76.7268998493257</v>
      </c>
      <c r="BJ76" s="48" t="n">
        <f aca="false">-BJ72*(In_MEKH+In_HIPA+In_Innovation)</f>
        <v>-76.4967191497777</v>
      </c>
      <c r="BK76" s="48" t="n">
        <f aca="false">-BK72*(In_MEKH+In_HIPA+In_Innovation)</f>
        <v>-76.4218854027834</v>
      </c>
      <c r="BL76" s="48" t="n">
        <f aca="false">-BL72*(In_MEKH+In_HIPA+In_Innovation)</f>
        <v>-76.4218854027834</v>
      </c>
      <c r="BM76" s="48" t="n">
        <f aca="false">-BM72*(In_MEKH+In_HIPA+In_Innovation)</f>
        <v>-77.2616863412755</v>
      </c>
      <c r="BN76" s="48" t="n">
        <f aca="false">-BN72*(In_MEKH+In_HIPA+In_Innovation)</f>
        <v>-77.0299012822517</v>
      </c>
      <c r="BO76" s="48" t="n">
        <f aca="false">-BO72*(In_MEKH+In_HIPA+In_Innovation)</f>
        <v>-76.1088915930074</v>
      </c>
      <c r="BP76" s="48" t="n">
        <f aca="false">-BP72*(In_MEKH+In_HIPA+In_Innovation)</f>
        <v>-76.9545459440408</v>
      </c>
      <c r="BQ76" s="48" t="n">
        <f aca="false">-BQ72*(In_MEKH+In_HIPA+In_Innovation)</f>
        <v>-77.8002002950742</v>
      </c>
      <c r="BR76" s="48" t="n">
        <f aca="false">-BR72*(In_MEKH+In_HIPA+In_Innovation)</f>
        <v>-77.566799694189</v>
      </c>
      <c r="BS76" s="48" t="n">
        <f aca="false">-BS72*(In_MEKH+In_HIPA+In_Innovation)</f>
        <v>-76.6393705674106</v>
      </c>
      <c r="BT76" s="48" t="n">
        <f aca="false">-BT72*(In_MEKH+In_HIPA+In_Innovation)</f>
        <v>-77.4909191292708</v>
      </c>
      <c r="BU76" s="48" t="n">
        <f aca="false">-BU72*(In_MEKH+In_HIPA+In_Innovation)</f>
        <v>-78.3424676911309</v>
      </c>
      <c r="BV76" s="48" t="n">
        <f aca="false">-BV72*(In_MEKH+In_HIPA+In_Innovation)</f>
        <v>-78.1074402880575</v>
      </c>
      <c r="BW76" s="48" t="n">
        <f aca="false">-BW72*(In_MEKH+In_HIPA+In_Innovation)</f>
        <v>-77.1735469802655</v>
      </c>
      <c r="BX76" s="48" t="n">
        <f aca="false">-BX72*(In_MEKH+In_HIPA+In_Innovation)</f>
        <v>-78.0310308356018</v>
      </c>
      <c r="BY76" s="48" t="n">
        <f aca="false">-BY72*(In_MEKH+In_HIPA+In_Innovation)</f>
        <v>-78.888514690938</v>
      </c>
      <c r="BZ76" s="48" t="n">
        <f aca="false">-BZ72*(In_MEKH+In_HIPA+In_Innovation)</f>
        <v>-78.6518491468652</v>
      </c>
      <c r="CA76" s="48" t="n">
        <f aca="false">-CA72*(In_MEKH+In_HIPA+In_Innovation)</f>
        <v>-78.5749071205259</v>
      </c>
      <c r="CB76" s="48" t="n">
        <f aca="false">-CB72*(In_MEKH+In_HIPA+In_Innovation)</f>
        <v>-78.5749071205259</v>
      </c>
      <c r="CC76" s="48" t="n">
        <f aca="false">-CC72*(In_MEKH+In_HIPA+In_Innovation)</f>
        <v>-79.4383676383339</v>
      </c>
      <c r="CD76" s="48" t="n">
        <f aca="false">-CD72*(In_MEKH+In_HIPA+In_Innovation)</f>
        <v>-79.2000525354189</v>
      </c>
      <c r="CE76" s="48" t="n">
        <f aca="false">-CE72*(In_MEKH+In_HIPA+In_Innovation)</f>
        <v>-78.2530953855389</v>
      </c>
      <c r="CF76" s="48" t="n">
        <f aca="false">-CF72*(In_MEKH+In_HIPA+In_Innovation)</f>
        <v>-79.122574223156</v>
      </c>
      <c r="CG76" s="48" t="n">
        <f aca="false">-CG72*(In_MEKH+In_HIPA+In_Innovation)</f>
        <v>-79.9920530607731</v>
      </c>
      <c r="CH76" s="48" t="n">
        <f aca="false">-CH72*(In_MEKH+In_HIPA+In_Innovation)</f>
        <v>-79.7520769015908</v>
      </c>
      <c r="CI76" s="48" t="n">
        <f aca="false">-CI72*(In_MEKH+In_HIPA+In_Innovation)</f>
        <v>-78.7985194603761</v>
      </c>
      <c r="CJ76" s="48" t="n">
        <f aca="false">-CJ72*(In_MEKH+In_HIPA+In_Innovation)</f>
        <v>-79.6740585654914</v>
      </c>
      <c r="CK76" s="48" t="n">
        <f aca="false">-CK72*(In_MEKH+In_HIPA+In_Innovation)</f>
        <v>-80.5495976706067</v>
      </c>
      <c r="CL76" s="48" t="n">
        <f aca="false">-CL72*(In_MEKH+In_HIPA+In_Innovation)</f>
        <v>-80.3079488775948</v>
      </c>
      <c r="CM76" s="48" t="n">
        <f aca="false">-CM72*(In_MEKH+In_HIPA+In_Innovation)</f>
        <v>-79.3477451410149</v>
      </c>
      <c r="CN76" s="48" t="n">
        <f aca="false">-CN72*(In_MEKH+In_HIPA+In_Innovation)</f>
        <v>-80.2293867536928</v>
      </c>
      <c r="CO76" s="48" t="n">
        <f aca="false">-CO72*(In_MEKH+In_HIPA+In_Innovation)</f>
        <v>-81.1110283663708</v>
      </c>
      <c r="CP76" s="48" t="n">
        <f aca="false">-CP72*(In_MEKH+In_HIPA+In_Innovation)</f>
        <v>-80.8676952812717</v>
      </c>
      <c r="CQ76" s="48" t="n">
        <f aca="false">-CQ72*(In_MEKH+In_HIPA+In_Innovation)</f>
        <v>-80.7885855793661</v>
      </c>
      <c r="CR76" s="48" t="n">
        <f aca="false">-CR72*(In_MEKH+In_HIPA+In_Innovation)</f>
        <v>-80.7885855793661</v>
      </c>
      <c r="CS76" s="48" t="n">
        <f aca="false">-CS72*(In_MEKH+In_HIPA+In_Innovation)</f>
        <v>-81.6763722340844</v>
      </c>
      <c r="CT76" s="48" t="n">
        <f aca="false">-CT72*(In_MEKH+In_HIPA+In_Innovation)</f>
        <v>-81.4313431173821</v>
      </c>
      <c r="CU76" s="48" t="n">
        <f aca="false">-CU72*(In_MEKH+In_HIPA+In_Innovation)</f>
        <v>-80.4577074931526</v>
      </c>
      <c r="CV76" s="48" t="n">
        <f aca="false">-CV72*(In_MEKH+In_HIPA+In_Innovation)</f>
        <v>-81.3516820208543</v>
      </c>
      <c r="CW76" s="48" t="n">
        <f aca="false">-CW72*(In_MEKH+In_HIPA+In_Innovation)</f>
        <v>-82.245656548556</v>
      </c>
      <c r="CX76" s="48" t="n">
        <f aca="false">-CX72*(In_MEKH+In_HIPA+In_Innovation)</f>
        <v>-81.9989195789103</v>
      </c>
      <c r="CY76" s="48" t="n">
        <f aca="false">-CY72*(In_MEKH+In_HIPA+In_Innovation)</f>
        <v>-81.0184977143799</v>
      </c>
      <c r="CZ76" s="48" t="n">
        <f aca="false">-CZ72*(In_MEKH+In_HIPA+In_Innovation)</f>
        <v>-81.9187032445396</v>
      </c>
      <c r="DA76" s="48" t="n">
        <f aca="false">-DA72*(In_MEKH+In_HIPA+In_Innovation)</f>
        <v>-82.8189087746994</v>
      </c>
      <c r="DB76" s="48" t="n">
        <f aca="false">-DB72*(In_MEKH+In_HIPA+In_Innovation)</f>
        <v>-82.5704520483753</v>
      </c>
      <c r="DC76" s="48" t="n">
        <f aca="false">-DC72*(In_MEKH+In_HIPA+In_Innovation)</f>
        <v>-81.5831966434491</v>
      </c>
      <c r="DD76" s="48" t="n">
        <f aca="false">-DD72*(In_MEKH+In_HIPA+In_Innovation)</f>
        <v>-82.4896766061541</v>
      </c>
      <c r="DE76" s="48" t="n">
        <f aca="false">-DE72*(In_MEKH+In_HIPA+In_Innovation)</f>
        <v>-83.3961565688591</v>
      </c>
      <c r="DF76" s="48" t="n">
        <f aca="false">-DF72*(In_MEKH+In_HIPA+In_Innovation)</f>
        <v>-83.1459680991525</v>
      </c>
      <c r="DG76" s="48" t="n">
        <f aca="false">-DG72*(In_MEKH+In_HIPA+In_Innovation)</f>
        <v>-83.0646296520989</v>
      </c>
      <c r="DH76" s="48" t="n">
        <f aca="false">-DH72*(In_MEKH+In_HIPA+In_Innovation)</f>
        <v>-83.0646296520989</v>
      </c>
      <c r="DI76" s="48" t="n">
        <f aca="false">-DI72*(In_MEKH+In_HIPA+In_Innovation)</f>
        <v>-83.977427780144</v>
      </c>
      <c r="DJ76" s="48" t="n">
        <f aca="false">-DJ72*(In_MEKH+In_HIPA+In_Innovation)</f>
        <v>-83.7254954968036</v>
      </c>
      <c r="DK76" s="48" t="n">
        <f aca="false">-DK72*(In_MEKH+In_HIPA+In_Innovation)</f>
        <v>-82.7244297897766</v>
      </c>
      <c r="DL76" s="48" t="n">
        <f aca="false">-DL72*(In_MEKH+In_HIPA+In_Innovation)</f>
        <v>-83.6435901207741</v>
      </c>
      <c r="DM76" s="48" t="n">
        <f aca="false">-DM72*(In_MEKH+In_HIPA+In_Innovation)</f>
        <v>-84.5627504517716</v>
      </c>
      <c r="DN76" s="48" t="n">
        <f aca="false">-DN72*(In_MEKH+In_HIPA+In_Innovation)</f>
        <v>-84.3090622004163</v>
      </c>
      <c r="DO76" s="48" t="n">
        <f aca="false">-DO72*(In_MEKH+In_HIPA+In_Innovation)</f>
        <v>-83.3010190654113</v>
      </c>
      <c r="DP76" s="48" t="n">
        <f aca="false">-DP72*(In_MEKH+In_HIPA+In_Innovation)</f>
        <v>-84.2265859439159</v>
      </c>
      <c r="DQ76" s="48" t="n">
        <f aca="false">-DQ72*(In_MEKH+In_HIPA+In_Innovation)</f>
        <v>-85.1521528224205</v>
      </c>
      <c r="DR76" s="48" t="n">
        <f aca="false">-DR72*(In_MEKH+In_HIPA+In_Innovation)</f>
        <v>-84.8966963639532</v>
      </c>
      <c r="DS76" s="48" t="n">
        <f aca="false">-DS72*(In_MEKH+In_HIPA+In_Innovation)</f>
        <v>-83.8816271682972</v>
      </c>
      <c r="DT76" s="48" t="n">
        <f aca="false">-DT72*(In_MEKH+In_HIPA+In_Innovation)</f>
        <v>-84.813645247945</v>
      </c>
      <c r="DU76" s="48" t="n">
        <f aca="false">-DU72*(In_MEKH+In_HIPA+In_Innovation)</f>
        <v>-85.7456633275927</v>
      </c>
      <c r="DV76" s="48" t="n">
        <f aca="false">-DV72*(In_MEKH+In_HIPA+In_Innovation)</f>
        <v>-85.48842633761</v>
      </c>
      <c r="DW76" s="48" t="n">
        <f aca="false">-DW72*(In_MEKH+In_HIPA+In_Innovation)</f>
        <v>-85.4047963553232</v>
      </c>
      <c r="DX76" s="48" t="n">
        <f aca="false">-DX72*(In_MEKH+In_HIPA+In_Innovation)</f>
        <v>-85.4047963553232</v>
      </c>
      <c r="DY76" s="48" t="n">
        <f aca="false">-DY72*(In_MEKH+In_HIPA+In_Innovation)</f>
        <v>-86.3433106009861</v>
      </c>
      <c r="DZ76" s="48" t="n">
        <f aca="false">-DZ72*(In_MEKH+In_HIPA+In_Innovation)</f>
        <v>-86.0842806691831</v>
      </c>
      <c r="EA76" s="48" t="n">
        <f aca="false">-EA72*(In_MEKH+In_HIPA+In_Innovation)</f>
        <v>-85.0550120959646</v>
      </c>
      <c r="EB76" s="48" t="n">
        <f aca="false">-EB72*(In_MEKH+In_HIPA+In_Innovation)</f>
        <v>-86.0000677859198</v>
      </c>
      <c r="EC76" s="48" t="n">
        <f aca="false">-EC72*(In_MEKH+In_HIPA+In_Innovation)</f>
        <v>-86.9451234758749</v>
      </c>
      <c r="ED76" s="48" t="n">
        <f aca="false">-ED72*(In_MEKH+In_HIPA+In_Innovation)</f>
        <v>-86.6842881054473</v>
      </c>
      <c r="EE76" s="48" t="n">
        <f aca="false">-EE72*(In_MEKH+In_HIPA+In_Innovation)</f>
        <v>-85.6478455302735</v>
      </c>
      <c r="EF76" s="48" t="n">
        <f aca="false">-EF72*(In_MEKH+In_HIPA+In_Innovation)</f>
        <v>-86.5994882583876</v>
      </c>
      <c r="EG76" s="48" t="n">
        <f aca="false">-EG72*(In_MEKH+In_HIPA+In_Innovation)</f>
        <v>-87.5511309865018</v>
      </c>
      <c r="EH76" s="48" t="n">
        <f aca="false">-EH72*(In_MEKH+In_HIPA+In_Innovation)</f>
        <v>-87.2884775935423</v>
      </c>
      <c r="EI76" s="48" t="n">
        <f aca="false">-EI72*(In_MEKH+In_HIPA+In_Innovation)</f>
        <v>-86.2448110136195</v>
      </c>
      <c r="EJ76" s="48" t="n">
        <f aca="false">-EJ72*(In_MEKH+In_HIPA+In_Innovation)</f>
        <v>-87.2030866915486</v>
      </c>
      <c r="EK76" s="48" t="n">
        <f aca="false">-EK72*(In_MEKH+In_HIPA+In_Innovation)</f>
        <v>-88.1613623694777</v>
      </c>
      <c r="EL76" s="48" t="n">
        <f aca="false">-EL72*(In_MEKH+In_HIPA+In_Innovation)</f>
        <v>-87.8968782823693</v>
      </c>
      <c r="EM76" s="48" t="n">
        <f aca="false">-EM72*(In_MEKH+In_HIPA+In_Innovation)</f>
        <v>-87.8108922057887</v>
      </c>
      <c r="EN76" s="48" t="n">
        <f aca="false">-EN72*(In_MEKH+In_HIPA+In_Innovation)</f>
        <v>-87.8108922057887</v>
      </c>
      <c r="EO76" s="48" t="n">
        <f aca="false">-EO72*(In_MEKH+In_HIPA+In_Innovation)</f>
        <v>-88.775847065193</v>
      </c>
    </row>
    <row r="77" customFormat="false" ht="15" hidden="false" customHeight="false" outlineLevel="0" collapsed="false">
      <c r="C77" s="1" t="s">
        <v>307</v>
      </c>
      <c r="D77" s="12" t="s">
        <v>33</v>
      </c>
      <c r="I77" s="48" t="n">
        <f aca="false">SUM(J77:EO77)</f>
        <v>-4855.44410223627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-27.6861487621918</v>
      </c>
      <c r="AA77" s="48" t="n">
        <f aca="false">In_Opex_Contingency*(AA73+AA74+AA75-AA72*In_MEKH)</f>
        <v>-27.759186020589</v>
      </c>
      <c r="AB77" s="48" t="n">
        <f aca="false">In_Opex_Contingency*(AB73+AB74+AB75-AB72*In_MEKH)</f>
        <v>-28.0676214208178</v>
      </c>
      <c r="AC77" s="48" t="n">
        <f aca="false">In_Opex_Contingency*(AC73+AC74+AC75-AC72*In_MEKH)</f>
        <v>-28.3760568210466</v>
      </c>
      <c r="AD77" s="48" t="n">
        <f aca="false">In_Opex_Contingency*(AD73+AD74+AD75-AD72*In_MEKH)</f>
        <v>-28.3500276231862</v>
      </c>
      <c r="AE77" s="48" t="n">
        <f aca="false">In_Opex_Contingency*(AE73+AE74+AE75-AE72*In_MEKH)</f>
        <v>-28.7406852947782</v>
      </c>
      <c r="AF77" s="48" t="n">
        <f aca="false">In_Opex_Contingency*(AF73+AF74+AF75-AF72*In_MEKH)</f>
        <v>-28.7406852947782</v>
      </c>
      <c r="AG77" s="48" t="n">
        <f aca="false">In_Opex_Contingency*(AG73+AG74+AG75-AG72*In_MEKH)</f>
        <v>-29.0565170013142</v>
      </c>
      <c r="AH77" s="48" t="n">
        <f aca="false">In_Opex_Contingency*(AH73+AH74+AH75-AH72*In_MEKH)</f>
        <v>-29.0299238972281</v>
      </c>
      <c r="AI77" s="48" t="n">
        <f aca="false">In_Opex_Contingency*(AI73+AI74+AI75-AI72*In_MEKH)</f>
        <v>-29.1065819877973</v>
      </c>
      <c r="AJ77" s="48" t="n">
        <f aca="false">In_Opex_Contingency*(AJ73+AJ74+AJ75-AJ72*In_MEKH)</f>
        <v>-29.4299884543283</v>
      </c>
      <c r="AK77" s="48" t="n">
        <f aca="false">In_Opex_Contingency*(AK73+AK74+AK75-AK72*In_MEKH)</f>
        <v>-29.7533949208594</v>
      </c>
      <c r="AL77" s="48" t="n">
        <f aca="false">In_Opex_Contingency*(AL73+AL74+AL75-AL72*In_MEKH)</f>
        <v>-29.7262255941876</v>
      </c>
      <c r="AM77" s="48" t="n">
        <f aca="false">In_Opex_Contingency*(AM73+AM74+AM75-AM72*In_MEKH)</f>
        <v>-29.8047602827551</v>
      </c>
      <c r="AN77" s="48" t="n">
        <f aca="false">In_Opex_Contingency*(AN73+AN74+AN75-AN72*In_MEKH)</f>
        <v>-30.1359242858968</v>
      </c>
      <c r="AO77" s="48" t="n">
        <f aca="false">In_Opex_Contingency*(AO73+AO74+AO75-AO72*In_MEKH)</f>
        <v>-30.4670882890385</v>
      </c>
      <c r="AP77" s="48" t="n">
        <f aca="false">In_Opex_Contingency*(AP73+AP74+AP75-AP72*In_MEKH)</f>
        <v>-30.4393301537144</v>
      </c>
      <c r="AQ77" s="48" t="n">
        <f aca="false">In_Opex_Contingency*(AQ73+AQ74+AQ75-AQ72*In_MEKH)</f>
        <v>-30.5197869920154</v>
      </c>
      <c r="AR77" s="48" t="n">
        <f aca="false">In_Opex_Contingency*(AR73+AR74+AR75-AR72*In_MEKH)</f>
        <v>-30.8588957363711</v>
      </c>
      <c r="AS77" s="48" t="n">
        <f aca="false">In_Opex_Contingency*(AS73+AS74+AS75-AS72*In_MEKH)</f>
        <v>-31.1980044807269</v>
      </c>
      <c r="AT77" s="48" t="n">
        <f aca="false">In_Opex_Contingency*(AT73+AT74+AT75-AT72*In_MEKH)</f>
        <v>-31.1696446750663</v>
      </c>
      <c r="AU77" s="48" t="n">
        <f aca="false">In_Opex_Contingency*(AU73+AU74+AU75-AU72*In_MEKH)</f>
        <v>-31.599315546111</v>
      </c>
      <c r="AV77" s="48" t="n">
        <f aca="false">In_Opex_Contingency*(AV73+AV74+AV75-AV72*In_MEKH)</f>
        <v>-31.599315546111</v>
      </c>
      <c r="AW77" s="48" t="n">
        <f aca="false">In_Opex_Contingency*(AW73+AW74+AW75-AW72*In_MEKH)</f>
        <v>-31.9465607718925</v>
      </c>
      <c r="AX77" s="48" t="n">
        <f aca="false">In_Opex_Contingency*(AX73+AX74+AX75-AX72*In_MEKH)</f>
        <v>-31.9175861525529</v>
      </c>
      <c r="AY77" s="48" t="n">
        <f aca="false">In_Opex_Contingency*(AY73+AY74+AY75-AY72*In_MEKH)</f>
        <v>-32.0020283943847</v>
      </c>
      <c r="AZ77" s="48" t="n">
        <f aca="false">In_Opex_Contingency*(AZ73+AZ74+AZ75-AZ72*In_MEKH)</f>
        <v>-32.3576064876556</v>
      </c>
      <c r="BA77" s="48" t="n">
        <f aca="false">In_Opex_Contingency*(BA73+BA74+BA75-BA72*In_MEKH)</f>
        <v>-32.7131845809266</v>
      </c>
      <c r="BB77" s="48" t="n">
        <f aca="false">In_Opex_Contingency*(BB73+BB74+BB75-BB72*In_MEKH)</f>
        <v>-32.6835817167343</v>
      </c>
      <c r="BC77" s="48" t="n">
        <f aca="false">In_Opex_Contingency*(BC73+BC74+BC75-BC72*In_MEKH)</f>
        <v>-32.7700895046566</v>
      </c>
      <c r="BD77" s="48" t="n">
        <f aca="false">In_Opex_Contingency*(BD73+BD74+BD75-BD72*In_MEKH)</f>
        <v>-33.1342016102639</v>
      </c>
      <c r="BE77" s="48" t="n">
        <f aca="false">In_Opex_Contingency*(BE73+BE74+BE75-BE72*In_MEKH)</f>
        <v>-33.4983137158712</v>
      </c>
      <c r="BF77" s="48" t="n">
        <f aca="false">In_Opex_Contingency*(BF73+BF74+BF75-BF72*In_MEKH)</f>
        <v>-33.4680688815128</v>
      </c>
      <c r="BG77" s="48" t="n">
        <f aca="false">In_Opex_Contingency*(BG73+BG74+BG75-BG72*In_MEKH)</f>
        <v>-33.556692353174</v>
      </c>
      <c r="BH77" s="48" t="n">
        <f aca="false">In_Opex_Contingency*(BH73+BH74+BH75-BH72*In_MEKH)</f>
        <v>-33.9295444904315</v>
      </c>
      <c r="BI77" s="48" t="n">
        <f aca="false">In_Opex_Contingency*(BI73+BI74+BI75-BI72*In_MEKH)</f>
        <v>-34.302396627689</v>
      </c>
      <c r="BJ77" s="48" t="n">
        <f aca="false">In_Opex_Contingency*(BJ73+BJ74+BJ75-BJ72*In_MEKH)</f>
        <v>-34.271495797265</v>
      </c>
      <c r="BK77" s="48" t="n">
        <f aca="false">In_Opex_Contingency*(BK73+BK74+BK75-BK72*In_MEKH)</f>
        <v>-34.7440894885305</v>
      </c>
      <c r="BL77" s="48" t="n">
        <f aca="false">In_Opex_Contingency*(BL73+BL74+BL75-BL72*In_MEKH)</f>
        <v>-34.7440894885305</v>
      </c>
      <c r="BM77" s="48" t="n">
        <f aca="false">In_Opex_Contingency*(BM73+BM74+BM75-BM72*In_MEKH)</f>
        <v>-35.1258926697232</v>
      </c>
      <c r="BN77" s="48" t="n">
        <f aca="false">In_Opex_Contingency*(BN73+BN74+BN75-BN72*In_MEKH)</f>
        <v>-35.0943215101595</v>
      </c>
      <c r="BO77" s="48" t="n">
        <f aca="false">In_Opex_Contingency*(BO73+BO74+BO75-BO72*In_MEKH)</f>
        <v>-35.1873316599441</v>
      </c>
      <c r="BP77" s="48" t="n">
        <f aca="false">In_Opex_Contingency*(BP73+BP74+BP75-BP72*In_MEKH)</f>
        <v>-35.5783020117213</v>
      </c>
      <c r="BQ77" s="48" t="n">
        <f aca="false">In_Opex_Contingency*(BQ73+BQ74+BQ75-BQ72*In_MEKH)</f>
        <v>-35.9692723634984</v>
      </c>
      <c r="BR77" s="48" t="n">
        <f aca="false">In_Opex_Contingency*(BR73+BR74+BR75-BR72*In_MEKH)</f>
        <v>-35.9370162278146</v>
      </c>
      <c r="BS77" s="48" t="n">
        <f aca="false">In_Opex_Contingency*(BS73+BS74+BS75-BS72*In_MEKH)</f>
        <v>-36.0322998955625</v>
      </c>
      <c r="BT77" s="48" t="n">
        <f aca="false">In_Opex_Contingency*(BT73+BT74+BT75-BT72*In_MEKH)</f>
        <v>-36.432658783291</v>
      </c>
      <c r="BU77" s="48" t="n">
        <f aca="false">In_Opex_Contingency*(BU73+BU74+BU75-BU72*In_MEKH)</f>
        <v>-36.8330176710195</v>
      </c>
      <c r="BV77" s="48" t="n">
        <f aca="false">In_Opex_Contingency*(BV73+BV74+BV75-BV72*In_MEKH)</f>
        <v>-36.8000615914482</v>
      </c>
      <c r="BW77" s="48" t="n">
        <f aca="false">In_Opex_Contingency*(BW73+BW74+BW75-BW72*In_MEKH)</f>
        <v>-36.897673963427</v>
      </c>
      <c r="BX77" s="48" t="n">
        <f aca="false">In_Opex_Contingency*(BX73+BX74+BX75-BX72*In_MEKH)</f>
        <v>-37.3076481185762</v>
      </c>
      <c r="BY77" s="48" t="n">
        <f aca="false">In_Opex_Contingency*(BY73+BY74+BY75-BY72*In_MEKH)</f>
        <v>-37.7176222737254</v>
      </c>
      <c r="BZ77" s="48" t="n">
        <f aca="false">In_Opex_Contingency*(BZ73+BZ74+BZ75-BZ72*In_MEKH)</f>
        <v>-37.6839509546821</v>
      </c>
      <c r="CA77" s="48" t="n">
        <f aca="false">In_Opex_Contingency*(CA73+CA74+CA75-CA72*In_MEKH)</f>
        <v>-38.20377020763</v>
      </c>
      <c r="CB77" s="48" t="n">
        <f aca="false">In_Opex_Contingency*(CB73+CB74+CB75-CB72*In_MEKH)</f>
        <v>-38.20377020763</v>
      </c>
      <c r="CC77" s="48" t="n">
        <f aca="false">In_Opex_Contingency*(CC73+CC74+CC75-CC72*In_MEKH)</f>
        <v>-38.6235918582633</v>
      </c>
      <c r="CD77" s="48" t="n">
        <f aca="false">In_Opex_Contingency*(CD73+CD74+CD75-CD72*In_MEKH)</f>
        <v>-38.5891896691609</v>
      </c>
      <c r="CE77" s="48" t="n">
        <f aca="false">In_Opex_Contingency*(CE73+CE74+CE75-CE72*In_MEKH)</f>
        <v>-38.6916304003514</v>
      </c>
      <c r="CF77" s="48" t="n">
        <f aca="false">In_Opex_Contingency*(CF73+CF74+CF75-CF72*In_MEKH)</f>
        <v>-39.1215374047998</v>
      </c>
      <c r="CG77" s="48" t="n">
        <f aca="false">In_Opex_Contingency*(CG73+CG74+CG75-CG72*In_MEKH)</f>
        <v>-39.5514444092481</v>
      </c>
      <c r="CH77" s="48" t="n">
        <f aca="false">In_Opex_Contingency*(CH73+CH74+CH75-CH72*In_MEKH)</f>
        <v>-39.5162953771545</v>
      </c>
      <c r="CI77" s="48" t="n">
        <f aca="false">In_Opex_Contingency*(CI73+CI74+CI75-CI72*In_MEKH)</f>
        <v>-39.6212385415893</v>
      </c>
      <c r="CJ77" s="48" t="n">
        <f aca="false">In_Opex_Contingency*(CJ73+CJ74+CJ75-CJ72*In_MEKH)</f>
        <v>-40.0614745253848</v>
      </c>
      <c r="CK77" s="48" t="n">
        <f aca="false">In_Opex_Contingency*(CK73+CK74+CK75-CK72*In_MEKH)</f>
        <v>-40.5017105091802</v>
      </c>
      <c r="CL77" s="48" t="n">
        <f aca="false">In_Opex_Contingency*(CL73+CL74+CL75-CL72*In_MEKH)</f>
        <v>-40.4657983113151</v>
      </c>
      <c r="CM77" s="48" t="n">
        <f aca="false">In_Opex_Contingency*(CM73+CM74+CM75-CM72*In_MEKH)</f>
        <v>-40.5733046533978</v>
      </c>
      <c r="CN77" s="48" t="n">
        <f aca="false">In_Opex_Contingency*(CN73+CN74+CN75-CN72*In_MEKH)</f>
        <v>-41.0241191495467</v>
      </c>
      <c r="CO77" s="48" t="n">
        <f aca="false">In_Opex_Contingency*(CO73+CO74+CO75-CO72*In_MEKH)</f>
        <v>-41.4749336456956</v>
      </c>
      <c r="CP77" s="48" t="n">
        <f aca="false">In_Opex_Contingency*(CP73+CP74+CP75-CP72*In_MEKH)</f>
        <v>-41.4382416017625</v>
      </c>
      <c r="CQ77" s="48" t="n">
        <f aca="false">In_Opex_Contingency*(CQ73+CQ74+CQ75-CQ72*In_MEKH)</f>
        <v>-42.0100219336516</v>
      </c>
      <c r="CR77" s="48" t="n">
        <f aca="false">In_Opex_Contingency*(CR73+CR74+CR75-CR72*In_MEKH)</f>
        <v>-42.0100219336516</v>
      </c>
      <c r="CS77" s="48" t="n">
        <f aca="false">In_Opex_Contingency*(CS73+CS74+CS75-CS72*In_MEKH)</f>
        <v>-42.471670526329</v>
      </c>
      <c r="CT77" s="48" t="n">
        <f aca="false">In_Opex_Contingency*(CT73+CT74+CT75-CT72*In_MEKH)</f>
        <v>-42.4341815906792</v>
      </c>
      <c r="CU77" s="48" t="n">
        <f aca="false">In_Opex_Contingency*(CU73+CU74+CU75-CU72*In_MEKH)</f>
        <v>-42.5470024574743</v>
      </c>
      <c r="CV77" s="48" t="n">
        <f aca="false">In_Opex_Contingency*(CV73+CV74+CV75-CV72*In_MEKH)</f>
        <v>-43.019746929224</v>
      </c>
      <c r="CW77" s="48" t="n">
        <f aca="false">In_Opex_Contingency*(CW73+CW74+CW75-CW72*In_MEKH)</f>
        <v>-43.4924914009738</v>
      </c>
      <c r="CX77" s="48" t="n">
        <f aca="false">In_Opex_Contingency*(CX73+CX74+CX75-CX72*In_MEKH)</f>
        <v>-43.4541881545982</v>
      </c>
      <c r="CY77" s="48" t="n">
        <f aca="false">In_Opex_Contingency*(CY73+CY74+CY75-CY72*In_MEKH)</f>
        <v>-43.5697634271779</v>
      </c>
      <c r="CZ77" s="48" t="n">
        <f aca="false">In_Opex_Contingency*(CZ73+CZ74+CZ75-CZ72*In_MEKH)</f>
        <v>-44.0538719097021</v>
      </c>
      <c r="DA77" s="48" t="n">
        <f aca="false">In_Opex_Contingency*(DA73+DA74+DA75-DA72*In_MEKH)</f>
        <v>-44.5379803922263</v>
      </c>
      <c r="DB77" s="48" t="n">
        <f aca="false">In_Opex_Contingency*(DB73+DB74+DB75-DB72*In_MEKH)</f>
        <v>-44.4988450345726</v>
      </c>
      <c r="DC77" s="48" t="n">
        <f aca="false">In_Opex_Contingency*(DC73+DC74+DC75-DC72*In_MEKH)</f>
        <v>-44.6172415765537</v>
      </c>
      <c r="DD77" s="48" t="n">
        <f aca="false">In_Opex_Contingency*(DD73+DD74+DD75-DD72*In_MEKH)</f>
        <v>-45.1129887051821</v>
      </c>
      <c r="DE77" s="48" t="n">
        <f aca="false">In_Opex_Contingency*(DE73+DE74+DE75-DE72*In_MEKH)</f>
        <v>-45.6087358338105</v>
      </c>
      <c r="DF77" s="48" t="n">
        <f aca="false">In_Opex_Contingency*(DF73+DF74+DF75-DF72*In_MEKH)</f>
        <v>-45.5687501744202</v>
      </c>
      <c r="DG77" s="48" t="n">
        <f aca="false">In_Opex_Contingency*(DG73+DG74+DG75-DG72*In_MEKH)</f>
        <v>-46.1977035453506</v>
      </c>
      <c r="DH77" s="48" t="n">
        <f aca="false">In_Opex_Contingency*(DH73+DH74+DH75-DH72*In_MEKH)</f>
        <v>-46.1977035453506</v>
      </c>
      <c r="DI77" s="48" t="n">
        <f aca="false">In_Opex_Contingency*(DI73+DI74+DI75-DI72*In_MEKH)</f>
        <v>-46.7053706172776</v>
      </c>
      <c r="DJ77" s="48" t="n">
        <f aca="false">In_Opex_Contingency*(DJ73+DJ74+DJ75-DJ72*In_MEKH)</f>
        <v>-46.6645160672396</v>
      </c>
      <c r="DK77" s="48" t="n">
        <f aca="false">In_Opex_Contingency*(DK73+DK74+DK75-DK72*In_MEKH)</f>
        <v>-46.7887622744214</v>
      </c>
      <c r="DL77" s="48" t="n">
        <f aca="false">In_Opex_Contingency*(DL73+DL74+DL75-DL72*In_MEKH)</f>
        <v>-47.3086374108039</v>
      </c>
      <c r="DM77" s="48" t="n">
        <f aca="false">In_Opex_Contingency*(DM73+DM74+DM75-DM72*In_MEKH)</f>
        <v>-47.8285125471863</v>
      </c>
      <c r="DN77" s="48" t="n">
        <f aca="false">In_Opex_Contingency*(DN73+DN74+DN75-DN72*In_MEKH)</f>
        <v>-47.786770110404</v>
      </c>
      <c r="DO77" s="48" t="n">
        <f aca="false">In_Opex_Contingency*(DO73+DO74+DO75-DO72*In_MEKH)</f>
        <v>-47.9140480809492</v>
      </c>
      <c r="DP77" s="48" t="n">
        <f aca="false">In_Opex_Contingency*(DP73+DP74+DP75-DP72*In_MEKH)</f>
        <v>-48.4464263929598</v>
      </c>
      <c r="DQ77" s="48" t="n">
        <f aca="false">In_Opex_Contingency*(DQ73+DQ74+DQ75-DQ72*In_MEKH)</f>
        <v>-48.9788047049703</v>
      </c>
      <c r="DR77" s="48" t="n">
        <f aca="false">In_Opex_Contingency*(DR73+DR74+DR75-DR72*In_MEKH)</f>
        <v>-48.9361549692362</v>
      </c>
      <c r="DS77" s="48" t="n">
        <f aca="false">In_Opex_Contingency*(DS73+DS74+DS75-DS72*In_MEKH)</f>
        <v>-49.0665383038425</v>
      </c>
      <c r="DT77" s="48" t="n">
        <f aca="false">In_Opex_Contingency*(DT73+DT74+DT75-DT72*In_MEKH)</f>
        <v>-49.6117220627741</v>
      </c>
      <c r="DU77" s="48" t="n">
        <f aca="false">In_Opex_Contingency*(DU73+DU74+DU75-DU72*In_MEKH)</f>
        <v>-50.1569058217057</v>
      </c>
      <c r="DV77" s="48" t="n">
        <f aca="false">In_Opex_Contingency*(DV73+DV74+DV75-DV72*In_MEKH)</f>
        <v>-50.1133289495808</v>
      </c>
      <c r="DW77" s="48" t="n">
        <f aca="false">In_Opex_Contingency*(DW73+DW74+DW75-DW72*In_MEKH)</f>
        <v>-50.8051918484756</v>
      </c>
      <c r="DX77" s="48" t="n">
        <f aca="false">In_Opex_Contingency*(DX73+DX74+DX75-DX72*In_MEKH)</f>
        <v>-50.8051918484756</v>
      </c>
      <c r="DY77" s="48" t="n">
        <f aca="false">In_Opex_Contingency*(DY73+DY74+DY75-DY72*In_MEKH)</f>
        <v>-51.3634906599973</v>
      </c>
      <c r="DZ77" s="48" t="n">
        <f aca="false">In_Opex_Contingency*(DZ73+DZ74+DZ75-DZ72*In_MEKH)</f>
        <v>-51.318966379491</v>
      </c>
      <c r="EA77" s="48" t="n">
        <f aca="false">In_Opex_Contingency*(EA73+EA74+EA75-EA72*In_MEKH)</f>
        <v>-51.4557884398768</v>
      </c>
      <c r="EB77" s="48" t="n">
        <f aca="false">In_Opex_Contingency*(EB73+EB74+EB75-EB72*In_MEKH)</f>
        <v>-52.0275194225421</v>
      </c>
      <c r="EC77" s="48" t="n">
        <f aca="false">In_Opex_Contingency*(EC73+EC74+EC75-EC72*In_MEKH)</f>
        <v>-52.5992504052074</v>
      </c>
      <c r="ED77" s="48" t="n">
        <f aca="false">In_Opex_Contingency*(ED73+ED74+ED75-ED72*In_MEKH)</f>
        <v>-52.5537580002524</v>
      </c>
      <c r="EE77" s="48" t="n">
        <f aca="false">In_Opex_Contingency*(EE73+EE74+EE75-EE72*In_MEKH)</f>
        <v>-52.6939171300324</v>
      </c>
      <c r="EF77" s="48" t="n">
        <f aca="false">In_Opex_Contingency*(EF73+EF74+EF75-EF72*In_MEKH)</f>
        <v>-53.2794050981439</v>
      </c>
      <c r="EG77" s="48" t="n">
        <f aca="false">In_Opex_Contingency*(EG73+EG74+EG75-EG72*In_MEKH)</f>
        <v>-53.8648930662554</v>
      </c>
      <c r="EH77" s="48" t="n">
        <f aca="false">In_Opex_Contingency*(EH73+EH74+EH75-EH72*In_MEKH)</f>
        <v>-53.8184113669737</v>
      </c>
      <c r="EI77" s="48" t="n">
        <f aca="false">In_Opex_Contingency*(EI73+EI74+EI75-EI72*In_MEKH)</f>
        <v>-53.9619885843489</v>
      </c>
      <c r="EJ77" s="48" t="n">
        <f aca="false">In_Opex_Contingency*(EJ73+EJ74+EJ75-EJ72*In_MEKH)</f>
        <v>-54.5615662352861</v>
      </c>
      <c r="EK77" s="48" t="n">
        <f aca="false">In_Opex_Contingency*(EK73+EK74+EK75-EK72*In_MEKH)</f>
        <v>-55.1611438862233</v>
      </c>
      <c r="EL77" s="48" t="n">
        <f aca="false">In_Opex_Contingency*(EL73+EL74+EL75-EL72*In_MEKH)</f>
        <v>-55.1136512589796</v>
      </c>
      <c r="EM77" s="48" t="n">
        <f aca="false">In_Opex_Contingency*(EM73+EM74+EM75-EM72*In_MEKH)</f>
        <v>-55.8747376568881</v>
      </c>
      <c r="EN77" s="48" t="n">
        <f aca="false">In_Opex_Contingency*(EN73+EN74+EN75-EN72*In_MEKH)</f>
        <v>-55.8747376568881</v>
      </c>
      <c r="EO77" s="48" t="n">
        <f aca="false">In_Opex_Contingency*(EO73+EO74+EO75-EO72*In_MEKH)</f>
        <v>-56.4887457630078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-11384.9510381364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-99.8071200000001</v>
      </c>
      <c r="AA78" s="48" t="n">
        <f aca="false">-$E32*AA71/Thousand</f>
        <v>-97.6374</v>
      </c>
      <c r="AB78" s="48" t="n">
        <f aca="false">-$E32*AB71/Thousand</f>
        <v>-98.72226</v>
      </c>
      <c r="AC78" s="48" t="n">
        <f aca="false">-$E32*AC71/Thousand</f>
        <v>-99.8071200000001</v>
      </c>
      <c r="AD78" s="48" t="n">
        <f aca="false">-$E32*AD71/Thousand</f>
        <v>-99.50769864</v>
      </c>
      <c r="AE78" s="48" t="n">
        <f aca="false">-$E32*AE71/Thousand</f>
        <v>-98.42609322</v>
      </c>
      <c r="AF78" s="48" t="n">
        <f aca="false">-$E32*AF71/Thousand</f>
        <v>-98.42609322</v>
      </c>
      <c r="AG78" s="48" t="n">
        <f aca="false">-$E32*AG71/Thousand</f>
        <v>-99.50769864</v>
      </c>
      <c r="AH78" s="48" t="n">
        <f aca="false">-$E32*AH71/Thousand</f>
        <v>-99.2091755440801</v>
      </c>
      <c r="AI78" s="48" t="n">
        <f aca="false">-$E32*AI71/Thousand</f>
        <v>-97.0524543366001</v>
      </c>
      <c r="AJ78" s="48" t="n">
        <f aca="false">-$E32*AJ71/Thousand</f>
        <v>-98.13081494034</v>
      </c>
      <c r="AK78" s="48" t="n">
        <f aca="false">-$E32*AK71/Thousand</f>
        <v>-99.2091755440801</v>
      </c>
      <c r="AL78" s="48" t="n">
        <f aca="false">-$E32*AL71/Thousand</f>
        <v>-98.9115480174478</v>
      </c>
      <c r="AM78" s="48" t="n">
        <f aca="false">-$E32*AM71/Thousand</f>
        <v>-96.7612969735902</v>
      </c>
      <c r="AN78" s="48" t="n">
        <f aca="false">-$E32*AN71/Thousand</f>
        <v>-97.836422495519</v>
      </c>
      <c r="AO78" s="48" t="n">
        <f aca="false">-$E32*AO71/Thousand</f>
        <v>-98.9115480174478</v>
      </c>
      <c r="AP78" s="48" t="n">
        <f aca="false">-$E32*AP71/Thousand</f>
        <v>-98.6148133733955</v>
      </c>
      <c r="AQ78" s="48" t="n">
        <f aca="false">-$E32*AQ71/Thousand</f>
        <v>-96.4710130826695</v>
      </c>
      <c r="AR78" s="48" t="n">
        <f aca="false">-$E32*AR71/Thousand</f>
        <v>-97.5429132280325</v>
      </c>
      <c r="AS78" s="48" t="n">
        <f aca="false">-$E32*AS71/Thousand</f>
        <v>-98.6148133733955</v>
      </c>
      <c r="AT78" s="48" t="n">
        <f aca="false">-$E32*AT71/Thousand</f>
        <v>-98.3189689332753</v>
      </c>
      <c r="AU78" s="48" t="n">
        <f aca="false">-$E32*AU71/Thousand</f>
        <v>-97.2502844883484</v>
      </c>
      <c r="AV78" s="48" t="n">
        <f aca="false">-$E32*AV71/Thousand</f>
        <v>-97.2502844883484</v>
      </c>
      <c r="AW78" s="48" t="n">
        <f aca="false">-$E32*AW71/Thousand</f>
        <v>-98.3189689332753</v>
      </c>
      <c r="AX78" s="48" t="n">
        <f aca="false">-$E32*AX71/Thousand</f>
        <v>-98.0240120264755</v>
      </c>
      <c r="AY78" s="48" t="n">
        <f aca="false">-$E32*AY71/Thousand</f>
        <v>-95.8930552432912</v>
      </c>
      <c r="AZ78" s="48" t="n">
        <f aca="false">-$E32*AZ71/Thousand</f>
        <v>-96.9585336348833</v>
      </c>
      <c r="BA78" s="48" t="n">
        <f aca="false">-$E32*BA71/Thousand</f>
        <v>-98.0240120264755</v>
      </c>
      <c r="BB78" s="48" t="n">
        <f aca="false">-$E32*BB71/Thousand</f>
        <v>-97.729939990396</v>
      </c>
      <c r="BC78" s="48" t="n">
        <f aca="false">-$E32*BC71/Thousand</f>
        <v>-95.6053760775613</v>
      </c>
      <c r="BD78" s="48" t="n">
        <f aca="false">-$E32*BD71/Thousand</f>
        <v>-96.6676580339787</v>
      </c>
      <c r="BE78" s="48" t="n">
        <f aca="false">-$E32*BE71/Thousand</f>
        <v>-97.729939990396</v>
      </c>
      <c r="BF78" s="48" t="n">
        <f aca="false">-$E32*BF71/Thousand</f>
        <v>-97.4367501704248</v>
      </c>
      <c r="BG78" s="48" t="n">
        <f aca="false">-$E32*BG71/Thousand</f>
        <v>-95.3185599493286</v>
      </c>
      <c r="BH78" s="48" t="n">
        <f aca="false">-$E32*BH71/Thousand</f>
        <v>-96.3776550598767</v>
      </c>
      <c r="BI78" s="48" t="n">
        <f aca="false">-$E32*BI71/Thousand</f>
        <v>-97.4367501704248</v>
      </c>
      <c r="BJ78" s="48" t="n">
        <f aca="false">-$E32*BJ71/Thousand</f>
        <v>-97.1444399199135</v>
      </c>
      <c r="BK78" s="48" t="n">
        <f aca="false">-$E32*BK71/Thousand</f>
        <v>-96.0885220946971</v>
      </c>
      <c r="BL78" s="48" t="n">
        <f aca="false">-$E32*BL71/Thousand</f>
        <v>-96.0885220946971</v>
      </c>
      <c r="BM78" s="48" t="n">
        <f aca="false">-$E32*BM71/Thousand</f>
        <v>-97.1444399199135</v>
      </c>
      <c r="BN78" s="48" t="n">
        <f aca="false">-$E32*BN71/Thousand</f>
        <v>-96.8530066001538</v>
      </c>
      <c r="BO78" s="48" t="n">
        <f aca="false">-$E32*BO71/Thousand</f>
        <v>-94.7475064566722</v>
      </c>
      <c r="BP78" s="48" t="n">
        <f aca="false">-$E32*BP71/Thousand</f>
        <v>-95.800256528413</v>
      </c>
      <c r="BQ78" s="48" t="n">
        <f aca="false">-$E32*BQ71/Thousand</f>
        <v>-96.8530066001538</v>
      </c>
      <c r="BR78" s="48" t="n">
        <f aca="false">-$E32*BR71/Thousand</f>
        <v>-96.5624475803534</v>
      </c>
      <c r="BS78" s="48" t="n">
        <f aca="false">-$E32*BS71/Thousand</f>
        <v>-94.4632639373022</v>
      </c>
      <c r="BT78" s="48" t="n">
        <f aca="false">-$E32*BT71/Thousand</f>
        <v>-95.5128557588278</v>
      </c>
      <c r="BU78" s="48" t="n">
        <f aca="false">-$E32*BU71/Thousand</f>
        <v>-96.5624475803534</v>
      </c>
      <c r="BV78" s="48" t="n">
        <f aca="false">-$E32*BV71/Thousand</f>
        <v>-96.2727602376123</v>
      </c>
      <c r="BW78" s="48" t="n">
        <f aca="false">-$E32*BW71/Thousand</f>
        <v>-94.1798741454903</v>
      </c>
      <c r="BX78" s="48" t="n">
        <f aca="false">-$E32*BX71/Thousand</f>
        <v>-95.2263171915513</v>
      </c>
      <c r="BY78" s="48" t="n">
        <f aca="false">-$E32*BY71/Thousand</f>
        <v>-96.2727602376123</v>
      </c>
      <c r="BZ78" s="48" t="n">
        <f aca="false">-$E32*BZ71/Thousand</f>
        <v>-95.9839419568994</v>
      </c>
      <c r="CA78" s="48" t="n">
        <f aca="false">-$E32*CA71/Thousand</f>
        <v>-94.9406382399766</v>
      </c>
      <c r="CB78" s="48" t="n">
        <f aca="false">-$E32*CB71/Thousand</f>
        <v>-94.9406382399766</v>
      </c>
      <c r="CC78" s="48" t="n">
        <f aca="false">-$E32*CC71/Thousand</f>
        <v>-95.9839419568994</v>
      </c>
      <c r="CD78" s="48" t="n">
        <f aca="false">-$E32*CD71/Thousand</f>
        <v>-95.6959901310288</v>
      </c>
      <c r="CE78" s="48" t="n">
        <f aca="false">-$E32*CE71/Thousand</f>
        <v>-93.6156425194847</v>
      </c>
      <c r="CF78" s="48" t="n">
        <f aca="false">-$E32*CF71/Thousand</f>
        <v>-94.6558163252567</v>
      </c>
      <c r="CG78" s="48" t="n">
        <f aca="false">-$E32*CG71/Thousand</f>
        <v>-95.6959901310288</v>
      </c>
      <c r="CH78" s="48" t="n">
        <f aca="false">-$E32*CH71/Thousand</f>
        <v>-95.4089021606357</v>
      </c>
      <c r="CI78" s="48" t="n">
        <f aca="false">-$E32*CI71/Thousand</f>
        <v>-93.3347955919262</v>
      </c>
      <c r="CJ78" s="48" t="n">
        <f aca="false">-$E32*CJ71/Thousand</f>
        <v>-94.371848876281</v>
      </c>
      <c r="CK78" s="48" t="n">
        <f aca="false">-$E32*CK71/Thousand</f>
        <v>-95.4089021606357</v>
      </c>
      <c r="CL78" s="48" t="n">
        <f aca="false">-$E32*CL71/Thousand</f>
        <v>-95.1226754541538</v>
      </c>
      <c r="CM78" s="48" t="n">
        <f aca="false">-$E32*CM71/Thousand</f>
        <v>-93.0547912051504</v>
      </c>
      <c r="CN78" s="48" t="n">
        <f aca="false">-$E32*CN71/Thousand</f>
        <v>-94.0887333296521</v>
      </c>
      <c r="CO78" s="48" t="n">
        <f aca="false">-$E32*CO71/Thousand</f>
        <v>-95.1226754541538</v>
      </c>
      <c r="CP78" s="48" t="n">
        <f aca="false">-$E32*CP71/Thousand</f>
        <v>-94.8373074277913</v>
      </c>
      <c r="CQ78" s="48" t="n">
        <f aca="false">-$E32*CQ71/Thousand</f>
        <v>-93.8064671296631</v>
      </c>
      <c r="CR78" s="48" t="n">
        <f aca="false">-$E32*CR71/Thousand</f>
        <v>-93.8064671296631</v>
      </c>
      <c r="CS78" s="48" t="n">
        <f aca="false">-$E32*CS71/Thousand</f>
        <v>-94.8373074277913</v>
      </c>
      <c r="CT78" s="48" t="n">
        <f aca="false">-$E32*CT71/Thousand</f>
        <v>-94.5527955055079</v>
      </c>
      <c r="CU78" s="48" t="n">
        <f aca="false">-$E32*CU71/Thousand</f>
        <v>-92.4972999510404</v>
      </c>
      <c r="CV78" s="48" t="n">
        <f aca="false">-$E32*CV71/Thousand</f>
        <v>-93.5250477282741</v>
      </c>
      <c r="CW78" s="48" t="n">
        <f aca="false">-$E32*CW71/Thousand</f>
        <v>-94.5527955055079</v>
      </c>
      <c r="CX78" s="48" t="n">
        <f aca="false">-$E32*CX71/Thousand</f>
        <v>-94.2691371189914</v>
      </c>
      <c r="CY78" s="48" t="n">
        <f aca="false">-$E32*CY71/Thousand</f>
        <v>-92.2198080511872</v>
      </c>
      <c r="CZ78" s="48" t="n">
        <f aca="false">-$E32*CZ71/Thousand</f>
        <v>-93.2444725850893</v>
      </c>
      <c r="DA78" s="48" t="n">
        <f aca="false">-$E32*DA71/Thousand</f>
        <v>-94.2691371189914</v>
      </c>
      <c r="DB78" s="48" t="n">
        <f aca="false">-$E32*DB71/Thousand</f>
        <v>-93.9863297076344</v>
      </c>
      <c r="DC78" s="48" t="n">
        <f aca="false">-$E32*DC71/Thousand</f>
        <v>-91.9431486270337</v>
      </c>
      <c r="DD78" s="48" t="n">
        <f aca="false">-$E32*DD71/Thousand</f>
        <v>-92.9647391673341</v>
      </c>
      <c r="DE78" s="48" t="n">
        <f aca="false">-$E32*DE71/Thousand</f>
        <v>-93.9863297076344</v>
      </c>
      <c r="DF78" s="48" t="n">
        <f aca="false">-$E32*DF71/Thousand</f>
        <v>-93.7043707185115</v>
      </c>
      <c r="DG78" s="48" t="n">
        <f aca="false">-$E32*DG71/Thousand</f>
        <v>-92.6858449498321</v>
      </c>
      <c r="DH78" s="48" t="n">
        <f aca="false">-$E32*DH71/Thousand</f>
        <v>-92.6858449498321</v>
      </c>
      <c r="DI78" s="48" t="n">
        <f aca="false">-$E32*DI71/Thousand</f>
        <v>-93.7043707185115</v>
      </c>
      <c r="DJ78" s="48" t="n">
        <f aca="false">-$E32*DJ71/Thousand</f>
        <v>-93.423257606356</v>
      </c>
      <c r="DK78" s="48" t="n">
        <f aca="false">-$E32*DK71/Thousand</f>
        <v>-91.3923172236091</v>
      </c>
      <c r="DL78" s="48" t="n">
        <f aca="false">-$E32*DL71/Thousand</f>
        <v>-92.4077874149825</v>
      </c>
      <c r="DM78" s="48" t="n">
        <f aca="false">-$E32*DM71/Thousand</f>
        <v>-93.423257606356</v>
      </c>
      <c r="DN78" s="48" t="n">
        <f aca="false">-$E32*DN71/Thousand</f>
        <v>-93.1429878335369</v>
      </c>
      <c r="DO78" s="48" t="n">
        <f aca="false">-$E32*DO71/Thousand</f>
        <v>-91.1181402719383</v>
      </c>
      <c r="DP78" s="48" t="n">
        <f aca="false">-$E32*DP71/Thousand</f>
        <v>-92.1305640527376</v>
      </c>
      <c r="DQ78" s="48" t="n">
        <f aca="false">-$E32*DQ71/Thousand</f>
        <v>-93.1429878335369</v>
      </c>
      <c r="DR78" s="48" t="n">
        <f aca="false">-$E32*DR71/Thousand</f>
        <v>-92.8635588700363</v>
      </c>
      <c r="DS78" s="48" t="n">
        <f aca="false">-$E32*DS71/Thousand</f>
        <v>-90.8447858511225</v>
      </c>
      <c r="DT78" s="48" t="n">
        <f aca="false">-$E32*DT71/Thousand</f>
        <v>-91.8541723605794</v>
      </c>
      <c r="DU78" s="48" t="n">
        <f aca="false">-$E32*DU71/Thousand</f>
        <v>-92.8635588700363</v>
      </c>
      <c r="DV78" s="48" t="n">
        <f aca="false">-$E32*DV71/Thousand</f>
        <v>-92.5849681934262</v>
      </c>
      <c r="DW78" s="48" t="n">
        <f aca="false">-$E32*DW71/Thousand</f>
        <v>-91.5786098434977</v>
      </c>
      <c r="DX78" s="48" t="n">
        <f aca="false">-$E32*DX71/Thousand</f>
        <v>-91.5786098434977</v>
      </c>
      <c r="DY78" s="48" t="n">
        <f aca="false">-$E32*DY71/Thousand</f>
        <v>-92.5849681934262</v>
      </c>
      <c r="DZ78" s="48" t="n">
        <f aca="false">-$E32*DZ71/Thousand</f>
        <v>-92.3072132888459</v>
      </c>
      <c r="EA78" s="48" t="n">
        <f aca="false">-$E32*EA71/Thousand</f>
        <v>-90.3005347390884</v>
      </c>
      <c r="EB78" s="48" t="n">
        <f aca="false">-$E32*EB71/Thousand</f>
        <v>-91.3038740139672</v>
      </c>
      <c r="EC78" s="48" t="n">
        <f aca="false">-$E32*EC71/Thousand</f>
        <v>-92.3072132888459</v>
      </c>
      <c r="ED78" s="48" t="n">
        <f aca="false">-$E32*ED71/Thousand</f>
        <v>-92.0302916489794</v>
      </c>
      <c r="EE78" s="48" t="n">
        <f aca="false">-$E32*EE71/Thousand</f>
        <v>-90.0296331348711</v>
      </c>
      <c r="EF78" s="48" t="n">
        <f aca="false">-$E32*EF71/Thousand</f>
        <v>-91.0299623919253</v>
      </c>
      <c r="EG78" s="48" t="n">
        <f aca="false">-$E32*EG71/Thousand</f>
        <v>-92.0302916489794</v>
      </c>
      <c r="EH78" s="48" t="n">
        <f aca="false">-$E32*EH71/Thousand</f>
        <v>-91.7542007740324</v>
      </c>
      <c r="EI78" s="48" t="n">
        <f aca="false">-$E32*EI71/Thousand</f>
        <v>-89.7595442354665</v>
      </c>
      <c r="EJ78" s="48" t="n">
        <f aca="false">-$E32*EJ71/Thousand</f>
        <v>-90.7568725047495</v>
      </c>
      <c r="EK78" s="48" t="n">
        <f aca="false">-$E32*EK71/Thousand</f>
        <v>-91.7542007740324</v>
      </c>
      <c r="EL78" s="48" t="n">
        <f aca="false">-$E32*EL71/Thousand</f>
        <v>-91.4789381717104</v>
      </c>
      <c r="EM78" s="48" t="n">
        <f aca="false">-$E32*EM71/Thousand</f>
        <v>-90.4846018872352</v>
      </c>
      <c r="EN78" s="48" t="n">
        <f aca="false">-$E32*EN71/Thousand</f>
        <v>-90.4846018872352</v>
      </c>
      <c r="EO78" s="48" t="n">
        <f aca="false">-$E32*EO71/Thousand</f>
        <v>-91.4789381717104</v>
      </c>
    </row>
    <row r="79" customFormat="false" ht="15" hidden="false" customHeight="false" outlineLevel="0" collapsed="false">
      <c r="C79" s="26" t="s">
        <v>427</v>
      </c>
      <c r="D79" s="12" t="s">
        <v>33</v>
      </c>
      <c r="E79" s="57" t="n">
        <f aca="false">SUMIF($J$7:$EO$7,YEAR(In_COD)+1,$J79:$EO79)</f>
        <v>8953.90595038936</v>
      </c>
      <c r="I79" s="57" t="n">
        <f aca="false">SUM(J79:EO79)</f>
        <v>275591.293022842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2244.13044319397</v>
      </c>
      <c r="AA79" s="57" t="n">
        <f aca="false">SUM(AA72:AA78)</f>
        <v>2209.78940950763</v>
      </c>
      <c r="AB79" s="57" t="n">
        <f aca="false">SUM(AB72:AB78)</f>
        <v>2234.34262516883</v>
      </c>
      <c r="AC79" s="57" t="n">
        <f aca="false">SUM(AC72:AC78)</f>
        <v>2258.89584083002</v>
      </c>
      <c r="AD79" s="57" t="n">
        <f aca="false">SUM(AD72:AD78)</f>
        <v>2250.87807488288</v>
      </c>
      <c r="AE79" s="57" t="n">
        <f aca="false">SUM(AE72:AE78)</f>
        <v>2240.87417059265</v>
      </c>
      <c r="AF79" s="57" t="n">
        <f aca="false">SUM(AF72:AF78)</f>
        <v>2240.87417059265</v>
      </c>
      <c r="AG79" s="57" t="n">
        <f aca="false">SUM(AG72:AG78)</f>
        <v>2265.49916147828</v>
      </c>
      <c r="AH79" s="57" t="n">
        <f aca="false">SUM(AH72:AH78)</f>
        <v>2257.43055860857</v>
      </c>
      <c r="AI79" s="57" t="n">
        <f aca="false">SUM(AI72:AI78)</f>
        <v>2222.511210462</v>
      </c>
      <c r="AJ79" s="57" t="n">
        <f aca="false">SUM(AJ72:AJ78)</f>
        <v>2247.20577946713</v>
      </c>
      <c r="AK79" s="57" t="n">
        <f aca="false">SUM(AK72:AK78)</f>
        <v>2271.90034847226</v>
      </c>
      <c r="AL79" s="57" t="n">
        <f aca="false">SUM(AL72:AL78)</f>
        <v>2263.78073940694</v>
      </c>
      <c r="AM79" s="57" t="n">
        <f aca="false">SUM(AM72:AM78)</f>
        <v>2228.56831278009</v>
      </c>
      <c r="AN79" s="57" t="n">
        <f aca="false">SUM(AN72:AN78)</f>
        <v>2253.33018292209</v>
      </c>
      <c r="AO79" s="57" t="n">
        <f aca="false">SUM(AO72:AO78)</f>
        <v>2278.09205306409</v>
      </c>
      <c r="AP79" s="57" t="n">
        <f aca="false">SUM(AP72:AP78)</f>
        <v>2269.9212711845</v>
      </c>
      <c r="AQ79" s="57" t="n">
        <f aca="false">SUM(AQ72:AQ78)</f>
        <v>2234.41310591912</v>
      </c>
      <c r="AR79" s="57" t="n">
        <f aca="false">SUM(AR72:AR78)</f>
        <v>2259.23991820711</v>
      </c>
      <c r="AS79" s="57" t="n">
        <f aca="false">SUM(AS72:AS78)</f>
        <v>2284.0667304951</v>
      </c>
      <c r="AT79" s="57" t="n">
        <f aca="false">SUM(AT72:AT78)</f>
        <v>2275.8446119402</v>
      </c>
      <c r="AU79" s="57" t="n">
        <f aca="false">SUM(AU72:AU78)</f>
        <v>2264.92732384629</v>
      </c>
      <c r="AV79" s="57" t="n">
        <f aca="false">SUM(AV72:AV78)</f>
        <v>2264.92732384629</v>
      </c>
      <c r="AW79" s="57" t="n">
        <f aca="false">SUM(AW72:AW78)</f>
        <v>2289.81663509735</v>
      </c>
      <c r="AX79" s="57" t="n">
        <f aca="false">SUM(AX72:AX78)</f>
        <v>2281.54301886956</v>
      </c>
      <c r="AY79" s="57" t="n">
        <f aca="false">SUM(AY72:AY78)</f>
        <v>2245.43525407308</v>
      </c>
      <c r="AZ79" s="57" t="n">
        <f aca="false">SUM(AZ72:AZ78)</f>
        <v>2270.38453467389</v>
      </c>
      <c r="BA79" s="57" t="n">
        <f aca="false">SUM(BA72:BA78)</f>
        <v>2295.33381527471</v>
      </c>
      <c r="BB79" s="57" t="n">
        <f aca="false">SUM(BB72:BB78)</f>
        <v>2287.00854334832</v>
      </c>
      <c r="BC79" s="57" t="n">
        <f aca="false">SUM(BC72:BC78)</f>
        <v>2250.59684513512</v>
      </c>
      <c r="BD79" s="57" t="n">
        <f aca="false">SUM(BD72:BD78)</f>
        <v>2275.60347674773</v>
      </c>
      <c r="BE79" s="57" t="n">
        <f aca="false">SUM(BE72:BE78)</f>
        <v>2300.61010836035</v>
      </c>
      <c r="BF79" s="57" t="n">
        <f aca="false">SUM(BF72:BF78)</f>
        <v>2292.23302579269</v>
      </c>
      <c r="BG79" s="57" t="n">
        <f aca="false">SUM(BG72:BG78)</f>
        <v>2255.51458892714</v>
      </c>
      <c r="BH79" s="57" t="n">
        <f aca="false">SUM(BH72:BH78)</f>
        <v>2280.57586213744</v>
      </c>
      <c r="BI79" s="57" t="n">
        <f aca="false">SUM(BI72:BI78)</f>
        <v>2305.63713534774</v>
      </c>
      <c r="BJ79" s="57" t="n">
        <f aca="false">SUM(BJ72:BJ78)</f>
        <v>2297.20809039306</v>
      </c>
      <c r="BK79" s="57" t="n">
        <f aca="false">SUM(BK72:BK78)</f>
        <v>2285.29318358447</v>
      </c>
      <c r="BL79" s="57" t="n">
        <f aca="false">SUM(BL72:BL78)</f>
        <v>2285.29318358447</v>
      </c>
      <c r="BM79" s="57" t="n">
        <f aca="false">SUM(BM72:BM78)</f>
        <v>2310.40629549199</v>
      </c>
      <c r="BN79" s="57" t="n">
        <f aca="false">SUM(BN72:BN78)</f>
        <v>2301.92513971816</v>
      </c>
      <c r="BO79" s="57" t="n">
        <f aca="false">SUM(BO72:BO78)</f>
        <v>2264.58465728318</v>
      </c>
      <c r="BP79" s="57" t="n">
        <f aca="false">SUM(BP72:BP78)</f>
        <v>2289.74670903077</v>
      </c>
      <c r="BQ79" s="57" t="n">
        <f aca="false">SUM(BQ72:BQ78)</f>
        <v>2314.90876077836</v>
      </c>
      <c r="BR79" s="57" t="n">
        <f aca="false">SUM(BR72:BR78)</f>
        <v>2306.37534918648</v>
      </c>
      <c r="BS79" s="57" t="n">
        <f aca="false">SUM(BS72:BS78)</f>
        <v>2268.71948177089</v>
      </c>
      <c r="BT79" s="57" t="n">
        <f aca="false">SUM(BT72:BT78)</f>
        <v>2293.92747601279</v>
      </c>
      <c r="BU79" s="57" t="n">
        <f aca="false">SUM(BU72:BU78)</f>
        <v>2319.13547025469</v>
      </c>
      <c r="BV79" s="57" t="n">
        <f aca="false">SUM(BV72:BV78)</f>
        <v>2310.54966140165</v>
      </c>
      <c r="BW79" s="57" t="n">
        <f aca="false">SUM(BW72:BW78)</f>
        <v>2272.57544761085</v>
      </c>
      <c r="BX79" s="57" t="n">
        <f aca="false">SUM(BX72:BX78)</f>
        <v>2297.82628591764</v>
      </c>
      <c r="BY79" s="57" t="n">
        <f aca="false">SUM(BY72:BY78)</f>
        <v>2323.07712422442</v>
      </c>
      <c r="BZ79" s="57" t="n">
        <f aca="false">SUM(BZ72:BZ78)</f>
        <v>2314.43878034841</v>
      </c>
      <c r="CA79" s="57" t="n">
        <f aca="false">SUM(CA72:CA78)</f>
        <v>2301.43369809787</v>
      </c>
      <c r="CB79" s="57" t="n">
        <f aca="false">SUM(CB72:CB78)</f>
        <v>2301.43369809787</v>
      </c>
      <c r="CC79" s="57" t="n">
        <f aca="false">SUM(CC72:CC78)</f>
        <v>2326.72417829675</v>
      </c>
      <c r="CD79" s="57" t="n">
        <f aca="false">SUM(CD72:CD78)</f>
        <v>2318.03316544594</v>
      </c>
      <c r="CE79" s="57" t="n">
        <f aca="false">SUM(CE72:CE78)</f>
        <v>2279.41321039278</v>
      </c>
      <c r="CF79" s="57" t="n">
        <f aca="false">SUM(CF72:CF78)</f>
        <v>2304.74002384159</v>
      </c>
      <c r="CG79" s="57" t="n">
        <f aca="false">SUM(CG72:CG78)</f>
        <v>2330.0668372904</v>
      </c>
      <c r="CH79" s="57" t="n">
        <f aca="false">SUM(CH72:CH78)</f>
        <v>2321.32302545471</v>
      </c>
      <c r="CI79" s="57" t="n">
        <f aca="false">SUM(CI72:CI78)</f>
        <v>2282.37559140084</v>
      </c>
      <c r="CJ79" s="57" t="n">
        <f aca="false">SUM(CJ72:CJ78)</f>
        <v>2307.73532019418</v>
      </c>
      <c r="CK79" s="57" t="n">
        <f aca="false">SUM(CK72:CK78)</f>
        <v>2333.09504898753</v>
      </c>
      <c r="CL79" s="57" t="n">
        <f aca="false">SUM(CL72:CL78)</f>
        <v>2324.29831223365</v>
      </c>
      <c r="CM79" s="57" t="n">
        <f aca="false">SUM(CM72:CM78)</f>
        <v>2285.02026952231</v>
      </c>
      <c r="CN79" s="57" t="n">
        <f aca="false">SUM(CN72:CN78)</f>
        <v>2310.40938362811</v>
      </c>
      <c r="CO79" s="57" t="n">
        <f aca="false">SUM(CO72:CO78)</f>
        <v>2335.79849773392</v>
      </c>
      <c r="CP79" s="57" t="n">
        <f aca="false">SUM(CP72:CP78)</f>
        <v>2326.94871434363</v>
      </c>
      <c r="CQ79" s="57" t="n">
        <f aca="false">SUM(CQ72:CQ78)</f>
        <v>2312.75174355702</v>
      </c>
      <c r="CR79" s="57" t="n">
        <f aca="false">SUM(CR72:CR78)</f>
        <v>2312.75174355702</v>
      </c>
      <c r="CS79" s="57" t="n">
        <f aca="false">SUM(CS72:CS78)</f>
        <v>2338.16659788182</v>
      </c>
      <c r="CT79" s="57" t="n">
        <f aca="false">SUM(CT72:CT78)</f>
        <v>2329.26365049366</v>
      </c>
      <c r="CU79" s="57" t="n">
        <f aca="false">SUM(CU72:CU78)</f>
        <v>2289.31482430908</v>
      </c>
      <c r="CV79" s="57" t="n">
        <f aca="false">SUM(CV72:CV78)</f>
        <v>2314.7516556903</v>
      </c>
      <c r="CW79" s="57" t="n">
        <f aca="false">SUM(CW72:CW78)</f>
        <v>2340.18848707151</v>
      </c>
      <c r="CX79" s="57" t="n">
        <f aca="false">SUM(CX72:CX78)</f>
        <v>2331.23226282592</v>
      </c>
      <c r="CY79" s="57" t="n">
        <f aca="false">SUM(CY72:CY78)</f>
        <v>2290.94317110096</v>
      </c>
      <c r="CZ79" s="57" t="n">
        <f aca="false">SUM(CZ72:CZ78)</f>
        <v>2316.3980952243</v>
      </c>
      <c r="DA79" s="57" t="n">
        <f aca="false">SUM(DA72:DA78)</f>
        <v>2341.85301934765</v>
      </c>
      <c r="DB79" s="57" t="n">
        <f aca="false">SUM(DB72:DB78)</f>
        <v>2332.84341003562</v>
      </c>
      <c r="DC79" s="57" t="n">
        <f aca="false">SUM(DC72:DC78)</f>
        <v>2292.21074162574</v>
      </c>
      <c r="DD79" s="57" t="n">
        <f aca="false">SUM(DD72:DD78)</f>
        <v>2317.67974986603</v>
      </c>
      <c r="DE79" s="57" t="n">
        <f aca="false">SUM(DE72:DE78)</f>
        <v>2343.14875810632</v>
      </c>
      <c r="DF79" s="57" t="n">
        <f aca="false">SUM(DF72:DF78)</f>
        <v>2334.08566032166</v>
      </c>
      <c r="DG79" s="57" t="n">
        <f aca="false">SUM(DG72:DG78)</f>
        <v>2318.58501268533</v>
      </c>
      <c r="DH79" s="57" t="n">
        <f aca="false">SUM(DH72:DH78)</f>
        <v>2318.58501268533</v>
      </c>
      <c r="DI79" s="57" t="n">
        <f aca="false">SUM(DI72:DI78)</f>
        <v>2344.06396886869</v>
      </c>
      <c r="DJ79" s="57" t="n">
        <f aca="false">SUM(DJ72:DJ78)</f>
        <v>2334.94728416399</v>
      </c>
      <c r="DK79" s="57" t="n">
        <f aca="false">SUM(DK72:DK78)</f>
        <v>2293.6173377057</v>
      </c>
      <c r="DL79" s="57" t="n">
        <f aca="false">SUM(DL72:DL78)</f>
        <v>2319.10197479131</v>
      </c>
      <c r="DM79" s="57" t="n">
        <f aca="false">SUM(DM72:DM78)</f>
        <v>2344.58661187693</v>
      </c>
      <c r="DN79" s="57" t="n">
        <f aca="false">SUM(DN72:DN78)</f>
        <v>2335.41624692326</v>
      </c>
      <c r="DO79" s="57" t="n">
        <f aca="false">SUM(DO72:DO78)</f>
        <v>2293.73250114925</v>
      </c>
      <c r="DP79" s="57" t="n">
        <f aca="false">SUM(DP72:DP78)</f>
        <v>2319.21841782868</v>
      </c>
      <c r="DQ79" s="57" t="n">
        <f aca="false">SUM(DQ72:DQ78)</f>
        <v>2344.70433450812</v>
      </c>
      <c r="DR79" s="57" t="n">
        <f aca="false">SUM(DR72:DR78)</f>
        <v>2335.4802012586</v>
      </c>
      <c r="DS79" s="57" t="n">
        <f aca="false">SUM(DS72:DS78)</f>
        <v>2293.43914907762</v>
      </c>
      <c r="DT79" s="57" t="n">
        <f aca="false">SUM(DT72:DT78)</f>
        <v>2318.92180628959</v>
      </c>
      <c r="DU79" s="57" t="n">
        <f aca="false">SUM(DU72:DU78)</f>
        <v>2344.40446350157</v>
      </c>
      <c r="DV79" s="57" t="n">
        <f aca="false">SUM(DV72:DV78)</f>
        <v>2335.12647935892</v>
      </c>
      <c r="DW79" s="57" t="n">
        <f aca="false">SUM(DW72:DW78)</f>
        <v>2318.19927963646</v>
      </c>
      <c r="DX79" s="57" t="n">
        <f aca="false">SUM(DX72:DX78)</f>
        <v>2318.19927963646</v>
      </c>
      <c r="DY79" s="57" t="n">
        <f aca="false">SUM(DY72:DY78)</f>
        <v>2343.67399699511</v>
      </c>
      <c r="DZ79" s="57" t="n">
        <f aca="false">SUM(DZ72:DZ78)</f>
        <v>2334.34208498317</v>
      </c>
      <c r="EA79" s="57" t="n">
        <f aca="false">SUM(EA72:EA78)</f>
        <v>2291.57569209672</v>
      </c>
      <c r="EB79" s="57" t="n">
        <f aca="false">SUM(EB72:EB78)</f>
        <v>2317.03764423113</v>
      </c>
      <c r="EC79" s="57" t="n">
        <f aca="false">SUM(EC72:EC78)</f>
        <v>2342.49959636554</v>
      </c>
      <c r="ED79" s="57" t="n">
        <f aca="false">SUM(ED72:ED78)</f>
        <v>2333.11368530497</v>
      </c>
      <c r="EE79" s="57" t="n">
        <f aca="false">SUM(EE72:EE78)</f>
        <v>2289.97915226266</v>
      </c>
      <c r="EF79" s="57" t="n">
        <f aca="false">SUM(EF72:EF78)</f>
        <v>2315.42336506558</v>
      </c>
      <c r="EG79" s="57" t="n">
        <f aca="false">SUM(EG72:EG78)</f>
        <v>2340.8675778685</v>
      </c>
      <c r="EH79" s="57" t="n">
        <f aca="false">SUM(EH72:EH78)</f>
        <v>2331.42760255664</v>
      </c>
      <c r="EI79" s="57" t="n">
        <f aca="false">SUM(EI72:EI78)</f>
        <v>2287.92121050597</v>
      </c>
      <c r="EJ79" s="57" t="n">
        <f aca="false">SUM(EJ72:EJ78)</f>
        <v>2313.34255728937</v>
      </c>
      <c r="EK79" s="57" t="n">
        <f aca="false">SUM(EK72:EK78)</f>
        <v>2338.76390407277</v>
      </c>
      <c r="EL79" s="57" t="n">
        <f aca="false">SUM(EL72:EL78)</f>
        <v>2329.26980546783</v>
      </c>
      <c r="EM79" s="57" t="n">
        <f aca="false">SUM(EM72:EM78)</f>
        <v>2310.78097752876</v>
      </c>
      <c r="EN79" s="57" t="n">
        <f aca="false">SUM(EN72:EN78)</f>
        <v>2310.78097752876</v>
      </c>
      <c r="EO79" s="57" t="n">
        <f aca="false">SUM(EO72:EO78)</f>
        <v>2336.17417508402</v>
      </c>
    </row>
    <row r="81" customFormat="false" ht="15" hidden="false" customHeight="false" outlineLevel="0" collapsed="false">
      <c r="A81" s="10" t="s">
        <v>13</v>
      </c>
      <c r="B81" s="10"/>
      <c r="C81" s="10" t="s">
        <v>428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429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-10.6390545617518</v>
      </c>
      <c r="AA82" s="58" t="n">
        <v>-10.5520018690401</v>
      </c>
      <c r="AB82" s="58" t="n">
        <v>-11.402130366848</v>
      </c>
      <c r="AC82" s="58" t="n">
        <v>-12.2646380711985</v>
      </c>
      <c r="AD82" s="58" t="n">
        <v>-12.2422905929853</v>
      </c>
      <c r="AE82" s="58" t="n">
        <v>-12.7002088601783</v>
      </c>
      <c r="AF82" s="58" t="n">
        <v>-13.0405804239427</v>
      </c>
      <c r="AG82" s="58" t="n">
        <v>-13.92489831249</v>
      </c>
      <c r="AH82" s="58" t="n">
        <v>-13.9190938371135</v>
      </c>
      <c r="AI82" s="58" t="n">
        <v>-13.843168284746</v>
      </c>
      <c r="AJ82" s="58" t="n">
        <v>-16.2290566997675</v>
      </c>
      <c r="AK82" s="58" t="n">
        <v>-17.1637032974205</v>
      </c>
      <c r="AL82" s="58" t="n">
        <v>-34.3738594784416</v>
      </c>
      <c r="AM82" s="58" t="n">
        <v>-34.1809665810783</v>
      </c>
      <c r="AN82" s="58" t="n">
        <v>-36.0584957338179</v>
      </c>
      <c r="AO82" s="58" t="n">
        <v>-37.9620251506695</v>
      </c>
      <c r="AP82" s="58" t="n">
        <v>-38.0317502217369</v>
      </c>
      <c r="AQ82" s="58" t="n">
        <v>-37.8528562171316</v>
      </c>
      <c r="AR82" s="58" t="n">
        <v>-39.7771286757031</v>
      </c>
      <c r="AS82" s="58" t="n">
        <v>-41.7279258233626</v>
      </c>
      <c r="AT82" s="58" t="n">
        <v>-41.8349841314185</v>
      </c>
      <c r="AU82" s="58" t="n">
        <v>-42.8078548283293</v>
      </c>
      <c r="AV82" s="58" t="n">
        <v>-43.6614785401386</v>
      </c>
      <c r="AW82" s="58" t="n">
        <v>-45.6613637933516</v>
      </c>
      <c r="AX82" s="58" t="n">
        <v>-45.8078035221461</v>
      </c>
      <c r="AY82" s="58" t="n">
        <v>-45.6618597634654</v>
      </c>
      <c r="AZ82" s="58" t="n">
        <v>-47.6846964233958</v>
      </c>
      <c r="BA82" s="58" t="n">
        <v>-49.7351693777828</v>
      </c>
      <c r="BB82" s="58" t="n">
        <v>-49.9227222355365</v>
      </c>
      <c r="BC82" s="58" t="n">
        <v>-49.7956913835662</v>
      </c>
      <c r="BD82" s="58" t="n">
        <v>-51.8703008320932</v>
      </c>
      <c r="BE82" s="58" t="n">
        <v>-53.9731332590766</v>
      </c>
      <c r="BF82" s="58" t="n">
        <v>-54.2038146328734</v>
      </c>
      <c r="BG82" s="58" t="n">
        <v>-54.0974973415623</v>
      </c>
      <c r="BH82" s="58" t="n">
        <v>-56.225711181516</v>
      </c>
      <c r="BI82" s="58" t="n">
        <v>-58.3827573349628</v>
      </c>
      <c r="BJ82" s="58" t="n">
        <v>-58.6586745865752</v>
      </c>
      <c r="BK82" s="58" t="n">
        <v>-59.7313130155156</v>
      </c>
      <c r="BL82" s="58" t="n">
        <v>-60.7760639918156</v>
      </c>
      <c r="BM82" s="58" t="n">
        <v>-62.9894690983426</v>
      </c>
      <c r="BN82" s="58" t="n">
        <v>-63.3130327379032</v>
      </c>
      <c r="BO82" s="58" t="n">
        <v>-63.2541155240177</v>
      </c>
      <c r="BP82" s="58" t="n">
        <v>-65.495590586866</v>
      </c>
      <c r="BQ82" s="58" t="n">
        <v>-67.7671913030992</v>
      </c>
      <c r="BR82" s="58" t="n">
        <v>-68.1405086208059</v>
      </c>
      <c r="BS82" s="58" t="n">
        <v>-68.1082702156345</v>
      </c>
      <c r="BT82" s="58" t="n">
        <v>-70.4093838680053</v>
      </c>
      <c r="BU82" s="58" t="n">
        <v>-72.7413070416009</v>
      </c>
      <c r="BV82" s="58" t="n">
        <v>-73.1667881590829</v>
      </c>
      <c r="BW82" s="58" t="n">
        <v>-73.1634133244645</v>
      </c>
      <c r="BX82" s="58" t="n">
        <v>-75.5263649053586</v>
      </c>
      <c r="BY82" s="58" t="n">
        <v>-77.9208370120776</v>
      </c>
      <c r="BZ82" s="58" t="n">
        <v>-78.4010023214788</v>
      </c>
      <c r="CA82" s="58" t="n">
        <v>-79.6010986752247</v>
      </c>
      <c r="CB82" s="58" t="n">
        <v>-80.8733602928646</v>
      </c>
      <c r="CC82" s="58" t="n">
        <v>-83.3329181321434</v>
      </c>
      <c r="CD82" s="58" t="n">
        <v>-83.8706117246552</v>
      </c>
      <c r="CE82" s="58" t="n">
        <v>-83.9321644018034</v>
      </c>
      <c r="CF82" s="58" t="n">
        <v>-86.4260208118775</v>
      </c>
      <c r="CG82" s="58" t="n">
        <v>-88.9529087638682</v>
      </c>
      <c r="CH82" s="58" t="n">
        <v>-89.5506888477429</v>
      </c>
      <c r="CI82" s="58" t="n">
        <v>-89.6483354565226</v>
      </c>
      <c r="CJ82" s="58" t="n">
        <v>-92.2112772987442</v>
      </c>
      <c r="CK82" s="58" t="n">
        <v>-94.8080509988822</v>
      </c>
      <c r="CL82" s="58" t="n">
        <v>-95.468800947006</v>
      </c>
      <c r="CM82" s="58" t="n">
        <v>-95.605188527379</v>
      </c>
      <c r="CN82" s="58" t="n">
        <v>-98.2398592288765</v>
      </c>
      <c r="CO82" s="58" t="n">
        <v>-100.909194642858</v>
      </c>
      <c r="CP82" s="58" t="n">
        <v>-101.635930090883</v>
      </c>
      <c r="CQ82" s="58" t="n">
        <v>-102.997344125343</v>
      </c>
      <c r="CR82" s="58" t="n">
        <v>-104.540569706961</v>
      </c>
      <c r="CS82" s="58" t="n">
        <v>-107.285475791021</v>
      </c>
      <c r="CT82" s="58" t="n">
        <v>-108.081560079775</v>
      </c>
      <c r="CU82" s="58" t="n">
        <v>-106.693821559351</v>
      </c>
      <c r="CV82" s="58" t="n">
        <v>-107.879308465566</v>
      </c>
      <c r="CW82" s="58" t="n">
        <v>-109.064795371781</v>
      </c>
      <c r="CX82" s="58" t="n">
        <v>-108.258735189678</v>
      </c>
      <c r="CY82" s="58" t="n">
        <v>-106.84037277062</v>
      </c>
      <c r="CZ82" s="58" t="n">
        <v>-108.027488023627</v>
      </c>
      <c r="DA82" s="58" t="n">
        <v>-109.214603276634</v>
      </c>
      <c r="DB82" s="58" t="n">
        <v>-209.955906903205</v>
      </c>
      <c r="DC82" s="58" t="n">
        <v>-206.298966746317</v>
      </c>
      <c r="DD82" s="58" t="n">
        <v>-208.591177487942</v>
      </c>
      <c r="DE82" s="58" t="n">
        <v>-210.883388229568</v>
      </c>
      <c r="DF82" s="58" t="n">
        <v>-210.067709428949</v>
      </c>
      <c r="DG82" s="58" t="n">
        <v>-208.67265114168</v>
      </c>
      <c r="DH82" s="58" t="n">
        <v>-208.67265114168</v>
      </c>
      <c r="DI82" s="58" t="n">
        <v>-210.965757198182</v>
      </c>
      <c r="DJ82" s="58" t="n">
        <v>-210.145255574759</v>
      </c>
      <c r="DK82" s="58" t="n">
        <v>-206.425560393512</v>
      </c>
      <c r="DL82" s="58" t="n">
        <v>-208.719177731218</v>
      </c>
      <c r="DM82" s="58" t="n">
        <v>-211.012795068924</v>
      </c>
      <c r="DN82" s="58" t="n">
        <v>-210.187462223093</v>
      </c>
      <c r="DO82" s="58" t="n">
        <v>-206.435925103432</v>
      </c>
      <c r="DP82" s="58" t="n">
        <v>-208.729657604581</v>
      </c>
      <c r="DQ82" s="58" t="n">
        <v>-211.02339010573</v>
      </c>
      <c r="DR82" s="58" t="n">
        <v>-210.193218113274</v>
      </c>
      <c r="DS82" s="58" t="n">
        <v>-206.409523416985</v>
      </c>
      <c r="DT82" s="58" t="n">
        <v>-208.702962566063</v>
      </c>
      <c r="DU82" s="58" t="n">
        <v>-210.99640171514</v>
      </c>
      <c r="DV82" s="58" t="n">
        <v>-210.161383142302</v>
      </c>
      <c r="DW82" s="58" t="n">
        <v>-208.637935167281</v>
      </c>
      <c r="DX82" s="58" t="n">
        <v>-208.637935167281</v>
      </c>
      <c r="DY82" s="58" t="n">
        <v>-210.930659729559</v>
      </c>
      <c r="DZ82" s="58" t="n">
        <v>-210.090787648485</v>
      </c>
      <c r="EA82" s="58" t="n">
        <v>-206.241812288705</v>
      </c>
      <c r="EB82" s="58" t="n">
        <v>-208.533387980801</v>
      </c>
      <c r="EC82" s="58" t="n">
        <v>-210.824963672898</v>
      </c>
      <c r="ED82" s="58" t="n">
        <v>-209.980231677447</v>
      </c>
      <c r="EE82" s="58" t="n">
        <v>-206.098123703639</v>
      </c>
      <c r="EF82" s="58" t="n">
        <v>-208.388102855902</v>
      </c>
      <c r="EG82" s="58" t="n">
        <v>-210.678082008165</v>
      </c>
      <c r="EH82" s="58" t="n">
        <v>-209.828484230097</v>
      </c>
      <c r="EI82" s="58" t="n">
        <v>-205.912908945537</v>
      </c>
      <c r="EJ82" s="58" t="n">
        <v>-208.200830156042</v>
      </c>
      <c r="EK82" s="58" t="n">
        <v>-210.488751366548</v>
      </c>
      <c r="EL82" s="58" t="n">
        <v>-209.634282492104</v>
      </c>
      <c r="EM82" s="58" t="n">
        <v>-207.970287977588</v>
      </c>
      <c r="EN82" s="58" t="n">
        <v>-207.970287977588</v>
      </c>
      <c r="EO82" s="58" t="n">
        <v>-210.255675757561</v>
      </c>
    </row>
    <row r="83" customFormat="false" ht="15" hidden="false" customHeight="false" outlineLevel="0" collapsed="false">
      <c r="C83" s="1" t="s">
        <v>430</v>
      </c>
      <c r="D83" s="12" t="s">
        <v>33</v>
      </c>
      <c r="I83" s="48" t="n">
        <f aca="false">SUM(J83:EO83)</f>
        <v>262203.534360941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2199.97155376639</v>
      </c>
      <c r="AA83" s="48" t="n">
        <f aca="false">(AA79+AA55+AA82)*(AA$4&gt;In_COD)</f>
        <v>2166.44626483506</v>
      </c>
      <c r="AB83" s="48" t="n">
        <f aca="false">(AB79+AB55+AB82)*(AB$4&gt;In_COD)</f>
        <v>2189.7850059673</v>
      </c>
      <c r="AC83" s="48" t="n">
        <f aca="false">(AC79+AC55+AC82)*(AC$4&gt;In_COD)</f>
        <v>2213.111367893</v>
      </c>
      <c r="AD83" s="48" t="n">
        <f aca="false">(AD79+AD55+AD82)*(AD$4&gt;In_COD)</f>
        <v>2205.11594942406</v>
      </c>
      <c r="AE83" s="48" t="n">
        <f aca="false">(AE79+AE55+AE82)*(AE$4&gt;In_COD)</f>
        <v>2195.01847289779</v>
      </c>
      <c r="AF83" s="48" t="n">
        <f aca="false">(AF79+AF55+AF82)*(AF$4&gt;In_COD)</f>
        <v>2194.67810133403</v>
      </c>
      <c r="AG83" s="48" t="n">
        <f aca="false">(AG79+AG55+AG82)*(AG$4&gt;In_COD)</f>
        <v>2218.05442829997</v>
      </c>
      <c r="AH83" s="48" t="n">
        <f aca="false">(AH79+AH55+AH82)*(AH$4&gt;In_COD)</f>
        <v>2209.99162990563</v>
      </c>
      <c r="AI83" s="48" t="n">
        <f aca="false">(AI79+AI55+AI82)*(AI$4&gt;In_COD)</f>
        <v>2175.87689937372</v>
      </c>
      <c r="AJ83" s="48" t="n">
        <f aca="false">(AJ79+AJ55+AJ82)*(AJ$4&gt;In_COD)</f>
        <v>2230.97672276736</v>
      </c>
      <c r="AK83" s="48" t="n">
        <f aca="false">(AK79+AK55+AK82)*(AK$4&gt;In_COD)</f>
        <v>2254.73664517484</v>
      </c>
      <c r="AL83" s="48" t="n">
        <f aca="false">(AL79+AL55+AL82)*(AL$4&gt;In_COD)</f>
        <v>2229.4068799285</v>
      </c>
      <c r="AM83" s="48" t="n">
        <f aca="false">(AM79+AM55+AM82)*(AM$4&gt;In_COD)</f>
        <v>2194.38734619901</v>
      </c>
      <c r="AN83" s="48" t="n">
        <f aca="false">(AN79+AN55+AN82)*(AN$4&gt;In_COD)</f>
        <v>2217.27168718827</v>
      </c>
      <c r="AO83" s="48" t="n">
        <f aca="false">(AO79+AO55+AO82)*(AO$4&gt;In_COD)</f>
        <v>2240.13002791342</v>
      </c>
      <c r="AP83" s="48" t="n">
        <f aca="false">(AP79+AP55+AP82)*(AP$4&gt;In_COD)</f>
        <v>2231.88952096276</v>
      </c>
      <c r="AQ83" s="48" t="n">
        <f aca="false">(AQ79+AQ55+AQ82)*(AQ$4&gt;In_COD)</f>
        <v>2196.56024970198</v>
      </c>
      <c r="AR83" s="48" t="n">
        <f aca="false">(AR79+AR55+AR82)*(AR$4&gt;In_COD)</f>
        <v>2219.4627895314</v>
      </c>
      <c r="AS83" s="48" t="n">
        <f aca="false">(AS79+AS55+AS82)*(AS$4&gt;In_COD)</f>
        <v>2242.33880467173</v>
      </c>
      <c r="AT83" s="48" t="n">
        <f aca="false">(AT79+AT55+AT82)*(AT$4&gt;In_COD)</f>
        <v>2234.00962780878</v>
      </c>
      <c r="AU83" s="48" t="n">
        <f aca="false">(AU79+AU55+AU82)*(AU$4&gt;In_COD)</f>
        <v>2222.11946901796</v>
      </c>
      <c r="AV83" s="48" t="n">
        <f aca="false">(AV79+AV55+AV82)*(AV$4&gt;In_COD)</f>
        <v>2221.26584530615</v>
      </c>
      <c r="AW83" s="48" t="n">
        <f aca="false">(AW79+AW55+AW82)*(AW$4&gt;In_COD)</f>
        <v>2244.15527130399</v>
      </c>
      <c r="AX83" s="48" t="n">
        <f aca="false">(AX79+AX55+AX82)*(AX$4&gt;In_COD)</f>
        <v>2235.73521534741</v>
      </c>
      <c r="AY83" s="48" t="n">
        <f aca="false">(AY79+AY55+AY82)*(AY$4&gt;In_COD)</f>
        <v>2199.77339430961</v>
      </c>
      <c r="AZ83" s="48" t="n">
        <f aca="false">(AZ79+AZ55+AZ82)*(AZ$4&gt;In_COD)</f>
        <v>2222.6998382505</v>
      </c>
      <c r="BA83" s="48" t="n">
        <f aca="false">(BA79+BA55+BA82)*(BA$4&gt;In_COD)</f>
        <v>2245.59864589692</v>
      </c>
      <c r="BB83" s="48" t="n">
        <f aca="false">(BB79+BB55+BB82)*(BB$4&gt;In_COD)</f>
        <v>2237.08582111278</v>
      </c>
      <c r="BC83" s="48" t="n">
        <f aca="false">(BC79+BC55+BC82)*(BC$4&gt;In_COD)</f>
        <v>2200.80115375156</v>
      </c>
      <c r="BD83" s="48" t="n">
        <f aca="false">(BD79+BD55+BD82)*(BD$4&gt;In_COD)</f>
        <v>2223.73317591564</v>
      </c>
      <c r="BE83" s="48" t="n">
        <f aca="false">(BE79+BE55+BE82)*(BE$4&gt;In_COD)</f>
        <v>2246.63697510127</v>
      </c>
      <c r="BF83" s="48" t="n">
        <f aca="false">(BF79+BF55+BF82)*(BF$4&gt;In_COD)</f>
        <v>2238.02921115982</v>
      </c>
      <c r="BG83" s="48" t="n">
        <f aca="false">(BG79+BG55+BG82)*(BG$4&gt;In_COD)</f>
        <v>2201.41709158558</v>
      </c>
      <c r="BH83" s="48" t="n">
        <f aca="false">(BH79+BH55+BH82)*(BH$4&gt;In_COD)</f>
        <v>2224.35015095592</v>
      </c>
      <c r="BI83" s="48" t="n">
        <f aca="false">(BI79+BI55+BI82)*(BI$4&gt;In_COD)</f>
        <v>2247.25437801278</v>
      </c>
      <c r="BJ83" s="48" t="n">
        <f aca="false">(BJ79+BJ55+BJ82)*(BJ$4&gt;In_COD)</f>
        <v>2238.54941580648</v>
      </c>
      <c r="BK83" s="48" t="n">
        <f aca="false">(BK79+BK55+BK82)*(BK$4&gt;In_COD)</f>
        <v>2225.56187056895</v>
      </c>
      <c r="BL83" s="48" t="n">
        <f aca="false">(BL79+BL55+BL82)*(BL$4&gt;In_COD)</f>
        <v>2224.51711959265</v>
      </c>
      <c r="BM83" s="48" t="n">
        <f aca="false">(BM79+BM55+BM82)*(BM$4&gt;In_COD)</f>
        <v>2247.41682639365</v>
      </c>
      <c r="BN83" s="48" t="n">
        <f aca="false">(BN79+BN55+BN82)*(BN$4&gt;In_COD)</f>
        <v>2238.61210698026</v>
      </c>
      <c r="BO83" s="48" t="n">
        <f aca="false">(BO79+BO55+BO82)*(BO$4&gt;In_COD)</f>
        <v>2201.33054175916</v>
      </c>
      <c r="BP83" s="48" t="n">
        <f aca="false">(BP79+BP55+BP82)*(BP$4&gt;In_COD)</f>
        <v>2224.2511184439</v>
      </c>
      <c r="BQ83" s="48" t="n">
        <f aca="false">(BQ79+BQ55+BQ82)*(BQ$4&gt;In_COD)</f>
        <v>2247.14156947526</v>
      </c>
      <c r="BR83" s="48" t="n">
        <f aca="false">(BR79+BR55+BR82)*(BR$4&gt;In_COD)</f>
        <v>2238.23484056568</v>
      </c>
      <c r="BS83" s="48" t="n">
        <f aca="false">(BS79+BS55+BS82)*(BS$4&gt;In_COD)</f>
        <v>2200.61121155526</v>
      </c>
      <c r="BT83" s="48" t="n">
        <f aca="false">(BT79+BT55+BT82)*(BT$4&gt;In_COD)</f>
        <v>2223.51809214479</v>
      </c>
      <c r="BU83" s="48" t="n">
        <f aca="false">(BU79+BU55+BU82)*(BU$4&gt;In_COD)</f>
        <v>2246.39416321309</v>
      </c>
      <c r="BV83" s="48" t="n">
        <f aca="false">(BV79+BV55+BV82)*(BV$4&gt;In_COD)</f>
        <v>2237.38287324256</v>
      </c>
      <c r="BW83" s="48" t="n">
        <f aca="false">(BW79+BW55+BW82)*(BW$4&gt;In_COD)</f>
        <v>2199.41203428638</v>
      </c>
      <c r="BX83" s="48" t="n">
        <f aca="false">(BX79+BX55+BX82)*(BX$4&gt;In_COD)</f>
        <v>2222.29992101228</v>
      </c>
      <c r="BY83" s="48" t="n">
        <f aca="false">(BY79+BY55+BY82)*(BY$4&gt;In_COD)</f>
        <v>2245.15628721235</v>
      </c>
      <c r="BZ83" s="48" t="n">
        <f aca="false">(BZ79+BZ55+BZ82)*(BZ$4&gt;In_COD)</f>
        <v>2236.03777802694</v>
      </c>
      <c r="CA83" s="48" t="n">
        <f aca="false">(CA79+CA55+CA82)*(CA$4&gt;In_COD)</f>
        <v>2221.83259942264</v>
      </c>
      <c r="CB83" s="48" t="n">
        <f aca="false">(CB79+CB55+CB82)*(CB$4&gt;In_COD)</f>
        <v>2220.560337805</v>
      </c>
      <c r="CC83" s="48" t="n">
        <f aca="false">(CC79+CC55+CC82)*(CC$4&gt;In_COD)</f>
        <v>2243.3912601646</v>
      </c>
      <c r="CD83" s="48" t="n">
        <f aca="false">(CD79+CD55+CD82)*(CD$4&gt;In_COD)</f>
        <v>2234.16255372128</v>
      </c>
      <c r="CE83" s="48" t="n">
        <f aca="false">(CE79+CE55+CE82)*(CE$4&gt;In_COD)</f>
        <v>2195.48104599098</v>
      </c>
      <c r="CF83" s="48" t="n">
        <f aca="false">(CF79+CF55+CF82)*(CF$4&gt;In_COD)</f>
        <v>2218.31400302971</v>
      </c>
      <c r="CG83" s="48" t="n">
        <f aca="false">(CG79+CG55+CG82)*(CG$4&gt;In_COD)</f>
        <v>2241.11392852653</v>
      </c>
      <c r="CH83" s="48" t="n">
        <f aca="false">(CH79+CH55+CH82)*(CH$4&gt;In_COD)</f>
        <v>2231.77233660697</v>
      </c>
      <c r="CI83" s="48" t="n">
        <f aca="false">(CI79+CI55+CI82)*(CI$4&gt;In_COD)</f>
        <v>2192.72725594432</v>
      </c>
      <c r="CJ83" s="48" t="n">
        <f aca="false">(CJ79+CJ55+CJ82)*(CJ$4&gt;In_COD)</f>
        <v>2215.52404289544</v>
      </c>
      <c r="CK83" s="48" t="n">
        <f aca="false">(CK79+CK55+CK82)*(CK$4&gt;In_COD)</f>
        <v>2238.28699798865</v>
      </c>
      <c r="CL83" s="48" t="n">
        <f aca="false">(CL79+CL55+CL82)*(CL$4&gt;In_COD)</f>
        <v>2228.82951128665</v>
      </c>
      <c r="CM83" s="48" t="n">
        <f aca="false">(CM79+CM55+CM82)*(CM$4&gt;In_COD)</f>
        <v>2189.41508099493</v>
      </c>
      <c r="CN83" s="48" t="n">
        <f aca="false">(CN79+CN55+CN82)*(CN$4&gt;In_COD)</f>
        <v>2212.16952439924</v>
      </c>
      <c r="CO83" s="48" t="n">
        <f aca="false">(CO79+CO55+CO82)*(CO$4&gt;In_COD)</f>
        <v>2234.88930309106</v>
      </c>
      <c r="CP83" s="48" t="n">
        <f aca="false">(CP79+CP55+CP82)*(CP$4&gt;In_COD)</f>
        <v>2225.31278425275</v>
      </c>
      <c r="CQ83" s="48" t="n">
        <f aca="false">(CQ79+CQ55+CQ82)*(CQ$4&gt;In_COD)</f>
        <v>2209.75439943167</v>
      </c>
      <c r="CR83" s="48" t="n">
        <f aca="false">(CR79+CR55+CR82)*(CR$4&gt;In_COD)</f>
        <v>2208.21117385005</v>
      </c>
      <c r="CS83" s="48" t="n">
        <f aca="false">(CS79+CS55+CS82)*(CS$4&gt;In_COD)</f>
        <v>2230.8811220908</v>
      </c>
      <c r="CT83" s="48" t="n">
        <f aca="false">(CT79+CT55+CT82)*(CT$4&gt;In_COD)</f>
        <v>2221.18209041389</v>
      </c>
      <c r="CU83" s="48" t="n">
        <f aca="false">(CU79+CU55+CU82)*(CU$4&gt;In_COD)</f>
        <v>2182.62100274973</v>
      </c>
      <c r="CV83" s="48" t="n">
        <f aca="false">(CV79+CV55+CV82)*(CV$4&gt;In_COD)</f>
        <v>2206.87234722473</v>
      </c>
      <c r="CW83" s="48" t="n">
        <f aca="false">(CW79+CW55+CW82)*(CW$4&gt;In_COD)</f>
        <v>2231.12369169973</v>
      </c>
      <c r="CX83" s="48" t="n">
        <f aca="false">(CX79+CX55+CX82)*(CX$4&gt;In_COD)</f>
        <v>2222.97352763624</v>
      </c>
      <c r="CY83" s="48" t="n">
        <f aca="false">(CY79+CY55+CY82)*(CY$4&gt;In_COD)</f>
        <v>2184.10279833034</v>
      </c>
      <c r="CZ83" s="48" t="n">
        <f aca="false">(CZ79+CZ55+CZ82)*(CZ$4&gt;In_COD)</f>
        <v>2208.37060720067</v>
      </c>
      <c r="DA83" s="48" t="n">
        <f aca="false">(DA79+DA55+DA82)*(DA$4&gt;In_COD)</f>
        <v>2232.63841607101</v>
      </c>
      <c r="DB83" s="48" t="n">
        <f aca="false">(DB79+DB55+DB82)*(DB$4&gt;In_COD)</f>
        <v>2122.88750313241</v>
      </c>
      <c r="DC83" s="48" t="n">
        <f aca="false">(DC79+DC55+DC82)*(DC$4&gt;In_COD)</f>
        <v>2085.91177487943</v>
      </c>
      <c r="DD83" s="48" t="n">
        <f aca="false">(DD79+DD55+DD82)*(DD$4&gt;In_COD)</f>
        <v>2109.08857237809</v>
      </c>
      <c r="DE83" s="48" t="n">
        <f aca="false">(DE79+DE55+DE82)*(DE$4&gt;In_COD)</f>
        <v>2132.26536987675</v>
      </c>
      <c r="DF83" s="48" t="n">
        <f aca="false">(DF79+DF55+DF82)*(DF$4&gt;In_COD)</f>
        <v>2124.01795089272</v>
      </c>
      <c r="DG83" s="48" t="n">
        <f aca="false">(DG79+DG55+DG82)*(DG$4&gt;In_COD)</f>
        <v>2109.91236154365</v>
      </c>
      <c r="DH83" s="48" t="n">
        <f aca="false">(DH79+DH55+DH82)*(DH$4&gt;In_COD)</f>
        <v>2109.91236154365</v>
      </c>
      <c r="DI83" s="48" t="n">
        <f aca="false">(DI79+DI55+DI82)*(DI$4&gt;In_COD)</f>
        <v>2133.09821167051</v>
      </c>
      <c r="DJ83" s="48" t="n">
        <f aca="false">(DJ79+DJ55+DJ82)*(DJ$4&gt;In_COD)</f>
        <v>2124.80202858923</v>
      </c>
      <c r="DK83" s="48" t="n">
        <f aca="false">(DK79+DK55+DK82)*(DK$4&gt;In_COD)</f>
        <v>2087.19177731218</v>
      </c>
      <c r="DL83" s="48" t="n">
        <f aca="false">(DL79+DL55+DL82)*(DL$4&gt;In_COD)</f>
        <v>2110.3827970601</v>
      </c>
      <c r="DM83" s="48" t="n">
        <f aca="false">(DM79+DM55+DM82)*(DM$4&gt;In_COD)</f>
        <v>2133.57381680801</v>
      </c>
      <c r="DN83" s="48" t="n">
        <f aca="false">(DN79+DN55+DN82)*(DN$4&gt;In_COD)</f>
        <v>2125.22878470017</v>
      </c>
      <c r="DO83" s="48" t="n">
        <f aca="false">(DO79+DO55+DO82)*(DO$4&gt;In_COD)</f>
        <v>2087.29657604581</v>
      </c>
      <c r="DP83" s="48" t="n">
        <f aca="false">(DP79+DP55+DP82)*(DP$4&gt;In_COD)</f>
        <v>2110.4887602241</v>
      </c>
      <c r="DQ83" s="48" t="n">
        <f aca="false">(DQ79+DQ55+DQ82)*(DQ$4&gt;In_COD)</f>
        <v>2133.68094440239</v>
      </c>
      <c r="DR83" s="48" t="n">
        <f aca="false">(DR79+DR55+DR82)*(DR$4&gt;In_COD)</f>
        <v>2125.28698314533</v>
      </c>
      <c r="DS83" s="48" t="n">
        <f aca="false">(DS79+DS55+DS82)*(DS$4&gt;In_COD)</f>
        <v>2087.02962566063</v>
      </c>
      <c r="DT83" s="48" t="n">
        <f aca="false">(DT79+DT55+DT82)*(DT$4&gt;In_COD)</f>
        <v>2110.21884372353</v>
      </c>
      <c r="DU83" s="48" t="n">
        <f aca="false">(DU79+DU55+DU82)*(DU$4&gt;In_COD)</f>
        <v>2133.40806178642</v>
      </c>
      <c r="DV83" s="48" t="n">
        <f aca="false">(DV79+DV55+DV82)*(DV$4&gt;In_COD)</f>
        <v>2124.96509621661</v>
      </c>
      <c r="DW83" s="48" t="n">
        <f aca="false">(DW79+DW55+DW82)*(DW$4&gt;In_COD)</f>
        <v>2109.56134446918</v>
      </c>
      <c r="DX83" s="48" t="n">
        <f aca="false">(DX79+DX55+DX82)*(DX$4&gt;In_COD)</f>
        <v>2109.56134446918</v>
      </c>
      <c r="DY83" s="48" t="n">
        <f aca="false">(DY79+DY55+DY82)*(DY$4&gt;In_COD)</f>
        <v>2132.74333726555</v>
      </c>
      <c r="DZ83" s="48" t="n">
        <f aca="false">(DZ79+DZ55+DZ82)*(DZ$4&gt;In_COD)</f>
        <v>2124.25129733469</v>
      </c>
      <c r="EA83" s="48" t="n">
        <f aca="false">(EA79+EA55+EA82)*(EA$4&gt;In_COD)</f>
        <v>2085.33387980802</v>
      </c>
      <c r="EB83" s="48" t="n">
        <f aca="false">(EB79+EB55+EB82)*(EB$4&gt;In_COD)</f>
        <v>2108.50425625033</v>
      </c>
      <c r="EC83" s="48" t="n">
        <f aca="false">(EC79+EC55+EC82)*(EC$4&gt;In_COD)</f>
        <v>2131.67463269264</v>
      </c>
      <c r="ED83" s="48" t="n">
        <f aca="false">(ED79+ED55+ED82)*(ED$4&gt;In_COD)</f>
        <v>2123.13345362752</v>
      </c>
      <c r="EE83" s="48" t="n">
        <f aca="false">(EE79+EE55+EE82)*(EE$4&gt;In_COD)</f>
        <v>2083.88102855902</v>
      </c>
      <c r="EF83" s="48" t="n">
        <f aca="false">(EF79+EF55+EF82)*(EF$4&gt;In_COD)</f>
        <v>2107.03526220968</v>
      </c>
      <c r="EG83" s="48" t="n">
        <f aca="false">(EG79+EG55+EG82)*(EG$4&gt;In_COD)</f>
        <v>2130.18949586034</v>
      </c>
      <c r="EH83" s="48" t="n">
        <f aca="false">(EH79+EH55+EH82)*(EH$4&gt;In_COD)</f>
        <v>2121.59911832654</v>
      </c>
      <c r="EI83" s="48" t="n">
        <f aca="false">(EI79+EI55+EI82)*(EI$4&gt;In_COD)</f>
        <v>2082.00830156043</v>
      </c>
      <c r="EJ83" s="48" t="n">
        <f aca="false">(EJ79+EJ55+EJ82)*(EJ$4&gt;In_COD)</f>
        <v>2105.14172713333</v>
      </c>
      <c r="EK83" s="48" t="n">
        <f aca="false">(EK79+EK55+EK82)*(EK$4&gt;In_COD)</f>
        <v>2128.27515270622</v>
      </c>
      <c r="EL83" s="48" t="n">
        <f aca="false">(EL79+EL55+EL82)*(EL$4&gt;In_COD)</f>
        <v>2119.63552297573</v>
      </c>
      <c r="EM83" s="48" t="n">
        <f aca="false">(EM79+EM55+EM82)*(EM$4&gt;In_COD)</f>
        <v>2102.81068955117</v>
      </c>
      <c r="EN83" s="48" t="n">
        <f aca="false">(EN79+EN55+EN82)*(EN$4&gt;In_COD)</f>
        <v>2102.81068955117</v>
      </c>
      <c r="EO83" s="48" t="n">
        <f aca="false">(EO79+EO55+EO82)*(EO$4&gt;In_COD)</f>
        <v>2125.91849932646</v>
      </c>
    </row>
    <row r="84" customFormat="false" ht="15" hidden="false" customHeight="false" outlineLevel="0" collapsed="false">
      <c r="C84" s="1" t="s">
        <v>431</v>
      </c>
      <c r="D84" s="12" t="s">
        <v>33</v>
      </c>
      <c r="E84" s="48" t="n">
        <f aca="false">SUMPRODUCT($J84:$EO84/$J21:$EO21)*$E21</f>
        <v>87503.5453688995</v>
      </c>
      <c r="I84" s="48" t="n">
        <f aca="false">SUM(J84:EO84)</f>
        <v>133299.110536955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1833.30962813866</v>
      </c>
      <c r="AA84" s="48" t="n">
        <f aca="false">AA83/In_DSCR*AA17</f>
        <v>1805.37188736255</v>
      </c>
      <c r="AB84" s="48" t="n">
        <f aca="false">AB83/In_DSCR*AB17</f>
        <v>1824.82083830608</v>
      </c>
      <c r="AC84" s="48" t="n">
        <f aca="false">AC83/In_DSCR*AC17</f>
        <v>1844.25947324416</v>
      </c>
      <c r="AD84" s="48" t="n">
        <f aca="false">AD83/In_DSCR*AD17</f>
        <v>1837.59662452005</v>
      </c>
      <c r="AE84" s="48" t="n">
        <f aca="false">AE83/In_DSCR*AE17</f>
        <v>1829.18206074816</v>
      </c>
      <c r="AF84" s="48" t="n">
        <f aca="false">AF83/In_DSCR*AF17</f>
        <v>1828.89841777836</v>
      </c>
      <c r="AG84" s="48" t="n">
        <f aca="false">AG83/In_DSCR*AG17</f>
        <v>1848.37869024997</v>
      </c>
      <c r="AH84" s="48" t="n">
        <f aca="false">AH83/In_DSCR*AH17</f>
        <v>1841.65969158803</v>
      </c>
      <c r="AI84" s="48" t="n">
        <f aca="false">AI83/In_DSCR*AI17</f>
        <v>1813.2307494781</v>
      </c>
      <c r="AJ84" s="48" t="n">
        <f aca="false">AJ83/In_DSCR*AJ17</f>
        <v>1859.1472689728</v>
      </c>
      <c r="AK84" s="48" t="n">
        <f aca="false">AK83/In_DSCR*AK17</f>
        <v>1878.94720431237</v>
      </c>
      <c r="AL84" s="48" t="n">
        <f aca="false">AL83/In_DSCR*AL17</f>
        <v>1857.83906660708</v>
      </c>
      <c r="AM84" s="48" t="n">
        <f aca="false">AM83/In_DSCR*AM17</f>
        <v>1828.65612183251</v>
      </c>
      <c r="AN84" s="48" t="n">
        <f aca="false">AN83/In_DSCR*AN17</f>
        <v>1847.72640599023</v>
      </c>
      <c r="AO84" s="48" t="n">
        <f aca="false">AO83/In_DSCR*AO17</f>
        <v>1866.77502326119</v>
      </c>
      <c r="AP84" s="48" t="n">
        <f aca="false">AP83/In_DSCR*AP17</f>
        <v>1859.90793413563</v>
      </c>
      <c r="AQ84" s="48" t="n">
        <f aca="false">AQ83/In_DSCR*AQ17</f>
        <v>1830.46687475165</v>
      </c>
      <c r="AR84" s="48" t="n">
        <f aca="false">AR83/In_DSCR*AR17</f>
        <v>1849.5523246095</v>
      </c>
      <c r="AS84" s="48" t="n">
        <f aca="false">AS83/In_DSCR*AS17</f>
        <v>1868.61567055978</v>
      </c>
      <c r="AT84" s="48" t="n">
        <f aca="false">AT83/In_DSCR*AT17</f>
        <v>1861.67468984065</v>
      </c>
      <c r="AU84" s="48" t="n">
        <f aca="false">AU83/In_DSCR*AU17</f>
        <v>1851.76622418163</v>
      </c>
      <c r="AV84" s="48" t="n">
        <f aca="false">AV83/In_DSCR*AV17</f>
        <v>1851.05487108846</v>
      </c>
      <c r="AW84" s="48" t="n">
        <f aca="false">AW83/In_DSCR*AW17</f>
        <v>1870.12939275333</v>
      </c>
      <c r="AX84" s="48" t="n">
        <f aca="false">AX83/In_DSCR*AX17</f>
        <v>1863.11267945617</v>
      </c>
      <c r="AY84" s="48" t="n">
        <f aca="false">AY83/In_DSCR*AY17</f>
        <v>1833.14449525801</v>
      </c>
      <c r="AZ84" s="48" t="n">
        <f aca="false">AZ83/In_DSCR*AZ17</f>
        <v>1852.24986520875</v>
      </c>
      <c r="BA84" s="48" t="n">
        <f aca="false">BA83/In_DSCR*BA17</f>
        <v>1871.3322049141</v>
      </c>
      <c r="BB84" s="48" t="n">
        <f aca="false">BB83/In_DSCR*BB17</f>
        <v>1864.23818426065</v>
      </c>
      <c r="BC84" s="48" t="n">
        <f aca="false">BC83/In_DSCR*BC17</f>
        <v>1834.00096145963</v>
      </c>
      <c r="BD84" s="48" t="n">
        <f aca="false">BD83/In_DSCR*BD17</f>
        <v>1853.1109799297</v>
      </c>
      <c r="BE84" s="48" t="n">
        <f aca="false">BE83/In_DSCR*BE17</f>
        <v>1872.19747925106</v>
      </c>
      <c r="BF84" s="48" t="n">
        <f aca="false">BF83/In_DSCR*BF17</f>
        <v>1865.02434263318</v>
      </c>
      <c r="BG84" s="48" t="n">
        <f aca="false">BG83/In_DSCR*BG17</f>
        <v>1834.51424298798</v>
      </c>
      <c r="BH84" s="48" t="n">
        <f aca="false">BH83/In_DSCR*BH17</f>
        <v>1853.6251257966</v>
      </c>
      <c r="BI84" s="48" t="n">
        <f aca="false">BI83/In_DSCR*BI17</f>
        <v>1872.71198167732</v>
      </c>
      <c r="BJ84" s="48" t="n">
        <f aca="false">BJ83/In_DSCR*BJ17</f>
        <v>1865.4578465054</v>
      </c>
      <c r="BK84" s="48" t="n">
        <f aca="false">BK83/In_DSCR*BK17</f>
        <v>1854.63489214079</v>
      </c>
      <c r="BL84" s="48" t="n">
        <f aca="false">BL83/In_DSCR*BL17</f>
        <v>1853.76426632721</v>
      </c>
      <c r="BM84" s="48" t="n">
        <f aca="false">BM83/In_DSCR*BM17</f>
        <v>1872.84735532804</v>
      </c>
      <c r="BN84" s="48" t="n">
        <f aca="false">BN83/In_DSCR*BN17</f>
        <v>1865.51008915021</v>
      </c>
      <c r="BO84" s="48" t="n">
        <f aca="false">BO83/In_DSCR*BO17</f>
        <v>1834.44211813263</v>
      </c>
      <c r="BP84" s="48" t="n">
        <f aca="false">BP83/In_DSCR*BP17</f>
        <v>1853.54259870325</v>
      </c>
      <c r="BQ84" s="48" t="n">
        <f aca="false">BQ83/In_DSCR*BQ17</f>
        <v>1872.61797456272</v>
      </c>
      <c r="BR84" s="48" t="n">
        <f aca="false">BR83/In_DSCR*BR17</f>
        <v>1865.1957004714</v>
      </c>
      <c r="BS84" s="48" t="n">
        <f aca="false">BS83/In_DSCR*BS17</f>
        <v>1833.84267629605</v>
      </c>
      <c r="BT84" s="48" t="n">
        <f aca="false">BT83/In_DSCR*BT17</f>
        <v>1852.93174345399</v>
      </c>
      <c r="BU84" s="48" t="n">
        <f aca="false">BU83/In_DSCR*BU17</f>
        <v>1871.99513601091</v>
      </c>
      <c r="BV84" s="48" t="n">
        <f aca="false">BV83/In_DSCR*BV17</f>
        <v>1864.48572770214</v>
      </c>
      <c r="BW84" s="48" t="n">
        <f aca="false">BW83/In_DSCR*BW17</f>
        <v>1832.84336190532</v>
      </c>
      <c r="BX84" s="48" t="n">
        <f aca="false">BX83/In_DSCR*BX17</f>
        <v>1851.91660084356</v>
      </c>
      <c r="BY84" s="48" t="n">
        <f aca="false">BY83/In_DSCR*BY17</f>
        <v>1870.96357267695</v>
      </c>
      <c r="BZ84" s="48" t="n">
        <f aca="false">BZ83/In_DSCR*BZ17</f>
        <v>1863.36481502245</v>
      </c>
      <c r="CA84" s="48" t="n">
        <f aca="false">CA83/In_DSCR*CA17</f>
        <v>1851.52716618554</v>
      </c>
      <c r="CB84" s="48" t="n">
        <f aca="false">CB83/In_DSCR*CB17</f>
        <v>1850.46694817084</v>
      </c>
      <c r="CC84" s="48" t="n">
        <f aca="false">CC83/In_DSCR*CC17</f>
        <v>1869.49271680384</v>
      </c>
      <c r="CD84" s="48" t="n">
        <f aca="false">CD83/In_DSCR*CD17</f>
        <v>1861.80212810107</v>
      </c>
      <c r="CE84" s="48" t="n">
        <f aca="false">CE83/In_DSCR*CE17</f>
        <v>1829.56753832581</v>
      </c>
      <c r="CF84" s="48" t="n">
        <f aca="false">CF83/In_DSCR*CF17</f>
        <v>1848.59500252476</v>
      </c>
      <c r="CG84" s="48" t="n">
        <f aca="false">CG83/In_DSCR*CG17</f>
        <v>1867.59494043877</v>
      </c>
      <c r="CH84" s="48" t="n">
        <f aca="false">CH83/In_DSCR*CH17</f>
        <v>1859.81028050581</v>
      </c>
      <c r="CI84" s="48" t="n">
        <f aca="false">CI83/In_DSCR*CI17</f>
        <v>1827.27271328693</v>
      </c>
      <c r="CJ84" s="48" t="n">
        <f aca="false">CJ83/In_DSCR*CJ17</f>
        <v>1846.2700357462</v>
      </c>
      <c r="CK84" s="48" t="n">
        <f aca="false">CK83/In_DSCR*CK17</f>
        <v>1865.23916499054</v>
      </c>
      <c r="CL84" s="48" t="n">
        <f aca="false">CL83/In_DSCR*CL17</f>
        <v>1857.35792607221</v>
      </c>
      <c r="CM84" s="48" t="n">
        <f aca="false">CM83/In_DSCR*CM17</f>
        <v>1824.51256749578</v>
      </c>
      <c r="CN84" s="48" t="n">
        <f aca="false">CN83/In_DSCR*CN17</f>
        <v>1843.47460366603</v>
      </c>
      <c r="CO84" s="48" t="n">
        <f aca="false">CO83/In_DSCR*CO17</f>
        <v>1862.40775257588</v>
      </c>
      <c r="CP84" s="48" t="n">
        <f aca="false">CP83/In_DSCR*CP17</f>
        <v>1854.42732021062</v>
      </c>
      <c r="CQ84" s="48" t="n">
        <f aca="false">CQ83/In_DSCR*CQ17</f>
        <v>1841.46199952639</v>
      </c>
      <c r="CR84" s="48" t="n">
        <f aca="false">CR83/In_DSCR*CR17</f>
        <v>1840.17597820838</v>
      </c>
      <c r="CS84" s="48" t="n">
        <f aca="false">CS83/In_DSCR*CS17</f>
        <v>1859.06760174233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1" t="s">
        <v>432</v>
      </c>
      <c r="D85" s="12" t="s">
        <v>27</v>
      </c>
      <c r="E85" s="49" t="n">
        <f aca="false">IF($E38=1,In_Gearing,In_Gearing_CN)</f>
        <v>0.8</v>
      </c>
    </row>
    <row r="86" customFormat="false" ht="15" hidden="false" customHeight="false" outlineLevel="0" collapsed="false">
      <c r="C86" s="26" t="s">
        <v>433</v>
      </c>
      <c r="D86" s="12" t="s">
        <v>27</v>
      </c>
      <c r="E86" s="34" t="n">
        <f aca="false">MIN($E85,$E84/-$E66)</f>
        <v>0.8</v>
      </c>
      <c r="F86" s="34" t="n">
        <f aca="false">$E86*-$E66/$E84</f>
        <v>0.773298720797321</v>
      </c>
    </row>
    <row r="88" customFormat="false" ht="15" hidden="false" customHeight="false" outlineLevel="0" collapsed="false">
      <c r="A88" s="10" t="s">
        <v>13</v>
      </c>
      <c r="B88" s="10"/>
      <c r="C88" s="10" t="s">
        <v>317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customFormat="false" ht="15" hidden="false" customHeight="false" outlineLevel="0" collapsed="false">
      <c r="C89" s="1" t="s">
        <v>434</v>
      </c>
      <c r="D89" s="12" t="s">
        <v>33</v>
      </c>
      <c r="I89" s="48" t="n">
        <f aca="false">SUM(J89:EO89)</f>
        <v>-35413.6519626482</v>
      </c>
      <c r="J89" s="48" t="n">
        <f aca="false">-I95*$F21*(J$4&gt;In_COD)</f>
        <v>-0</v>
      </c>
      <c r="K89" s="48" t="n">
        <f aca="false">-J95*$F21*(K$4&gt;In_COD)</f>
        <v>-0</v>
      </c>
      <c r="L89" s="48" t="n">
        <f aca="false">-K95*$F21*(L$4&gt;In_COD)</f>
        <v>-0</v>
      </c>
      <c r="M89" s="48" t="n">
        <f aca="false">-L95*$F21*(M$4&gt;In_COD)</f>
        <v>-0</v>
      </c>
      <c r="N89" s="48" t="n">
        <f aca="false">-M95*$F21*(N$4&gt;In_COD)</f>
        <v>-0</v>
      </c>
      <c r="O89" s="48" t="n">
        <f aca="false">-N95*$F21*(O$4&gt;In_COD)</f>
        <v>-0</v>
      </c>
      <c r="P89" s="48" t="n">
        <f aca="false">-O95*$F21*(P$4&gt;In_COD)</f>
        <v>-0</v>
      </c>
      <c r="Q89" s="48" t="n">
        <f aca="false">-P95*$F21*(Q$4&gt;In_COD)</f>
        <v>-0</v>
      </c>
      <c r="R89" s="48" t="n">
        <f aca="false">-Q95*$F21*(R$4&gt;In_COD)</f>
        <v>-0</v>
      </c>
      <c r="S89" s="48" t="n">
        <f aca="false">-R95*$F21*(S$4&gt;In_COD)</f>
        <v>-0</v>
      </c>
      <c r="T89" s="48" t="n">
        <f aca="false">-S95*$F21*(T$4&gt;In_COD)</f>
        <v>-0</v>
      </c>
      <c r="U89" s="48" t="n">
        <f aca="false">-T95*$F21*(U$4&gt;In_COD)</f>
        <v>-0</v>
      </c>
      <c r="V89" s="48" t="n">
        <f aca="false">-U95*$F21*(V$4&gt;In_COD)</f>
        <v>-0</v>
      </c>
      <c r="W89" s="48" t="n">
        <f aca="false">-V95*$F21*(W$4&gt;In_COD)</f>
        <v>-0</v>
      </c>
      <c r="X89" s="48" t="n">
        <f aca="false">-W95*$F21*(X$4&gt;In_COD)</f>
        <v>-0</v>
      </c>
      <c r="Y89" s="48" t="n">
        <f aca="false">-X95*$F21*(Y$4&gt;In_COD)</f>
        <v>-0</v>
      </c>
      <c r="Z89" s="48" t="n">
        <f aca="false">-Y95*$F21*(Z$4&gt;In_COD)</f>
        <v>-845.829746237504</v>
      </c>
      <c r="AA89" s="48" t="n">
        <f aca="false">-Z95*$F21*(AA$4&gt;In_COD)</f>
        <v>-838.68141818716</v>
      </c>
      <c r="AB89" s="48" t="n">
        <f aca="false">-AA95*$F21*(AB$4&gt;In_COD)</f>
        <v>-831.713788776238</v>
      </c>
      <c r="AC89" s="48" t="n">
        <f aca="false">-AB95*$F21*(AC$4&gt;In_COD)</f>
        <v>-824.471065886611</v>
      </c>
      <c r="AD89" s="48" t="n">
        <f aca="false">-AC95*$F21*(AD$4&gt;In_COD)</f>
        <v>-816.949910566718</v>
      </c>
      <c r="AE89" s="48" t="n">
        <f aca="false">-AD95*$F21*(AE$4&gt;In_COD)</f>
        <v>-809.399145460267</v>
      </c>
      <c r="AF89" s="48" t="n">
        <f aca="false">-AE95*$F21*(AF$4&gt;In_COD)</f>
        <v>-801.835332932496</v>
      </c>
      <c r="AG89" s="48" t="n">
        <f aca="false">-AF95*$F21*(AG$4&gt;In_COD)</f>
        <v>-794.179714507449</v>
      </c>
      <c r="AH89" s="48" t="n">
        <f aca="false">-AG95*$F21*(AH$4&gt;In_COD)</f>
        <v>-786.2400999798</v>
      </c>
      <c r="AI89" s="48" t="n">
        <f aca="false">-AH95*$F21*(AI$4&gt;In_COD)</f>
        <v>-778.266187683935</v>
      </c>
      <c r="AJ89" s="48" t="n">
        <f aca="false">-AI95*$F21*(AJ$4&gt;In_COD)</f>
        <v>-770.467402291462</v>
      </c>
      <c r="AK89" s="48" t="n">
        <f aca="false">-AJ95*$F21*(AK$4&gt;In_COD)</f>
        <v>-762.127292259224</v>
      </c>
      <c r="AL89" s="48" t="n">
        <f aca="false">-AK95*$F21*(AL$4&gt;In_COD)</f>
        <v>-753.491540043209</v>
      </c>
      <c r="AM89" s="48" t="n">
        <f aca="false">-AL95*$F21*(AM$4&gt;In_COD)</f>
        <v>-744.951877123067</v>
      </c>
      <c r="AN89" s="48" t="n">
        <f aca="false">-AM95*$F21*(AN$4&gt;In_COD)</f>
        <v>-736.587557589714</v>
      </c>
      <c r="AO89" s="48" t="n">
        <f aca="false">-AN95*$F21*(AO$4&gt;In_COD)</f>
        <v>-727.93434623289</v>
      </c>
      <c r="AP89" s="48" t="n">
        <f aca="false">-AO95*$F21*(AP$4&gt;In_COD)</f>
        <v>-718.988841341998</v>
      </c>
      <c r="AQ89" s="48" t="n">
        <f aca="false">-AP95*$F21*(AQ$4&gt;In_COD)</f>
        <v>-709.997896530424</v>
      </c>
      <c r="AR89" s="48" t="n">
        <f aca="false">-AQ95*$F21*(AR$4&gt;In_COD)</f>
        <v>-701.179149078213</v>
      </c>
      <c r="AS89" s="48" t="n">
        <f aca="false">-AR95*$F21*(AS$4&gt;In_COD)</f>
        <v>-692.065682858338</v>
      </c>
      <c r="AT89" s="48" t="n">
        <f aca="false">-AS95*$F21*(AT$4&gt;In_COD)</f>
        <v>-682.654027547746</v>
      </c>
      <c r="AU89" s="48" t="n">
        <f aca="false">-AT95*$F21*(AU$4&gt;In_COD)</f>
        <v>-673.191819689661</v>
      </c>
      <c r="AV89" s="48" t="n">
        <f aca="false">-AU95*$F21*(AV$4&gt;In_COD)</f>
        <v>-663.70711178109</v>
      </c>
      <c r="AW89" s="48" t="n">
        <f aca="false">-AV95*$F21*(AW$4&gt;In_COD)</f>
        <v>-654.110721129124</v>
      </c>
      <c r="AX89" s="48" t="n">
        <f aca="false">-AW95*$F21*(AX$4&gt;In_COD)</f>
        <v>-644.209996803968</v>
      </c>
      <c r="AY89" s="48" t="n">
        <f aca="false">-AX95*$F21*(AY$4&gt;In_COD)</f>
        <v>-634.253338617458</v>
      </c>
      <c r="AZ89" s="48" t="n">
        <f aca="false">-AY95*$F21*(AZ$4&gt;In_COD)</f>
        <v>-624.461901684931</v>
      </c>
      <c r="BA89" s="48" t="n">
        <f aca="false">-AZ95*$F21*(BA$4&gt;In_COD)</f>
        <v>-614.363394813956</v>
      </c>
      <c r="BB89" s="48" t="n">
        <f aca="false">-BA95*$F21*(BB$4&gt;In_COD)</f>
        <v>-603.954202246044</v>
      </c>
      <c r="BC89" s="48" t="n">
        <f aca="false">-BB95*$F21*(BC$4&gt;In_COD)</f>
        <v>-593.483467234741</v>
      </c>
      <c r="BD89" s="48" t="n">
        <f aca="false">-BC95*$F21*(BD$4&gt;In_COD)</f>
        <v>-583.174128107203</v>
      </c>
      <c r="BE89" s="48" t="n">
        <f aca="false">-BD95*$F21*(BE$4&gt;In_COD)</f>
        <v>-572.551200330104</v>
      </c>
      <c r="BF89" s="48" t="n">
        <f aca="false">-BE95*$F21*(BF$4&gt;In_COD)</f>
        <v>-561.61099138692</v>
      </c>
      <c r="BG89" s="48" t="n">
        <f aca="false">-BF95*$F21*(BG$4&gt;In_COD)</f>
        <v>-550.60336704908</v>
      </c>
      <c r="BH89" s="48" t="n">
        <f aca="false">-BG95*$F21*(BH$4&gt;In_COD)</f>
        <v>-539.753065169856</v>
      </c>
      <c r="BI89" s="48" t="n">
        <f aca="false">-BH95*$F21*(BI$4&gt;In_COD)</f>
        <v>-528.582404251775</v>
      </c>
      <c r="BJ89" s="48" t="n">
        <f aca="false">-BI95*$F21*(BJ$4&gt;In_COD)</f>
        <v>-517.087612056761</v>
      </c>
      <c r="BK89" s="48" t="n">
        <f aca="false">-BJ95*$F21*(BK$4&gt;In_COD)</f>
        <v>-505.519255127421</v>
      </c>
      <c r="BL89" s="48" t="n">
        <f aca="false">-BK95*$F21*(BL$4&gt;In_COD)</f>
        <v>-493.910910946032</v>
      </c>
      <c r="BM89" s="48" t="n">
        <f aca="false">-BL95*$F21*(BM$4&gt;In_COD)</f>
        <v>-482.165878135225</v>
      </c>
      <c r="BN89" s="48" t="n">
        <f aca="false">-BM95*$F21*(BN$4&gt;In_COD)</f>
        <v>-470.089570810367</v>
      </c>
      <c r="BO89" s="48" t="n">
        <f aca="false">-BN95*$F21*(BO$4&gt;In_COD)</f>
        <v>-457.933233375818</v>
      </c>
      <c r="BP89" s="48" t="n">
        <f aca="false">-BO95*$F21*(BP$4&gt;In_COD)</f>
        <v>-445.925252001407</v>
      </c>
      <c r="BQ89" s="48" t="n">
        <f aca="false">-BP95*$F21*(BQ$4&gt;In_COD)</f>
        <v>-433.582541144917</v>
      </c>
      <c r="BR89" s="48" t="n">
        <f aca="false">-BQ95*$F21*(BR$4&gt;In_COD)</f>
        <v>-420.901159355836</v>
      </c>
      <c r="BS89" s="48" t="n">
        <f aca="false">-BR95*$F21*(BS$4&gt;In_COD)</f>
        <v>-408.133005732644</v>
      </c>
      <c r="BT89" s="48" t="n">
        <f aca="false">-BS95*$F21*(BT$4&gt;In_COD)</f>
        <v>-395.508315857761</v>
      </c>
      <c r="BU89" s="48" t="n">
        <f aca="false">-BT95*$F21*(BU$4&gt;In_COD)</f>
        <v>-382.541297969261</v>
      </c>
      <c r="BV89" s="48" t="n">
        <f aca="false">-BU95*$F21*(BV$4&gt;In_COD)</f>
        <v>-369.227921143677</v>
      </c>
      <c r="BW89" s="48" t="n">
        <f aca="false">-BV95*$F21*(BW$4&gt;In_COD)</f>
        <v>-355.820714805761</v>
      </c>
      <c r="BX89" s="48" t="n">
        <f aca="false">-BW95*$F21*(BX$4&gt;In_COD)</f>
        <v>-342.551780901043</v>
      </c>
      <c r="BY89" s="48" t="n">
        <f aca="false">-BX95*$F21*(BY$4&gt;In_COD)</f>
        <v>-328.93261893161</v>
      </c>
      <c r="BZ89" s="48" t="n">
        <f aca="false">-BY95*$F21*(BZ$4&gt;In_COD)</f>
        <v>-314.959104950637</v>
      </c>
      <c r="CA89" s="48" t="n">
        <f aca="false">-BZ95*$F21*(CA$4&gt;In_COD)</f>
        <v>-300.884373414575</v>
      </c>
      <c r="CB89" s="48" t="n">
        <f aca="false">-CA95*$F21*(CB$4&gt;In_COD)</f>
        <v>-286.748133218097</v>
      </c>
      <c r="CC89" s="48" t="n">
        <f aca="false">-CB95*$F21*(CC$4&gt;In_COD)</f>
        <v>-272.445438334596</v>
      </c>
      <c r="CD89" s="48" t="n">
        <f aca="false">-CC95*$F21*(CD$4&gt;In_COD)</f>
        <v>-257.780052233224</v>
      </c>
      <c r="CE89" s="48" t="n">
        <f aca="false">-CD95*$F21*(CE$4&gt;In_COD)</f>
        <v>-243.005687835661</v>
      </c>
      <c r="CF89" s="48" t="n">
        <f aca="false">-CE95*$F21*(CF$4&gt;In_COD)</f>
        <v>-228.358230971111</v>
      </c>
      <c r="CG89" s="48" t="n">
        <f aca="false">-CF95*$F21*(CG$4&gt;In_COD)</f>
        <v>-213.343756974191</v>
      </c>
      <c r="CH89" s="48" t="n">
        <f aca="false">-CG95*$F21*(CH$4&gt;In_COD)</f>
        <v>-197.957944206257</v>
      </c>
      <c r="CI89" s="48" t="n">
        <f aca="false">-CH95*$F21*(CI$4&gt;In_COD)</f>
        <v>-182.455057123325</v>
      </c>
      <c r="CJ89" s="48" t="n">
        <f aca="false">-CI95*$F21*(CJ$4&gt;In_COD)</f>
        <v>-167.072899690709</v>
      </c>
      <c r="CK89" s="48" t="n">
        <f aca="false">-CJ95*$F21*(CK$4&gt;In_COD)</f>
        <v>-151.314832725731</v>
      </c>
      <c r="CL89" s="48" t="n">
        <f aca="false">-CK95*$F21*(CL$4&gt;In_COD)</f>
        <v>-135.176429881449</v>
      </c>
      <c r="CM89" s="48" t="n">
        <f aca="false">-CL95*$F21*(CM$4&gt;In_COD)</f>
        <v>-118.912478901287</v>
      </c>
      <c r="CN89" s="48" t="n">
        <f aca="false">-CM95*$F21*(CN$4&gt;In_COD)</f>
        <v>-102.762719456014</v>
      </c>
      <c r="CO89" s="48" t="n">
        <f aca="false">-CN95*$F21*(CO$4&gt;In_COD)</f>
        <v>-86.2277965387483</v>
      </c>
      <c r="CP89" s="48" t="n">
        <f aca="false">-CO95*$F21*(CP$4&gt;In_COD)</f>
        <v>-69.3031748371084</v>
      </c>
      <c r="CQ89" s="48" t="n">
        <f aca="false">-CP95*$F21*(CQ$4&gt;In_COD)</f>
        <v>-52.2441360909413</v>
      </c>
      <c r="CR89" s="48" t="n">
        <f aca="false">-CQ95*$F21*(CR$4&gt;In_COD)</f>
        <v>-35.0971851841951</v>
      </c>
      <c r="CS89" s="48" t="n">
        <f aca="false">-CR95*$F21*(CS$4&gt;In_COD)</f>
        <v>-17.7483283741163</v>
      </c>
      <c r="CT89" s="48" t="n">
        <f aca="false">-CS95*$F21*(CT$4&gt;In_COD)</f>
        <v>-4.10409484175034E-012</v>
      </c>
      <c r="CU89" s="48" t="n">
        <f aca="false">-CT95*$F21*(CU$4&gt;In_COD)</f>
        <v>-4.15539602727222E-012</v>
      </c>
      <c r="CV89" s="48" t="n">
        <f aca="false">-CU95*$F21*(CV$4&gt;In_COD)</f>
        <v>-4.20733847761312E-012</v>
      </c>
      <c r="CW89" s="48" t="n">
        <f aca="false">-CV95*$F21*(CW$4&gt;In_COD)</f>
        <v>-4.25993020858329E-012</v>
      </c>
      <c r="CX89" s="48" t="n">
        <f aca="false">-CW95*$F21*(CX$4&gt;In_COD)</f>
        <v>-4.31317933619058E-012</v>
      </c>
      <c r="CY89" s="48" t="n">
        <f aca="false">-CX95*$F21*(CY$4&gt;In_COD)</f>
        <v>-4.36709407789296E-012</v>
      </c>
      <c r="CZ89" s="48" t="n">
        <f aca="false">-CY95*$F21*(CZ$4&gt;In_COD)</f>
        <v>-4.42168275386662E-012</v>
      </c>
      <c r="DA89" s="48" t="n">
        <f aca="false">-CZ95*$F21*(DA$4&gt;In_COD)</f>
        <v>-4.47695378828995E-012</v>
      </c>
      <c r="DB89" s="48" t="n">
        <f aca="false">-DA95*$F21*(DB$4&gt;In_COD)</f>
        <v>-4.53291571064358E-012</v>
      </c>
      <c r="DC89" s="48" t="n">
        <f aca="false">-DB95*$F21*(DC$4&gt;In_COD)</f>
        <v>-4.58957715702662E-012</v>
      </c>
      <c r="DD89" s="48" t="n">
        <f aca="false">-DC95*$F21*(DD$4&gt;In_COD)</f>
        <v>-4.64694687148946E-012</v>
      </c>
      <c r="DE89" s="48" t="n">
        <f aca="false">-DD95*$F21*(DE$4&gt;In_COD)</f>
        <v>-4.70503370738307E-012</v>
      </c>
      <c r="DF89" s="48" t="n">
        <f aca="false">-DE95*$F21*(DF$4&gt;In_COD)</f>
        <v>-4.76384662872536E-012</v>
      </c>
      <c r="DG89" s="48" t="n">
        <f aca="false">-DF95*$F21*(DG$4&gt;In_COD)</f>
        <v>-4.82339471158443E-012</v>
      </c>
      <c r="DH89" s="48" t="n">
        <f aca="false">-DG95*$F21*(DH$4&gt;In_COD)</f>
        <v>-4.88368714547923E-012</v>
      </c>
      <c r="DI89" s="48" t="n">
        <f aca="false">-DH95*$F21*(DI$4&gt;In_COD)</f>
        <v>-4.94473323479773E-012</v>
      </c>
      <c r="DJ89" s="48" t="n">
        <f aca="false">-DI95*$F21*(DJ$4&gt;In_COD)</f>
        <v>-5.0065424002327E-012</v>
      </c>
      <c r="DK89" s="48" t="n">
        <f aca="false">-DJ95*$F21*(DK$4&gt;In_COD)</f>
        <v>-5.06912418023561E-012</v>
      </c>
      <c r="DL89" s="48" t="n">
        <f aca="false">-DK95*$F21*(DL$4&gt;In_COD)</f>
        <v>-5.13248823248855E-012</v>
      </c>
      <c r="DM89" s="48" t="n">
        <f aca="false">-DL95*$F21*(DM$4&gt;In_COD)</f>
        <v>-5.19664433539466E-012</v>
      </c>
      <c r="DN89" s="48" t="n">
        <f aca="false">-DM95*$F21*(DN$4&gt;In_COD)</f>
        <v>-5.26160238958709E-012</v>
      </c>
      <c r="DO89" s="48" t="n">
        <f aca="false">-DN95*$F21*(DO$4&gt;In_COD)</f>
        <v>-5.32737241945693E-012</v>
      </c>
      <c r="DP89" s="48" t="n">
        <f aca="false">-DO95*$F21*(DP$4&gt;In_COD)</f>
        <v>-5.39396457470014E-012</v>
      </c>
      <c r="DQ89" s="48" t="n">
        <f aca="false">-DP95*$F21*(DQ$4&gt;In_COD)</f>
        <v>-5.46138913188389E-012</v>
      </c>
      <c r="DR89" s="48" t="n">
        <f aca="false">-DQ95*$F21*(DR$4&gt;In_COD)</f>
        <v>-5.52965649603244E-012</v>
      </c>
      <c r="DS89" s="48" t="n">
        <f aca="false">-DR95*$F21*(DS$4&gt;In_COD)</f>
        <v>-5.59877720223285E-012</v>
      </c>
      <c r="DT89" s="48" t="n">
        <f aca="false">-DS95*$F21*(DT$4&gt;In_COD)</f>
        <v>-5.66876191726076E-012</v>
      </c>
      <c r="DU89" s="48" t="n">
        <f aca="false">-DT95*$F21*(DU$4&gt;In_COD)</f>
        <v>-5.73962144122652E-012</v>
      </c>
      <c r="DV89" s="48" t="n">
        <f aca="false">-DU95*$F21*(DV$4&gt;In_COD)</f>
        <v>-5.81136670924185E-012</v>
      </c>
      <c r="DW89" s="48" t="n">
        <f aca="false">-DV95*$F21*(DW$4&gt;In_COD)</f>
        <v>-5.88400879310737E-012</v>
      </c>
      <c r="DX89" s="48" t="n">
        <f aca="false">-DW95*$F21*(DX$4&gt;In_COD)</f>
        <v>-5.95755890302121E-012</v>
      </c>
      <c r="DY89" s="48" t="n">
        <f aca="false">-DX95*$F21*(DY$4&gt;In_COD)</f>
        <v>-6.03202838930898E-012</v>
      </c>
      <c r="DZ89" s="48" t="n">
        <f aca="false">-DY95*$F21*(DZ$4&gt;In_COD)</f>
        <v>-6.10742874417534E-012</v>
      </c>
      <c r="EA89" s="48" t="n">
        <f aca="false">-DZ95*$F21*(EA$4&gt;In_COD)</f>
        <v>-6.18377160347753E-012</v>
      </c>
      <c r="EB89" s="48" t="n">
        <f aca="false">-EA95*$F21*(EB$4&gt;In_COD)</f>
        <v>-6.261068748521E-012</v>
      </c>
      <c r="EC89" s="48" t="n">
        <f aca="false">-EB95*$F21*(EC$4&gt;In_COD)</f>
        <v>-6.33933210787752E-012</v>
      </c>
      <c r="ED89" s="48" t="n">
        <f aca="false">-EC95*$F21*(ED$4&gt;In_COD)</f>
        <v>-6.41857375922598E-012</v>
      </c>
      <c r="EE89" s="48" t="n">
        <f aca="false">-ED95*$F21*(EE$4&gt;In_COD)</f>
        <v>-6.49880593121631E-012</v>
      </c>
      <c r="EF89" s="48" t="n">
        <f aca="false">-EE95*$F21*(EF$4&gt;In_COD)</f>
        <v>-6.58004100535651E-012</v>
      </c>
      <c r="EG89" s="48" t="n">
        <f aca="false">-EF95*$F21*(EG$4&gt;In_COD)</f>
        <v>-6.66229151792347E-012</v>
      </c>
      <c r="EH89" s="48" t="n">
        <f aca="false">-EG95*$F21*(EH$4&gt;In_COD)</f>
        <v>-6.74557016189751E-012</v>
      </c>
      <c r="EI89" s="48" t="n">
        <f aca="false">-EH95*$F21*(EI$4&gt;In_COD)</f>
        <v>-6.82988978892123E-012</v>
      </c>
      <c r="EJ89" s="48" t="n">
        <f aca="false">-EI95*$F21*(EJ$4&gt;In_COD)</f>
        <v>-6.91526341128275E-012</v>
      </c>
      <c r="EK89" s="48" t="n">
        <f aca="false">-EJ95*$F21*(EK$4&gt;In_COD)</f>
        <v>-7.00170420392378E-012</v>
      </c>
      <c r="EL89" s="48" t="n">
        <f aca="false">-EK95*$F21*(EL$4&gt;In_COD)</f>
        <v>-7.08922550647283E-012</v>
      </c>
      <c r="EM89" s="48" t="n">
        <f aca="false">-EL95*$F21*(EM$4&gt;In_COD)</f>
        <v>-7.17784082530374E-012</v>
      </c>
      <c r="EN89" s="48" t="n">
        <f aca="false">-EM95*$F21*(EN$4&gt;In_COD)</f>
        <v>-7.26756383562003E-012</v>
      </c>
      <c r="EO89" s="48" t="n">
        <f aca="false">-EN95*$F21*(EO$4&gt;In_COD)</f>
        <v>-7.35840838356529E-012</v>
      </c>
    </row>
    <row r="90" customFormat="false" ht="15" hidden="false" customHeight="false" outlineLevel="0" collapsed="false">
      <c r="C90" s="1" t="s">
        <v>435</v>
      </c>
      <c r="D90" s="12" t="s">
        <v>33</v>
      </c>
      <c r="I90" s="48" t="n">
        <f aca="false">SUM(J90:EO90)</f>
        <v>-103080.031661648</v>
      </c>
      <c r="J90" s="48" t="n">
        <f aca="false">-J84*$F86</f>
        <v>0</v>
      </c>
      <c r="K90" s="48" t="n">
        <f aca="false">-K84*$F86</f>
        <v>0</v>
      </c>
      <c r="L90" s="48" t="n">
        <f aca="false">-L84*$F86</f>
        <v>0</v>
      </c>
      <c r="M90" s="48" t="n">
        <f aca="false">-M84*$F86</f>
        <v>0</v>
      </c>
      <c r="N90" s="48" t="n">
        <f aca="false">-N84*$F86</f>
        <v>0</v>
      </c>
      <c r="O90" s="48" t="n">
        <f aca="false">-O84*$F86</f>
        <v>0</v>
      </c>
      <c r="P90" s="48" t="n">
        <f aca="false">-P84*$F86</f>
        <v>0</v>
      </c>
      <c r="Q90" s="48" t="n">
        <f aca="false">-Q84*$F86</f>
        <v>0</v>
      </c>
      <c r="R90" s="48" t="n">
        <f aca="false">-R84*$F86</f>
        <v>0</v>
      </c>
      <c r="S90" s="48" t="n">
        <f aca="false">-S84*$F86</f>
        <v>0</v>
      </c>
      <c r="T90" s="48" t="n">
        <f aca="false">-T84*$F86</f>
        <v>0</v>
      </c>
      <c r="U90" s="48" t="n">
        <f aca="false">-U84*$F86</f>
        <v>0</v>
      </c>
      <c r="V90" s="48" t="n">
        <f aca="false">-V84*$F86</f>
        <v>0</v>
      </c>
      <c r="W90" s="48" t="n">
        <f aca="false">-W84*$F86</f>
        <v>0</v>
      </c>
      <c r="X90" s="48" t="n">
        <f aca="false">-X84*$F86</f>
        <v>0</v>
      </c>
      <c r="Y90" s="48" t="n">
        <f aca="false">-Y84*$F86</f>
        <v>0</v>
      </c>
      <c r="Z90" s="48" t="n">
        <f aca="false">-Z84*$F86</f>
        <v>-1417.69599026504</v>
      </c>
      <c r="AA90" s="48" t="n">
        <f aca="false">-AA84*$F86</f>
        <v>-1396.09177106091</v>
      </c>
      <c r="AB90" s="48" t="n">
        <f aca="false">-AB84*$F86</f>
        <v>-1411.13161994639</v>
      </c>
      <c r="AC90" s="48" t="n">
        <f aca="false">-AC84*$F86</f>
        <v>-1426.16349147805</v>
      </c>
      <c r="AD90" s="48" t="n">
        <f aca="false">-AD84*$F86</f>
        <v>-1421.01111908283</v>
      </c>
      <c r="AE90" s="48" t="n">
        <f aca="false">-AE84*$F86</f>
        <v>-1414.50414768196</v>
      </c>
      <c r="AF90" s="48" t="n">
        <f aca="false">-AF84*$F86</f>
        <v>-1414.28480693625</v>
      </c>
      <c r="AG90" s="48" t="n">
        <f aca="false">-AG84*$F86</f>
        <v>-1429.34887671933</v>
      </c>
      <c r="AH90" s="48" t="n">
        <f aca="false">-AH84*$F86</f>
        <v>-1424.15308364901</v>
      </c>
      <c r="AI90" s="48" t="n">
        <f aca="false">-AI84*$F86</f>
        <v>-1402.16901908178</v>
      </c>
      <c r="AJ90" s="48" t="n">
        <f aca="false">-AJ84*$F86</f>
        <v>-1437.6762048705</v>
      </c>
      <c r="AK90" s="48" t="n">
        <f aca="false">-AK84*$F86</f>
        <v>-1452.98746954046</v>
      </c>
      <c r="AL90" s="48" t="n">
        <f aca="false">-AL84*$F86</f>
        <v>-1436.66457365455</v>
      </c>
      <c r="AM90" s="48" t="n">
        <f aca="false">-AM84*$F86</f>
        <v>-1414.09743979127</v>
      </c>
      <c r="AN90" s="48" t="n">
        <f aca="false">-AN84*$F86</f>
        <v>-1428.84446613568</v>
      </c>
      <c r="AO90" s="48" t="n">
        <f aca="false">-AO84*$F86</f>
        <v>-1443.57473750427</v>
      </c>
      <c r="AP90" s="48" t="n">
        <f aca="false">-AP84*$F86</f>
        <v>-1438.26442626787</v>
      </c>
      <c r="AQ90" s="48" t="n">
        <f aca="false">-AQ84*$F86</f>
        <v>-1415.49769270732</v>
      </c>
      <c r="AR90" s="48" t="n">
        <f aca="false">-AR84*$F86</f>
        <v>-1430.25644666824</v>
      </c>
      <c r="AS90" s="48" t="n">
        <f aca="false">-AS84*$F86</f>
        <v>-1444.99810770571</v>
      </c>
      <c r="AT90" s="48" t="n">
        <f aca="false">-AT84*$F86</f>
        <v>-1439.63065619452</v>
      </c>
      <c r="AU90" s="48" t="n">
        <f aca="false">-AU84*$F86</f>
        <v>-1431.96845237534</v>
      </c>
      <c r="AV90" s="48" t="n">
        <f aca="false">-AV84*$F86</f>
        <v>-1431.41836393835</v>
      </c>
      <c r="AW90" s="48" t="n">
        <f aca="false">-AW84*$F86</f>
        <v>-1446.16866714162</v>
      </c>
      <c r="AX90" s="48" t="n">
        <f aca="false">-AX84*$F86</f>
        <v>-1440.74265172473</v>
      </c>
      <c r="AY90" s="48" t="n">
        <f aca="false">-AY84*$F86</f>
        <v>-1417.56829321967</v>
      </c>
      <c r="AZ90" s="48" t="n">
        <f aca="false">-AZ84*$F86</f>
        <v>-1432.34245136293</v>
      </c>
      <c r="BA90" s="48" t="n">
        <f aca="false">-BA84*$F86</f>
        <v>-1447.09880024691</v>
      </c>
      <c r="BB90" s="48" t="n">
        <f aca="false">-BB84*$F86</f>
        <v>-1441.61300315028</v>
      </c>
      <c r="BC90" s="48" t="n">
        <f aca="false">-BC84*$F86</f>
        <v>-1418.23059743779</v>
      </c>
      <c r="BD90" s="48" t="n">
        <f aca="false">-BD84*$F86</f>
        <v>-1433.00835027511</v>
      </c>
      <c r="BE90" s="48" t="n">
        <f aca="false">-BE84*$F86</f>
        <v>-1447.76791578481</v>
      </c>
      <c r="BF90" s="48" t="n">
        <f aca="false">-BF84*$F86</f>
        <v>-1442.2209384141</v>
      </c>
      <c r="BG90" s="48" t="n">
        <f aca="false">-BG84*$F86</f>
        <v>-1418.62751738707</v>
      </c>
      <c r="BH90" s="48" t="n">
        <f aca="false">-BH84*$F86</f>
        <v>-1433.40593861629</v>
      </c>
      <c r="BI90" s="48" t="n">
        <f aca="false">-BI84*$F86</f>
        <v>-1448.16577985288</v>
      </c>
      <c r="BJ90" s="48" t="n">
        <f aca="false">-BJ84*$F86</f>
        <v>-1442.55616640395</v>
      </c>
      <c r="BK90" s="48" t="n">
        <f aca="false">-BK84*$F86</f>
        <v>-1434.18678963855</v>
      </c>
      <c r="BL90" s="48" t="n">
        <f aca="false">-BL84*$F86</f>
        <v>-1433.51353581062</v>
      </c>
      <c r="BM90" s="48" t="n">
        <f aca="false">-BM84*$F86</f>
        <v>-1448.27046412382</v>
      </c>
      <c r="BN90" s="48" t="n">
        <f aca="false">-BN84*$F86</f>
        <v>-1442.59656557436</v>
      </c>
      <c r="BO90" s="48" t="n">
        <f aca="false">-BO84*$F86</f>
        <v>-1418.57174332869</v>
      </c>
      <c r="BP90" s="48" t="n">
        <f aca="false">-BP84*$F86</f>
        <v>-1433.34212052057</v>
      </c>
      <c r="BQ90" s="48" t="n">
        <f aca="false">-BQ84*$F86</f>
        <v>-1448.09308427142</v>
      </c>
      <c r="BR90" s="48" t="n">
        <f aca="false">-BR84*$F86</f>
        <v>-1442.3534492112</v>
      </c>
      <c r="BS90" s="48" t="n">
        <f aca="false">-BS84*$F86</f>
        <v>-1418.10819572327</v>
      </c>
      <c r="BT90" s="48" t="n">
        <f aca="false">-BT84*$F86</f>
        <v>-1432.86974693772</v>
      </c>
      <c r="BU90" s="48" t="n">
        <f aca="false">-BU84*$F86</f>
        <v>-1447.61144401604</v>
      </c>
      <c r="BV90" s="48" t="n">
        <f aca="false">-BV84*$F86</f>
        <v>-1441.80442817693</v>
      </c>
      <c r="BW90" s="48" t="n">
        <f aca="false">-BW84*$F86</f>
        <v>-1417.33542718325</v>
      </c>
      <c r="BX90" s="48" t="n">
        <f aca="false">-BX84*$F86</f>
        <v>-1432.08473845565</v>
      </c>
      <c r="BY90" s="48" t="n">
        <f aca="false">-BY84*$F86</f>
        <v>-1446.81373740948</v>
      </c>
      <c r="BZ90" s="48" t="n">
        <f aca="false">-BZ84*$F86</f>
        <v>-1440.9376278356</v>
      </c>
      <c r="CA90" s="48" t="n">
        <f aca="false">-CA84*$F86</f>
        <v>-1431.78358913276</v>
      </c>
      <c r="CB90" s="48" t="n">
        <f aca="false">-CB84*$F86</f>
        <v>-1430.96372389823</v>
      </c>
      <c r="CC90" s="48" t="n">
        <f aca="false">-CC84*$F86</f>
        <v>-1445.67632644431</v>
      </c>
      <c r="CD90" s="48" t="n">
        <f aca="false">-CD84*$F86</f>
        <v>-1439.72920403829</v>
      </c>
      <c r="CE90" s="48" t="n">
        <f aca="false">-CE84*$F86</f>
        <v>-1414.80223699966</v>
      </c>
      <c r="CF90" s="48" t="n">
        <f aca="false">-CF84*$F86</f>
        <v>-1429.51615072472</v>
      </c>
      <c r="CG90" s="48" t="n">
        <f aca="false">-CG84*$F86</f>
        <v>-1444.20877840885</v>
      </c>
      <c r="CH90" s="48" t="n">
        <f aca="false">-CH84*$F86</f>
        <v>-1438.18891084085</v>
      </c>
      <c r="CI90" s="48" t="n">
        <f aca="false">-CI84*$F86</f>
        <v>-1413.02765173263</v>
      </c>
      <c r="CJ90" s="48" t="n">
        <f aca="false">-CJ84*$F86</f>
        <v>-1427.71825688896</v>
      </c>
      <c r="CK90" s="48" t="n">
        <f aca="false">-CK84*$F86</f>
        <v>-1442.38706026825</v>
      </c>
      <c r="CL90" s="48" t="n">
        <f aca="false">-CL84*$F86</f>
        <v>-1436.2925082944</v>
      </c>
      <c r="CM90" s="48" t="n">
        <f aca="false">-CM84*$F86</f>
        <v>-1410.89323452312</v>
      </c>
      <c r="CN90" s="48" t="n">
        <f aca="false">-CN84*$F86</f>
        <v>-1425.55655283729</v>
      </c>
      <c r="CO90" s="48" t="n">
        <f aca="false">-CO84*$F86</f>
        <v>-1440.19753266994</v>
      </c>
      <c r="CP90" s="48" t="n">
        <f aca="false">-CP84*$F86</f>
        <v>-1434.02627453048</v>
      </c>
      <c r="CQ90" s="48" t="n">
        <f aca="false">-CQ84*$F86</f>
        <v>-1424.00020863064</v>
      </c>
      <c r="CR90" s="48" t="n">
        <f aca="false">-CR84*$F86</f>
        <v>-1423.0057299905</v>
      </c>
      <c r="CS90" s="48" t="n">
        <f aca="false">-CS84*$F86</f>
        <v>-1437.61459830309</v>
      </c>
      <c r="CT90" s="48" t="n">
        <f aca="false">-CT84*$F86</f>
        <v>-0</v>
      </c>
      <c r="CU90" s="48" t="n">
        <f aca="false">-CU84*$F86</f>
        <v>-0</v>
      </c>
      <c r="CV90" s="48" t="n">
        <f aca="false">-CV84*$F86</f>
        <v>-0</v>
      </c>
      <c r="CW90" s="48" t="n">
        <f aca="false">-CW84*$F86</f>
        <v>-0</v>
      </c>
      <c r="CX90" s="48" t="n">
        <f aca="false">-CX84*$F86</f>
        <v>-0</v>
      </c>
      <c r="CY90" s="48" t="n">
        <f aca="false">-CY84*$F86</f>
        <v>-0</v>
      </c>
      <c r="CZ90" s="48" t="n">
        <f aca="false">-CZ84*$F86</f>
        <v>-0</v>
      </c>
      <c r="DA90" s="48" t="n">
        <f aca="false">-DA84*$F86</f>
        <v>-0</v>
      </c>
      <c r="DB90" s="48" t="n">
        <f aca="false">-DB84*$F86</f>
        <v>-0</v>
      </c>
      <c r="DC90" s="48" t="n">
        <f aca="false">-DC84*$F86</f>
        <v>-0</v>
      </c>
      <c r="DD90" s="48" t="n">
        <f aca="false">-DD84*$F86</f>
        <v>-0</v>
      </c>
      <c r="DE90" s="48" t="n">
        <f aca="false">-DE84*$F86</f>
        <v>-0</v>
      </c>
      <c r="DF90" s="48" t="n">
        <f aca="false">-DF84*$F86</f>
        <v>-0</v>
      </c>
      <c r="DG90" s="48" t="n">
        <f aca="false">-DG84*$F86</f>
        <v>-0</v>
      </c>
      <c r="DH90" s="48" t="n">
        <f aca="false">-DH84*$F86</f>
        <v>-0</v>
      </c>
      <c r="DI90" s="48" t="n">
        <f aca="false">-DI84*$F86</f>
        <v>-0</v>
      </c>
      <c r="DJ90" s="48" t="n">
        <f aca="false">-DJ84*$F86</f>
        <v>-0</v>
      </c>
      <c r="DK90" s="48" t="n">
        <f aca="false">-DK84*$F86</f>
        <v>-0</v>
      </c>
      <c r="DL90" s="48" t="n">
        <f aca="false">-DL84*$F86</f>
        <v>-0</v>
      </c>
      <c r="DM90" s="48" t="n">
        <f aca="false">-DM84*$F86</f>
        <v>-0</v>
      </c>
      <c r="DN90" s="48" t="n">
        <f aca="false">-DN84*$F86</f>
        <v>-0</v>
      </c>
      <c r="DO90" s="48" t="n">
        <f aca="false">-DO84*$F86</f>
        <v>-0</v>
      </c>
      <c r="DP90" s="48" t="n">
        <f aca="false">-DP84*$F86</f>
        <v>-0</v>
      </c>
      <c r="DQ90" s="48" t="n">
        <f aca="false">-DQ84*$F86</f>
        <v>-0</v>
      </c>
      <c r="DR90" s="48" t="n">
        <f aca="false">-DR84*$F86</f>
        <v>-0</v>
      </c>
      <c r="DS90" s="48" t="n">
        <f aca="false">-DS84*$F86</f>
        <v>-0</v>
      </c>
      <c r="DT90" s="48" t="n">
        <f aca="false">-DT84*$F86</f>
        <v>-0</v>
      </c>
      <c r="DU90" s="48" t="n">
        <f aca="false">-DU84*$F86</f>
        <v>-0</v>
      </c>
      <c r="DV90" s="48" t="n">
        <f aca="false">-DV84*$F86</f>
        <v>-0</v>
      </c>
      <c r="DW90" s="48" t="n">
        <f aca="false">-DW84*$F86</f>
        <v>-0</v>
      </c>
      <c r="DX90" s="48" t="n">
        <f aca="false">-DX84*$F86</f>
        <v>-0</v>
      </c>
      <c r="DY90" s="48" t="n">
        <f aca="false">-DY84*$F86</f>
        <v>-0</v>
      </c>
      <c r="DZ90" s="48" t="n">
        <f aca="false">-DZ84*$F86</f>
        <v>-0</v>
      </c>
      <c r="EA90" s="48" t="n">
        <f aca="false">-EA84*$F86</f>
        <v>-0</v>
      </c>
      <c r="EB90" s="48" t="n">
        <f aca="false">-EB84*$F86</f>
        <v>-0</v>
      </c>
      <c r="EC90" s="48" t="n">
        <f aca="false">-EC84*$F86</f>
        <v>-0</v>
      </c>
      <c r="ED90" s="48" t="n">
        <f aca="false">-ED84*$F86</f>
        <v>-0</v>
      </c>
      <c r="EE90" s="48" t="n">
        <f aca="false">-EE84*$F86</f>
        <v>-0</v>
      </c>
      <c r="EF90" s="48" t="n">
        <f aca="false">-EF84*$F86</f>
        <v>-0</v>
      </c>
      <c r="EG90" s="48" t="n">
        <f aca="false">-EG84*$F86</f>
        <v>-0</v>
      </c>
      <c r="EH90" s="48" t="n">
        <f aca="false">-EH84*$F86</f>
        <v>-0</v>
      </c>
      <c r="EI90" s="48" t="n">
        <f aca="false">-EI84*$F86</f>
        <v>-0</v>
      </c>
      <c r="EJ90" s="48" t="n">
        <f aca="false">-EJ84*$F86</f>
        <v>-0</v>
      </c>
      <c r="EK90" s="48" t="n">
        <f aca="false">-EK84*$F86</f>
        <v>-0</v>
      </c>
      <c r="EL90" s="48" t="n">
        <f aca="false">-EL84*$F86</f>
        <v>-0</v>
      </c>
      <c r="EM90" s="48" t="n">
        <f aca="false">-EM84*$F86</f>
        <v>-0</v>
      </c>
      <c r="EN90" s="48" t="n">
        <f aca="false">-EN84*$F86</f>
        <v>-0</v>
      </c>
      <c r="EO90" s="48" t="n">
        <f aca="false">-EO84*$F86</f>
        <v>-0</v>
      </c>
    </row>
    <row r="91" customFormat="false" ht="15" hidden="false" customHeight="false" outlineLevel="0" collapsed="false">
      <c r="C91" s="1" t="s">
        <v>436</v>
      </c>
      <c r="D91" s="12" t="s">
        <v>33</v>
      </c>
      <c r="J91" s="19" t="n">
        <f aca="false">I95</f>
        <v>0</v>
      </c>
      <c r="K91" s="19" t="n">
        <f aca="false">J95</f>
        <v>0</v>
      </c>
      <c r="L91" s="19" t="n">
        <f aca="false">K95</f>
        <v>0</v>
      </c>
      <c r="M91" s="19" t="n">
        <f aca="false">L95</f>
        <v>0</v>
      </c>
      <c r="N91" s="19" t="n">
        <f aca="false">M95</f>
        <v>0</v>
      </c>
      <c r="O91" s="19" t="n">
        <f aca="false">N95</f>
        <v>0</v>
      </c>
      <c r="P91" s="19" t="n">
        <f aca="false">O95</f>
        <v>0</v>
      </c>
      <c r="Q91" s="19" t="n">
        <f aca="false">P95</f>
        <v>0</v>
      </c>
      <c r="R91" s="19" t="n">
        <f aca="false">Q95</f>
        <v>0</v>
      </c>
      <c r="S91" s="19" t="n">
        <f aca="false">R95</f>
        <v>7072.78356164384</v>
      </c>
      <c r="T91" s="19" t="n">
        <f aca="false">S95</f>
        <v>20604.0792739726</v>
      </c>
      <c r="U91" s="19" t="n">
        <f aca="false">T95</f>
        <v>27857.5357443493</v>
      </c>
      <c r="V91" s="19" t="n">
        <f aca="false">U95</f>
        <v>35278.5385027975</v>
      </c>
      <c r="W91" s="19" t="n">
        <f aca="false">V95</f>
        <v>42792.3037957263</v>
      </c>
      <c r="X91" s="19" t="n">
        <f aca="false">W95</f>
        <v>50246.2349904332</v>
      </c>
      <c r="Y91" s="19" t="n">
        <f aca="false">X95</f>
        <v>57870.2184072657</v>
      </c>
      <c r="Z91" s="19" t="n">
        <f aca="false">Y95</f>
        <v>67666.3796990003</v>
      </c>
      <c r="AA91" s="19" t="n">
        <f aca="false">Z95</f>
        <v>67094.5134549728</v>
      </c>
      <c r="AB91" s="19" t="n">
        <f aca="false">AA95</f>
        <v>66537.1031020991</v>
      </c>
      <c r="AC91" s="19" t="n">
        <f aca="false">AB95</f>
        <v>65957.6852709289</v>
      </c>
      <c r="AD91" s="19" t="n">
        <f aca="false">AC95</f>
        <v>65355.9928453375</v>
      </c>
      <c r="AE91" s="19" t="n">
        <f aca="false">AD95</f>
        <v>64751.9316368213</v>
      </c>
      <c r="AF91" s="19" t="n">
        <f aca="false">AE95</f>
        <v>64146.8266345996</v>
      </c>
      <c r="AG91" s="19" t="n">
        <f aca="false">AF95</f>
        <v>63534.3771605959</v>
      </c>
      <c r="AH91" s="19" t="n">
        <f aca="false">AG95</f>
        <v>62899.207998384</v>
      </c>
      <c r="AI91" s="19" t="n">
        <f aca="false">AH95</f>
        <v>62261.2950147148</v>
      </c>
      <c r="AJ91" s="19" t="n">
        <f aca="false">AI95</f>
        <v>61637.392183317</v>
      </c>
      <c r="AK91" s="19" t="n">
        <f aca="false">AJ95</f>
        <v>60970.1833807379</v>
      </c>
      <c r="AL91" s="19" t="n">
        <f aca="false">AK95</f>
        <v>60279.3232034567</v>
      </c>
      <c r="AM91" s="19" t="n">
        <f aca="false">AL95</f>
        <v>59596.1501698453</v>
      </c>
      <c r="AN91" s="19" t="n">
        <f aca="false">AM95</f>
        <v>58927.0046071771</v>
      </c>
      <c r="AO91" s="19" t="n">
        <f aca="false">AN95</f>
        <v>58234.7476986312</v>
      </c>
      <c r="AP91" s="19" t="n">
        <f aca="false">AO95</f>
        <v>57519.1073073598</v>
      </c>
      <c r="AQ91" s="19" t="n">
        <f aca="false">AP95</f>
        <v>56799.8317224339</v>
      </c>
      <c r="AR91" s="19" t="n">
        <f aca="false">AQ95</f>
        <v>56094.331926257</v>
      </c>
      <c r="AS91" s="19" t="n">
        <f aca="false">AR95</f>
        <v>55365.254628667</v>
      </c>
      <c r="AT91" s="19" t="n">
        <f aca="false">AS95</f>
        <v>54612.3222038196</v>
      </c>
      <c r="AU91" s="19" t="n">
        <f aca="false">AT95</f>
        <v>53855.3455751729</v>
      </c>
      <c r="AV91" s="19" t="n">
        <f aca="false">AU95</f>
        <v>53096.5689424872</v>
      </c>
      <c r="AW91" s="19" t="n">
        <f aca="false">AV95</f>
        <v>52328.8576903299</v>
      </c>
      <c r="AX91" s="19" t="n">
        <f aca="false">AW95</f>
        <v>51536.7997443174</v>
      </c>
      <c r="AY91" s="19" t="n">
        <f aca="false">AX95</f>
        <v>50740.2670893967</v>
      </c>
      <c r="AZ91" s="19" t="n">
        <f aca="false">AY95</f>
        <v>49956.9521347945</v>
      </c>
      <c r="BA91" s="19" t="n">
        <f aca="false">AZ95</f>
        <v>49149.0715851165</v>
      </c>
      <c r="BB91" s="19" t="n">
        <f aca="false">BA95</f>
        <v>48316.3361796835</v>
      </c>
      <c r="BC91" s="19" t="n">
        <f aca="false">BB95</f>
        <v>47478.6773787793</v>
      </c>
      <c r="BD91" s="19" t="n">
        <f aca="false">BC95</f>
        <v>46653.9302485762</v>
      </c>
      <c r="BE91" s="19" t="n">
        <f aca="false">BD95</f>
        <v>45804.0960264083</v>
      </c>
      <c r="BF91" s="19" t="n">
        <f aca="false">BE95</f>
        <v>44928.8793109536</v>
      </c>
      <c r="BG91" s="19" t="n">
        <f aca="false">BF95</f>
        <v>44048.2693639264</v>
      </c>
      <c r="BH91" s="19" t="n">
        <f aca="false">BG95</f>
        <v>43180.2452135884</v>
      </c>
      <c r="BI91" s="19" t="n">
        <f aca="false">BH95</f>
        <v>42286.592340142</v>
      </c>
      <c r="BJ91" s="19" t="n">
        <f aca="false">BI95</f>
        <v>41367.0089645409</v>
      </c>
      <c r="BK91" s="19" t="n">
        <f aca="false">BJ95</f>
        <v>40441.5404101937</v>
      </c>
      <c r="BL91" s="19" t="n">
        <f aca="false">BK95</f>
        <v>39512.8728756826</v>
      </c>
      <c r="BM91" s="19" t="n">
        <f aca="false">BL95</f>
        <v>38573.270250818</v>
      </c>
      <c r="BN91" s="19" t="n">
        <f aca="false">BM95</f>
        <v>37607.1656648294</v>
      </c>
      <c r="BO91" s="19" t="n">
        <f aca="false">BN95</f>
        <v>36634.6586700654</v>
      </c>
      <c r="BP91" s="19" t="n">
        <f aca="false">BO95</f>
        <v>35674.0201601125</v>
      </c>
      <c r="BQ91" s="19" t="n">
        <f aca="false">BP95</f>
        <v>34686.6032915934</v>
      </c>
      <c r="BR91" s="19" t="n">
        <f aca="false">BQ95</f>
        <v>33672.0927484669</v>
      </c>
      <c r="BS91" s="19" t="n">
        <f aca="false">BR95</f>
        <v>32650.6404586115</v>
      </c>
      <c r="BT91" s="19" t="n">
        <f aca="false">BS95</f>
        <v>31640.6652686209</v>
      </c>
      <c r="BU91" s="19" t="n">
        <f aca="false">BT95</f>
        <v>30603.3038375409</v>
      </c>
      <c r="BV91" s="19" t="n">
        <f aca="false">BU95</f>
        <v>29538.2336914941</v>
      </c>
      <c r="BW91" s="19" t="n">
        <f aca="false">BV95</f>
        <v>28465.6571844609</v>
      </c>
      <c r="BX91" s="19" t="n">
        <f aca="false">BW95</f>
        <v>27404.1424720834</v>
      </c>
      <c r="BY91" s="19" t="n">
        <f aca="false">BX95</f>
        <v>26314.6095145288</v>
      </c>
      <c r="BZ91" s="19" t="n">
        <f aca="false">BY95</f>
        <v>25196.7283960509</v>
      </c>
      <c r="CA91" s="19" t="n">
        <f aca="false">BZ95</f>
        <v>24070.749873166</v>
      </c>
      <c r="CB91" s="19" t="n">
        <f aca="false">CA95</f>
        <v>22939.8506574478</v>
      </c>
      <c r="CC91" s="19" t="n">
        <f aca="false">CB95</f>
        <v>21795.6350667676</v>
      </c>
      <c r="CD91" s="19" t="n">
        <f aca="false">CC95</f>
        <v>20622.4041786579</v>
      </c>
      <c r="CE91" s="19" t="n">
        <f aca="false">CD95</f>
        <v>19440.4550268529</v>
      </c>
      <c r="CF91" s="19" t="n">
        <f aca="false">CE95</f>
        <v>18268.6584776889</v>
      </c>
      <c r="CG91" s="19" t="n">
        <f aca="false">CF95</f>
        <v>17067.5005579353</v>
      </c>
      <c r="CH91" s="19" t="n">
        <f aca="false">CG95</f>
        <v>15836.6355365006</v>
      </c>
      <c r="CI91" s="19" t="n">
        <f aca="false">CH95</f>
        <v>14596.404569866</v>
      </c>
      <c r="CJ91" s="19" t="n">
        <f aca="false">CI95</f>
        <v>13365.8319752567</v>
      </c>
      <c r="CK91" s="19" t="n">
        <f aca="false">CJ95</f>
        <v>12105.1866180584</v>
      </c>
      <c r="CL91" s="19" t="n">
        <f aca="false">CK95</f>
        <v>10814.1143905159</v>
      </c>
      <c r="CM91" s="19" t="n">
        <f aca="false">CL95</f>
        <v>9512.99831210297</v>
      </c>
      <c r="CN91" s="19" t="n">
        <f aca="false">CM95</f>
        <v>8221.01755648114</v>
      </c>
      <c r="CO91" s="19" t="n">
        <f aca="false">CN95</f>
        <v>6898.22372309986</v>
      </c>
      <c r="CP91" s="19" t="n">
        <f aca="false">CO95</f>
        <v>5544.25398696867</v>
      </c>
      <c r="CQ91" s="19" t="n">
        <f aca="false">CP95</f>
        <v>4179.5308872753</v>
      </c>
      <c r="CR91" s="19" t="n">
        <f aca="false">CQ95</f>
        <v>2807.7748147356</v>
      </c>
      <c r="CS91" s="19" t="n">
        <f aca="false">CR95</f>
        <v>1419.8662699293</v>
      </c>
      <c r="CT91" s="19" t="n">
        <f aca="false">CS95</f>
        <v>3.28327587340027E-010</v>
      </c>
      <c r="CU91" s="19" t="n">
        <f aca="false">CT95</f>
        <v>3.32431682181777E-010</v>
      </c>
      <c r="CV91" s="19" t="n">
        <f aca="false">CU95</f>
        <v>3.3658707820905E-010</v>
      </c>
      <c r="CW91" s="19" t="n">
        <f aca="false">CV95</f>
        <v>3.40794416686663E-010</v>
      </c>
      <c r="CX91" s="19" t="n">
        <f aca="false">CW95</f>
        <v>3.45054346895246E-010</v>
      </c>
      <c r="CY91" s="19" t="n">
        <f aca="false">CX95</f>
        <v>3.49367526231437E-010</v>
      </c>
      <c r="CZ91" s="19" t="n">
        <f aca="false">CY95</f>
        <v>3.5373462030933E-010</v>
      </c>
      <c r="DA91" s="19" t="n">
        <f aca="false">CZ95</f>
        <v>3.58156303063196E-010</v>
      </c>
      <c r="DB91" s="19" t="n">
        <f aca="false">DA95</f>
        <v>3.62633256851486E-010</v>
      </c>
      <c r="DC91" s="19" t="n">
        <f aca="false">DB95</f>
        <v>3.6716617256213E-010</v>
      </c>
      <c r="DD91" s="19" t="n">
        <f aca="false">DC95</f>
        <v>3.71755749719156E-010</v>
      </c>
      <c r="DE91" s="19" t="n">
        <f aca="false">DD95</f>
        <v>3.76402696590646E-010</v>
      </c>
      <c r="DF91" s="19" t="n">
        <f aca="false">DE95</f>
        <v>3.81107730298029E-010</v>
      </c>
      <c r="DG91" s="19" t="n">
        <f aca="false">DF95</f>
        <v>3.85871576926754E-010</v>
      </c>
      <c r="DH91" s="19" t="n">
        <f aca="false">DG95</f>
        <v>3.90694971638339E-010</v>
      </c>
      <c r="DI91" s="19" t="n">
        <f aca="false">DH95</f>
        <v>3.95578658783818E-010</v>
      </c>
      <c r="DJ91" s="19" t="n">
        <f aca="false">DI95</f>
        <v>4.00523392018616E-010</v>
      </c>
      <c r="DK91" s="19" t="n">
        <f aca="false">DJ95</f>
        <v>4.05529934418848E-010</v>
      </c>
      <c r="DL91" s="19" t="n">
        <f aca="false">DK95</f>
        <v>4.10599058599084E-010</v>
      </c>
      <c r="DM91" s="19" t="n">
        <f aca="false">DL95</f>
        <v>4.15731546831573E-010</v>
      </c>
      <c r="DN91" s="19" t="n">
        <f aca="false">DM95</f>
        <v>4.20928191166967E-010</v>
      </c>
      <c r="DO91" s="19" t="n">
        <f aca="false">DN95</f>
        <v>4.26189793556554E-010</v>
      </c>
      <c r="DP91" s="19" t="n">
        <f aca="false">DO95</f>
        <v>4.31517165976011E-010</v>
      </c>
      <c r="DQ91" s="19" t="n">
        <f aca="false">DP95</f>
        <v>4.36911130550711E-010</v>
      </c>
      <c r="DR91" s="19" t="n">
        <f aca="false">DQ95</f>
        <v>4.42372519682595E-010</v>
      </c>
      <c r="DS91" s="19" t="n">
        <f aca="false">DR95</f>
        <v>4.47902176178628E-010</v>
      </c>
      <c r="DT91" s="19" t="n">
        <f aca="false">DS95</f>
        <v>4.53500953380861E-010</v>
      </c>
      <c r="DU91" s="19" t="n">
        <f aca="false">DT95</f>
        <v>4.59169715298121E-010</v>
      </c>
      <c r="DV91" s="19" t="n">
        <f aca="false">DU95</f>
        <v>4.64909336739348E-010</v>
      </c>
      <c r="DW91" s="19" t="n">
        <f aca="false">DV95</f>
        <v>4.7072070344859E-010</v>
      </c>
      <c r="DX91" s="19" t="n">
        <f aca="false">DW95</f>
        <v>4.76604712241697E-010</v>
      </c>
      <c r="DY91" s="19" t="n">
        <f aca="false">DX95</f>
        <v>4.82562271144718E-010</v>
      </c>
      <c r="DZ91" s="19" t="n">
        <f aca="false">DY95</f>
        <v>4.88594299534027E-010</v>
      </c>
      <c r="EA91" s="19" t="n">
        <f aca="false">DZ95</f>
        <v>4.94701728278203E-010</v>
      </c>
      <c r="EB91" s="19" t="n">
        <f aca="false">EA95</f>
        <v>5.0088549988168E-010</v>
      </c>
      <c r="EC91" s="19" t="n">
        <f aca="false">EB95</f>
        <v>5.07146568630201E-010</v>
      </c>
      <c r="ED91" s="19" t="n">
        <f aca="false">EC95</f>
        <v>5.13485900738079E-010</v>
      </c>
      <c r="EE91" s="19" t="n">
        <f aca="false">ED95</f>
        <v>5.19904474497305E-010</v>
      </c>
      <c r="EF91" s="19" t="n">
        <f aca="false">EE95</f>
        <v>5.26403280428521E-010</v>
      </c>
      <c r="EG91" s="19" t="n">
        <f aca="false">EF95</f>
        <v>5.32983321433877E-010</v>
      </c>
      <c r="EH91" s="19" t="n">
        <f aca="false">EG95</f>
        <v>5.39645612951801E-010</v>
      </c>
      <c r="EI91" s="19" t="n">
        <f aca="false">EH95</f>
        <v>5.46391183113698E-010</v>
      </c>
      <c r="EJ91" s="19" t="n">
        <f aca="false">EI95</f>
        <v>5.5322107290262E-010</v>
      </c>
      <c r="EK91" s="19" t="n">
        <f aca="false">EJ95</f>
        <v>5.60136336313902E-010</v>
      </c>
      <c r="EL91" s="19" t="n">
        <f aca="false">EK95</f>
        <v>5.67138040517826E-010</v>
      </c>
      <c r="EM91" s="19" t="n">
        <f aca="false">EL95</f>
        <v>5.74227266024299E-010</v>
      </c>
      <c r="EN91" s="19" t="n">
        <f aca="false">EM95</f>
        <v>5.81405106849603E-010</v>
      </c>
      <c r="EO91" s="19" t="n">
        <f aca="false">EN95</f>
        <v>5.88672670685223E-010</v>
      </c>
    </row>
    <row r="92" customFormat="false" ht="15" hidden="false" customHeight="false" outlineLevel="0" collapsed="false">
      <c r="C92" s="1" t="s">
        <v>437</v>
      </c>
      <c r="D92" s="12" t="s">
        <v>33</v>
      </c>
      <c r="I92" s="48" t="n">
        <f aca="false">SUM(J92:EO92)</f>
        <v>64644.858520548</v>
      </c>
      <c r="J92" s="48" t="n">
        <f aca="false">-$E86*J66</f>
        <v>0</v>
      </c>
      <c r="K92" s="48" t="n">
        <f aca="false">-$E86*K66</f>
        <v>0</v>
      </c>
      <c r="L92" s="48" t="n">
        <f aca="false">-$E86*L66</f>
        <v>0</v>
      </c>
      <c r="M92" s="48" t="n">
        <f aca="false">-$E86*M66</f>
        <v>0</v>
      </c>
      <c r="N92" s="48" t="n">
        <f aca="false">-$E86*N66</f>
        <v>0</v>
      </c>
      <c r="O92" s="48" t="n">
        <f aca="false">-$E86*O66</f>
        <v>0</v>
      </c>
      <c r="P92" s="48" t="n">
        <f aca="false">-$E86*P66</f>
        <v>0</v>
      </c>
      <c r="Q92" s="48" t="n">
        <f aca="false">-$E86*Q66</f>
        <v>0</v>
      </c>
      <c r="R92" s="48" t="n">
        <f aca="false">-$E86*R66</f>
        <v>7072.78356164384</v>
      </c>
      <c r="S92" s="48" t="n">
        <f aca="false">-$E86*S66</f>
        <v>13442.8859178082</v>
      </c>
      <c r="T92" s="48" t="n">
        <f aca="false">-$E86*T66</f>
        <v>6995.90547945206</v>
      </c>
      <c r="U92" s="48" t="n">
        <f aca="false">-$E86*U66</f>
        <v>7072.78356164384</v>
      </c>
      <c r="V92" s="48" t="n">
        <f aca="false">-$E86*V66</f>
        <v>7072.78356164384</v>
      </c>
      <c r="W92" s="48" t="n">
        <f aca="false">-$E86*W66</f>
        <v>6919.02739726028</v>
      </c>
      <c r="X92" s="48" t="n">
        <f aca="false">-$E86*X66</f>
        <v>6995.90547945206</v>
      </c>
      <c r="Y92" s="48" t="n">
        <f aca="false">-$E86*Y66</f>
        <v>9072.78356164384</v>
      </c>
      <c r="Z92" s="48" t="n">
        <f aca="false">-$E86*Z66</f>
        <v>0</v>
      </c>
      <c r="AA92" s="48" t="n">
        <f aca="false">-$E86*AA66</f>
        <v>0</v>
      </c>
      <c r="AB92" s="48" t="n">
        <f aca="false">-$E86*AB66</f>
        <v>0</v>
      </c>
      <c r="AC92" s="48" t="n">
        <f aca="false">-$E86*AC66</f>
        <v>0</v>
      </c>
      <c r="AD92" s="48" t="n">
        <f aca="false">-$E86*AD66</f>
        <v>0</v>
      </c>
      <c r="AE92" s="48" t="n">
        <f aca="false">-$E86*AE66</f>
        <v>0</v>
      </c>
      <c r="AF92" s="48" t="n">
        <f aca="false">-$E86*AF66</f>
        <v>0</v>
      </c>
      <c r="AG92" s="48" t="n">
        <f aca="false">-$E86*AG66</f>
        <v>0</v>
      </c>
      <c r="AH92" s="48" t="n">
        <f aca="false">-$E86*AH66</f>
        <v>0</v>
      </c>
      <c r="AI92" s="48" t="n">
        <f aca="false">-$E86*AI66</f>
        <v>0</v>
      </c>
      <c r="AJ92" s="48" t="n">
        <f aca="false">-$E86*AJ66</f>
        <v>0</v>
      </c>
      <c r="AK92" s="48" t="n">
        <f aca="false">-$E86*AK66</f>
        <v>0</v>
      </c>
      <c r="AL92" s="48" t="n">
        <f aca="false">-$E86*AL66</f>
        <v>0</v>
      </c>
      <c r="AM92" s="48" t="n">
        <f aca="false">-$E86*AM66</f>
        <v>0</v>
      </c>
      <c r="AN92" s="48" t="n">
        <f aca="false">-$E86*AN66</f>
        <v>0</v>
      </c>
      <c r="AO92" s="48" t="n">
        <f aca="false">-$E86*AO66</f>
        <v>0</v>
      </c>
      <c r="AP92" s="48" t="n">
        <f aca="false">-$E86*AP66</f>
        <v>0</v>
      </c>
      <c r="AQ92" s="48" t="n">
        <f aca="false">-$E86*AQ66</f>
        <v>0</v>
      </c>
      <c r="AR92" s="48" t="n">
        <f aca="false">-$E86*AR66</f>
        <v>0</v>
      </c>
      <c r="AS92" s="48" t="n">
        <f aca="false">-$E86*AS66</f>
        <v>0</v>
      </c>
      <c r="AT92" s="48" t="n">
        <f aca="false">-$E86*AT66</f>
        <v>0</v>
      </c>
      <c r="AU92" s="48" t="n">
        <f aca="false">-$E86*AU66</f>
        <v>0</v>
      </c>
      <c r="AV92" s="48" t="n">
        <f aca="false">-$E86*AV66</f>
        <v>0</v>
      </c>
      <c r="AW92" s="48" t="n">
        <f aca="false">-$E86*AW66</f>
        <v>0</v>
      </c>
      <c r="AX92" s="48" t="n">
        <f aca="false">-$E86*AX66</f>
        <v>0</v>
      </c>
      <c r="AY92" s="48" t="n">
        <f aca="false">-$E86*AY66</f>
        <v>0</v>
      </c>
      <c r="AZ92" s="48" t="n">
        <f aca="false">-$E86*AZ66</f>
        <v>0</v>
      </c>
      <c r="BA92" s="48" t="n">
        <f aca="false">-$E86*BA66</f>
        <v>0</v>
      </c>
      <c r="BB92" s="48" t="n">
        <f aca="false">-$E86*BB66</f>
        <v>0</v>
      </c>
      <c r="BC92" s="48" t="n">
        <f aca="false">-$E86*BC66</f>
        <v>0</v>
      </c>
      <c r="BD92" s="48" t="n">
        <f aca="false">-$E86*BD66</f>
        <v>0</v>
      </c>
      <c r="BE92" s="48" t="n">
        <f aca="false">-$E86*BE66</f>
        <v>0</v>
      </c>
      <c r="BF92" s="48" t="n">
        <f aca="false">-$E86*BF66</f>
        <v>0</v>
      </c>
      <c r="BG92" s="48" t="n">
        <f aca="false">-$E86*BG66</f>
        <v>0</v>
      </c>
      <c r="BH92" s="48" t="n">
        <f aca="false">-$E86*BH66</f>
        <v>0</v>
      </c>
      <c r="BI92" s="48" t="n">
        <f aca="false">-$E86*BI66</f>
        <v>0</v>
      </c>
      <c r="BJ92" s="48" t="n">
        <f aca="false">-$E86*BJ66</f>
        <v>0</v>
      </c>
      <c r="BK92" s="48" t="n">
        <f aca="false">-$E86*BK66</f>
        <v>0</v>
      </c>
      <c r="BL92" s="48" t="n">
        <f aca="false">-$E86*BL66</f>
        <v>0</v>
      </c>
      <c r="BM92" s="48" t="n">
        <f aca="false">-$E86*BM66</f>
        <v>0</v>
      </c>
      <c r="BN92" s="48" t="n">
        <f aca="false">-$E86*BN66</f>
        <v>0</v>
      </c>
      <c r="BO92" s="48" t="n">
        <f aca="false">-$E86*BO66</f>
        <v>0</v>
      </c>
      <c r="BP92" s="48" t="n">
        <f aca="false">-$E86*BP66</f>
        <v>0</v>
      </c>
      <c r="BQ92" s="48" t="n">
        <f aca="false">-$E86*BQ66</f>
        <v>0</v>
      </c>
      <c r="BR92" s="48" t="n">
        <f aca="false">-$E86*BR66</f>
        <v>0</v>
      </c>
      <c r="BS92" s="48" t="n">
        <f aca="false">-$E86*BS66</f>
        <v>0</v>
      </c>
      <c r="BT92" s="48" t="n">
        <f aca="false">-$E86*BT66</f>
        <v>0</v>
      </c>
      <c r="BU92" s="48" t="n">
        <f aca="false">-$E86*BU66</f>
        <v>0</v>
      </c>
      <c r="BV92" s="48" t="n">
        <f aca="false">-$E86*BV66</f>
        <v>0</v>
      </c>
      <c r="BW92" s="48" t="n">
        <f aca="false">-$E86*BW66</f>
        <v>0</v>
      </c>
      <c r="BX92" s="48" t="n">
        <f aca="false">-$E86*BX66</f>
        <v>0</v>
      </c>
      <c r="BY92" s="48" t="n">
        <f aca="false">-$E86*BY66</f>
        <v>0</v>
      </c>
      <c r="BZ92" s="48" t="n">
        <f aca="false">-$E86*BZ66</f>
        <v>0</v>
      </c>
      <c r="CA92" s="48" t="n">
        <f aca="false">-$E86*CA66</f>
        <v>0</v>
      </c>
      <c r="CB92" s="48" t="n">
        <f aca="false">-$E86*CB66</f>
        <v>0</v>
      </c>
      <c r="CC92" s="48" t="n">
        <f aca="false">-$E86*CC66</f>
        <v>0</v>
      </c>
      <c r="CD92" s="48" t="n">
        <f aca="false">-$E86*CD66</f>
        <v>0</v>
      </c>
      <c r="CE92" s="48" t="n">
        <f aca="false">-$E86*CE66</f>
        <v>0</v>
      </c>
      <c r="CF92" s="48" t="n">
        <f aca="false">-$E86*CF66</f>
        <v>0</v>
      </c>
      <c r="CG92" s="48" t="n">
        <f aca="false">-$E86*CG66</f>
        <v>0</v>
      </c>
      <c r="CH92" s="48" t="n">
        <f aca="false">-$E86*CH66</f>
        <v>0</v>
      </c>
      <c r="CI92" s="48" t="n">
        <f aca="false">-$E86*CI66</f>
        <v>0</v>
      </c>
      <c r="CJ92" s="48" t="n">
        <f aca="false">-$E86*CJ66</f>
        <v>0</v>
      </c>
      <c r="CK92" s="48" t="n">
        <f aca="false">-$E86*CK66</f>
        <v>0</v>
      </c>
      <c r="CL92" s="48" t="n">
        <f aca="false">-$E86*CL66</f>
        <v>0</v>
      </c>
      <c r="CM92" s="48" t="n">
        <f aca="false">-$E86*CM66</f>
        <v>0</v>
      </c>
      <c r="CN92" s="48" t="n">
        <f aca="false">-$E86*CN66</f>
        <v>0</v>
      </c>
      <c r="CO92" s="48" t="n">
        <f aca="false">-$E86*CO66</f>
        <v>0</v>
      </c>
      <c r="CP92" s="48" t="n">
        <f aca="false">-$E86*CP66</f>
        <v>0</v>
      </c>
      <c r="CQ92" s="48" t="n">
        <f aca="false">-$E86*CQ66</f>
        <v>0</v>
      </c>
      <c r="CR92" s="48" t="n">
        <f aca="false">-$E86*CR66</f>
        <v>0</v>
      </c>
      <c r="CS92" s="48" t="n">
        <f aca="false">-$E86*CS66</f>
        <v>0</v>
      </c>
      <c r="CT92" s="48" t="n">
        <f aca="false">-$E86*CT66</f>
        <v>0</v>
      </c>
      <c r="CU92" s="48" t="n">
        <f aca="false">-$E86*CU66</f>
        <v>0</v>
      </c>
      <c r="CV92" s="48" t="n">
        <f aca="false">-$E86*CV66</f>
        <v>0</v>
      </c>
      <c r="CW92" s="48" t="n">
        <f aca="false">-$E86*CW66</f>
        <v>0</v>
      </c>
      <c r="CX92" s="48" t="n">
        <f aca="false">-$E86*CX66</f>
        <v>0</v>
      </c>
      <c r="CY92" s="48" t="n">
        <f aca="false">-$E86*CY66</f>
        <v>0</v>
      </c>
      <c r="CZ92" s="48" t="n">
        <f aca="false">-$E86*CZ66</f>
        <v>0</v>
      </c>
      <c r="DA92" s="48" t="n">
        <f aca="false">-$E86*DA66</f>
        <v>0</v>
      </c>
      <c r="DB92" s="48" t="n">
        <f aca="false">-$E86*DB66</f>
        <v>0</v>
      </c>
      <c r="DC92" s="48" t="n">
        <f aca="false">-$E86*DC66</f>
        <v>0</v>
      </c>
      <c r="DD92" s="48" t="n">
        <f aca="false">-$E86*DD66</f>
        <v>0</v>
      </c>
      <c r="DE92" s="48" t="n">
        <f aca="false">-$E86*DE66</f>
        <v>0</v>
      </c>
      <c r="DF92" s="48" t="n">
        <f aca="false">-$E86*DF66</f>
        <v>0</v>
      </c>
      <c r="DG92" s="48" t="n">
        <f aca="false">-$E86*DG66</f>
        <v>0</v>
      </c>
      <c r="DH92" s="48" t="n">
        <f aca="false">-$E86*DH66</f>
        <v>0</v>
      </c>
      <c r="DI92" s="48" t="n">
        <f aca="false">-$E86*DI66</f>
        <v>0</v>
      </c>
      <c r="DJ92" s="48" t="n">
        <f aca="false">-$E86*DJ66</f>
        <v>0</v>
      </c>
      <c r="DK92" s="48" t="n">
        <f aca="false">-$E86*DK66</f>
        <v>0</v>
      </c>
      <c r="DL92" s="48" t="n">
        <f aca="false">-$E86*DL66</f>
        <v>0</v>
      </c>
      <c r="DM92" s="48" t="n">
        <f aca="false">-$E86*DM66</f>
        <v>0</v>
      </c>
      <c r="DN92" s="48" t="n">
        <f aca="false">-$E86*DN66</f>
        <v>0</v>
      </c>
      <c r="DO92" s="48" t="n">
        <f aca="false">-$E86*DO66</f>
        <v>0</v>
      </c>
      <c r="DP92" s="48" t="n">
        <f aca="false">-$E86*DP66</f>
        <v>0</v>
      </c>
      <c r="DQ92" s="48" t="n">
        <f aca="false">-$E86*DQ66</f>
        <v>0</v>
      </c>
      <c r="DR92" s="48" t="n">
        <f aca="false">-$E86*DR66</f>
        <v>0</v>
      </c>
      <c r="DS92" s="48" t="n">
        <f aca="false">-$E86*DS66</f>
        <v>0</v>
      </c>
      <c r="DT92" s="48" t="n">
        <f aca="false">-$E86*DT66</f>
        <v>0</v>
      </c>
      <c r="DU92" s="48" t="n">
        <f aca="false">-$E86*DU66</f>
        <v>0</v>
      </c>
      <c r="DV92" s="48" t="n">
        <f aca="false">-$E86*DV66</f>
        <v>0</v>
      </c>
      <c r="DW92" s="48" t="n">
        <f aca="false">-$E86*DW66</f>
        <v>0</v>
      </c>
      <c r="DX92" s="48" t="n">
        <f aca="false">-$E86*DX66</f>
        <v>0</v>
      </c>
      <c r="DY92" s="48" t="n">
        <f aca="false">-$E86*DY66</f>
        <v>0</v>
      </c>
      <c r="DZ92" s="48" t="n">
        <f aca="false">-$E86*DZ66</f>
        <v>0</v>
      </c>
      <c r="EA92" s="48" t="n">
        <f aca="false">-$E86*EA66</f>
        <v>0</v>
      </c>
      <c r="EB92" s="48" t="n">
        <f aca="false">-$E86*EB66</f>
        <v>0</v>
      </c>
      <c r="EC92" s="48" t="n">
        <f aca="false">-$E86*EC66</f>
        <v>0</v>
      </c>
      <c r="ED92" s="48" t="n">
        <f aca="false">-$E86*ED66</f>
        <v>0</v>
      </c>
      <c r="EE92" s="48" t="n">
        <f aca="false">-$E86*EE66</f>
        <v>0</v>
      </c>
      <c r="EF92" s="48" t="n">
        <f aca="false">-$E86*EF66</f>
        <v>0</v>
      </c>
      <c r="EG92" s="48" t="n">
        <f aca="false">-$E86*EG66</f>
        <v>0</v>
      </c>
      <c r="EH92" s="48" t="n">
        <f aca="false">-$E86*EH66</f>
        <v>0</v>
      </c>
      <c r="EI92" s="48" t="n">
        <f aca="false">-$E86*EI66</f>
        <v>0</v>
      </c>
      <c r="EJ92" s="48" t="n">
        <f aca="false">-$E86*EJ66</f>
        <v>0</v>
      </c>
      <c r="EK92" s="48" t="n">
        <f aca="false">-$E86*EK66</f>
        <v>0</v>
      </c>
      <c r="EL92" s="48" t="n">
        <f aca="false">-$E86*EL66</f>
        <v>0</v>
      </c>
      <c r="EM92" s="48" t="n">
        <f aca="false">-$E86*EM66</f>
        <v>0</v>
      </c>
      <c r="EN92" s="48" t="n">
        <f aca="false">-$E86*EN66</f>
        <v>0</v>
      </c>
      <c r="EO92" s="48" t="n">
        <f aca="false">-$E86*EO66</f>
        <v>0</v>
      </c>
    </row>
    <row r="93" customFormat="false" ht="15" hidden="false" customHeight="false" outlineLevel="0" collapsed="false">
      <c r="C93" s="1" t="s">
        <v>438</v>
      </c>
      <c r="D93" s="12" t="s">
        <v>33</v>
      </c>
      <c r="I93" s="48" t="n">
        <f aca="false">SUM(J93:EO93)</f>
        <v>3021.52117845236</v>
      </c>
      <c r="J93" s="48" t="n">
        <f aca="false">J91*$F21*(J$4&lt;=In_COD)</f>
        <v>0</v>
      </c>
      <c r="K93" s="48" t="n">
        <f aca="false">K91*$F21*(K$4&lt;=In_COD)</f>
        <v>0</v>
      </c>
      <c r="L93" s="48" t="n">
        <f aca="false">L91*$F21*(L$4&lt;=In_COD)</f>
        <v>0</v>
      </c>
      <c r="M93" s="48" t="n">
        <f aca="false">M91*$F21*(M$4&lt;=In_COD)</f>
        <v>0</v>
      </c>
      <c r="N93" s="48" t="n">
        <f aca="false">N91*$F21*(N$4&lt;=In_COD)</f>
        <v>0</v>
      </c>
      <c r="O93" s="48" t="n">
        <f aca="false">O91*$F21*(O$4&lt;=In_COD)</f>
        <v>0</v>
      </c>
      <c r="P93" s="48" t="n">
        <f aca="false">P91*$F21*(P$4&lt;=In_COD)</f>
        <v>0</v>
      </c>
      <c r="Q93" s="48" t="n">
        <f aca="false">Q91*$F21*(Q$4&lt;=In_COD)</f>
        <v>0</v>
      </c>
      <c r="R93" s="48" t="n">
        <f aca="false">R91*$F21*(R$4&lt;=In_COD)</f>
        <v>0</v>
      </c>
      <c r="S93" s="48" t="n">
        <f aca="false">S91*$F21*(S$4&lt;=In_COD)</f>
        <v>88.409794520548</v>
      </c>
      <c r="T93" s="48" t="n">
        <f aca="false">T91*$F21*(T$4&lt;=In_COD)</f>
        <v>257.550990924658</v>
      </c>
      <c r="U93" s="48" t="n">
        <f aca="false">U91*$F21*(U$4&lt;=In_COD)</f>
        <v>348.219196804367</v>
      </c>
      <c r="V93" s="48" t="n">
        <f aca="false">V91*$F21*(V$4&lt;=In_COD)</f>
        <v>440.981731284969</v>
      </c>
      <c r="W93" s="48" t="n">
        <f aca="false">W91*$F21*(W$4&lt;=In_COD)</f>
        <v>534.903797446579</v>
      </c>
      <c r="X93" s="48" t="n">
        <f aca="false">X91*$F21*(X$4&lt;=In_COD)</f>
        <v>628.077937380415</v>
      </c>
      <c r="Y93" s="48" t="n">
        <f aca="false">Y91*$F21*(Y$4&lt;=In_COD)</f>
        <v>723.377730090821</v>
      </c>
      <c r="Z93" s="48" t="n">
        <f aca="false">Z91*$F21*(Z$4&lt;=In_COD)</f>
        <v>0</v>
      </c>
      <c r="AA93" s="48" t="n">
        <f aca="false">AA91*$F21*(AA$4&lt;=In_COD)</f>
        <v>0</v>
      </c>
      <c r="AB93" s="48" t="n">
        <f aca="false">AB91*$F21*(AB$4&lt;=In_COD)</f>
        <v>0</v>
      </c>
      <c r="AC93" s="48" t="n">
        <f aca="false">AC91*$F21*(AC$4&lt;=In_COD)</f>
        <v>0</v>
      </c>
      <c r="AD93" s="48" t="n">
        <f aca="false">AD91*$F21*(AD$4&lt;=In_COD)</f>
        <v>0</v>
      </c>
      <c r="AE93" s="48" t="n">
        <f aca="false">AE91*$F21*(AE$4&lt;=In_COD)</f>
        <v>0</v>
      </c>
      <c r="AF93" s="48" t="n">
        <f aca="false">AF91*$F21*(AF$4&lt;=In_COD)</f>
        <v>0</v>
      </c>
      <c r="AG93" s="48" t="n">
        <f aca="false">AG91*$F21*(AG$4&lt;=In_COD)</f>
        <v>0</v>
      </c>
      <c r="AH93" s="48" t="n">
        <f aca="false">AH91*$F21*(AH$4&lt;=In_COD)</f>
        <v>0</v>
      </c>
      <c r="AI93" s="48" t="n">
        <f aca="false">AI91*$F21*(AI$4&lt;=In_COD)</f>
        <v>0</v>
      </c>
      <c r="AJ93" s="48" t="n">
        <f aca="false">AJ91*$F21*(AJ$4&lt;=In_COD)</f>
        <v>0</v>
      </c>
      <c r="AK93" s="48" t="n">
        <f aca="false">AK91*$F21*(AK$4&lt;=In_COD)</f>
        <v>0</v>
      </c>
      <c r="AL93" s="48" t="n">
        <f aca="false">AL91*$F21*(AL$4&lt;=In_COD)</f>
        <v>0</v>
      </c>
      <c r="AM93" s="48" t="n">
        <f aca="false">AM91*$F21*(AM$4&lt;=In_COD)</f>
        <v>0</v>
      </c>
      <c r="AN93" s="48" t="n">
        <f aca="false">AN91*$F21*(AN$4&lt;=In_COD)</f>
        <v>0</v>
      </c>
      <c r="AO93" s="48" t="n">
        <f aca="false">AO91*$F21*(AO$4&lt;=In_COD)</f>
        <v>0</v>
      </c>
      <c r="AP93" s="48" t="n">
        <f aca="false">AP91*$F21*(AP$4&lt;=In_COD)</f>
        <v>0</v>
      </c>
      <c r="AQ93" s="48" t="n">
        <f aca="false">AQ91*$F21*(AQ$4&lt;=In_COD)</f>
        <v>0</v>
      </c>
      <c r="AR93" s="48" t="n">
        <f aca="false">AR91*$F21*(AR$4&lt;=In_COD)</f>
        <v>0</v>
      </c>
      <c r="AS93" s="48" t="n">
        <f aca="false">AS91*$F21*(AS$4&lt;=In_COD)</f>
        <v>0</v>
      </c>
      <c r="AT93" s="48" t="n">
        <f aca="false">AT91*$F21*(AT$4&lt;=In_COD)</f>
        <v>0</v>
      </c>
      <c r="AU93" s="48" t="n">
        <f aca="false">AU91*$F21*(AU$4&lt;=In_COD)</f>
        <v>0</v>
      </c>
      <c r="AV93" s="48" t="n">
        <f aca="false">AV91*$F21*(AV$4&lt;=In_COD)</f>
        <v>0</v>
      </c>
      <c r="AW93" s="48" t="n">
        <f aca="false">AW91*$F21*(AW$4&lt;=In_COD)</f>
        <v>0</v>
      </c>
      <c r="AX93" s="48" t="n">
        <f aca="false">AX91*$F21*(AX$4&lt;=In_COD)</f>
        <v>0</v>
      </c>
      <c r="AY93" s="48" t="n">
        <f aca="false">AY91*$F21*(AY$4&lt;=In_COD)</f>
        <v>0</v>
      </c>
      <c r="AZ93" s="48" t="n">
        <f aca="false">AZ91*$F21*(AZ$4&lt;=In_COD)</f>
        <v>0</v>
      </c>
      <c r="BA93" s="48" t="n">
        <f aca="false">BA91*$F21*(BA$4&lt;=In_COD)</f>
        <v>0</v>
      </c>
      <c r="BB93" s="48" t="n">
        <f aca="false">BB91*$F21*(BB$4&lt;=In_COD)</f>
        <v>0</v>
      </c>
      <c r="BC93" s="48" t="n">
        <f aca="false">BC91*$F21*(BC$4&lt;=In_COD)</f>
        <v>0</v>
      </c>
      <c r="BD93" s="48" t="n">
        <f aca="false">BD91*$F21*(BD$4&lt;=In_COD)</f>
        <v>0</v>
      </c>
      <c r="BE93" s="48" t="n">
        <f aca="false">BE91*$F21*(BE$4&lt;=In_COD)</f>
        <v>0</v>
      </c>
      <c r="BF93" s="48" t="n">
        <f aca="false">BF91*$F21*(BF$4&lt;=In_COD)</f>
        <v>0</v>
      </c>
      <c r="BG93" s="48" t="n">
        <f aca="false">BG91*$F21*(BG$4&lt;=In_COD)</f>
        <v>0</v>
      </c>
      <c r="BH93" s="48" t="n">
        <f aca="false">BH91*$F21*(BH$4&lt;=In_COD)</f>
        <v>0</v>
      </c>
      <c r="BI93" s="48" t="n">
        <f aca="false">BI91*$F21*(BI$4&lt;=In_COD)</f>
        <v>0</v>
      </c>
      <c r="BJ93" s="48" t="n">
        <f aca="false">BJ91*$F21*(BJ$4&lt;=In_COD)</f>
        <v>0</v>
      </c>
      <c r="BK93" s="48" t="n">
        <f aca="false">BK91*$F21*(BK$4&lt;=In_COD)</f>
        <v>0</v>
      </c>
      <c r="BL93" s="48" t="n">
        <f aca="false">BL91*$F21*(BL$4&lt;=In_COD)</f>
        <v>0</v>
      </c>
      <c r="BM93" s="48" t="n">
        <f aca="false">BM91*$F21*(BM$4&lt;=In_COD)</f>
        <v>0</v>
      </c>
      <c r="BN93" s="48" t="n">
        <f aca="false">BN91*$F21*(BN$4&lt;=In_COD)</f>
        <v>0</v>
      </c>
      <c r="BO93" s="48" t="n">
        <f aca="false">BO91*$F21*(BO$4&lt;=In_COD)</f>
        <v>0</v>
      </c>
      <c r="BP93" s="48" t="n">
        <f aca="false">BP91*$F21*(BP$4&lt;=In_COD)</f>
        <v>0</v>
      </c>
      <c r="BQ93" s="48" t="n">
        <f aca="false">BQ91*$F21*(BQ$4&lt;=In_COD)</f>
        <v>0</v>
      </c>
      <c r="BR93" s="48" t="n">
        <f aca="false">BR91*$F21*(BR$4&lt;=In_COD)</f>
        <v>0</v>
      </c>
      <c r="BS93" s="48" t="n">
        <f aca="false">BS91*$F21*(BS$4&lt;=In_COD)</f>
        <v>0</v>
      </c>
      <c r="BT93" s="48" t="n">
        <f aca="false">BT91*$F21*(BT$4&lt;=In_COD)</f>
        <v>0</v>
      </c>
      <c r="BU93" s="48" t="n">
        <f aca="false">BU91*$F21*(BU$4&lt;=In_COD)</f>
        <v>0</v>
      </c>
      <c r="BV93" s="48" t="n">
        <f aca="false">BV91*$F21*(BV$4&lt;=In_COD)</f>
        <v>0</v>
      </c>
      <c r="BW93" s="48" t="n">
        <f aca="false">BW91*$F21*(BW$4&lt;=In_COD)</f>
        <v>0</v>
      </c>
      <c r="BX93" s="48" t="n">
        <f aca="false">BX91*$F21*(BX$4&lt;=In_COD)</f>
        <v>0</v>
      </c>
      <c r="BY93" s="48" t="n">
        <f aca="false">BY91*$F21*(BY$4&lt;=In_COD)</f>
        <v>0</v>
      </c>
      <c r="BZ93" s="48" t="n">
        <f aca="false">BZ91*$F21*(BZ$4&lt;=In_COD)</f>
        <v>0</v>
      </c>
      <c r="CA93" s="48" t="n">
        <f aca="false">CA91*$F21*(CA$4&lt;=In_COD)</f>
        <v>0</v>
      </c>
      <c r="CB93" s="48" t="n">
        <f aca="false">CB91*$F21*(CB$4&lt;=In_COD)</f>
        <v>0</v>
      </c>
      <c r="CC93" s="48" t="n">
        <f aca="false">CC91*$F21*(CC$4&lt;=In_COD)</f>
        <v>0</v>
      </c>
      <c r="CD93" s="48" t="n">
        <f aca="false">CD91*$F21*(CD$4&lt;=In_COD)</f>
        <v>0</v>
      </c>
      <c r="CE93" s="48" t="n">
        <f aca="false">CE91*$F21*(CE$4&lt;=In_COD)</f>
        <v>0</v>
      </c>
      <c r="CF93" s="48" t="n">
        <f aca="false">CF91*$F21*(CF$4&lt;=In_COD)</f>
        <v>0</v>
      </c>
      <c r="CG93" s="48" t="n">
        <f aca="false">CG91*$F21*(CG$4&lt;=In_COD)</f>
        <v>0</v>
      </c>
      <c r="CH93" s="48" t="n">
        <f aca="false">CH91*$F21*(CH$4&lt;=In_COD)</f>
        <v>0</v>
      </c>
      <c r="CI93" s="48" t="n">
        <f aca="false">CI91*$F21*(CI$4&lt;=In_COD)</f>
        <v>0</v>
      </c>
      <c r="CJ93" s="48" t="n">
        <f aca="false">CJ91*$F21*(CJ$4&lt;=In_COD)</f>
        <v>0</v>
      </c>
      <c r="CK93" s="48" t="n">
        <f aca="false">CK91*$F21*(CK$4&lt;=In_COD)</f>
        <v>0</v>
      </c>
      <c r="CL93" s="48" t="n">
        <f aca="false">CL91*$F21*(CL$4&lt;=In_COD)</f>
        <v>0</v>
      </c>
      <c r="CM93" s="48" t="n">
        <f aca="false">CM91*$F21*(CM$4&lt;=In_COD)</f>
        <v>0</v>
      </c>
      <c r="CN93" s="48" t="n">
        <f aca="false">CN91*$F21*(CN$4&lt;=In_COD)</f>
        <v>0</v>
      </c>
      <c r="CO93" s="48" t="n">
        <f aca="false">CO91*$F21*(CO$4&lt;=In_COD)</f>
        <v>0</v>
      </c>
      <c r="CP93" s="48" t="n">
        <f aca="false">CP91*$F21*(CP$4&lt;=In_COD)</f>
        <v>0</v>
      </c>
      <c r="CQ93" s="48" t="n">
        <f aca="false">CQ91*$F21*(CQ$4&lt;=In_COD)</f>
        <v>0</v>
      </c>
      <c r="CR93" s="48" t="n">
        <f aca="false">CR91*$F21*(CR$4&lt;=In_COD)</f>
        <v>0</v>
      </c>
      <c r="CS93" s="48" t="n">
        <f aca="false">CS91*$F21*(CS$4&lt;=In_COD)</f>
        <v>0</v>
      </c>
      <c r="CT93" s="48" t="n">
        <f aca="false">CT91*$F21*(CT$4&lt;=In_COD)</f>
        <v>0</v>
      </c>
      <c r="CU93" s="48" t="n">
        <f aca="false">CU91*$F21*(CU$4&lt;=In_COD)</f>
        <v>0</v>
      </c>
      <c r="CV93" s="48" t="n">
        <f aca="false">CV91*$F21*(CV$4&lt;=In_COD)</f>
        <v>0</v>
      </c>
      <c r="CW93" s="48" t="n">
        <f aca="false">CW91*$F21*(CW$4&lt;=In_COD)</f>
        <v>0</v>
      </c>
      <c r="CX93" s="48" t="n">
        <f aca="false">CX91*$F21*(CX$4&lt;=In_COD)</f>
        <v>0</v>
      </c>
      <c r="CY93" s="48" t="n">
        <f aca="false">CY91*$F21*(CY$4&lt;=In_COD)</f>
        <v>0</v>
      </c>
      <c r="CZ93" s="48" t="n">
        <f aca="false">CZ91*$F21*(CZ$4&lt;=In_COD)</f>
        <v>0</v>
      </c>
      <c r="DA93" s="48" t="n">
        <f aca="false">DA91*$F21*(DA$4&lt;=In_COD)</f>
        <v>0</v>
      </c>
      <c r="DB93" s="48" t="n">
        <f aca="false">DB91*$F21*(DB$4&lt;=In_COD)</f>
        <v>0</v>
      </c>
      <c r="DC93" s="48" t="n">
        <f aca="false">DC91*$F21*(DC$4&lt;=In_COD)</f>
        <v>0</v>
      </c>
      <c r="DD93" s="48" t="n">
        <f aca="false">DD91*$F21*(DD$4&lt;=In_COD)</f>
        <v>0</v>
      </c>
      <c r="DE93" s="48" t="n">
        <f aca="false">DE91*$F21*(DE$4&lt;=In_COD)</f>
        <v>0</v>
      </c>
      <c r="DF93" s="48" t="n">
        <f aca="false">DF91*$F21*(DF$4&lt;=In_COD)</f>
        <v>0</v>
      </c>
      <c r="DG93" s="48" t="n">
        <f aca="false">DG91*$F21*(DG$4&lt;=In_COD)</f>
        <v>0</v>
      </c>
      <c r="DH93" s="48" t="n">
        <f aca="false">DH91*$F21*(DH$4&lt;=In_COD)</f>
        <v>0</v>
      </c>
      <c r="DI93" s="48" t="n">
        <f aca="false">DI91*$F21*(DI$4&lt;=In_COD)</f>
        <v>0</v>
      </c>
      <c r="DJ93" s="48" t="n">
        <f aca="false">DJ91*$F21*(DJ$4&lt;=In_COD)</f>
        <v>0</v>
      </c>
      <c r="DK93" s="48" t="n">
        <f aca="false">DK91*$F21*(DK$4&lt;=In_COD)</f>
        <v>0</v>
      </c>
      <c r="DL93" s="48" t="n">
        <f aca="false">DL91*$F21*(DL$4&lt;=In_COD)</f>
        <v>0</v>
      </c>
      <c r="DM93" s="48" t="n">
        <f aca="false">DM91*$F21*(DM$4&lt;=In_COD)</f>
        <v>0</v>
      </c>
      <c r="DN93" s="48" t="n">
        <f aca="false">DN91*$F21*(DN$4&lt;=In_COD)</f>
        <v>0</v>
      </c>
      <c r="DO93" s="48" t="n">
        <f aca="false">DO91*$F21*(DO$4&lt;=In_COD)</f>
        <v>0</v>
      </c>
      <c r="DP93" s="48" t="n">
        <f aca="false">DP91*$F21*(DP$4&lt;=In_COD)</f>
        <v>0</v>
      </c>
      <c r="DQ93" s="48" t="n">
        <f aca="false">DQ91*$F21*(DQ$4&lt;=In_COD)</f>
        <v>0</v>
      </c>
      <c r="DR93" s="48" t="n">
        <f aca="false">DR91*$F21*(DR$4&lt;=In_COD)</f>
        <v>0</v>
      </c>
      <c r="DS93" s="48" t="n">
        <f aca="false">DS91*$F21*(DS$4&lt;=In_COD)</f>
        <v>0</v>
      </c>
      <c r="DT93" s="48" t="n">
        <f aca="false">DT91*$F21*(DT$4&lt;=In_COD)</f>
        <v>0</v>
      </c>
      <c r="DU93" s="48" t="n">
        <f aca="false">DU91*$F21*(DU$4&lt;=In_COD)</f>
        <v>0</v>
      </c>
      <c r="DV93" s="48" t="n">
        <f aca="false">DV91*$F21*(DV$4&lt;=In_COD)</f>
        <v>0</v>
      </c>
      <c r="DW93" s="48" t="n">
        <f aca="false">DW91*$F21*(DW$4&lt;=In_COD)</f>
        <v>0</v>
      </c>
      <c r="DX93" s="48" t="n">
        <f aca="false">DX91*$F21*(DX$4&lt;=In_COD)</f>
        <v>0</v>
      </c>
      <c r="DY93" s="48" t="n">
        <f aca="false">DY91*$F21*(DY$4&lt;=In_COD)</f>
        <v>0</v>
      </c>
      <c r="DZ93" s="48" t="n">
        <f aca="false">DZ91*$F21*(DZ$4&lt;=In_COD)</f>
        <v>0</v>
      </c>
      <c r="EA93" s="48" t="n">
        <f aca="false">EA91*$F21*(EA$4&lt;=In_COD)</f>
        <v>0</v>
      </c>
      <c r="EB93" s="48" t="n">
        <f aca="false">EB91*$F21*(EB$4&lt;=In_COD)</f>
        <v>0</v>
      </c>
      <c r="EC93" s="48" t="n">
        <f aca="false">EC91*$F21*(EC$4&lt;=In_COD)</f>
        <v>0</v>
      </c>
      <c r="ED93" s="48" t="n">
        <f aca="false">ED91*$F21*(ED$4&lt;=In_COD)</f>
        <v>0</v>
      </c>
      <c r="EE93" s="48" t="n">
        <f aca="false">EE91*$F21*(EE$4&lt;=In_COD)</f>
        <v>0</v>
      </c>
      <c r="EF93" s="48" t="n">
        <f aca="false">EF91*$F21*(EF$4&lt;=In_COD)</f>
        <v>0</v>
      </c>
      <c r="EG93" s="48" t="n">
        <f aca="false">EG91*$F21*(EG$4&lt;=In_COD)</f>
        <v>0</v>
      </c>
      <c r="EH93" s="48" t="n">
        <f aca="false">EH91*$F21*(EH$4&lt;=In_COD)</f>
        <v>0</v>
      </c>
      <c r="EI93" s="48" t="n">
        <f aca="false">EI91*$F21*(EI$4&lt;=In_COD)</f>
        <v>0</v>
      </c>
      <c r="EJ93" s="48" t="n">
        <f aca="false">EJ91*$F21*(EJ$4&lt;=In_COD)</f>
        <v>0</v>
      </c>
      <c r="EK93" s="48" t="n">
        <f aca="false">EK91*$F21*(EK$4&lt;=In_COD)</f>
        <v>0</v>
      </c>
      <c r="EL93" s="48" t="n">
        <f aca="false">EL91*$F21*(EL$4&lt;=In_COD)</f>
        <v>0</v>
      </c>
      <c r="EM93" s="48" t="n">
        <f aca="false">EM91*$F21*(EM$4&lt;=In_COD)</f>
        <v>0</v>
      </c>
      <c r="EN93" s="48" t="n">
        <f aca="false">EN91*$F21*(EN$4&lt;=In_COD)</f>
        <v>0</v>
      </c>
      <c r="EO93" s="48" t="n">
        <f aca="false">EO91*$F21*(EO$4&lt;=In_COD)</f>
        <v>0</v>
      </c>
    </row>
    <row r="94" customFormat="false" ht="15" hidden="false" customHeight="false" outlineLevel="0" collapsed="false">
      <c r="C94" s="1" t="s">
        <v>439</v>
      </c>
      <c r="D94" s="12" t="s">
        <v>33</v>
      </c>
      <c r="I94" s="48" t="n">
        <f aca="false">SUM(J94:EO94)</f>
        <v>-67666.3796989997</v>
      </c>
      <c r="J94" s="48" t="n">
        <f aca="false">J90-J89</f>
        <v>0</v>
      </c>
      <c r="K94" s="48" t="n">
        <f aca="false">K90-K89</f>
        <v>0</v>
      </c>
      <c r="L94" s="48" t="n">
        <f aca="false">L90-L89</f>
        <v>0</v>
      </c>
      <c r="M94" s="48" t="n">
        <f aca="false">M90-M89</f>
        <v>0</v>
      </c>
      <c r="N94" s="48" t="n">
        <f aca="false">N90-N89</f>
        <v>0</v>
      </c>
      <c r="O94" s="48" t="n">
        <f aca="false">O90-O89</f>
        <v>0</v>
      </c>
      <c r="P94" s="48" t="n">
        <f aca="false">P90-P89</f>
        <v>0</v>
      </c>
      <c r="Q94" s="48" t="n">
        <f aca="false">Q90-Q89</f>
        <v>0</v>
      </c>
      <c r="R94" s="48" t="n">
        <f aca="false">R90-R89</f>
        <v>0</v>
      </c>
      <c r="S94" s="48" t="n">
        <f aca="false">S90-S89</f>
        <v>0</v>
      </c>
      <c r="T94" s="48" t="n">
        <f aca="false">T90-T89</f>
        <v>0</v>
      </c>
      <c r="U94" s="48" t="n">
        <f aca="false">U90-U89</f>
        <v>0</v>
      </c>
      <c r="V94" s="48" t="n">
        <f aca="false">V90-V89</f>
        <v>0</v>
      </c>
      <c r="W94" s="48" t="n">
        <f aca="false">W90-W89</f>
        <v>0</v>
      </c>
      <c r="X94" s="48" t="n">
        <f aca="false">X90-X89</f>
        <v>0</v>
      </c>
      <c r="Y94" s="48" t="n">
        <f aca="false">Y90-Y89</f>
        <v>0</v>
      </c>
      <c r="Z94" s="48" t="n">
        <f aca="false">Z90-Z89</f>
        <v>-571.866244027535</v>
      </c>
      <c r="AA94" s="48" t="n">
        <f aca="false">AA90-AA89</f>
        <v>-557.410352873748</v>
      </c>
      <c r="AB94" s="48" t="n">
        <f aca="false">AB90-AB89</f>
        <v>-579.417831170152</v>
      </c>
      <c r="AC94" s="48" t="n">
        <f aca="false">AC90-AC89</f>
        <v>-601.692425591442</v>
      </c>
      <c r="AD94" s="48" t="n">
        <f aca="false">AD90-AD89</f>
        <v>-604.061208516113</v>
      </c>
      <c r="AE94" s="48" t="n">
        <f aca="false">AE90-AE89</f>
        <v>-605.105002221694</v>
      </c>
      <c r="AF94" s="48" t="n">
        <f aca="false">AF90-AF89</f>
        <v>-612.449474003754</v>
      </c>
      <c r="AG94" s="48" t="n">
        <f aca="false">AG90-AG89</f>
        <v>-635.169162211882</v>
      </c>
      <c r="AH94" s="48" t="n">
        <f aca="false">AH90-AH89</f>
        <v>-637.91298366921</v>
      </c>
      <c r="AI94" s="48" t="n">
        <f aca="false">AI90-AI89</f>
        <v>-623.902831397849</v>
      </c>
      <c r="AJ94" s="48" t="n">
        <f aca="false">AJ90-AJ89</f>
        <v>-667.208802579039</v>
      </c>
      <c r="AK94" s="48" t="n">
        <f aca="false">AK90-AK89</f>
        <v>-690.860177281234</v>
      </c>
      <c r="AL94" s="48" t="n">
        <f aca="false">AL90-AL89</f>
        <v>-683.173033611337</v>
      </c>
      <c r="AM94" s="48" t="n">
        <f aca="false">AM90-AM89</f>
        <v>-669.145562668204</v>
      </c>
      <c r="AN94" s="48" t="n">
        <f aca="false">AN90-AN89</f>
        <v>-692.256908545961</v>
      </c>
      <c r="AO94" s="48" t="n">
        <f aca="false">AO90-AO89</f>
        <v>-715.640391271375</v>
      </c>
      <c r="AP94" s="48" t="n">
        <f aca="false">AP90-AP89</f>
        <v>-719.275584925877</v>
      </c>
      <c r="AQ94" s="48" t="n">
        <f aca="false">AQ90-AQ89</f>
        <v>-705.4997961769</v>
      </c>
      <c r="AR94" s="48" t="n">
        <f aca="false">AR90-AR89</f>
        <v>-729.077297590027</v>
      </c>
      <c r="AS94" s="48" t="n">
        <f aca="false">AS90-AS89</f>
        <v>-752.932424847367</v>
      </c>
      <c r="AT94" s="48" t="n">
        <f aca="false">AT90-AT89</f>
        <v>-756.976628646778</v>
      </c>
      <c r="AU94" s="48" t="n">
        <f aca="false">AU90-AU89</f>
        <v>-758.776632685681</v>
      </c>
      <c r="AV94" s="48" t="n">
        <f aca="false">AV90-AV89</f>
        <v>-767.711252157265</v>
      </c>
      <c r="AW94" s="48" t="n">
        <f aca="false">AW90-AW89</f>
        <v>-792.057946012496</v>
      </c>
      <c r="AX94" s="48" t="n">
        <f aca="false">AX90-AX89</f>
        <v>-796.532654920761</v>
      </c>
      <c r="AY94" s="48" t="n">
        <f aca="false">AY90-AY89</f>
        <v>-783.314954602213</v>
      </c>
      <c r="AZ94" s="48" t="n">
        <f aca="false">AZ90-AZ89</f>
        <v>-807.880549678004</v>
      </c>
      <c r="BA94" s="48" t="n">
        <f aca="false">BA90-BA89</f>
        <v>-832.73540543295</v>
      </c>
      <c r="BB94" s="48" t="n">
        <f aca="false">BB90-BB89</f>
        <v>-837.658800904239</v>
      </c>
      <c r="BC94" s="48" t="n">
        <f aca="false">BC90-BC89</f>
        <v>-824.747130203048</v>
      </c>
      <c r="BD94" s="48" t="n">
        <f aca="false">BD90-BD89</f>
        <v>-849.834222167906</v>
      </c>
      <c r="BE94" s="48" t="n">
        <f aca="false">BE90-BE89</f>
        <v>-875.216715454709</v>
      </c>
      <c r="BF94" s="48" t="n">
        <f aca="false">BF90-BF89</f>
        <v>-880.609947027184</v>
      </c>
      <c r="BG94" s="48" t="n">
        <f aca="false">BG90-BG89</f>
        <v>-868.02415033799</v>
      </c>
      <c r="BH94" s="48" t="n">
        <f aca="false">BH90-BH89</f>
        <v>-893.652873446431</v>
      </c>
      <c r="BI94" s="48" t="n">
        <f aca="false">BI90-BI89</f>
        <v>-919.583375601109</v>
      </c>
      <c r="BJ94" s="48" t="n">
        <f aca="false">BJ90-BJ89</f>
        <v>-925.468554347192</v>
      </c>
      <c r="BK94" s="48" t="n">
        <f aca="false">BK90-BK89</f>
        <v>-928.667534511133</v>
      </c>
      <c r="BL94" s="48" t="n">
        <f aca="false">BL90-BL89</f>
        <v>-939.602624864584</v>
      </c>
      <c r="BM94" s="48" t="n">
        <f aca="false">BM90-BM89</f>
        <v>-966.104585988595</v>
      </c>
      <c r="BN94" s="48" t="n">
        <f aca="false">BN90-BN89</f>
        <v>-972.506994763989</v>
      </c>
      <c r="BO94" s="48" t="n">
        <f aca="false">BO90-BO89</f>
        <v>-960.638509952875</v>
      </c>
      <c r="BP94" s="48" t="n">
        <f aca="false">BP90-BP89</f>
        <v>-987.41686851916</v>
      </c>
      <c r="BQ94" s="48" t="n">
        <f aca="false">BQ90-BQ89</f>
        <v>-1014.5105431265</v>
      </c>
      <c r="BR94" s="48" t="n">
        <f aca="false">BR90-BR89</f>
        <v>-1021.45228985536</v>
      </c>
      <c r="BS94" s="48" t="n">
        <f aca="false">BS90-BS89</f>
        <v>-1009.97518999063</v>
      </c>
      <c r="BT94" s="48" t="n">
        <f aca="false">BT90-BT89</f>
        <v>-1037.36143107996</v>
      </c>
      <c r="BU94" s="48" t="n">
        <f aca="false">BU90-BU89</f>
        <v>-1065.07014604678</v>
      </c>
      <c r="BV94" s="48" t="n">
        <f aca="false">BV90-BV89</f>
        <v>-1072.57650703325</v>
      </c>
      <c r="BW94" s="48" t="n">
        <f aca="false">BW90-BW89</f>
        <v>-1061.51471237748</v>
      </c>
      <c r="BX94" s="48" t="n">
        <f aca="false">BX90-BX89</f>
        <v>-1089.53295755461</v>
      </c>
      <c r="BY94" s="48" t="n">
        <f aca="false">BY90-BY89</f>
        <v>-1117.88111847787</v>
      </c>
      <c r="BZ94" s="48" t="n">
        <f aca="false">BZ90-BZ89</f>
        <v>-1125.97852288496</v>
      </c>
      <c r="CA94" s="48" t="n">
        <f aca="false">CA90-CA89</f>
        <v>-1130.89921571819</v>
      </c>
      <c r="CB94" s="48" t="n">
        <f aca="false">CB90-CB89</f>
        <v>-1144.21559068013</v>
      </c>
      <c r="CC94" s="48" t="n">
        <f aca="false">CC90-CC89</f>
        <v>-1173.23088810972</v>
      </c>
      <c r="CD94" s="48" t="n">
        <f aca="false">CD90-CD89</f>
        <v>-1181.94915180506</v>
      </c>
      <c r="CE94" s="48" t="n">
        <f aca="false">CE90-CE89</f>
        <v>-1171.796549164</v>
      </c>
      <c r="CF94" s="48" t="n">
        <f aca="false">CF90-CF89</f>
        <v>-1201.15791975361</v>
      </c>
      <c r="CG94" s="48" t="n">
        <f aca="false">CG90-CG89</f>
        <v>-1230.86502143466</v>
      </c>
      <c r="CH94" s="48" t="n">
        <f aca="false">CH90-CH89</f>
        <v>-1240.23096663459</v>
      </c>
      <c r="CI94" s="48" t="n">
        <f aca="false">CI90-CI89</f>
        <v>-1230.57259460931</v>
      </c>
      <c r="CJ94" s="48" t="n">
        <f aca="false">CJ90-CJ89</f>
        <v>-1260.64535719825</v>
      </c>
      <c r="CK94" s="48" t="n">
        <f aca="false">CK90-CK89</f>
        <v>-1291.07222754252</v>
      </c>
      <c r="CL94" s="48" t="n">
        <f aca="false">CL90-CL89</f>
        <v>-1301.11607841295</v>
      </c>
      <c r="CM94" s="48" t="n">
        <f aca="false">CM90-CM89</f>
        <v>-1291.98075562183</v>
      </c>
      <c r="CN94" s="48" t="n">
        <f aca="false">CN90-CN89</f>
        <v>-1322.79383338128</v>
      </c>
      <c r="CO94" s="48" t="n">
        <f aca="false">CO90-CO89</f>
        <v>-1353.96973613119</v>
      </c>
      <c r="CP94" s="48" t="n">
        <f aca="false">CP90-CP89</f>
        <v>-1364.72309969337</v>
      </c>
      <c r="CQ94" s="48" t="n">
        <f aca="false">CQ90-CQ89</f>
        <v>-1371.7560725397</v>
      </c>
      <c r="CR94" s="48" t="n">
        <f aca="false">CR90-CR89</f>
        <v>-1387.9085448063</v>
      </c>
      <c r="CS94" s="48" t="n">
        <f aca="false">CS90-CS89</f>
        <v>-1419.86626992897</v>
      </c>
      <c r="CT94" s="48" t="n">
        <f aca="false">CT90-CT89</f>
        <v>4.10409484175034E-012</v>
      </c>
      <c r="CU94" s="48" t="n">
        <f aca="false">CU90-CU89</f>
        <v>4.15539602727222E-012</v>
      </c>
      <c r="CV94" s="48" t="n">
        <f aca="false">CV90-CV89</f>
        <v>4.20733847761312E-012</v>
      </c>
      <c r="CW94" s="48" t="n">
        <f aca="false">CW90-CW89</f>
        <v>4.25993020858329E-012</v>
      </c>
      <c r="CX94" s="48" t="n">
        <f aca="false">CX90-CX89</f>
        <v>4.31317933619058E-012</v>
      </c>
      <c r="CY94" s="48" t="n">
        <f aca="false">CY90-CY89</f>
        <v>4.36709407789296E-012</v>
      </c>
      <c r="CZ94" s="48" t="n">
        <f aca="false">CZ90-CZ89</f>
        <v>4.42168275386662E-012</v>
      </c>
      <c r="DA94" s="48" t="n">
        <f aca="false">DA90-DA89</f>
        <v>4.47695378828995E-012</v>
      </c>
      <c r="DB94" s="48" t="n">
        <f aca="false">DB90-DB89</f>
        <v>4.53291571064358E-012</v>
      </c>
      <c r="DC94" s="48" t="n">
        <f aca="false">DC90-DC89</f>
        <v>4.58957715702662E-012</v>
      </c>
      <c r="DD94" s="48" t="n">
        <f aca="false">DD90-DD89</f>
        <v>4.64694687148946E-012</v>
      </c>
      <c r="DE94" s="48" t="n">
        <f aca="false">DE90-DE89</f>
        <v>4.70503370738307E-012</v>
      </c>
      <c r="DF94" s="48" t="n">
        <f aca="false">DF90-DF89</f>
        <v>4.76384662872536E-012</v>
      </c>
      <c r="DG94" s="48" t="n">
        <f aca="false">DG90-DG89</f>
        <v>4.82339471158443E-012</v>
      </c>
      <c r="DH94" s="48" t="n">
        <f aca="false">DH90-DH89</f>
        <v>4.88368714547923E-012</v>
      </c>
      <c r="DI94" s="48" t="n">
        <f aca="false">DI90-DI89</f>
        <v>4.94473323479773E-012</v>
      </c>
      <c r="DJ94" s="48" t="n">
        <f aca="false">DJ90-DJ89</f>
        <v>5.0065424002327E-012</v>
      </c>
      <c r="DK94" s="48" t="n">
        <f aca="false">DK90-DK89</f>
        <v>5.06912418023561E-012</v>
      </c>
      <c r="DL94" s="48" t="n">
        <f aca="false">DL90-DL89</f>
        <v>5.13248823248855E-012</v>
      </c>
      <c r="DM94" s="48" t="n">
        <f aca="false">DM90-DM89</f>
        <v>5.19664433539466E-012</v>
      </c>
      <c r="DN94" s="48" t="n">
        <f aca="false">DN90-DN89</f>
        <v>5.26160238958709E-012</v>
      </c>
      <c r="DO94" s="48" t="n">
        <f aca="false">DO90-DO89</f>
        <v>5.32737241945693E-012</v>
      </c>
      <c r="DP94" s="48" t="n">
        <f aca="false">DP90-DP89</f>
        <v>5.39396457470014E-012</v>
      </c>
      <c r="DQ94" s="48" t="n">
        <f aca="false">DQ90-DQ89</f>
        <v>5.46138913188389E-012</v>
      </c>
      <c r="DR94" s="48" t="n">
        <f aca="false">DR90-DR89</f>
        <v>5.52965649603244E-012</v>
      </c>
      <c r="DS94" s="48" t="n">
        <f aca="false">DS90-DS89</f>
        <v>5.59877720223285E-012</v>
      </c>
      <c r="DT94" s="48" t="n">
        <f aca="false">DT90-DT89</f>
        <v>5.66876191726076E-012</v>
      </c>
      <c r="DU94" s="48" t="n">
        <f aca="false">DU90-DU89</f>
        <v>5.73962144122652E-012</v>
      </c>
      <c r="DV94" s="48" t="n">
        <f aca="false">DV90-DV89</f>
        <v>5.81136670924185E-012</v>
      </c>
      <c r="DW94" s="48" t="n">
        <f aca="false">DW90-DW89</f>
        <v>5.88400879310737E-012</v>
      </c>
      <c r="DX94" s="48" t="n">
        <f aca="false">DX90-DX89</f>
        <v>5.95755890302121E-012</v>
      </c>
      <c r="DY94" s="48" t="n">
        <f aca="false">DY90-DY89</f>
        <v>6.03202838930898E-012</v>
      </c>
      <c r="DZ94" s="48" t="n">
        <f aca="false">DZ90-DZ89</f>
        <v>6.10742874417534E-012</v>
      </c>
      <c r="EA94" s="48" t="n">
        <f aca="false">EA90-EA89</f>
        <v>6.18377160347753E-012</v>
      </c>
      <c r="EB94" s="48" t="n">
        <f aca="false">EB90-EB89</f>
        <v>6.261068748521E-012</v>
      </c>
      <c r="EC94" s="48" t="n">
        <f aca="false">EC90-EC89</f>
        <v>6.33933210787752E-012</v>
      </c>
      <c r="ED94" s="48" t="n">
        <f aca="false">ED90-ED89</f>
        <v>6.41857375922598E-012</v>
      </c>
      <c r="EE94" s="48" t="n">
        <f aca="false">EE90-EE89</f>
        <v>6.49880593121631E-012</v>
      </c>
      <c r="EF94" s="48" t="n">
        <f aca="false">EF90-EF89</f>
        <v>6.58004100535651E-012</v>
      </c>
      <c r="EG94" s="48" t="n">
        <f aca="false">EG90-EG89</f>
        <v>6.66229151792347E-012</v>
      </c>
      <c r="EH94" s="48" t="n">
        <f aca="false">EH90-EH89</f>
        <v>6.74557016189751E-012</v>
      </c>
      <c r="EI94" s="48" t="n">
        <f aca="false">EI90-EI89</f>
        <v>6.82988978892123E-012</v>
      </c>
      <c r="EJ94" s="48" t="n">
        <f aca="false">EJ90-EJ89</f>
        <v>6.91526341128275E-012</v>
      </c>
      <c r="EK94" s="48" t="n">
        <f aca="false">EK90-EK89</f>
        <v>7.00170420392378E-012</v>
      </c>
      <c r="EL94" s="48" t="n">
        <f aca="false">EL90-EL89</f>
        <v>7.08922550647283E-012</v>
      </c>
      <c r="EM94" s="48" t="n">
        <f aca="false">EM90-EM89</f>
        <v>7.17784082530374E-012</v>
      </c>
      <c r="EN94" s="48" t="n">
        <f aca="false">EN90-EN89</f>
        <v>7.26756383562003E-012</v>
      </c>
      <c r="EO94" s="48" t="n">
        <f aca="false">EO90-EO89</f>
        <v>7.35840838356529E-012</v>
      </c>
    </row>
    <row r="95" customFormat="false" ht="15" hidden="false" customHeight="false" outlineLevel="0" collapsed="false">
      <c r="C95" s="26" t="s">
        <v>440</v>
      </c>
      <c r="D95" s="12" t="s">
        <v>33</v>
      </c>
      <c r="E95" s="57" t="n">
        <f aca="false">SUMIF($J$4:$EO$4,In_COD,$J95:$EO95)</f>
        <v>67666.3796990003</v>
      </c>
      <c r="I95" s="59"/>
      <c r="J95" s="57" t="n">
        <f aca="false">SUM(J91:J94)</f>
        <v>0</v>
      </c>
      <c r="K95" s="57" t="n">
        <f aca="false">SUM(K91:K94)</f>
        <v>0</v>
      </c>
      <c r="L95" s="57" t="n">
        <f aca="false">SUM(L91:L94)</f>
        <v>0</v>
      </c>
      <c r="M95" s="57" t="n">
        <f aca="false">SUM(M91:M94)</f>
        <v>0</v>
      </c>
      <c r="N95" s="57" t="n">
        <f aca="false">SUM(N91:N94)</f>
        <v>0</v>
      </c>
      <c r="O95" s="57" t="n">
        <f aca="false">SUM(O91:O94)</f>
        <v>0</v>
      </c>
      <c r="P95" s="57" t="n">
        <f aca="false">SUM(P91:P94)</f>
        <v>0</v>
      </c>
      <c r="Q95" s="57" t="n">
        <f aca="false">SUM(Q91:Q94)</f>
        <v>0</v>
      </c>
      <c r="R95" s="57" t="n">
        <f aca="false">SUM(R91:R94)</f>
        <v>7072.78356164384</v>
      </c>
      <c r="S95" s="57" t="n">
        <f aca="false">SUM(S91:S94)</f>
        <v>20604.0792739726</v>
      </c>
      <c r="T95" s="57" t="n">
        <f aca="false">SUM(T91:T94)</f>
        <v>27857.5357443493</v>
      </c>
      <c r="U95" s="57" t="n">
        <f aca="false">SUM(U91:U94)</f>
        <v>35278.5385027975</v>
      </c>
      <c r="V95" s="57" t="n">
        <f aca="false">SUM(V91:V94)</f>
        <v>42792.3037957263</v>
      </c>
      <c r="W95" s="57" t="n">
        <f aca="false">SUM(W91:W94)</f>
        <v>50246.2349904332</v>
      </c>
      <c r="X95" s="57" t="n">
        <f aca="false">SUM(X91:X94)</f>
        <v>57870.2184072657</v>
      </c>
      <c r="Y95" s="57" t="n">
        <f aca="false">SUM(Y91:Y94)</f>
        <v>67666.3796990003</v>
      </c>
      <c r="Z95" s="57" t="n">
        <f aca="false">SUM(Z91:Z94)</f>
        <v>67094.5134549728</v>
      </c>
      <c r="AA95" s="57" t="n">
        <f aca="false">SUM(AA91:AA94)</f>
        <v>66537.1031020991</v>
      </c>
      <c r="AB95" s="57" t="n">
        <f aca="false">SUM(AB91:AB94)</f>
        <v>65957.6852709289</v>
      </c>
      <c r="AC95" s="57" t="n">
        <f aca="false">SUM(AC91:AC94)</f>
        <v>65355.9928453375</v>
      </c>
      <c r="AD95" s="57" t="n">
        <f aca="false">SUM(AD91:AD94)</f>
        <v>64751.9316368213</v>
      </c>
      <c r="AE95" s="57" t="n">
        <f aca="false">SUM(AE91:AE94)</f>
        <v>64146.8266345996</v>
      </c>
      <c r="AF95" s="57" t="n">
        <f aca="false">SUM(AF91:AF94)</f>
        <v>63534.3771605959</v>
      </c>
      <c r="AG95" s="57" t="n">
        <f aca="false">SUM(AG91:AG94)</f>
        <v>62899.207998384</v>
      </c>
      <c r="AH95" s="57" t="n">
        <f aca="false">SUM(AH91:AH94)</f>
        <v>62261.2950147148</v>
      </c>
      <c r="AI95" s="57" t="n">
        <f aca="false">SUM(AI91:AI94)</f>
        <v>61637.392183317</v>
      </c>
      <c r="AJ95" s="57" t="n">
        <f aca="false">SUM(AJ91:AJ94)</f>
        <v>60970.1833807379</v>
      </c>
      <c r="AK95" s="57" t="n">
        <f aca="false">SUM(AK91:AK94)</f>
        <v>60279.3232034567</v>
      </c>
      <c r="AL95" s="57" t="n">
        <f aca="false">SUM(AL91:AL94)</f>
        <v>59596.1501698453</v>
      </c>
      <c r="AM95" s="57" t="n">
        <f aca="false">SUM(AM91:AM94)</f>
        <v>58927.0046071771</v>
      </c>
      <c r="AN95" s="57" t="n">
        <f aca="false">SUM(AN91:AN94)</f>
        <v>58234.7476986312</v>
      </c>
      <c r="AO95" s="57" t="n">
        <f aca="false">SUM(AO91:AO94)</f>
        <v>57519.1073073598</v>
      </c>
      <c r="AP95" s="57" t="n">
        <f aca="false">SUM(AP91:AP94)</f>
        <v>56799.8317224339</v>
      </c>
      <c r="AQ95" s="57" t="n">
        <f aca="false">SUM(AQ91:AQ94)</f>
        <v>56094.331926257</v>
      </c>
      <c r="AR95" s="57" t="n">
        <f aca="false">SUM(AR91:AR94)</f>
        <v>55365.254628667</v>
      </c>
      <c r="AS95" s="57" t="n">
        <f aca="false">SUM(AS91:AS94)</f>
        <v>54612.3222038196</v>
      </c>
      <c r="AT95" s="57" t="n">
        <f aca="false">SUM(AT91:AT94)</f>
        <v>53855.3455751729</v>
      </c>
      <c r="AU95" s="57" t="n">
        <f aca="false">SUM(AU91:AU94)</f>
        <v>53096.5689424872</v>
      </c>
      <c r="AV95" s="57" t="n">
        <f aca="false">SUM(AV91:AV94)</f>
        <v>52328.8576903299</v>
      </c>
      <c r="AW95" s="57" t="n">
        <f aca="false">SUM(AW91:AW94)</f>
        <v>51536.7997443174</v>
      </c>
      <c r="AX95" s="57" t="n">
        <f aca="false">SUM(AX91:AX94)</f>
        <v>50740.2670893967</v>
      </c>
      <c r="AY95" s="57" t="n">
        <f aca="false">SUM(AY91:AY94)</f>
        <v>49956.9521347945</v>
      </c>
      <c r="AZ95" s="57" t="n">
        <f aca="false">SUM(AZ91:AZ94)</f>
        <v>49149.0715851165</v>
      </c>
      <c r="BA95" s="57" t="n">
        <f aca="false">SUM(BA91:BA94)</f>
        <v>48316.3361796835</v>
      </c>
      <c r="BB95" s="57" t="n">
        <f aca="false">SUM(BB91:BB94)</f>
        <v>47478.6773787793</v>
      </c>
      <c r="BC95" s="57" t="n">
        <f aca="false">SUM(BC91:BC94)</f>
        <v>46653.9302485762</v>
      </c>
      <c r="BD95" s="57" t="n">
        <f aca="false">SUM(BD91:BD94)</f>
        <v>45804.0960264083</v>
      </c>
      <c r="BE95" s="57" t="n">
        <f aca="false">SUM(BE91:BE94)</f>
        <v>44928.8793109536</v>
      </c>
      <c r="BF95" s="57" t="n">
        <f aca="false">SUM(BF91:BF94)</f>
        <v>44048.2693639264</v>
      </c>
      <c r="BG95" s="57" t="n">
        <f aca="false">SUM(BG91:BG94)</f>
        <v>43180.2452135884</v>
      </c>
      <c r="BH95" s="57" t="n">
        <f aca="false">SUM(BH91:BH94)</f>
        <v>42286.592340142</v>
      </c>
      <c r="BI95" s="57" t="n">
        <f aca="false">SUM(BI91:BI94)</f>
        <v>41367.0089645409</v>
      </c>
      <c r="BJ95" s="57" t="n">
        <f aca="false">SUM(BJ91:BJ94)</f>
        <v>40441.5404101937</v>
      </c>
      <c r="BK95" s="57" t="n">
        <f aca="false">SUM(BK91:BK94)</f>
        <v>39512.8728756826</v>
      </c>
      <c r="BL95" s="57" t="n">
        <f aca="false">SUM(BL91:BL94)</f>
        <v>38573.270250818</v>
      </c>
      <c r="BM95" s="57" t="n">
        <f aca="false">SUM(BM91:BM94)</f>
        <v>37607.1656648294</v>
      </c>
      <c r="BN95" s="57" t="n">
        <f aca="false">SUM(BN91:BN94)</f>
        <v>36634.6586700654</v>
      </c>
      <c r="BO95" s="57" t="n">
        <f aca="false">SUM(BO91:BO94)</f>
        <v>35674.0201601125</v>
      </c>
      <c r="BP95" s="57" t="n">
        <f aca="false">SUM(BP91:BP94)</f>
        <v>34686.6032915934</v>
      </c>
      <c r="BQ95" s="57" t="n">
        <f aca="false">SUM(BQ91:BQ94)</f>
        <v>33672.0927484669</v>
      </c>
      <c r="BR95" s="57" t="n">
        <f aca="false">SUM(BR91:BR94)</f>
        <v>32650.6404586115</v>
      </c>
      <c r="BS95" s="57" t="n">
        <f aca="false">SUM(BS91:BS94)</f>
        <v>31640.6652686209</v>
      </c>
      <c r="BT95" s="57" t="n">
        <f aca="false">SUM(BT91:BT94)</f>
        <v>30603.3038375409</v>
      </c>
      <c r="BU95" s="57" t="n">
        <f aca="false">SUM(BU91:BU94)</f>
        <v>29538.2336914941</v>
      </c>
      <c r="BV95" s="57" t="n">
        <f aca="false">SUM(BV91:BV94)</f>
        <v>28465.6571844609</v>
      </c>
      <c r="BW95" s="57" t="n">
        <f aca="false">SUM(BW91:BW94)</f>
        <v>27404.1424720834</v>
      </c>
      <c r="BX95" s="57" t="n">
        <f aca="false">SUM(BX91:BX94)</f>
        <v>26314.6095145288</v>
      </c>
      <c r="BY95" s="57" t="n">
        <f aca="false">SUM(BY91:BY94)</f>
        <v>25196.7283960509</v>
      </c>
      <c r="BZ95" s="57" t="n">
        <f aca="false">SUM(BZ91:BZ94)</f>
        <v>24070.749873166</v>
      </c>
      <c r="CA95" s="57" t="n">
        <f aca="false">SUM(CA91:CA94)</f>
        <v>22939.8506574478</v>
      </c>
      <c r="CB95" s="57" t="n">
        <f aca="false">SUM(CB91:CB94)</f>
        <v>21795.6350667676</v>
      </c>
      <c r="CC95" s="57" t="n">
        <f aca="false">SUM(CC91:CC94)</f>
        <v>20622.4041786579</v>
      </c>
      <c r="CD95" s="57" t="n">
        <f aca="false">SUM(CD91:CD94)</f>
        <v>19440.4550268529</v>
      </c>
      <c r="CE95" s="57" t="n">
        <f aca="false">SUM(CE91:CE94)</f>
        <v>18268.6584776889</v>
      </c>
      <c r="CF95" s="57" t="n">
        <f aca="false">SUM(CF91:CF94)</f>
        <v>17067.5005579353</v>
      </c>
      <c r="CG95" s="57" t="n">
        <f aca="false">SUM(CG91:CG94)</f>
        <v>15836.6355365006</v>
      </c>
      <c r="CH95" s="57" t="n">
        <f aca="false">SUM(CH91:CH94)</f>
        <v>14596.404569866</v>
      </c>
      <c r="CI95" s="57" t="n">
        <f aca="false">SUM(CI91:CI94)</f>
        <v>13365.8319752567</v>
      </c>
      <c r="CJ95" s="57" t="n">
        <f aca="false">SUM(CJ91:CJ94)</f>
        <v>12105.1866180584</v>
      </c>
      <c r="CK95" s="57" t="n">
        <f aca="false">SUM(CK91:CK94)</f>
        <v>10814.1143905159</v>
      </c>
      <c r="CL95" s="57" t="n">
        <f aca="false">SUM(CL91:CL94)</f>
        <v>9512.99831210297</v>
      </c>
      <c r="CM95" s="57" t="n">
        <f aca="false">SUM(CM91:CM94)</f>
        <v>8221.01755648114</v>
      </c>
      <c r="CN95" s="57" t="n">
        <f aca="false">SUM(CN91:CN94)</f>
        <v>6898.22372309986</v>
      </c>
      <c r="CO95" s="57" t="n">
        <f aca="false">SUM(CO91:CO94)</f>
        <v>5544.25398696867</v>
      </c>
      <c r="CP95" s="57" t="n">
        <f aca="false">SUM(CP91:CP94)</f>
        <v>4179.5308872753</v>
      </c>
      <c r="CQ95" s="57" t="n">
        <f aca="false">SUM(CQ91:CQ94)</f>
        <v>2807.7748147356</v>
      </c>
      <c r="CR95" s="57" t="n">
        <f aca="false">SUM(CR91:CR94)</f>
        <v>1419.8662699293</v>
      </c>
      <c r="CS95" s="57" t="n">
        <f aca="false">SUM(CS91:CS94)</f>
        <v>3.28327587340027E-010</v>
      </c>
      <c r="CT95" s="57" t="n">
        <f aca="false">SUM(CT91:CT94)</f>
        <v>3.32431682181777E-010</v>
      </c>
      <c r="CU95" s="57" t="n">
        <f aca="false">SUM(CU91:CU94)</f>
        <v>3.3658707820905E-010</v>
      </c>
      <c r="CV95" s="57" t="n">
        <f aca="false">SUM(CV91:CV94)</f>
        <v>3.40794416686663E-010</v>
      </c>
      <c r="CW95" s="57" t="n">
        <f aca="false">SUM(CW91:CW94)</f>
        <v>3.45054346895246E-010</v>
      </c>
      <c r="CX95" s="57" t="n">
        <f aca="false">SUM(CX91:CX94)</f>
        <v>3.49367526231437E-010</v>
      </c>
      <c r="CY95" s="57" t="n">
        <f aca="false">SUM(CY91:CY94)</f>
        <v>3.5373462030933E-010</v>
      </c>
      <c r="CZ95" s="57" t="n">
        <f aca="false">SUM(CZ91:CZ94)</f>
        <v>3.58156303063196E-010</v>
      </c>
      <c r="DA95" s="57" t="n">
        <f aca="false">SUM(DA91:DA94)</f>
        <v>3.62633256851486E-010</v>
      </c>
      <c r="DB95" s="57" t="n">
        <f aca="false">SUM(DB91:DB94)</f>
        <v>3.6716617256213E-010</v>
      </c>
      <c r="DC95" s="57" t="n">
        <f aca="false">SUM(DC91:DC94)</f>
        <v>3.71755749719156E-010</v>
      </c>
      <c r="DD95" s="57" t="n">
        <f aca="false">SUM(DD91:DD94)</f>
        <v>3.76402696590646E-010</v>
      </c>
      <c r="DE95" s="57" t="n">
        <f aca="false">SUM(DE91:DE94)</f>
        <v>3.81107730298029E-010</v>
      </c>
      <c r="DF95" s="57" t="n">
        <f aca="false">SUM(DF91:DF94)</f>
        <v>3.85871576926754E-010</v>
      </c>
      <c r="DG95" s="57" t="n">
        <f aca="false">SUM(DG91:DG94)</f>
        <v>3.90694971638339E-010</v>
      </c>
      <c r="DH95" s="57" t="n">
        <f aca="false">SUM(DH91:DH94)</f>
        <v>3.95578658783818E-010</v>
      </c>
      <c r="DI95" s="57" t="n">
        <f aca="false">SUM(DI91:DI94)</f>
        <v>4.00523392018616E-010</v>
      </c>
      <c r="DJ95" s="57" t="n">
        <f aca="false">SUM(DJ91:DJ94)</f>
        <v>4.05529934418848E-010</v>
      </c>
      <c r="DK95" s="57" t="n">
        <f aca="false">SUM(DK91:DK94)</f>
        <v>4.10599058599084E-010</v>
      </c>
      <c r="DL95" s="57" t="n">
        <f aca="false">SUM(DL91:DL94)</f>
        <v>4.15731546831573E-010</v>
      </c>
      <c r="DM95" s="57" t="n">
        <f aca="false">SUM(DM91:DM94)</f>
        <v>4.20928191166967E-010</v>
      </c>
      <c r="DN95" s="57" t="n">
        <f aca="false">SUM(DN91:DN94)</f>
        <v>4.26189793556554E-010</v>
      </c>
      <c r="DO95" s="57" t="n">
        <f aca="false">SUM(DO91:DO94)</f>
        <v>4.31517165976011E-010</v>
      </c>
      <c r="DP95" s="57" t="n">
        <f aca="false">SUM(DP91:DP94)</f>
        <v>4.36911130550711E-010</v>
      </c>
      <c r="DQ95" s="57" t="n">
        <f aca="false">SUM(DQ91:DQ94)</f>
        <v>4.42372519682595E-010</v>
      </c>
      <c r="DR95" s="57" t="n">
        <f aca="false">SUM(DR91:DR94)</f>
        <v>4.47902176178628E-010</v>
      </c>
      <c r="DS95" s="57" t="n">
        <f aca="false">SUM(DS91:DS94)</f>
        <v>4.53500953380861E-010</v>
      </c>
      <c r="DT95" s="57" t="n">
        <f aca="false">SUM(DT91:DT94)</f>
        <v>4.59169715298121E-010</v>
      </c>
      <c r="DU95" s="57" t="n">
        <f aca="false">SUM(DU91:DU94)</f>
        <v>4.64909336739348E-010</v>
      </c>
      <c r="DV95" s="57" t="n">
        <f aca="false">SUM(DV91:DV94)</f>
        <v>4.7072070344859E-010</v>
      </c>
      <c r="DW95" s="57" t="n">
        <f aca="false">SUM(DW91:DW94)</f>
        <v>4.76604712241697E-010</v>
      </c>
      <c r="DX95" s="57" t="n">
        <f aca="false">SUM(DX91:DX94)</f>
        <v>4.82562271144718E-010</v>
      </c>
      <c r="DY95" s="57" t="n">
        <f aca="false">SUM(DY91:DY94)</f>
        <v>4.88594299534027E-010</v>
      </c>
      <c r="DZ95" s="57" t="n">
        <f aca="false">SUM(DZ91:DZ94)</f>
        <v>4.94701728278203E-010</v>
      </c>
      <c r="EA95" s="57" t="n">
        <f aca="false">SUM(EA91:EA94)</f>
        <v>5.0088549988168E-010</v>
      </c>
      <c r="EB95" s="57" t="n">
        <f aca="false">SUM(EB91:EB94)</f>
        <v>5.07146568630201E-010</v>
      </c>
      <c r="EC95" s="57" t="n">
        <f aca="false">SUM(EC91:EC94)</f>
        <v>5.13485900738079E-010</v>
      </c>
      <c r="ED95" s="57" t="n">
        <f aca="false">SUM(ED91:ED94)</f>
        <v>5.19904474497305E-010</v>
      </c>
      <c r="EE95" s="57" t="n">
        <f aca="false">SUM(EE91:EE94)</f>
        <v>5.26403280428521E-010</v>
      </c>
      <c r="EF95" s="57" t="n">
        <f aca="false">SUM(EF91:EF94)</f>
        <v>5.32983321433877E-010</v>
      </c>
      <c r="EG95" s="57" t="n">
        <f aca="false">SUM(EG91:EG94)</f>
        <v>5.39645612951801E-010</v>
      </c>
      <c r="EH95" s="57" t="n">
        <f aca="false">SUM(EH91:EH94)</f>
        <v>5.46391183113698E-010</v>
      </c>
      <c r="EI95" s="57" t="n">
        <f aca="false">SUM(EI91:EI94)</f>
        <v>5.5322107290262E-010</v>
      </c>
      <c r="EJ95" s="57" t="n">
        <f aca="false">SUM(EJ91:EJ94)</f>
        <v>5.60136336313902E-010</v>
      </c>
      <c r="EK95" s="57" t="n">
        <f aca="false">SUM(EK91:EK94)</f>
        <v>5.67138040517826E-010</v>
      </c>
      <c r="EL95" s="57" t="n">
        <f aca="false">SUM(EL91:EL94)</f>
        <v>5.74227266024299E-010</v>
      </c>
      <c r="EM95" s="57" t="n">
        <f aca="false">SUM(EM91:EM94)</f>
        <v>5.81405106849603E-010</v>
      </c>
      <c r="EN95" s="57" t="n">
        <f aca="false">SUM(EN91:EN94)</f>
        <v>5.88672670685223E-010</v>
      </c>
      <c r="EO95" s="57" t="n">
        <f aca="false">SUM(EO91:EO94)</f>
        <v>5.96031079068788E-010</v>
      </c>
    </row>
    <row r="96" customFormat="false" ht="15" hidden="false" customHeight="false" outlineLevel="0" collapsed="false">
      <c r="C96" s="1" t="s">
        <v>441</v>
      </c>
      <c r="D96" s="12" t="s">
        <v>33</v>
      </c>
      <c r="I96" s="48" t="n">
        <f aca="false">SUM(J96:EO96)</f>
        <v>-1184.16164473251</v>
      </c>
      <c r="J96" s="48" t="n">
        <f aca="false">-In_Upfront_Fee*$E95*(J91=0)*(J92&gt;0)</f>
        <v>-0</v>
      </c>
      <c r="K96" s="48" t="n">
        <f aca="false">-In_Upfront_Fee*$E95*(K91=0)*(K92&gt;0)</f>
        <v>-0</v>
      </c>
      <c r="L96" s="48" t="n">
        <f aca="false">-In_Upfront_Fee*$E95*(L91=0)*(L92&gt;0)</f>
        <v>-0</v>
      </c>
      <c r="M96" s="48" t="n">
        <f aca="false">-In_Upfront_Fee*$E95*(M91=0)*(M92&gt;0)</f>
        <v>-0</v>
      </c>
      <c r="N96" s="48" t="n">
        <f aca="false">-In_Upfront_Fee*$E95*(N91=0)*(N92&gt;0)</f>
        <v>-0</v>
      </c>
      <c r="O96" s="48" t="n">
        <f aca="false">-In_Upfront_Fee*$E95*(O91=0)*(O92&gt;0)</f>
        <v>-0</v>
      </c>
      <c r="P96" s="48" t="n">
        <f aca="false">-In_Upfront_Fee*$E95*(P91=0)*(P92&gt;0)</f>
        <v>-0</v>
      </c>
      <c r="Q96" s="48" t="n">
        <f aca="false">-In_Upfront_Fee*$E95*(Q91=0)*(Q92&gt;0)</f>
        <v>-0</v>
      </c>
      <c r="R96" s="48" t="n">
        <f aca="false">-In_Upfront_Fee*$E95*(R91=0)*(R92&gt;0)</f>
        <v>-1184.16164473251</v>
      </c>
      <c r="S96" s="48" t="n">
        <f aca="false">-In_Upfront_Fee*$E95*(S91=0)*(S92&gt;0)</f>
        <v>-0</v>
      </c>
      <c r="T96" s="48" t="n">
        <f aca="false">-In_Upfront_Fee*$E95*(T91=0)*(T92&gt;0)</f>
        <v>-0</v>
      </c>
      <c r="U96" s="48" t="n">
        <f aca="false">-In_Upfront_Fee*$E95*(U91=0)*(U92&gt;0)</f>
        <v>-0</v>
      </c>
      <c r="V96" s="48" t="n">
        <f aca="false">-In_Upfront_Fee*$E95*(V91=0)*(V92&gt;0)</f>
        <v>-0</v>
      </c>
      <c r="W96" s="48" t="n">
        <f aca="false">-In_Upfront_Fee*$E95*(W91=0)*(W92&gt;0)</f>
        <v>-0</v>
      </c>
      <c r="X96" s="48" t="n">
        <f aca="false">-In_Upfront_Fee*$E95*(X91=0)*(X92&gt;0)</f>
        <v>-0</v>
      </c>
      <c r="Y96" s="48" t="n">
        <f aca="false">-In_Upfront_Fee*$E95*(Y91=0)*(Y92&gt;0)</f>
        <v>-0</v>
      </c>
      <c r="Z96" s="48" t="n">
        <f aca="false">-In_Upfront_Fee*$E95*(Z91=0)*(Z92&gt;0)</f>
        <v>-0</v>
      </c>
      <c r="AA96" s="48" t="n">
        <f aca="false">-In_Upfront_Fee*$E95*(AA91=0)*(AA92&gt;0)</f>
        <v>-0</v>
      </c>
      <c r="AB96" s="48" t="n">
        <f aca="false">-In_Upfront_Fee*$E95*(AB91=0)*(AB92&gt;0)</f>
        <v>-0</v>
      </c>
      <c r="AC96" s="48" t="n">
        <f aca="false">-In_Upfront_Fee*$E95*(AC91=0)*(AC92&gt;0)</f>
        <v>-0</v>
      </c>
      <c r="AD96" s="48" t="n">
        <f aca="false">-In_Upfront_Fee*$E95*(AD91=0)*(AD92&gt;0)</f>
        <v>-0</v>
      </c>
      <c r="AE96" s="48" t="n">
        <f aca="false">-In_Upfront_Fee*$E95*(AE91=0)*(AE92&gt;0)</f>
        <v>-0</v>
      </c>
      <c r="AF96" s="48" t="n">
        <f aca="false">-In_Upfront_Fee*$E95*(AF91=0)*(AF92&gt;0)</f>
        <v>-0</v>
      </c>
      <c r="AG96" s="48" t="n">
        <f aca="false">-In_Upfront_Fee*$E95*(AG91=0)*(AG92&gt;0)</f>
        <v>-0</v>
      </c>
      <c r="AH96" s="48" t="n">
        <f aca="false">-In_Upfront_Fee*$E95*(AH91=0)*(AH92&gt;0)</f>
        <v>-0</v>
      </c>
      <c r="AI96" s="48" t="n">
        <f aca="false">-In_Upfront_Fee*$E95*(AI91=0)*(AI92&gt;0)</f>
        <v>-0</v>
      </c>
      <c r="AJ96" s="48" t="n">
        <f aca="false">-In_Upfront_Fee*$E95*(AJ91=0)*(AJ92&gt;0)</f>
        <v>-0</v>
      </c>
      <c r="AK96" s="48" t="n">
        <f aca="false">-In_Upfront_Fee*$E95*(AK91=0)*(AK92&gt;0)</f>
        <v>-0</v>
      </c>
      <c r="AL96" s="48" t="n">
        <f aca="false">-In_Upfront_Fee*$E95*(AL91=0)*(AL92&gt;0)</f>
        <v>-0</v>
      </c>
      <c r="AM96" s="48" t="n">
        <f aca="false">-In_Upfront_Fee*$E95*(AM91=0)*(AM92&gt;0)</f>
        <v>-0</v>
      </c>
      <c r="AN96" s="48" t="n">
        <f aca="false">-In_Upfront_Fee*$E95*(AN91=0)*(AN92&gt;0)</f>
        <v>-0</v>
      </c>
      <c r="AO96" s="48" t="n">
        <f aca="false">-In_Upfront_Fee*$E95*(AO91=0)*(AO92&gt;0)</f>
        <v>-0</v>
      </c>
      <c r="AP96" s="48" t="n">
        <f aca="false">-In_Upfront_Fee*$E95*(AP91=0)*(AP92&gt;0)</f>
        <v>-0</v>
      </c>
      <c r="AQ96" s="48" t="n">
        <f aca="false">-In_Upfront_Fee*$E95*(AQ91=0)*(AQ92&gt;0)</f>
        <v>-0</v>
      </c>
      <c r="AR96" s="48" t="n">
        <f aca="false">-In_Upfront_Fee*$E95*(AR91=0)*(AR92&gt;0)</f>
        <v>-0</v>
      </c>
      <c r="AS96" s="48" t="n">
        <f aca="false">-In_Upfront_Fee*$E95*(AS91=0)*(AS92&gt;0)</f>
        <v>-0</v>
      </c>
      <c r="AT96" s="48" t="n">
        <f aca="false">-In_Upfront_Fee*$E95*(AT91=0)*(AT92&gt;0)</f>
        <v>-0</v>
      </c>
      <c r="AU96" s="48" t="n">
        <f aca="false">-In_Upfront_Fee*$E95*(AU91=0)*(AU92&gt;0)</f>
        <v>-0</v>
      </c>
      <c r="AV96" s="48" t="n">
        <f aca="false">-In_Upfront_Fee*$E95*(AV91=0)*(AV92&gt;0)</f>
        <v>-0</v>
      </c>
      <c r="AW96" s="48" t="n">
        <f aca="false">-In_Upfront_Fee*$E95*(AW91=0)*(AW92&gt;0)</f>
        <v>-0</v>
      </c>
      <c r="AX96" s="48" t="n">
        <f aca="false">-In_Upfront_Fee*$E95*(AX91=0)*(AX92&gt;0)</f>
        <v>-0</v>
      </c>
      <c r="AY96" s="48" t="n">
        <f aca="false">-In_Upfront_Fee*$E95*(AY91=0)*(AY92&gt;0)</f>
        <v>-0</v>
      </c>
      <c r="AZ96" s="48" t="n">
        <f aca="false">-In_Upfront_Fee*$E95*(AZ91=0)*(AZ92&gt;0)</f>
        <v>-0</v>
      </c>
      <c r="BA96" s="48" t="n">
        <f aca="false">-In_Upfront_Fee*$E95*(BA91=0)*(BA92&gt;0)</f>
        <v>-0</v>
      </c>
      <c r="BB96" s="48" t="n">
        <f aca="false">-In_Upfront_Fee*$E95*(BB91=0)*(BB92&gt;0)</f>
        <v>-0</v>
      </c>
      <c r="BC96" s="48" t="n">
        <f aca="false">-In_Upfront_Fee*$E95*(BC91=0)*(BC92&gt;0)</f>
        <v>-0</v>
      </c>
      <c r="BD96" s="48" t="n">
        <f aca="false">-In_Upfront_Fee*$E95*(BD91=0)*(BD92&gt;0)</f>
        <v>-0</v>
      </c>
      <c r="BE96" s="48" t="n">
        <f aca="false">-In_Upfront_Fee*$E95*(BE91=0)*(BE92&gt;0)</f>
        <v>-0</v>
      </c>
      <c r="BF96" s="48" t="n">
        <f aca="false">-In_Upfront_Fee*$E95*(BF91=0)*(BF92&gt;0)</f>
        <v>-0</v>
      </c>
      <c r="BG96" s="48" t="n">
        <f aca="false">-In_Upfront_Fee*$E95*(BG91=0)*(BG92&gt;0)</f>
        <v>-0</v>
      </c>
      <c r="BH96" s="48" t="n">
        <f aca="false">-In_Upfront_Fee*$E95*(BH91=0)*(BH92&gt;0)</f>
        <v>-0</v>
      </c>
      <c r="BI96" s="48" t="n">
        <f aca="false">-In_Upfront_Fee*$E95*(BI91=0)*(BI92&gt;0)</f>
        <v>-0</v>
      </c>
      <c r="BJ96" s="48" t="n">
        <f aca="false">-In_Upfront_Fee*$E95*(BJ91=0)*(BJ92&gt;0)</f>
        <v>-0</v>
      </c>
      <c r="BK96" s="48" t="n">
        <f aca="false">-In_Upfront_Fee*$E95*(BK91=0)*(BK92&gt;0)</f>
        <v>-0</v>
      </c>
      <c r="BL96" s="48" t="n">
        <f aca="false">-In_Upfront_Fee*$E95*(BL91=0)*(BL92&gt;0)</f>
        <v>-0</v>
      </c>
      <c r="BM96" s="48" t="n">
        <f aca="false">-In_Upfront_Fee*$E95*(BM91=0)*(BM92&gt;0)</f>
        <v>-0</v>
      </c>
      <c r="BN96" s="48" t="n">
        <f aca="false">-In_Upfront_Fee*$E95*(BN91=0)*(BN92&gt;0)</f>
        <v>-0</v>
      </c>
      <c r="BO96" s="48" t="n">
        <f aca="false">-In_Upfront_Fee*$E95*(BO91=0)*(BO92&gt;0)</f>
        <v>-0</v>
      </c>
      <c r="BP96" s="48" t="n">
        <f aca="false">-In_Upfront_Fee*$E95*(BP91=0)*(BP92&gt;0)</f>
        <v>-0</v>
      </c>
      <c r="BQ96" s="48" t="n">
        <f aca="false">-In_Upfront_Fee*$E95*(BQ91=0)*(BQ92&gt;0)</f>
        <v>-0</v>
      </c>
      <c r="BR96" s="48" t="n">
        <f aca="false">-In_Upfront_Fee*$E95*(BR91=0)*(BR92&gt;0)</f>
        <v>-0</v>
      </c>
      <c r="BS96" s="48" t="n">
        <f aca="false">-In_Upfront_Fee*$E95*(BS91=0)*(BS92&gt;0)</f>
        <v>-0</v>
      </c>
      <c r="BT96" s="48" t="n">
        <f aca="false">-In_Upfront_Fee*$E95*(BT91=0)*(BT92&gt;0)</f>
        <v>-0</v>
      </c>
      <c r="BU96" s="48" t="n">
        <f aca="false">-In_Upfront_Fee*$E95*(BU91=0)*(BU92&gt;0)</f>
        <v>-0</v>
      </c>
      <c r="BV96" s="48" t="n">
        <f aca="false">-In_Upfront_Fee*$E95*(BV91=0)*(BV92&gt;0)</f>
        <v>-0</v>
      </c>
      <c r="BW96" s="48" t="n">
        <f aca="false">-In_Upfront_Fee*$E95*(BW91=0)*(BW92&gt;0)</f>
        <v>-0</v>
      </c>
      <c r="BX96" s="48" t="n">
        <f aca="false">-In_Upfront_Fee*$E95*(BX91=0)*(BX92&gt;0)</f>
        <v>-0</v>
      </c>
      <c r="BY96" s="48" t="n">
        <f aca="false">-In_Upfront_Fee*$E95*(BY91=0)*(BY92&gt;0)</f>
        <v>-0</v>
      </c>
      <c r="BZ96" s="48" t="n">
        <f aca="false">-In_Upfront_Fee*$E95*(BZ91=0)*(BZ92&gt;0)</f>
        <v>-0</v>
      </c>
      <c r="CA96" s="48" t="n">
        <f aca="false">-In_Upfront_Fee*$E95*(CA91=0)*(CA92&gt;0)</f>
        <v>-0</v>
      </c>
      <c r="CB96" s="48" t="n">
        <f aca="false">-In_Upfront_Fee*$E95*(CB91=0)*(CB92&gt;0)</f>
        <v>-0</v>
      </c>
      <c r="CC96" s="48" t="n">
        <f aca="false">-In_Upfront_Fee*$E95*(CC91=0)*(CC92&gt;0)</f>
        <v>-0</v>
      </c>
      <c r="CD96" s="48" t="n">
        <f aca="false">-In_Upfront_Fee*$E95*(CD91=0)*(CD92&gt;0)</f>
        <v>-0</v>
      </c>
      <c r="CE96" s="48" t="n">
        <f aca="false">-In_Upfront_Fee*$E95*(CE91=0)*(CE92&gt;0)</f>
        <v>-0</v>
      </c>
      <c r="CF96" s="48" t="n">
        <f aca="false">-In_Upfront_Fee*$E95*(CF91=0)*(CF92&gt;0)</f>
        <v>-0</v>
      </c>
      <c r="CG96" s="48" t="n">
        <f aca="false">-In_Upfront_Fee*$E95*(CG91=0)*(CG92&gt;0)</f>
        <v>-0</v>
      </c>
      <c r="CH96" s="48" t="n">
        <f aca="false">-In_Upfront_Fee*$E95*(CH91=0)*(CH92&gt;0)</f>
        <v>-0</v>
      </c>
      <c r="CI96" s="48" t="n">
        <f aca="false">-In_Upfront_Fee*$E95*(CI91=0)*(CI92&gt;0)</f>
        <v>-0</v>
      </c>
      <c r="CJ96" s="48" t="n">
        <f aca="false">-In_Upfront_Fee*$E95*(CJ91=0)*(CJ92&gt;0)</f>
        <v>-0</v>
      </c>
      <c r="CK96" s="48" t="n">
        <f aca="false">-In_Upfront_Fee*$E95*(CK91=0)*(CK92&gt;0)</f>
        <v>-0</v>
      </c>
      <c r="CL96" s="48" t="n">
        <f aca="false">-In_Upfront_Fee*$E95*(CL91=0)*(CL92&gt;0)</f>
        <v>-0</v>
      </c>
      <c r="CM96" s="48" t="n">
        <f aca="false">-In_Upfront_Fee*$E95*(CM91=0)*(CM92&gt;0)</f>
        <v>-0</v>
      </c>
      <c r="CN96" s="48" t="n">
        <f aca="false">-In_Upfront_Fee*$E95*(CN91=0)*(CN92&gt;0)</f>
        <v>-0</v>
      </c>
      <c r="CO96" s="48" t="n">
        <f aca="false">-In_Upfront_Fee*$E95*(CO91=0)*(CO92&gt;0)</f>
        <v>-0</v>
      </c>
      <c r="CP96" s="48" t="n">
        <f aca="false">-In_Upfront_Fee*$E95*(CP91=0)*(CP92&gt;0)</f>
        <v>-0</v>
      </c>
      <c r="CQ96" s="48" t="n">
        <f aca="false">-In_Upfront_Fee*$E95*(CQ91=0)*(CQ92&gt;0)</f>
        <v>-0</v>
      </c>
      <c r="CR96" s="48" t="n">
        <f aca="false">-In_Upfront_Fee*$E95*(CR91=0)*(CR92&gt;0)</f>
        <v>-0</v>
      </c>
      <c r="CS96" s="48" t="n">
        <f aca="false">-In_Upfront_Fee*$E95*(CS91=0)*(CS92&gt;0)</f>
        <v>-0</v>
      </c>
      <c r="CT96" s="48" t="n">
        <f aca="false">-In_Upfront_Fee*$E95*(CT91=0)*(CT92&gt;0)</f>
        <v>-0</v>
      </c>
      <c r="CU96" s="48" t="n">
        <f aca="false">-In_Upfront_Fee*$E95*(CU91=0)*(CU92&gt;0)</f>
        <v>-0</v>
      </c>
      <c r="CV96" s="48" t="n">
        <f aca="false">-In_Upfront_Fee*$E95*(CV91=0)*(CV92&gt;0)</f>
        <v>-0</v>
      </c>
      <c r="CW96" s="48" t="n">
        <f aca="false">-In_Upfront_Fee*$E95*(CW91=0)*(CW92&gt;0)</f>
        <v>-0</v>
      </c>
      <c r="CX96" s="48" t="n">
        <f aca="false">-In_Upfront_Fee*$E95*(CX91=0)*(CX92&gt;0)</f>
        <v>-0</v>
      </c>
      <c r="CY96" s="48" t="n">
        <f aca="false">-In_Upfront_Fee*$E95*(CY91=0)*(CY92&gt;0)</f>
        <v>-0</v>
      </c>
      <c r="CZ96" s="48" t="n">
        <f aca="false">-In_Upfront_Fee*$E95*(CZ91=0)*(CZ92&gt;0)</f>
        <v>-0</v>
      </c>
      <c r="DA96" s="48" t="n">
        <f aca="false">-In_Upfront_Fee*$E95*(DA91=0)*(DA92&gt;0)</f>
        <v>-0</v>
      </c>
      <c r="DB96" s="48" t="n">
        <f aca="false">-In_Upfront_Fee*$E95*(DB91=0)*(DB92&gt;0)</f>
        <v>-0</v>
      </c>
      <c r="DC96" s="48" t="n">
        <f aca="false">-In_Upfront_Fee*$E95*(DC91=0)*(DC92&gt;0)</f>
        <v>-0</v>
      </c>
      <c r="DD96" s="48" t="n">
        <f aca="false">-In_Upfront_Fee*$E95*(DD91=0)*(DD92&gt;0)</f>
        <v>-0</v>
      </c>
      <c r="DE96" s="48" t="n">
        <f aca="false">-In_Upfront_Fee*$E95*(DE91=0)*(DE92&gt;0)</f>
        <v>-0</v>
      </c>
      <c r="DF96" s="48" t="n">
        <f aca="false">-In_Upfront_Fee*$E95*(DF91=0)*(DF92&gt;0)</f>
        <v>-0</v>
      </c>
      <c r="DG96" s="48" t="n">
        <f aca="false">-In_Upfront_Fee*$E95*(DG91=0)*(DG92&gt;0)</f>
        <v>-0</v>
      </c>
      <c r="DH96" s="48" t="n">
        <f aca="false">-In_Upfront_Fee*$E95*(DH91=0)*(DH92&gt;0)</f>
        <v>-0</v>
      </c>
      <c r="DI96" s="48" t="n">
        <f aca="false">-In_Upfront_Fee*$E95*(DI91=0)*(DI92&gt;0)</f>
        <v>-0</v>
      </c>
      <c r="DJ96" s="48" t="n">
        <f aca="false">-In_Upfront_Fee*$E95*(DJ91=0)*(DJ92&gt;0)</f>
        <v>-0</v>
      </c>
      <c r="DK96" s="48" t="n">
        <f aca="false">-In_Upfront_Fee*$E95*(DK91=0)*(DK92&gt;0)</f>
        <v>-0</v>
      </c>
      <c r="DL96" s="48" t="n">
        <f aca="false">-In_Upfront_Fee*$E95*(DL91=0)*(DL92&gt;0)</f>
        <v>-0</v>
      </c>
      <c r="DM96" s="48" t="n">
        <f aca="false">-In_Upfront_Fee*$E95*(DM91=0)*(DM92&gt;0)</f>
        <v>-0</v>
      </c>
      <c r="DN96" s="48" t="n">
        <f aca="false">-In_Upfront_Fee*$E95*(DN91=0)*(DN92&gt;0)</f>
        <v>-0</v>
      </c>
      <c r="DO96" s="48" t="n">
        <f aca="false">-In_Upfront_Fee*$E95*(DO91=0)*(DO92&gt;0)</f>
        <v>-0</v>
      </c>
      <c r="DP96" s="48" t="n">
        <f aca="false">-In_Upfront_Fee*$E95*(DP91=0)*(DP92&gt;0)</f>
        <v>-0</v>
      </c>
      <c r="DQ96" s="48" t="n">
        <f aca="false">-In_Upfront_Fee*$E95*(DQ91=0)*(DQ92&gt;0)</f>
        <v>-0</v>
      </c>
      <c r="DR96" s="48" t="n">
        <f aca="false">-In_Upfront_Fee*$E95*(DR91=0)*(DR92&gt;0)</f>
        <v>-0</v>
      </c>
      <c r="DS96" s="48" t="n">
        <f aca="false">-In_Upfront_Fee*$E95*(DS91=0)*(DS92&gt;0)</f>
        <v>-0</v>
      </c>
      <c r="DT96" s="48" t="n">
        <f aca="false">-In_Upfront_Fee*$E95*(DT91=0)*(DT92&gt;0)</f>
        <v>-0</v>
      </c>
      <c r="DU96" s="48" t="n">
        <f aca="false">-In_Upfront_Fee*$E95*(DU91=0)*(DU92&gt;0)</f>
        <v>-0</v>
      </c>
      <c r="DV96" s="48" t="n">
        <f aca="false">-In_Upfront_Fee*$E95*(DV91=0)*(DV92&gt;0)</f>
        <v>-0</v>
      </c>
      <c r="DW96" s="48" t="n">
        <f aca="false">-In_Upfront_Fee*$E95*(DW91=0)*(DW92&gt;0)</f>
        <v>-0</v>
      </c>
      <c r="DX96" s="48" t="n">
        <f aca="false">-In_Upfront_Fee*$E95*(DX91=0)*(DX92&gt;0)</f>
        <v>-0</v>
      </c>
      <c r="DY96" s="48" t="n">
        <f aca="false">-In_Upfront_Fee*$E95*(DY91=0)*(DY92&gt;0)</f>
        <v>-0</v>
      </c>
      <c r="DZ96" s="48" t="n">
        <f aca="false">-In_Upfront_Fee*$E95*(DZ91=0)*(DZ92&gt;0)</f>
        <v>-0</v>
      </c>
      <c r="EA96" s="48" t="n">
        <f aca="false">-In_Upfront_Fee*$E95*(EA91=0)*(EA92&gt;0)</f>
        <v>-0</v>
      </c>
      <c r="EB96" s="48" t="n">
        <f aca="false">-In_Upfront_Fee*$E95*(EB91=0)*(EB92&gt;0)</f>
        <v>-0</v>
      </c>
      <c r="EC96" s="48" t="n">
        <f aca="false">-In_Upfront_Fee*$E95*(EC91=0)*(EC92&gt;0)</f>
        <v>-0</v>
      </c>
      <c r="ED96" s="48" t="n">
        <f aca="false">-In_Upfront_Fee*$E95*(ED91=0)*(ED92&gt;0)</f>
        <v>-0</v>
      </c>
      <c r="EE96" s="48" t="n">
        <f aca="false">-In_Upfront_Fee*$E95*(EE91=0)*(EE92&gt;0)</f>
        <v>-0</v>
      </c>
      <c r="EF96" s="48" t="n">
        <f aca="false">-In_Upfront_Fee*$E95*(EF91=0)*(EF92&gt;0)</f>
        <v>-0</v>
      </c>
      <c r="EG96" s="48" t="n">
        <f aca="false">-In_Upfront_Fee*$E95*(EG91=0)*(EG92&gt;0)</f>
        <v>-0</v>
      </c>
      <c r="EH96" s="48" t="n">
        <f aca="false">-In_Upfront_Fee*$E95*(EH91=0)*(EH92&gt;0)</f>
        <v>-0</v>
      </c>
      <c r="EI96" s="48" t="n">
        <f aca="false">-In_Upfront_Fee*$E95*(EI91=0)*(EI92&gt;0)</f>
        <v>-0</v>
      </c>
      <c r="EJ96" s="48" t="n">
        <f aca="false">-In_Upfront_Fee*$E95*(EJ91=0)*(EJ92&gt;0)</f>
        <v>-0</v>
      </c>
      <c r="EK96" s="48" t="n">
        <f aca="false">-In_Upfront_Fee*$E95*(EK91=0)*(EK92&gt;0)</f>
        <v>-0</v>
      </c>
      <c r="EL96" s="48" t="n">
        <f aca="false">-In_Upfront_Fee*$E95*(EL91=0)*(EL92&gt;0)</f>
        <v>-0</v>
      </c>
      <c r="EM96" s="48" t="n">
        <f aca="false">-In_Upfront_Fee*$E95*(EM91=0)*(EM92&gt;0)</f>
        <v>-0</v>
      </c>
      <c r="EN96" s="48" t="n">
        <f aca="false">-In_Upfront_Fee*$E95*(EN91=0)*(EN92&gt;0)</f>
        <v>-0</v>
      </c>
      <c r="EO96" s="48" t="n">
        <f aca="false">-In_Upfront_Fee*$E95*(EO91=0)*(EO92&gt;0)</f>
        <v>-0</v>
      </c>
    </row>
    <row r="97" customFormat="false" ht="15" hidden="false" customHeight="false" outlineLevel="0" collapsed="false">
      <c r="C97" s="1" t="s">
        <v>442</v>
      </c>
      <c r="D97" s="12" t="s">
        <v>33</v>
      </c>
      <c r="I97" s="48" t="n">
        <f aca="false">SUM(J97:EO97)</f>
        <v>-633.507270175868</v>
      </c>
      <c r="J97" s="48" t="n">
        <f aca="false">-In_Commitment_Fee*($I92-SUM($J92:J92)+J92)*J$6*(J12&gt;0)</f>
        <v>-0</v>
      </c>
      <c r="K97" s="48" t="n">
        <f aca="false">-In_Commitment_Fee*($I92-SUM($J92:K92)+K92)*K$6*(K12&gt;0)</f>
        <v>-0</v>
      </c>
      <c r="L97" s="48" t="n">
        <f aca="false">-In_Commitment_Fee*($I92-SUM($J92:L92)+L92)*L$6*(L12&gt;0)</f>
        <v>-0</v>
      </c>
      <c r="M97" s="48" t="n">
        <f aca="false">-In_Commitment_Fee*($I92-SUM($J92:M92)+M92)*M$6*(M12&gt;0)</f>
        <v>-0</v>
      </c>
      <c r="N97" s="48" t="n">
        <f aca="false">-In_Commitment_Fee*($I92-SUM($J92:N92)+N92)*N$6*(N12&gt;0)</f>
        <v>-0</v>
      </c>
      <c r="O97" s="48" t="n">
        <f aca="false">-In_Commitment_Fee*($I92-SUM($J92:O92)+O92)*O$6*(O12&gt;0)</f>
        <v>-0</v>
      </c>
      <c r="P97" s="48" t="n">
        <f aca="false">-In_Commitment_Fee*($I92-SUM($J92:P92)+P92)*P$6*(P12&gt;0)</f>
        <v>-0</v>
      </c>
      <c r="Q97" s="48" t="n">
        <f aca="false">-In_Commitment_Fee*($I92-SUM($J92:Q92)+Q92)*Q$6*(Q12&gt;0)</f>
        <v>-0</v>
      </c>
      <c r="R97" s="48" t="n">
        <f aca="false">-In_Commitment_Fee*($I92-SUM($J92:R92)+R92)*R$6*(R12&gt;0)</f>
        <v>-146.646418780859</v>
      </c>
      <c r="S97" s="48" t="n">
        <f aca="false">-In_Commitment_Fee*($I92-SUM($J92:S92)+S92)*S$6*(S12&gt;0)</f>
        <v>-127.762686895102</v>
      </c>
      <c r="T97" s="48" t="n">
        <f aca="false">-In_Commitment_Fee*($I92-SUM($J92:T92)+T92)*T$6*(T12&gt;0)</f>
        <v>-99.0186460949522</v>
      </c>
      <c r="U97" s="48" t="n">
        <f aca="false">-In_Commitment_Fee*($I92-SUM($J92:U92)+U92)*U$6*(U12&gt;0)</f>
        <v>-84.2365994220304</v>
      </c>
      <c r="V97" s="48" t="n">
        <f aca="false">-In_Commitment_Fee*($I92-SUM($J92:V92)+V92)*V$6*(V12&gt;0)</f>
        <v>-68.1920383561644</v>
      </c>
      <c r="W97" s="48" t="n">
        <f aca="false">-In_Commitment_Fee*($I92-SUM($J92:W92)+W92)*W$6*(W12&gt;0)</f>
        <v>-51.0138364796397</v>
      </c>
      <c r="X97" s="48" t="n">
        <f aca="false">-In_Commitment_Fee*($I92-SUM($J92:X92)+X92)*X$6*(X12&gt;0)</f>
        <v>-36.0554967798837</v>
      </c>
      <c r="Y97" s="48" t="n">
        <f aca="false">-In_Commitment_Fee*($I92-SUM($J92:Y92)+Y92)*Y$6*(Y12&gt;0)</f>
        <v>-20.5815473672359</v>
      </c>
      <c r="Z97" s="48" t="n">
        <f aca="false">-In_Commitment_Fee*($I92-SUM($J92:Z92)+Z92)*Z$6*(Z12&gt;0)</f>
        <v>-0</v>
      </c>
      <c r="AA97" s="48" t="n">
        <f aca="false">-In_Commitment_Fee*($I92-SUM($J92:AA92)+AA92)*AA$6*(AA12&gt;0)</f>
        <v>-0</v>
      </c>
      <c r="AB97" s="48" t="n">
        <f aca="false">-In_Commitment_Fee*($I92-SUM($J92:AB92)+AB92)*AB$6*(AB12&gt;0)</f>
        <v>-0</v>
      </c>
      <c r="AC97" s="48" t="n">
        <f aca="false">-In_Commitment_Fee*($I92-SUM($J92:AC92)+AC92)*AC$6*(AC12&gt;0)</f>
        <v>-0</v>
      </c>
      <c r="AD97" s="48" t="n">
        <f aca="false">-In_Commitment_Fee*($I92-SUM($J92:AD92)+AD92)*AD$6*(AD12&gt;0)</f>
        <v>-0</v>
      </c>
      <c r="AE97" s="48" t="n">
        <f aca="false">-In_Commitment_Fee*($I92-SUM($J92:AE92)+AE92)*AE$6*(AE12&gt;0)</f>
        <v>-0</v>
      </c>
      <c r="AF97" s="48" t="n">
        <f aca="false">-In_Commitment_Fee*($I92-SUM($J92:AF92)+AF92)*AF$6*(AF12&gt;0)</f>
        <v>-0</v>
      </c>
      <c r="AG97" s="48" t="n">
        <f aca="false">-In_Commitment_Fee*($I92-SUM($J92:AG92)+AG92)*AG$6*(AG12&gt;0)</f>
        <v>-0</v>
      </c>
      <c r="AH97" s="48" t="n">
        <f aca="false">-In_Commitment_Fee*($I92-SUM($J92:AH92)+AH92)*AH$6*(AH12&gt;0)</f>
        <v>-0</v>
      </c>
      <c r="AI97" s="48" t="n">
        <f aca="false">-In_Commitment_Fee*($I92-SUM($J92:AI92)+AI92)*AI$6*(AI12&gt;0)</f>
        <v>-0</v>
      </c>
      <c r="AJ97" s="48" t="n">
        <f aca="false">-In_Commitment_Fee*($I92-SUM($J92:AJ92)+AJ92)*AJ$6*(AJ12&gt;0)</f>
        <v>-0</v>
      </c>
      <c r="AK97" s="48" t="n">
        <f aca="false">-In_Commitment_Fee*($I92-SUM($J92:AK92)+AK92)*AK$6*(AK12&gt;0)</f>
        <v>-0</v>
      </c>
      <c r="AL97" s="48" t="n">
        <f aca="false">-In_Commitment_Fee*($I92-SUM($J92:AL92)+AL92)*AL$6*(AL12&gt;0)</f>
        <v>-0</v>
      </c>
      <c r="AM97" s="48" t="n">
        <f aca="false">-In_Commitment_Fee*($I92-SUM($J92:AM92)+AM92)*AM$6*(AM12&gt;0)</f>
        <v>-0</v>
      </c>
      <c r="AN97" s="48" t="n">
        <f aca="false">-In_Commitment_Fee*($I92-SUM($J92:AN92)+AN92)*AN$6*(AN12&gt;0)</f>
        <v>-0</v>
      </c>
      <c r="AO97" s="48" t="n">
        <f aca="false">-In_Commitment_Fee*($I92-SUM($J92:AO92)+AO92)*AO$6*(AO12&gt;0)</f>
        <v>-0</v>
      </c>
      <c r="AP97" s="48" t="n">
        <f aca="false">-In_Commitment_Fee*($I92-SUM($J92:AP92)+AP92)*AP$6*(AP12&gt;0)</f>
        <v>-0</v>
      </c>
      <c r="AQ97" s="48" t="n">
        <f aca="false">-In_Commitment_Fee*($I92-SUM($J92:AQ92)+AQ92)*AQ$6*(AQ12&gt;0)</f>
        <v>-0</v>
      </c>
      <c r="AR97" s="48" t="n">
        <f aca="false">-In_Commitment_Fee*($I92-SUM($J92:AR92)+AR92)*AR$6*(AR12&gt;0)</f>
        <v>-0</v>
      </c>
      <c r="AS97" s="48" t="n">
        <f aca="false">-In_Commitment_Fee*($I92-SUM($J92:AS92)+AS92)*AS$6*(AS12&gt;0)</f>
        <v>-0</v>
      </c>
      <c r="AT97" s="48" t="n">
        <f aca="false">-In_Commitment_Fee*($I92-SUM($J92:AT92)+AT92)*AT$6*(AT12&gt;0)</f>
        <v>-0</v>
      </c>
      <c r="AU97" s="48" t="n">
        <f aca="false">-In_Commitment_Fee*($I92-SUM($J92:AU92)+AU92)*AU$6*(AU12&gt;0)</f>
        <v>-0</v>
      </c>
      <c r="AV97" s="48" t="n">
        <f aca="false">-In_Commitment_Fee*($I92-SUM($J92:AV92)+AV92)*AV$6*(AV12&gt;0)</f>
        <v>-0</v>
      </c>
      <c r="AW97" s="48" t="n">
        <f aca="false">-In_Commitment_Fee*($I92-SUM($J92:AW92)+AW92)*AW$6*(AW12&gt;0)</f>
        <v>-0</v>
      </c>
      <c r="AX97" s="48" t="n">
        <f aca="false">-In_Commitment_Fee*($I92-SUM($J92:AX92)+AX92)*AX$6*(AX12&gt;0)</f>
        <v>-0</v>
      </c>
      <c r="AY97" s="48" t="n">
        <f aca="false">-In_Commitment_Fee*($I92-SUM($J92:AY92)+AY92)*AY$6*(AY12&gt;0)</f>
        <v>-0</v>
      </c>
      <c r="AZ97" s="48" t="n">
        <f aca="false">-In_Commitment_Fee*($I92-SUM($J92:AZ92)+AZ92)*AZ$6*(AZ12&gt;0)</f>
        <v>-0</v>
      </c>
      <c r="BA97" s="48" t="n">
        <f aca="false">-In_Commitment_Fee*($I92-SUM($J92:BA92)+BA92)*BA$6*(BA12&gt;0)</f>
        <v>-0</v>
      </c>
      <c r="BB97" s="48" t="n">
        <f aca="false">-In_Commitment_Fee*($I92-SUM($J92:BB92)+BB92)*BB$6*(BB12&gt;0)</f>
        <v>-0</v>
      </c>
      <c r="BC97" s="48" t="n">
        <f aca="false">-In_Commitment_Fee*($I92-SUM($J92:BC92)+BC92)*BC$6*(BC12&gt;0)</f>
        <v>-0</v>
      </c>
      <c r="BD97" s="48" t="n">
        <f aca="false">-In_Commitment_Fee*($I92-SUM($J92:BD92)+BD92)*BD$6*(BD12&gt;0)</f>
        <v>-0</v>
      </c>
      <c r="BE97" s="48" t="n">
        <f aca="false">-In_Commitment_Fee*($I92-SUM($J92:BE92)+BE92)*BE$6*(BE12&gt;0)</f>
        <v>-0</v>
      </c>
      <c r="BF97" s="48" t="n">
        <f aca="false">-In_Commitment_Fee*($I92-SUM($J92:BF92)+BF92)*BF$6*(BF12&gt;0)</f>
        <v>-0</v>
      </c>
      <c r="BG97" s="48" t="n">
        <f aca="false">-In_Commitment_Fee*($I92-SUM($J92:BG92)+BG92)*BG$6*(BG12&gt;0)</f>
        <v>-0</v>
      </c>
      <c r="BH97" s="48" t="n">
        <f aca="false">-In_Commitment_Fee*($I92-SUM($J92:BH92)+BH92)*BH$6*(BH12&gt;0)</f>
        <v>-0</v>
      </c>
      <c r="BI97" s="48" t="n">
        <f aca="false">-In_Commitment_Fee*($I92-SUM($J92:BI92)+BI92)*BI$6*(BI12&gt;0)</f>
        <v>-0</v>
      </c>
      <c r="BJ97" s="48" t="n">
        <f aca="false">-In_Commitment_Fee*($I92-SUM($J92:BJ92)+BJ92)*BJ$6*(BJ12&gt;0)</f>
        <v>-0</v>
      </c>
      <c r="BK97" s="48" t="n">
        <f aca="false">-In_Commitment_Fee*($I92-SUM($J92:BK92)+BK92)*BK$6*(BK12&gt;0)</f>
        <v>-0</v>
      </c>
      <c r="BL97" s="48" t="n">
        <f aca="false">-In_Commitment_Fee*($I92-SUM($J92:BL92)+BL92)*BL$6*(BL12&gt;0)</f>
        <v>-0</v>
      </c>
      <c r="BM97" s="48" t="n">
        <f aca="false">-In_Commitment_Fee*($I92-SUM($J92:BM92)+BM92)*BM$6*(BM12&gt;0)</f>
        <v>-0</v>
      </c>
      <c r="BN97" s="48" t="n">
        <f aca="false">-In_Commitment_Fee*($I92-SUM($J92:BN92)+BN92)*BN$6*(BN12&gt;0)</f>
        <v>-0</v>
      </c>
      <c r="BO97" s="48" t="n">
        <f aca="false">-In_Commitment_Fee*($I92-SUM($J92:BO92)+BO92)*BO$6*(BO12&gt;0)</f>
        <v>-0</v>
      </c>
      <c r="BP97" s="48" t="n">
        <f aca="false">-In_Commitment_Fee*($I92-SUM($J92:BP92)+BP92)*BP$6*(BP12&gt;0)</f>
        <v>-0</v>
      </c>
      <c r="BQ97" s="48" t="n">
        <f aca="false">-In_Commitment_Fee*($I92-SUM($J92:BQ92)+BQ92)*BQ$6*(BQ12&gt;0)</f>
        <v>-0</v>
      </c>
      <c r="BR97" s="48" t="n">
        <f aca="false">-In_Commitment_Fee*($I92-SUM($J92:BR92)+BR92)*BR$6*(BR12&gt;0)</f>
        <v>-0</v>
      </c>
      <c r="BS97" s="48" t="n">
        <f aca="false">-In_Commitment_Fee*($I92-SUM($J92:BS92)+BS92)*BS$6*(BS12&gt;0)</f>
        <v>-0</v>
      </c>
      <c r="BT97" s="48" t="n">
        <f aca="false">-In_Commitment_Fee*($I92-SUM($J92:BT92)+BT92)*BT$6*(BT12&gt;0)</f>
        <v>-0</v>
      </c>
      <c r="BU97" s="48" t="n">
        <f aca="false">-In_Commitment_Fee*($I92-SUM($J92:BU92)+BU92)*BU$6*(BU12&gt;0)</f>
        <v>-0</v>
      </c>
      <c r="BV97" s="48" t="n">
        <f aca="false">-In_Commitment_Fee*($I92-SUM($J92:BV92)+BV92)*BV$6*(BV12&gt;0)</f>
        <v>-0</v>
      </c>
      <c r="BW97" s="48" t="n">
        <f aca="false">-In_Commitment_Fee*($I92-SUM($J92:BW92)+BW92)*BW$6*(BW12&gt;0)</f>
        <v>-0</v>
      </c>
      <c r="BX97" s="48" t="n">
        <f aca="false">-In_Commitment_Fee*($I92-SUM($J92:BX92)+BX92)*BX$6*(BX12&gt;0)</f>
        <v>-0</v>
      </c>
      <c r="BY97" s="48" t="n">
        <f aca="false">-In_Commitment_Fee*($I92-SUM($J92:BY92)+BY92)*BY$6*(BY12&gt;0)</f>
        <v>-0</v>
      </c>
      <c r="BZ97" s="48" t="n">
        <f aca="false">-In_Commitment_Fee*($I92-SUM($J92:BZ92)+BZ92)*BZ$6*(BZ12&gt;0)</f>
        <v>-0</v>
      </c>
      <c r="CA97" s="48" t="n">
        <f aca="false">-In_Commitment_Fee*($I92-SUM($J92:CA92)+CA92)*CA$6*(CA12&gt;0)</f>
        <v>-0</v>
      </c>
      <c r="CB97" s="48" t="n">
        <f aca="false">-In_Commitment_Fee*($I92-SUM($J92:CB92)+CB92)*CB$6*(CB12&gt;0)</f>
        <v>-0</v>
      </c>
      <c r="CC97" s="48" t="n">
        <f aca="false">-In_Commitment_Fee*($I92-SUM($J92:CC92)+CC92)*CC$6*(CC12&gt;0)</f>
        <v>-0</v>
      </c>
      <c r="CD97" s="48" t="n">
        <f aca="false">-In_Commitment_Fee*($I92-SUM($J92:CD92)+CD92)*CD$6*(CD12&gt;0)</f>
        <v>-0</v>
      </c>
      <c r="CE97" s="48" t="n">
        <f aca="false">-In_Commitment_Fee*($I92-SUM($J92:CE92)+CE92)*CE$6*(CE12&gt;0)</f>
        <v>-0</v>
      </c>
      <c r="CF97" s="48" t="n">
        <f aca="false">-In_Commitment_Fee*($I92-SUM($J92:CF92)+CF92)*CF$6*(CF12&gt;0)</f>
        <v>-0</v>
      </c>
      <c r="CG97" s="48" t="n">
        <f aca="false">-In_Commitment_Fee*($I92-SUM($J92:CG92)+CG92)*CG$6*(CG12&gt;0)</f>
        <v>-0</v>
      </c>
      <c r="CH97" s="48" t="n">
        <f aca="false">-In_Commitment_Fee*($I92-SUM($J92:CH92)+CH92)*CH$6*(CH12&gt;0)</f>
        <v>-0</v>
      </c>
      <c r="CI97" s="48" t="n">
        <f aca="false">-In_Commitment_Fee*($I92-SUM($J92:CI92)+CI92)*CI$6*(CI12&gt;0)</f>
        <v>-0</v>
      </c>
      <c r="CJ97" s="48" t="n">
        <f aca="false">-In_Commitment_Fee*($I92-SUM($J92:CJ92)+CJ92)*CJ$6*(CJ12&gt;0)</f>
        <v>-0</v>
      </c>
      <c r="CK97" s="48" t="n">
        <f aca="false">-In_Commitment_Fee*($I92-SUM($J92:CK92)+CK92)*CK$6*(CK12&gt;0)</f>
        <v>-0</v>
      </c>
      <c r="CL97" s="48" t="n">
        <f aca="false">-In_Commitment_Fee*($I92-SUM($J92:CL92)+CL92)*CL$6*(CL12&gt;0)</f>
        <v>-0</v>
      </c>
      <c r="CM97" s="48" t="n">
        <f aca="false">-In_Commitment_Fee*($I92-SUM($J92:CM92)+CM92)*CM$6*(CM12&gt;0)</f>
        <v>-0</v>
      </c>
      <c r="CN97" s="48" t="n">
        <f aca="false">-In_Commitment_Fee*($I92-SUM($J92:CN92)+CN92)*CN$6*(CN12&gt;0)</f>
        <v>-0</v>
      </c>
      <c r="CO97" s="48" t="n">
        <f aca="false">-In_Commitment_Fee*($I92-SUM($J92:CO92)+CO92)*CO$6*(CO12&gt;0)</f>
        <v>-0</v>
      </c>
      <c r="CP97" s="48" t="n">
        <f aca="false">-In_Commitment_Fee*($I92-SUM($J92:CP92)+CP92)*CP$6*(CP12&gt;0)</f>
        <v>-0</v>
      </c>
      <c r="CQ97" s="48" t="n">
        <f aca="false">-In_Commitment_Fee*($I92-SUM($J92:CQ92)+CQ92)*CQ$6*(CQ12&gt;0)</f>
        <v>-0</v>
      </c>
      <c r="CR97" s="48" t="n">
        <f aca="false">-In_Commitment_Fee*($I92-SUM($J92:CR92)+CR92)*CR$6*(CR12&gt;0)</f>
        <v>-0</v>
      </c>
      <c r="CS97" s="48" t="n">
        <f aca="false">-In_Commitment_Fee*($I92-SUM($J92:CS92)+CS92)*CS$6*(CS12&gt;0)</f>
        <v>-0</v>
      </c>
      <c r="CT97" s="48" t="n">
        <f aca="false">-In_Commitment_Fee*($I92-SUM($J92:CT92)+CT92)*CT$6*(CT12&gt;0)</f>
        <v>-0</v>
      </c>
      <c r="CU97" s="48" t="n">
        <f aca="false">-In_Commitment_Fee*($I92-SUM($J92:CU92)+CU92)*CU$6*(CU12&gt;0)</f>
        <v>-0</v>
      </c>
      <c r="CV97" s="48" t="n">
        <f aca="false">-In_Commitment_Fee*($I92-SUM($J92:CV92)+CV92)*CV$6*(CV12&gt;0)</f>
        <v>-0</v>
      </c>
      <c r="CW97" s="48" t="n">
        <f aca="false">-In_Commitment_Fee*($I92-SUM($J92:CW92)+CW92)*CW$6*(CW12&gt;0)</f>
        <v>-0</v>
      </c>
      <c r="CX97" s="48" t="n">
        <f aca="false">-In_Commitment_Fee*($I92-SUM($J92:CX92)+CX92)*CX$6*(CX12&gt;0)</f>
        <v>-0</v>
      </c>
      <c r="CY97" s="48" t="n">
        <f aca="false">-In_Commitment_Fee*($I92-SUM($J92:CY92)+CY92)*CY$6*(CY12&gt;0)</f>
        <v>-0</v>
      </c>
      <c r="CZ97" s="48" t="n">
        <f aca="false">-In_Commitment_Fee*($I92-SUM($J92:CZ92)+CZ92)*CZ$6*(CZ12&gt;0)</f>
        <v>-0</v>
      </c>
      <c r="DA97" s="48" t="n">
        <f aca="false">-In_Commitment_Fee*($I92-SUM($J92:DA92)+DA92)*DA$6*(DA12&gt;0)</f>
        <v>-0</v>
      </c>
      <c r="DB97" s="48" t="n">
        <f aca="false">-In_Commitment_Fee*($I92-SUM($J92:DB92)+DB92)*DB$6*(DB12&gt;0)</f>
        <v>-0</v>
      </c>
      <c r="DC97" s="48" t="n">
        <f aca="false">-In_Commitment_Fee*($I92-SUM($J92:DC92)+DC92)*DC$6*(DC12&gt;0)</f>
        <v>-0</v>
      </c>
      <c r="DD97" s="48" t="n">
        <f aca="false">-In_Commitment_Fee*($I92-SUM($J92:DD92)+DD92)*DD$6*(DD12&gt;0)</f>
        <v>-0</v>
      </c>
      <c r="DE97" s="48" t="n">
        <f aca="false">-In_Commitment_Fee*($I92-SUM($J92:DE92)+DE92)*DE$6*(DE12&gt;0)</f>
        <v>-0</v>
      </c>
      <c r="DF97" s="48" t="n">
        <f aca="false">-In_Commitment_Fee*($I92-SUM($J92:DF92)+DF92)*DF$6*(DF12&gt;0)</f>
        <v>-0</v>
      </c>
      <c r="DG97" s="48" t="n">
        <f aca="false">-In_Commitment_Fee*($I92-SUM($J92:DG92)+DG92)*DG$6*(DG12&gt;0)</f>
        <v>-0</v>
      </c>
      <c r="DH97" s="48" t="n">
        <f aca="false">-In_Commitment_Fee*($I92-SUM($J92:DH92)+DH92)*DH$6*(DH12&gt;0)</f>
        <v>-0</v>
      </c>
      <c r="DI97" s="48" t="n">
        <f aca="false">-In_Commitment_Fee*($I92-SUM($J92:DI92)+DI92)*DI$6*(DI12&gt;0)</f>
        <v>-0</v>
      </c>
      <c r="DJ97" s="48" t="n">
        <f aca="false">-In_Commitment_Fee*($I92-SUM($J92:DJ92)+DJ92)*DJ$6*(DJ12&gt;0)</f>
        <v>-0</v>
      </c>
      <c r="DK97" s="48" t="n">
        <f aca="false">-In_Commitment_Fee*($I92-SUM($J92:DK92)+DK92)*DK$6*(DK12&gt;0)</f>
        <v>-0</v>
      </c>
      <c r="DL97" s="48" t="n">
        <f aca="false">-In_Commitment_Fee*($I92-SUM($J92:DL92)+DL92)*DL$6*(DL12&gt;0)</f>
        <v>-0</v>
      </c>
      <c r="DM97" s="48" t="n">
        <f aca="false">-In_Commitment_Fee*($I92-SUM($J92:DM92)+DM92)*DM$6*(DM12&gt;0)</f>
        <v>-0</v>
      </c>
      <c r="DN97" s="48" t="n">
        <f aca="false">-In_Commitment_Fee*($I92-SUM($J92:DN92)+DN92)*DN$6*(DN12&gt;0)</f>
        <v>-0</v>
      </c>
      <c r="DO97" s="48" t="n">
        <f aca="false">-In_Commitment_Fee*($I92-SUM($J92:DO92)+DO92)*DO$6*(DO12&gt;0)</f>
        <v>-0</v>
      </c>
      <c r="DP97" s="48" t="n">
        <f aca="false">-In_Commitment_Fee*($I92-SUM($J92:DP92)+DP92)*DP$6*(DP12&gt;0)</f>
        <v>-0</v>
      </c>
      <c r="DQ97" s="48" t="n">
        <f aca="false">-In_Commitment_Fee*($I92-SUM($J92:DQ92)+DQ92)*DQ$6*(DQ12&gt;0)</f>
        <v>-0</v>
      </c>
      <c r="DR97" s="48" t="n">
        <f aca="false">-In_Commitment_Fee*($I92-SUM($J92:DR92)+DR92)*DR$6*(DR12&gt;0)</f>
        <v>-0</v>
      </c>
      <c r="DS97" s="48" t="n">
        <f aca="false">-In_Commitment_Fee*($I92-SUM($J92:DS92)+DS92)*DS$6*(DS12&gt;0)</f>
        <v>-0</v>
      </c>
      <c r="DT97" s="48" t="n">
        <f aca="false">-In_Commitment_Fee*($I92-SUM($J92:DT92)+DT92)*DT$6*(DT12&gt;0)</f>
        <v>-0</v>
      </c>
      <c r="DU97" s="48" t="n">
        <f aca="false">-In_Commitment_Fee*($I92-SUM($J92:DU92)+DU92)*DU$6*(DU12&gt;0)</f>
        <v>-0</v>
      </c>
      <c r="DV97" s="48" t="n">
        <f aca="false">-In_Commitment_Fee*($I92-SUM($J92:DV92)+DV92)*DV$6*(DV12&gt;0)</f>
        <v>-0</v>
      </c>
      <c r="DW97" s="48" t="n">
        <f aca="false">-In_Commitment_Fee*($I92-SUM($J92:DW92)+DW92)*DW$6*(DW12&gt;0)</f>
        <v>-0</v>
      </c>
      <c r="DX97" s="48" t="n">
        <f aca="false">-In_Commitment_Fee*($I92-SUM($J92:DX92)+DX92)*DX$6*(DX12&gt;0)</f>
        <v>-0</v>
      </c>
      <c r="DY97" s="48" t="n">
        <f aca="false">-In_Commitment_Fee*($I92-SUM($J92:DY92)+DY92)*DY$6*(DY12&gt;0)</f>
        <v>-0</v>
      </c>
      <c r="DZ97" s="48" t="n">
        <f aca="false">-In_Commitment_Fee*($I92-SUM($J92:DZ92)+DZ92)*DZ$6*(DZ12&gt;0)</f>
        <v>-0</v>
      </c>
      <c r="EA97" s="48" t="n">
        <f aca="false">-In_Commitment_Fee*($I92-SUM($J92:EA92)+EA92)*EA$6*(EA12&gt;0)</f>
        <v>-0</v>
      </c>
      <c r="EB97" s="48" t="n">
        <f aca="false">-In_Commitment_Fee*($I92-SUM($J92:EB92)+EB92)*EB$6*(EB12&gt;0)</f>
        <v>-0</v>
      </c>
      <c r="EC97" s="48" t="n">
        <f aca="false">-In_Commitment_Fee*($I92-SUM($J92:EC92)+EC92)*EC$6*(EC12&gt;0)</f>
        <v>-0</v>
      </c>
      <c r="ED97" s="48" t="n">
        <f aca="false">-In_Commitment_Fee*($I92-SUM($J92:ED92)+ED92)*ED$6*(ED12&gt;0)</f>
        <v>-0</v>
      </c>
      <c r="EE97" s="48" t="n">
        <f aca="false">-In_Commitment_Fee*($I92-SUM($J92:EE92)+EE92)*EE$6*(EE12&gt;0)</f>
        <v>-0</v>
      </c>
      <c r="EF97" s="48" t="n">
        <f aca="false">-In_Commitment_Fee*($I92-SUM($J92:EF92)+EF92)*EF$6*(EF12&gt;0)</f>
        <v>-0</v>
      </c>
      <c r="EG97" s="48" t="n">
        <f aca="false">-In_Commitment_Fee*($I92-SUM($J92:EG92)+EG92)*EG$6*(EG12&gt;0)</f>
        <v>-0</v>
      </c>
      <c r="EH97" s="48" t="n">
        <f aca="false">-In_Commitment_Fee*($I92-SUM($J92:EH92)+EH92)*EH$6*(EH12&gt;0)</f>
        <v>-0</v>
      </c>
      <c r="EI97" s="48" t="n">
        <f aca="false">-In_Commitment_Fee*($I92-SUM($J92:EI92)+EI92)*EI$6*(EI12&gt;0)</f>
        <v>-0</v>
      </c>
      <c r="EJ97" s="48" t="n">
        <f aca="false">-In_Commitment_Fee*($I92-SUM($J92:EJ92)+EJ92)*EJ$6*(EJ12&gt;0)</f>
        <v>-0</v>
      </c>
      <c r="EK97" s="48" t="n">
        <f aca="false">-In_Commitment_Fee*($I92-SUM($J92:EK92)+EK92)*EK$6*(EK12&gt;0)</f>
        <v>-0</v>
      </c>
      <c r="EL97" s="48" t="n">
        <f aca="false">-In_Commitment_Fee*($I92-SUM($J92:EL92)+EL92)*EL$6*(EL12&gt;0)</f>
        <v>-0</v>
      </c>
      <c r="EM97" s="48" t="n">
        <f aca="false">-In_Commitment_Fee*($I92-SUM($J92:EM92)+EM92)*EM$6*(EM12&gt;0)</f>
        <v>-0</v>
      </c>
      <c r="EN97" s="48" t="n">
        <f aca="false">-In_Commitment_Fee*($I92-SUM($J92:EN92)+EN92)*EN$6*(EN12&gt;0)</f>
        <v>-0</v>
      </c>
      <c r="EO97" s="48" t="n">
        <f aca="false">-In_Commitment_Fee*($I92-SUM($J92:EO92)+EO92)*EO$6*(EO12&gt;0)</f>
        <v>-0</v>
      </c>
    </row>
    <row r="98" customFormat="false" ht="15" hidden="false" customHeight="false" outlineLevel="0" collapsed="false">
      <c r="C98" s="1" t="s">
        <v>443</v>
      </c>
      <c r="D98" s="12" t="s">
        <v>33</v>
      </c>
      <c r="E98" s="48" t="n">
        <f aca="false">-SUMIFS($J90:$EO90,$J$4:$EO$4,"&gt;"&amp;In_COD,$J$4:$EO$4,"&lt;="&amp;EDATE(In_COD,In_DSRA_Months))</f>
        <v>1417.69599026504</v>
      </c>
      <c r="I98" s="48" t="n">
        <f aca="false">SUM(J98:EO98)</f>
        <v>0</v>
      </c>
      <c r="J98" s="48" t="n">
        <f aca="false">$E98*(J18-J14)</f>
        <v>0</v>
      </c>
      <c r="K98" s="48" t="n">
        <f aca="false">$E98*(K18-K14)</f>
        <v>0</v>
      </c>
      <c r="L98" s="48" t="n">
        <f aca="false">$E98*(L18-L14)</f>
        <v>0</v>
      </c>
      <c r="M98" s="48" t="n">
        <f aca="false">$E98*(M18-M14)</f>
        <v>0</v>
      </c>
      <c r="N98" s="48" t="n">
        <f aca="false">$E98*(N18-N14)</f>
        <v>0</v>
      </c>
      <c r="O98" s="48" t="n">
        <f aca="false">$E98*(O18-O14)</f>
        <v>0</v>
      </c>
      <c r="P98" s="48" t="n">
        <f aca="false">$E98*(P18-P14)</f>
        <v>0</v>
      </c>
      <c r="Q98" s="48" t="n">
        <f aca="false">$E98*(Q18-Q14)</f>
        <v>0</v>
      </c>
      <c r="R98" s="48" t="n">
        <f aca="false">$E98*(R18-R14)</f>
        <v>0</v>
      </c>
      <c r="S98" s="48" t="n">
        <f aca="false">$E98*(S18-S14)</f>
        <v>0</v>
      </c>
      <c r="T98" s="48" t="n">
        <f aca="false">$E98*(T18-T14)</f>
        <v>0</v>
      </c>
      <c r="U98" s="48" t="n">
        <f aca="false">$E98*(U18-U14)</f>
        <v>0</v>
      </c>
      <c r="V98" s="48" t="n">
        <f aca="false">$E98*(V18-V14)</f>
        <v>0</v>
      </c>
      <c r="W98" s="48" t="n">
        <f aca="false">$E98*(W18-W14)</f>
        <v>0</v>
      </c>
      <c r="X98" s="48" t="n">
        <f aca="false">$E98*(X18-X14)</f>
        <v>0</v>
      </c>
      <c r="Y98" s="48" t="n">
        <f aca="false">$E98*(Y18-Y14)</f>
        <v>-1417.69599026504</v>
      </c>
      <c r="Z98" s="48" t="n">
        <f aca="false">$E98*(Z18-Z14)</f>
        <v>0</v>
      </c>
      <c r="AA98" s="48" t="n">
        <f aca="false">$E98*(AA18-AA14)</f>
        <v>0</v>
      </c>
      <c r="AB98" s="48" t="n">
        <f aca="false">$E98*(AB18-AB14)</f>
        <v>0</v>
      </c>
      <c r="AC98" s="48" t="n">
        <f aca="false">$E98*(AC18-AC14)</f>
        <v>0</v>
      </c>
      <c r="AD98" s="48" t="n">
        <f aca="false">$E98*(AD18-AD14)</f>
        <v>0</v>
      </c>
      <c r="AE98" s="48" t="n">
        <f aca="false">$E98*(AE18-AE14)</f>
        <v>0</v>
      </c>
      <c r="AF98" s="48" t="n">
        <f aca="false">$E98*(AF18-AF14)</f>
        <v>0</v>
      </c>
      <c r="AG98" s="48" t="n">
        <f aca="false">$E98*(AG18-AG14)</f>
        <v>0</v>
      </c>
      <c r="AH98" s="48" t="n">
        <f aca="false">$E98*(AH18-AH14)</f>
        <v>0</v>
      </c>
      <c r="AI98" s="48" t="n">
        <f aca="false">$E98*(AI18-AI14)</f>
        <v>0</v>
      </c>
      <c r="AJ98" s="48" t="n">
        <f aca="false">$E98*(AJ18-AJ14)</f>
        <v>0</v>
      </c>
      <c r="AK98" s="48" t="n">
        <f aca="false">$E98*(AK18-AK14)</f>
        <v>0</v>
      </c>
      <c r="AL98" s="48" t="n">
        <f aca="false">$E98*(AL18-AL14)</f>
        <v>0</v>
      </c>
      <c r="AM98" s="48" t="n">
        <f aca="false">$E98*(AM18-AM14)</f>
        <v>0</v>
      </c>
      <c r="AN98" s="48" t="n">
        <f aca="false">$E98*(AN18-AN14)</f>
        <v>0</v>
      </c>
      <c r="AO98" s="48" t="n">
        <f aca="false">$E98*(AO18-AO14)</f>
        <v>0</v>
      </c>
      <c r="AP98" s="48" t="n">
        <f aca="false">$E98*(AP18-AP14)</f>
        <v>0</v>
      </c>
      <c r="AQ98" s="48" t="n">
        <f aca="false">$E98*(AQ18-AQ14)</f>
        <v>0</v>
      </c>
      <c r="AR98" s="48" t="n">
        <f aca="false">$E98*(AR18-AR14)</f>
        <v>0</v>
      </c>
      <c r="AS98" s="48" t="n">
        <f aca="false">$E98*(AS18-AS14)</f>
        <v>0</v>
      </c>
      <c r="AT98" s="48" t="n">
        <f aca="false">$E98*(AT18-AT14)</f>
        <v>0</v>
      </c>
      <c r="AU98" s="48" t="n">
        <f aca="false">$E98*(AU18-AU14)</f>
        <v>0</v>
      </c>
      <c r="AV98" s="48" t="n">
        <f aca="false">$E98*(AV18-AV14)</f>
        <v>0</v>
      </c>
      <c r="AW98" s="48" t="n">
        <f aca="false">$E98*(AW18-AW14)</f>
        <v>0</v>
      </c>
      <c r="AX98" s="48" t="n">
        <f aca="false">$E98*(AX18-AX14)</f>
        <v>0</v>
      </c>
      <c r="AY98" s="48" t="n">
        <f aca="false">$E98*(AY18-AY14)</f>
        <v>0</v>
      </c>
      <c r="AZ98" s="48" t="n">
        <f aca="false">$E98*(AZ18-AZ14)</f>
        <v>0</v>
      </c>
      <c r="BA98" s="48" t="n">
        <f aca="false">$E98*(BA18-BA14)</f>
        <v>0</v>
      </c>
      <c r="BB98" s="48" t="n">
        <f aca="false">$E98*(BB18-BB14)</f>
        <v>0</v>
      </c>
      <c r="BC98" s="48" t="n">
        <f aca="false">$E98*(BC18-BC14)</f>
        <v>0</v>
      </c>
      <c r="BD98" s="48" t="n">
        <f aca="false">$E98*(BD18-BD14)</f>
        <v>0</v>
      </c>
      <c r="BE98" s="48" t="n">
        <f aca="false">$E98*(BE18-BE14)</f>
        <v>0</v>
      </c>
      <c r="BF98" s="48" t="n">
        <f aca="false">$E98*(BF18-BF14)</f>
        <v>0</v>
      </c>
      <c r="BG98" s="48" t="n">
        <f aca="false">$E98*(BG18-BG14)</f>
        <v>0</v>
      </c>
      <c r="BH98" s="48" t="n">
        <f aca="false">$E98*(BH18-BH14)</f>
        <v>0</v>
      </c>
      <c r="BI98" s="48" t="n">
        <f aca="false">$E98*(BI18-BI14)</f>
        <v>0</v>
      </c>
      <c r="BJ98" s="48" t="n">
        <f aca="false">$E98*(BJ18-BJ14)</f>
        <v>0</v>
      </c>
      <c r="BK98" s="48" t="n">
        <f aca="false">$E98*(BK18-BK14)</f>
        <v>0</v>
      </c>
      <c r="BL98" s="48" t="n">
        <f aca="false">$E98*(BL18-BL14)</f>
        <v>0</v>
      </c>
      <c r="BM98" s="48" t="n">
        <f aca="false">$E98*(BM18-BM14)</f>
        <v>0</v>
      </c>
      <c r="BN98" s="48" t="n">
        <f aca="false">$E98*(BN18-BN14)</f>
        <v>0</v>
      </c>
      <c r="BO98" s="48" t="n">
        <f aca="false">$E98*(BO18-BO14)</f>
        <v>0</v>
      </c>
      <c r="BP98" s="48" t="n">
        <f aca="false">$E98*(BP18-BP14)</f>
        <v>0</v>
      </c>
      <c r="BQ98" s="48" t="n">
        <f aca="false">$E98*(BQ18-BQ14)</f>
        <v>0</v>
      </c>
      <c r="BR98" s="48" t="n">
        <f aca="false">$E98*(BR18-BR14)</f>
        <v>0</v>
      </c>
      <c r="BS98" s="48" t="n">
        <f aca="false">$E98*(BS18-BS14)</f>
        <v>0</v>
      </c>
      <c r="BT98" s="48" t="n">
        <f aca="false">$E98*(BT18-BT14)</f>
        <v>0</v>
      </c>
      <c r="BU98" s="48" t="n">
        <f aca="false">$E98*(BU18-BU14)</f>
        <v>0</v>
      </c>
      <c r="BV98" s="48" t="n">
        <f aca="false">$E98*(BV18-BV14)</f>
        <v>0</v>
      </c>
      <c r="BW98" s="48" t="n">
        <f aca="false">$E98*(BW18-BW14)</f>
        <v>0</v>
      </c>
      <c r="BX98" s="48" t="n">
        <f aca="false">$E98*(BX18-BX14)</f>
        <v>0</v>
      </c>
      <c r="BY98" s="48" t="n">
        <f aca="false">$E98*(BY18-BY14)</f>
        <v>0</v>
      </c>
      <c r="BZ98" s="48" t="n">
        <f aca="false">$E98*(BZ18-BZ14)</f>
        <v>0</v>
      </c>
      <c r="CA98" s="48" t="n">
        <f aca="false">$E98*(CA18-CA14)</f>
        <v>0</v>
      </c>
      <c r="CB98" s="48" t="n">
        <f aca="false">$E98*(CB18-CB14)</f>
        <v>0</v>
      </c>
      <c r="CC98" s="48" t="n">
        <f aca="false">$E98*(CC18-CC14)</f>
        <v>0</v>
      </c>
      <c r="CD98" s="48" t="n">
        <f aca="false">$E98*(CD18-CD14)</f>
        <v>0</v>
      </c>
      <c r="CE98" s="48" t="n">
        <f aca="false">$E98*(CE18-CE14)</f>
        <v>0</v>
      </c>
      <c r="CF98" s="48" t="n">
        <f aca="false">$E98*(CF18-CF14)</f>
        <v>0</v>
      </c>
      <c r="CG98" s="48" t="n">
        <f aca="false">$E98*(CG18-CG14)</f>
        <v>0</v>
      </c>
      <c r="CH98" s="48" t="n">
        <f aca="false">$E98*(CH18-CH14)</f>
        <v>0</v>
      </c>
      <c r="CI98" s="48" t="n">
        <f aca="false">$E98*(CI18-CI14)</f>
        <v>0</v>
      </c>
      <c r="CJ98" s="48" t="n">
        <f aca="false">$E98*(CJ18-CJ14)</f>
        <v>0</v>
      </c>
      <c r="CK98" s="48" t="n">
        <f aca="false">$E98*(CK18-CK14)</f>
        <v>0</v>
      </c>
      <c r="CL98" s="48" t="n">
        <f aca="false">$E98*(CL18-CL14)</f>
        <v>0</v>
      </c>
      <c r="CM98" s="48" t="n">
        <f aca="false">$E98*(CM18-CM14)</f>
        <v>0</v>
      </c>
      <c r="CN98" s="48" t="n">
        <f aca="false">$E98*(CN18-CN14)</f>
        <v>0</v>
      </c>
      <c r="CO98" s="48" t="n">
        <f aca="false">$E98*(CO18-CO14)</f>
        <v>0</v>
      </c>
      <c r="CP98" s="48" t="n">
        <f aca="false">$E98*(CP18-CP14)</f>
        <v>0</v>
      </c>
      <c r="CQ98" s="48" t="n">
        <f aca="false">$E98*(CQ18-CQ14)</f>
        <v>0</v>
      </c>
      <c r="CR98" s="48" t="n">
        <f aca="false">$E98*(CR18-CR14)</f>
        <v>0</v>
      </c>
      <c r="CS98" s="48" t="n">
        <f aca="false">$E98*(CS18-CS14)</f>
        <v>1417.69599026504</v>
      </c>
      <c r="CT98" s="48" t="n">
        <f aca="false">$E98*(CT18-CT14)</f>
        <v>0</v>
      </c>
      <c r="CU98" s="48" t="n">
        <f aca="false">$E98*(CU18-CU14)</f>
        <v>0</v>
      </c>
      <c r="CV98" s="48" t="n">
        <f aca="false">$E98*(CV18-CV14)</f>
        <v>0</v>
      </c>
      <c r="CW98" s="48" t="n">
        <f aca="false">$E98*(CW18-CW14)</f>
        <v>0</v>
      </c>
      <c r="CX98" s="48" t="n">
        <f aca="false">$E98*(CX18-CX14)</f>
        <v>0</v>
      </c>
      <c r="CY98" s="48" t="n">
        <f aca="false">$E98*(CY18-CY14)</f>
        <v>0</v>
      </c>
      <c r="CZ98" s="48" t="n">
        <f aca="false">$E98*(CZ18-CZ14)</f>
        <v>0</v>
      </c>
      <c r="DA98" s="48" t="n">
        <f aca="false">$E98*(DA18-DA14)</f>
        <v>0</v>
      </c>
      <c r="DB98" s="48" t="n">
        <f aca="false">$E98*(DB18-DB14)</f>
        <v>0</v>
      </c>
      <c r="DC98" s="48" t="n">
        <f aca="false">$E98*(DC18-DC14)</f>
        <v>0</v>
      </c>
      <c r="DD98" s="48" t="n">
        <f aca="false">$E98*(DD18-DD14)</f>
        <v>0</v>
      </c>
      <c r="DE98" s="48" t="n">
        <f aca="false">$E98*(DE18-DE14)</f>
        <v>0</v>
      </c>
      <c r="DF98" s="48" t="n">
        <f aca="false">$E98*(DF18-DF14)</f>
        <v>0</v>
      </c>
      <c r="DG98" s="48" t="n">
        <f aca="false">$E98*(DG18-DG14)</f>
        <v>0</v>
      </c>
      <c r="DH98" s="48" t="n">
        <f aca="false">$E98*(DH18-DH14)</f>
        <v>0</v>
      </c>
      <c r="DI98" s="48" t="n">
        <f aca="false">$E98*(DI18-DI14)</f>
        <v>0</v>
      </c>
      <c r="DJ98" s="48" t="n">
        <f aca="false">$E98*(DJ18-DJ14)</f>
        <v>0</v>
      </c>
      <c r="DK98" s="48" t="n">
        <f aca="false">$E98*(DK18-DK14)</f>
        <v>0</v>
      </c>
      <c r="DL98" s="48" t="n">
        <f aca="false">$E98*(DL18-DL14)</f>
        <v>0</v>
      </c>
      <c r="DM98" s="48" t="n">
        <f aca="false">$E98*(DM18-DM14)</f>
        <v>0</v>
      </c>
      <c r="DN98" s="48" t="n">
        <f aca="false">$E98*(DN18-DN14)</f>
        <v>0</v>
      </c>
      <c r="DO98" s="48" t="n">
        <f aca="false">$E98*(DO18-DO14)</f>
        <v>0</v>
      </c>
      <c r="DP98" s="48" t="n">
        <f aca="false">$E98*(DP18-DP14)</f>
        <v>0</v>
      </c>
      <c r="DQ98" s="48" t="n">
        <f aca="false">$E98*(DQ18-DQ14)</f>
        <v>0</v>
      </c>
      <c r="DR98" s="48" t="n">
        <f aca="false">$E98*(DR18-DR14)</f>
        <v>0</v>
      </c>
      <c r="DS98" s="48" t="n">
        <f aca="false">$E98*(DS18-DS14)</f>
        <v>0</v>
      </c>
      <c r="DT98" s="48" t="n">
        <f aca="false">$E98*(DT18-DT14)</f>
        <v>0</v>
      </c>
      <c r="DU98" s="48" t="n">
        <f aca="false">$E98*(DU18-DU14)</f>
        <v>0</v>
      </c>
      <c r="DV98" s="48" t="n">
        <f aca="false">$E98*(DV18-DV14)</f>
        <v>0</v>
      </c>
      <c r="DW98" s="48" t="n">
        <f aca="false">$E98*(DW18-DW14)</f>
        <v>0</v>
      </c>
      <c r="DX98" s="48" t="n">
        <f aca="false">$E98*(DX18-DX14)</f>
        <v>0</v>
      </c>
      <c r="DY98" s="48" t="n">
        <f aca="false">$E98*(DY18-DY14)</f>
        <v>0</v>
      </c>
      <c r="DZ98" s="48" t="n">
        <f aca="false">$E98*(DZ18-DZ14)</f>
        <v>0</v>
      </c>
      <c r="EA98" s="48" t="n">
        <f aca="false">$E98*(EA18-EA14)</f>
        <v>0</v>
      </c>
      <c r="EB98" s="48" t="n">
        <f aca="false">$E98*(EB18-EB14)</f>
        <v>0</v>
      </c>
      <c r="EC98" s="48" t="n">
        <f aca="false">$E98*(EC18-EC14)</f>
        <v>0</v>
      </c>
      <c r="ED98" s="48" t="n">
        <f aca="false">$E98*(ED18-ED14)</f>
        <v>0</v>
      </c>
      <c r="EE98" s="48" t="n">
        <f aca="false">$E98*(EE18-EE14)</f>
        <v>0</v>
      </c>
      <c r="EF98" s="48" t="n">
        <f aca="false">$E98*(EF18-EF14)</f>
        <v>0</v>
      </c>
      <c r="EG98" s="48" t="n">
        <f aca="false">$E98*(EG18-EG14)</f>
        <v>0</v>
      </c>
      <c r="EH98" s="48" t="n">
        <f aca="false">$E98*(EH18-EH14)</f>
        <v>0</v>
      </c>
      <c r="EI98" s="48" t="n">
        <f aca="false">$E98*(EI18-EI14)</f>
        <v>0</v>
      </c>
      <c r="EJ98" s="48" t="n">
        <f aca="false">$E98*(EJ18-EJ14)</f>
        <v>0</v>
      </c>
      <c r="EK98" s="48" t="n">
        <f aca="false">$E98*(EK18-EK14)</f>
        <v>0</v>
      </c>
      <c r="EL98" s="48" t="n">
        <f aca="false">$E98*(EL18-EL14)</f>
        <v>0</v>
      </c>
      <c r="EM98" s="48" t="n">
        <f aca="false">$E98*(EM18-EM14)</f>
        <v>0</v>
      </c>
      <c r="EN98" s="48" t="n">
        <f aca="false">$E98*(EN18-EN14)</f>
        <v>0</v>
      </c>
      <c r="EO98" s="48" t="n">
        <f aca="false">$E98*(EO18-EO14)</f>
        <v>0</v>
      </c>
    </row>
    <row r="99" customFormat="false" ht="15" hidden="false" customHeight="false" outlineLevel="0" collapsed="false">
      <c r="C99" s="1" t="s">
        <v>444</v>
      </c>
      <c r="D99" s="12" t="s">
        <v>13</v>
      </c>
      <c r="E99" s="53" t="n">
        <f aca="false">MIN($J99:$EO99)</f>
        <v>1.5517935924719</v>
      </c>
      <c r="J99" s="53" t="str">
        <f aca="false">IF(J90&lt;0,J83/-J90,"")</f>
        <v/>
      </c>
      <c r="K99" s="53" t="str">
        <f aca="false">IF(K90&lt;0,K83/-K90,"")</f>
        <v/>
      </c>
      <c r="L99" s="53" t="str">
        <f aca="false">IF(L90&lt;0,L83/-L90,"")</f>
        <v/>
      </c>
      <c r="M99" s="53" t="str">
        <f aca="false">IF(M90&lt;0,M83/-M90,"")</f>
        <v/>
      </c>
      <c r="N99" s="53" t="str">
        <f aca="false">IF(N90&lt;0,N83/-N90,"")</f>
        <v/>
      </c>
      <c r="O99" s="53" t="str">
        <f aca="false">IF(O90&lt;0,O83/-O90,"")</f>
        <v/>
      </c>
      <c r="P99" s="53" t="str">
        <f aca="false">IF(P90&lt;0,P83/-P90,"")</f>
        <v/>
      </c>
      <c r="Q99" s="53" t="str">
        <f aca="false">IF(Q90&lt;0,Q83/-Q90,"")</f>
        <v/>
      </c>
      <c r="R99" s="53" t="str">
        <f aca="false">IF(R90&lt;0,R83/-R90,"")</f>
        <v/>
      </c>
      <c r="S99" s="53" t="str">
        <f aca="false">IF(S90&lt;0,S83/-S90,"")</f>
        <v/>
      </c>
      <c r="T99" s="53" t="str">
        <f aca="false">IF(T90&lt;0,T83/-T90,"")</f>
        <v/>
      </c>
      <c r="U99" s="53" t="str">
        <f aca="false">IF(U90&lt;0,U83/-U90,"")</f>
        <v/>
      </c>
      <c r="V99" s="53" t="str">
        <f aca="false">IF(V90&lt;0,V83/-V90,"")</f>
        <v/>
      </c>
      <c r="W99" s="53" t="str">
        <f aca="false">IF(W90&lt;0,W83/-W90,"")</f>
        <v/>
      </c>
      <c r="X99" s="53" t="str">
        <f aca="false">IF(X90&lt;0,X83/-X90,"")</f>
        <v/>
      </c>
      <c r="Y99" s="53" t="str">
        <f aca="false">IF(Y90&lt;0,Y83/-Y90,"")</f>
        <v/>
      </c>
      <c r="Z99" s="53" t="n">
        <f aca="false">IF(Z90&lt;0,Z83/-Z90,"")</f>
        <v>1.5517935924719</v>
      </c>
      <c r="AA99" s="53" t="n">
        <f aca="false">IF(AA90&lt;0,AA83/-AA90,"")</f>
        <v>1.5517935924719</v>
      </c>
      <c r="AB99" s="53" t="n">
        <f aca="false">IF(AB90&lt;0,AB83/-AB90,"")</f>
        <v>1.5517935924719</v>
      </c>
      <c r="AC99" s="53" t="n">
        <f aca="false">IF(AC90&lt;0,AC83/-AC90,"")</f>
        <v>1.5517935924719</v>
      </c>
      <c r="AD99" s="53" t="n">
        <f aca="false">IF(AD90&lt;0,AD83/-AD90,"")</f>
        <v>1.5517935924719</v>
      </c>
      <c r="AE99" s="53" t="n">
        <f aca="false">IF(AE90&lt;0,AE83/-AE90,"")</f>
        <v>1.5517935924719</v>
      </c>
      <c r="AF99" s="53" t="n">
        <f aca="false">IF(AF90&lt;0,AF83/-AF90,"")</f>
        <v>1.5517935924719</v>
      </c>
      <c r="AG99" s="53" t="n">
        <f aca="false">IF(AG90&lt;0,AG83/-AG90,"")</f>
        <v>1.5517935924719</v>
      </c>
      <c r="AH99" s="53" t="n">
        <f aca="false">IF(AH90&lt;0,AH83/-AH90,"")</f>
        <v>1.5517935924719</v>
      </c>
      <c r="AI99" s="53" t="n">
        <f aca="false">IF(AI90&lt;0,AI83/-AI90,"")</f>
        <v>1.5517935924719</v>
      </c>
      <c r="AJ99" s="53" t="n">
        <f aca="false">IF(AJ90&lt;0,AJ83/-AJ90,"")</f>
        <v>1.5517935924719</v>
      </c>
      <c r="AK99" s="53" t="n">
        <f aca="false">IF(AK90&lt;0,AK83/-AK90,"")</f>
        <v>1.5517935924719</v>
      </c>
      <c r="AL99" s="53" t="n">
        <f aca="false">IF(AL90&lt;0,AL83/-AL90,"")</f>
        <v>1.5517935924719</v>
      </c>
      <c r="AM99" s="53" t="n">
        <f aca="false">IF(AM90&lt;0,AM83/-AM90,"")</f>
        <v>1.5517935924719</v>
      </c>
      <c r="AN99" s="53" t="n">
        <f aca="false">IF(AN90&lt;0,AN83/-AN90,"")</f>
        <v>1.5517935924719</v>
      </c>
      <c r="AO99" s="53" t="n">
        <f aca="false">IF(AO90&lt;0,AO83/-AO90,"")</f>
        <v>1.5517935924719</v>
      </c>
      <c r="AP99" s="53" t="n">
        <f aca="false">IF(AP90&lt;0,AP83/-AP90,"")</f>
        <v>1.5517935924719</v>
      </c>
      <c r="AQ99" s="53" t="n">
        <f aca="false">IF(AQ90&lt;0,AQ83/-AQ90,"")</f>
        <v>1.5517935924719</v>
      </c>
      <c r="AR99" s="53" t="n">
        <f aca="false">IF(AR90&lt;0,AR83/-AR90,"")</f>
        <v>1.5517935924719</v>
      </c>
      <c r="AS99" s="53" t="n">
        <f aca="false">IF(AS90&lt;0,AS83/-AS90,"")</f>
        <v>1.5517935924719</v>
      </c>
      <c r="AT99" s="53" t="n">
        <f aca="false">IF(AT90&lt;0,AT83/-AT90,"")</f>
        <v>1.5517935924719</v>
      </c>
      <c r="AU99" s="53" t="n">
        <f aca="false">IF(AU90&lt;0,AU83/-AU90,"")</f>
        <v>1.5517935924719</v>
      </c>
      <c r="AV99" s="53" t="n">
        <f aca="false">IF(AV90&lt;0,AV83/-AV90,"")</f>
        <v>1.5517935924719</v>
      </c>
      <c r="AW99" s="53" t="n">
        <f aca="false">IF(AW90&lt;0,AW83/-AW90,"")</f>
        <v>1.5517935924719</v>
      </c>
      <c r="AX99" s="53" t="n">
        <f aca="false">IF(AX90&lt;0,AX83/-AX90,"")</f>
        <v>1.5517935924719</v>
      </c>
      <c r="AY99" s="53" t="n">
        <f aca="false">IF(AY90&lt;0,AY83/-AY90,"")</f>
        <v>1.5517935924719</v>
      </c>
      <c r="AZ99" s="53" t="n">
        <f aca="false">IF(AZ90&lt;0,AZ83/-AZ90,"")</f>
        <v>1.5517935924719</v>
      </c>
      <c r="BA99" s="53" t="n">
        <f aca="false">IF(BA90&lt;0,BA83/-BA90,"")</f>
        <v>1.5517935924719</v>
      </c>
      <c r="BB99" s="53" t="n">
        <f aca="false">IF(BB90&lt;0,BB83/-BB90,"")</f>
        <v>1.5517935924719</v>
      </c>
      <c r="BC99" s="53" t="n">
        <f aca="false">IF(BC90&lt;0,BC83/-BC90,"")</f>
        <v>1.5517935924719</v>
      </c>
      <c r="BD99" s="53" t="n">
        <f aca="false">IF(BD90&lt;0,BD83/-BD90,"")</f>
        <v>1.5517935924719</v>
      </c>
      <c r="BE99" s="53" t="n">
        <f aca="false">IF(BE90&lt;0,BE83/-BE90,"")</f>
        <v>1.5517935924719</v>
      </c>
      <c r="BF99" s="53" t="n">
        <f aca="false">IF(BF90&lt;0,BF83/-BF90,"")</f>
        <v>1.5517935924719</v>
      </c>
      <c r="BG99" s="53" t="n">
        <f aca="false">IF(BG90&lt;0,BG83/-BG90,"")</f>
        <v>1.5517935924719</v>
      </c>
      <c r="BH99" s="53" t="n">
        <f aca="false">IF(BH90&lt;0,BH83/-BH90,"")</f>
        <v>1.5517935924719</v>
      </c>
      <c r="BI99" s="53" t="n">
        <f aca="false">IF(BI90&lt;0,BI83/-BI90,"")</f>
        <v>1.5517935924719</v>
      </c>
      <c r="BJ99" s="53" t="n">
        <f aca="false">IF(BJ90&lt;0,BJ83/-BJ90,"")</f>
        <v>1.5517935924719</v>
      </c>
      <c r="BK99" s="53" t="n">
        <f aca="false">IF(BK90&lt;0,BK83/-BK90,"")</f>
        <v>1.5517935924719</v>
      </c>
      <c r="BL99" s="53" t="n">
        <f aca="false">IF(BL90&lt;0,BL83/-BL90,"")</f>
        <v>1.5517935924719</v>
      </c>
      <c r="BM99" s="53" t="n">
        <f aca="false">IF(BM90&lt;0,BM83/-BM90,"")</f>
        <v>1.5517935924719</v>
      </c>
      <c r="BN99" s="53" t="n">
        <f aca="false">IF(BN90&lt;0,BN83/-BN90,"")</f>
        <v>1.5517935924719</v>
      </c>
      <c r="BO99" s="53" t="n">
        <f aca="false">IF(BO90&lt;0,BO83/-BO90,"")</f>
        <v>1.5517935924719</v>
      </c>
      <c r="BP99" s="53" t="n">
        <f aca="false">IF(BP90&lt;0,BP83/-BP90,"")</f>
        <v>1.5517935924719</v>
      </c>
      <c r="BQ99" s="53" t="n">
        <f aca="false">IF(BQ90&lt;0,BQ83/-BQ90,"")</f>
        <v>1.5517935924719</v>
      </c>
      <c r="BR99" s="53" t="n">
        <f aca="false">IF(BR90&lt;0,BR83/-BR90,"")</f>
        <v>1.5517935924719</v>
      </c>
      <c r="BS99" s="53" t="n">
        <f aca="false">IF(BS90&lt;0,BS83/-BS90,"")</f>
        <v>1.5517935924719</v>
      </c>
      <c r="BT99" s="53" t="n">
        <f aca="false">IF(BT90&lt;0,BT83/-BT90,"")</f>
        <v>1.5517935924719</v>
      </c>
      <c r="BU99" s="53" t="n">
        <f aca="false">IF(BU90&lt;0,BU83/-BU90,"")</f>
        <v>1.5517935924719</v>
      </c>
      <c r="BV99" s="53" t="n">
        <f aca="false">IF(BV90&lt;0,BV83/-BV90,"")</f>
        <v>1.5517935924719</v>
      </c>
      <c r="BW99" s="53" t="n">
        <f aca="false">IF(BW90&lt;0,BW83/-BW90,"")</f>
        <v>1.5517935924719</v>
      </c>
      <c r="BX99" s="53" t="n">
        <f aca="false">IF(BX90&lt;0,BX83/-BX90,"")</f>
        <v>1.5517935924719</v>
      </c>
      <c r="BY99" s="53" t="n">
        <f aca="false">IF(BY90&lt;0,BY83/-BY90,"")</f>
        <v>1.5517935924719</v>
      </c>
      <c r="BZ99" s="53" t="n">
        <f aca="false">IF(BZ90&lt;0,BZ83/-BZ90,"")</f>
        <v>1.5517935924719</v>
      </c>
      <c r="CA99" s="53" t="n">
        <f aca="false">IF(CA90&lt;0,CA83/-CA90,"")</f>
        <v>1.5517935924719</v>
      </c>
      <c r="CB99" s="53" t="n">
        <f aca="false">IF(CB90&lt;0,CB83/-CB90,"")</f>
        <v>1.5517935924719</v>
      </c>
      <c r="CC99" s="53" t="n">
        <f aca="false">IF(CC90&lt;0,CC83/-CC90,"")</f>
        <v>1.5517935924719</v>
      </c>
      <c r="CD99" s="53" t="n">
        <f aca="false">IF(CD90&lt;0,CD83/-CD90,"")</f>
        <v>1.5517935924719</v>
      </c>
      <c r="CE99" s="53" t="n">
        <f aca="false">IF(CE90&lt;0,CE83/-CE90,"")</f>
        <v>1.5517935924719</v>
      </c>
      <c r="CF99" s="53" t="n">
        <f aca="false">IF(CF90&lt;0,CF83/-CF90,"")</f>
        <v>1.5517935924719</v>
      </c>
      <c r="CG99" s="53" t="n">
        <f aca="false">IF(CG90&lt;0,CG83/-CG90,"")</f>
        <v>1.5517935924719</v>
      </c>
      <c r="CH99" s="53" t="n">
        <f aca="false">IF(CH90&lt;0,CH83/-CH90,"")</f>
        <v>1.5517935924719</v>
      </c>
      <c r="CI99" s="53" t="n">
        <f aca="false">IF(CI90&lt;0,CI83/-CI90,"")</f>
        <v>1.5517935924719</v>
      </c>
      <c r="CJ99" s="53" t="n">
        <f aca="false">IF(CJ90&lt;0,CJ83/-CJ90,"")</f>
        <v>1.5517935924719</v>
      </c>
      <c r="CK99" s="53" t="n">
        <f aca="false">IF(CK90&lt;0,CK83/-CK90,"")</f>
        <v>1.5517935924719</v>
      </c>
      <c r="CL99" s="53" t="n">
        <f aca="false">IF(CL90&lt;0,CL83/-CL90,"")</f>
        <v>1.5517935924719</v>
      </c>
      <c r="CM99" s="53" t="n">
        <f aca="false">IF(CM90&lt;0,CM83/-CM90,"")</f>
        <v>1.5517935924719</v>
      </c>
      <c r="CN99" s="53" t="n">
        <f aca="false">IF(CN90&lt;0,CN83/-CN90,"")</f>
        <v>1.5517935924719</v>
      </c>
      <c r="CO99" s="53" t="n">
        <f aca="false">IF(CO90&lt;0,CO83/-CO90,"")</f>
        <v>1.5517935924719</v>
      </c>
      <c r="CP99" s="53" t="n">
        <f aca="false">IF(CP90&lt;0,CP83/-CP90,"")</f>
        <v>1.5517935924719</v>
      </c>
      <c r="CQ99" s="53" t="n">
        <f aca="false">IF(CQ90&lt;0,CQ83/-CQ90,"")</f>
        <v>1.5517935924719</v>
      </c>
      <c r="CR99" s="53" t="n">
        <f aca="false">IF(CR90&lt;0,CR83/-CR90,"")</f>
        <v>1.5517935924719</v>
      </c>
      <c r="CS99" s="53" t="n">
        <f aca="false">IF(CS90&lt;0,CS83/-CS90,"")</f>
        <v>1.5517935924719</v>
      </c>
      <c r="CT99" s="53" t="str">
        <f aca="false">IF(CT90&lt;0,CT83/-CT90,"")</f>
        <v/>
      </c>
      <c r="CU99" s="53" t="str">
        <f aca="false">IF(CU90&lt;0,CU83/-CU90,"")</f>
        <v/>
      </c>
      <c r="CV99" s="53" t="str">
        <f aca="false">IF(CV90&lt;0,CV83/-CV90,"")</f>
        <v/>
      </c>
      <c r="CW99" s="53" t="str">
        <f aca="false">IF(CW90&lt;0,CW83/-CW90,"")</f>
        <v/>
      </c>
      <c r="CX99" s="53" t="str">
        <f aca="false">IF(CX90&lt;0,CX83/-CX90,"")</f>
        <v/>
      </c>
      <c r="CY99" s="53" t="str">
        <f aca="false">IF(CY90&lt;0,CY83/-CY90,"")</f>
        <v/>
      </c>
      <c r="CZ99" s="53" t="str">
        <f aca="false">IF(CZ90&lt;0,CZ83/-CZ90,"")</f>
        <v/>
      </c>
      <c r="DA99" s="53" t="str">
        <f aca="false">IF(DA90&lt;0,DA83/-DA90,"")</f>
        <v/>
      </c>
      <c r="DB99" s="53" t="str">
        <f aca="false">IF(DB90&lt;0,DB83/-DB90,"")</f>
        <v/>
      </c>
      <c r="DC99" s="53" t="str">
        <f aca="false">IF(DC90&lt;0,DC83/-DC90,"")</f>
        <v/>
      </c>
      <c r="DD99" s="53" t="str">
        <f aca="false">IF(DD90&lt;0,DD83/-DD90,"")</f>
        <v/>
      </c>
      <c r="DE99" s="53" t="str">
        <f aca="false">IF(DE90&lt;0,DE83/-DE90,"")</f>
        <v/>
      </c>
      <c r="DF99" s="53" t="str">
        <f aca="false">IF(DF90&lt;0,DF83/-DF90,"")</f>
        <v/>
      </c>
      <c r="DG99" s="53" t="str">
        <f aca="false">IF(DG90&lt;0,DG83/-DG90,"")</f>
        <v/>
      </c>
      <c r="DH99" s="53" t="str">
        <f aca="false">IF(DH90&lt;0,DH83/-DH90,"")</f>
        <v/>
      </c>
      <c r="DI99" s="53" t="str">
        <f aca="false">IF(DI90&lt;0,DI83/-DI90,"")</f>
        <v/>
      </c>
      <c r="DJ99" s="53" t="str">
        <f aca="false">IF(DJ90&lt;0,DJ83/-DJ90,"")</f>
        <v/>
      </c>
      <c r="DK99" s="53" t="str">
        <f aca="false">IF(DK90&lt;0,DK83/-DK90,"")</f>
        <v/>
      </c>
      <c r="DL99" s="53" t="str">
        <f aca="false">IF(DL90&lt;0,DL83/-DL90,"")</f>
        <v/>
      </c>
      <c r="DM99" s="53" t="str">
        <f aca="false">IF(DM90&lt;0,DM83/-DM90,"")</f>
        <v/>
      </c>
      <c r="DN99" s="53" t="str">
        <f aca="false">IF(DN90&lt;0,DN83/-DN90,"")</f>
        <v/>
      </c>
      <c r="DO99" s="53" t="str">
        <f aca="false">IF(DO90&lt;0,DO83/-DO90,"")</f>
        <v/>
      </c>
      <c r="DP99" s="53" t="str">
        <f aca="false">IF(DP90&lt;0,DP83/-DP90,"")</f>
        <v/>
      </c>
      <c r="DQ99" s="53" t="str">
        <f aca="false">IF(DQ90&lt;0,DQ83/-DQ90,"")</f>
        <v/>
      </c>
      <c r="DR99" s="53" t="str">
        <f aca="false">IF(DR90&lt;0,DR83/-DR90,"")</f>
        <v/>
      </c>
      <c r="DS99" s="53" t="str">
        <f aca="false">IF(DS90&lt;0,DS83/-DS90,"")</f>
        <v/>
      </c>
      <c r="DT99" s="53" t="str">
        <f aca="false">IF(DT90&lt;0,DT83/-DT90,"")</f>
        <v/>
      </c>
      <c r="DU99" s="53" t="str">
        <f aca="false">IF(DU90&lt;0,DU83/-DU90,"")</f>
        <v/>
      </c>
      <c r="DV99" s="53" t="str">
        <f aca="false">IF(DV90&lt;0,DV83/-DV90,"")</f>
        <v/>
      </c>
      <c r="DW99" s="53" t="str">
        <f aca="false">IF(DW90&lt;0,DW83/-DW90,"")</f>
        <v/>
      </c>
      <c r="DX99" s="53" t="str">
        <f aca="false">IF(DX90&lt;0,DX83/-DX90,"")</f>
        <v/>
      </c>
      <c r="DY99" s="53" t="str">
        <f aca="false">IF(DY90&lt;0,DY83/-DY90,"")</f>
        <v/>
      </c>
      <c r="DZ99" s="53" t="str">
        <f aca="false">IF(DZ90&lt;0,DZ83/-DZ90,"")</f>
        <v/>
      </c>
      <c r="EA99" s="53" t="str">
        <f aca="false">IF(EA90&lt;0,EA83/-EA90,"")</f>
        <v/>
      </c>
      <c r="EB99" s="53" t="str">
        <f aca="false">IF(EB90&lt;0,EB83/-EB90,"")</f>
        <v/>
      </c>
      <c r="EC99" s="53" t="str">
        <f aca="false">IF(EC90&lt;0,EC83/-EC90,"")</f>
        <v/>
      </c>
      <c r="ED99" s="53" t="str">
        <f aca="false">IF(ED90&lt;0,ED83/-ED90,"")</f>
        <v/>
      </c>
      <c r="EE99" s="53" t="str">
        <f aca="false">IF(EE90&lt;0,EE83/-EE90,"")</f>
        <v/>
      </c>
      <c r="EF99" s="53" t="str">
        <f aca="false">IF(EF90&lt;0,EF83/-EF90,"")</f>
        <v/>
      </c>
      <c r="EG99" s="53" t="str">
        <f aca="false">IF(EG90&lt;0,EG83/-EG90,"")</f>
        <v/>
      </c>
      <c r="EH99" s="53" t="str">
        <f aca="false">IF(EH90&lt;0,EH83/-EH90,"")</f>
        <v/>
      </c>
      <c r="EI99" s="53" t="str">
        <f aca="false">IF(EI90&lt;0,EI83/-EI90,"")</f>
        <v/>
      </c>
      <c r="EJ99" s="53" t="str">
        <f aca="false">IF(EJ90&lt;0,EJ83/-EJ90,"")</f>
        <v/>
      </c>
      <c r="EK99" s="53" t="str">
        <f aca="false">IF(EK90&lt;0,EK83/-EK90,"")</f>
        <v/>
      </c>
      <c r="EL99" s="53" t="str">
        <f aca="false">IF(EL90&lt;0,EL83/-EL90,"")</f>
        <v/>
      </c>
      <c r="EM99" s="53" t="str">
        <f aca="false">IF(EM90&lt;0,EM83/-EM90,"")</f>
        <v/>
      </c>
      <c r="EN99" s="53" t="str">
        <f aca="false">IF(EN90&lt;0,EN83/-EN90,"")</f>
        <v/>
      </c>
      <c r="EO99" s="53" t="str">
        <f aca="false">IF(EO90&lt;0,EO83/-EO90,"")</f>
        <v/>
      </c>
    </row>
    <row r="101" customFormat="false" ht="15" hidden="false" customHeight="false" outlineLevel="0" collapsed="false">
      <c r="A101" s="10" t="s">
        <v>13</v>
      </c>
      <c r="B101" s="10"/>
      <c r="C101" s="10" t="s">
        <v>445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  <c r="CT101" s="10"/>
      <c r="CU101" s="10"/>
      <c r="CV101" s="10"/>
      <c r="CW101" s="1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customFormat="false" ht="15" hidden="false" customHeight="false" outlineLevel="0" collapsed="false">
      <c r="C102" s="1" t="s">
        <v>446</v>
      </c>
      <c r="D102" s="12" t="s">
        <v>33</v>
      </c>
      <c r="E102" s="48" t="n">
        <f aca="false">$I93-($I64+$I54+$I65+$I51+$I44+$I45+$I46)</f>
        <v>89594.0326853017</v>
      </c>
      <c r="I102" s="48" t="n">
        <f aca="false">SUM(J102:EO102)</f>
        <v>-89594.0326853017</v>
      </c>
      <c r="J102" s="48" t="n">
        <f aca="false">-$E102*J19</f>
        <v>-0</v>
      </c>
      <c r="K102" s="48" t="n">
        <f aca="false">-$E102*K19</f>
        <v>-0</v>
      </c>
      <c r="L102" s="48" t="n">
        <f aca="false">-$E102*L19</f>
        <v>-0</v>
      </c>
      <c r="M102" s="48" t="n">
        <f aca="false">-$E102*M19</f>
        <v>-0</v>
      </c>
      <c r="N102" s="48" t="n">
        <f aca="false">-$E102*N19</f>
        <v>-0</v>
      </c>
      <c r="O102" s="48" t="n">
        <f aca="false">-$E102*O19</f>
        <v>-0</v>
      </c>
      <c r="P102" s="48" t="n">
        <f aca="false">-$E102*P19</f>
        <v>-0</v>
      </c>
      <c r="Q102" s="48" t="n">
        <f aca="false">-$E102*Q19</f>
        <v>-0</v>
      </c>
      <c r="R102" s="48" t="n">
        <f aca="false">-$E102*R19</f>
        <v>-0</v>
      </c>
      <c r="S102" s="48" t="n">
        <f aca="false">-$E102*S19</f>
        <v>-0</v>
      </c>
      <c r="T102" s="48" t="n">
        <f aca="false">-$E102*T19</f>
        <v>-0</v>
      </c>
      <c r="U102" s="48" t="n">
        <f aca="false">-$E102*U19</f>
        <v>-0</v>
      </c>
      <c r="V102" s="48" t="n">
        <f aca="false">-$E102*V19</f>
        <v>-0</v>
      </c>
      <c r="W102" s="48" t="n">
        <f aca="false">-$E102*W19</f>
        <v>-0</v>
      </c>
      <c r="X102" s="48" t="n">
        <f aca="false">-$E102*X19</f>
        <v>-0</v>
      </c>
      <c r="Y102" s="48" t="n">
        <f aca="false">-$E102*Y19</f>
        <v>-0</v>
      </c>
      <c r="Z102" s="48" t="n">
        <f aca="false">-$E102*Z19</f>
        <v>-1128.35742738505</v>
      </c>
      <c r="AA102" s="48" t="n">
        <f aca="false">-$E102*AA19</f>
        <v>-1103.82791809407</v>
      </c>
      <c r="AB102" s="48" t="n">
        <f aca="false">-$E102*AB19</f>
        <v>-1116.09267273956</v>
      </c>
      <c r="AC102" s="48" t="n">
        <f aca="false">-$E102*AC19</f>
        <v>-1128.35742738505</v>
      </c>
      <c r="AD102" s="48" t="n">
        <f aca="false">-$E102*AD19</f>
        <v>-1128.35742738505</v>
      </c>
      <c r="AE102" s="48" t="n">
        <f aca="false">-$E102*AE19</f>
        <v>-1116.09267273956</v>
      </c>
      <c r="AF102" s="48" t="n">
        <f aca="false">-$E102*AF19</f>
        <v>-1116.09267273956</v>
      </c>
      <c r="AG102" s="48" t="n">
        <f aca="false">-$E102*AG19</f>
        <v>-1128.35742738505</v>
      </c>
      <c r="AH102" s="48" t="n">
        <f aca="false">-$E102*AH19</f>
        <v>-1128.35742738505</v>
      </c>
      <c r="AI102" s="48" t="n">
        <f aca="false">-$E102*AI19</f>
        <v>-1103.82791809407</v>
      </c>
      <c r="AJ102" s="48" t="n">
        <f aca="false">-$E102*AJ19</f>
        <v>-1116.09267273956</v>
      </c>
      <c r="AK102" s="48" t="n">
        <f aca="false">-$E102*AK19</f>
        <v>-1128.35742738505</v>
      </c>
      <c r="AL102" s="48" t="n">
        <f aca="false">-$E102*AL19</f>
        <v>-1128.35742738505</v>
      </c>
      <c r="AM102" s="48" t="n">
        <f aca="false">-$E102*AM19</f>
        <v>-1103.82791809407</v>
      </c>
      <c r="AN102" s="48" t="n">
        <f aca="false">-$E102*AN19</f>
        <v>-1116.09267273956</v>
      </c>
      <c r="AO102" s="48" t="n">
        <f aca="false">-$E102*AO19</f>
        <v>-1128.35742738505</v>
      </c>
      <c r="AP102" s="48" t="n">
        <f aca="false">-$E102*AP19</f>
        <v>-1128.35742738505</v>
      </c>
      <c r="AQ102" s="48" t="n">
        <f aca="false">-$E102*AQ19</f>
        <v>-1103.82791809407</v>
      </c>
      <c r="AR102" s="48" t="n">
        <f aca="false">-$E102*AR19</f>
        <v>-1116.09267273956</v>
      </c>
      <c r="AS102" s="48" t="n">
        <f aca="false">-$E102*AS19</f>
        <v>-1128.35742738505</v>
      </c>
      <c r="AT102" s="48" t="n">
        <f aca="false">-$E102*AT19</f>
        <v>-1128.35742738505</v>
      </c>
      <c r="AU102" s="48" t="n">
        <f aca="false">-$E102*AU19</f>
        <v>-1116.09267273956</v>
      </c>
      <c r="AV102" s="48" t="n">
        <f aca="false">-$E102*AV19</f>
        <v>-1116.09267273956</v>
      </c>
      <c r="AW102" s="48" t="n">
        <f aca="false">-$E102*AW19</f>
        <v>-1128.35742738505</v>
      </c>
      <c r="AX102" s="48" t="n">
        <f aca="false">-$E102*AX19</f>
        <v>-1128.35742738505</v>
      </c>
      <c r="AY102" s="48" t="n">
        <f aca="false">-$E102*AY19</f>
        <v>-1103.82791809407</v>
      </c>
      <c r="AZ102" s="48" t="n">
        <f aca="false">-$E102*AZ19</f>
        <v>-1116.09267273956</v>
      </c>
      <c r="BA102" s="48" t="n">
        <f aca="false">-$E102*BA19</f>
        <v>-1128.35742738505</v>
      </c>
      <c r="BB102" s="48" t="n">
        <f aca="false">-$E102*BB19</f>
        <v>-1128.35742738505</v>
      </c>
      <c r="BC102" s="48" t="n">
        <f aca="false">-$E102*BC19</f>
        <v>-1103.82791809407</v>
      </c>
      <c r="BD102" s="48" t="n">
        <f aca="false">-$E102*BD19</f>
        <v>-1116.09267273956</v>
      </c>
      <c r="BE102" s="48" t="n">
        <f aca="false">-$E102*BE19</f>
        <v>-1128.35742738505</v>
      </c>
      <c r="BF102" s="48" t="n">
        <f aca="false">-$E102*BF19</f>
        <v>-1128.35742738505</v>
      </c>
      <c r="BG102" s="48" t="n">
        <f aca="false">-$E102*BG19</f>
        <v>-1103.82791809407</v>
      </c>
      <c r="BH102" s="48" t="n">
        <f aca="false">-$E102*BH19</f>
        <v>-1116.09267273956</v>
      </c>
      <c r="BI102" s="48" t="n">
        <f aca="false">-$E102*BI19</f>
        <v>-1128.35742738505</v>
      </c>
      <c r="BJ102" s="48" t="n">
        <f aca="false">-$E102*BJ19</f>
        <v>-1128.35742738505</v>
      </c>
      <c r="BK102" s="48" t="n">
        <f aca="false">-$E102*BK19</f>
        <v>-1116.09267273956</v>
      </c>
      <c r="BL102" s="48" t="n">
        <f aca="false">-$E102*BL19</f>
        <v>-1116.09267273956</v>
      </c>
      <c r="BM102" s="48" t="n">
        <f aca="false">-$E102*BM19</f>
        <v>-1128.35742738505</v>
      </c>
      <c r="BN102" s="48" t="n">
        <f aca="false">-$E102*BN19</f>
        <v>-1128.35742738505</v>
      </c>
      <c r="BO102" s="48" t="n">
        <f aca="false">-$E102*BO19</f>
        <v>-1103.82791809407</v>
      </c>
      <c r="BP102" s="48" t="n">
        <f aca="false">-$E102*BP19</f>
        <v>-1116.09267273956</v>
      </c>
      <c r="BQ102" s="48" t="n">
        <f aca="false">-$E102*BQ19</f>
        <v>-1128.35742738505</v>
      </c>
      <c r="BR102" s="48" t="n">
        <f aca="false">-$E102*BR19</f>
        <v>-1128.35742738505</v>
      </c>
      <c r="BS102" s="48" t="n">
        <f aca="false">-$E102*BS19</f>
        <v>-1103.82791809407</v>
      </c>
      <c r="BT102" s="48" t="n">
        <f aca="false">-$E102*BT19</f>
        <v>-1116.09267273956</v>
      </c>
      <c r="BU102" s="48" t="n">
        <f aca="false">-$E102*BU19</f>
        <v>-1128.35742738505</v>
      </c>
      <c r="BV102" s="48" t="n">
        <f aca="false">-$E102*BV19</f>
        <v>-1128.35742738505</v>
      </c>
      <c r="BW102" s="48" t="n">
        <f aca="false">-$E102*BW19</f>
        <v>-1103.82791809407</v>
      </c>
      <c r="BX102" s="48" t="n">
        <f aca="false">-$E102*BX19</f>
        <v>-1116.09267273956</v>
      </c>
      <c r="BY102" s="48" t="n">
        <f aca="false">-$E102*BY19</f>
        <v>-1128.35742738505</v>
      </c>
      <c r="BZ102" s="48" t="n">
        <f aca="false">-$E102*BZ19</f>
        <v>-1128.35742738505</v>
      </c>
      <c r="CA102" s="48" t="n">
        <f aca="false">-$E102*CA19</f>
        <v>-1116.09267273956</v>
      </c>
      <c r="CB102" s="48" t="n">
        <f aca="false">-$E102*CB19</f>
        <v>-1116.09267273956</v>
      </c>
      <c r="CC102" s="48" t="n">
        <f aca="false">-$E102*CC19</f>
        <v>-1128.35742738505</v>
      </c>
      <c r="CD102" s="48" t="n">
        <f aca="false">-$E102*CD19</f>
        <v>-1128.35742738505</v>
      </c>
      <c r="CE102" s="48" t="n">
        <f aca="false">-$E102*CE19</f>
        <v>-1103.82791809407</v>
      </c>
      <c r="CF102" s="48" t="n">
        <f aca="false">-$E102*CF19</f>
        <v>-1116.09267273956</v>
      </c>
      <c r="CG102" s="48" t="n">
        <f aca="false">-$E102*CG19</f>
        <v>-1128.35742738505</v>
      </c>
      <c r="CH102" s="48" t="n">
        <f aca="false">-$E102*CH19</f>
        <v>-1128.35742738505</v>
      </c>
      <c r="CI102" s="48" t="n">
        <f aca="false">-$E102*CI19</f>
        <v>-1103.82791809407</v>
      </c>
      <c r="CJ102" s="48" t="n">
        <f aca="false">-$E102*CJ19</f>
        <v>-1116.09267273956</v>
      </c>
      <c r="CK102" s="48" t="n">
        <f aca="false">-$E102*CK19</f>
        <v>-1128.35742738505</v>
      </c>
      <c r="CL102" s="48" t="n">
        <f aca="false">-$E102*CL19</f>
        <v>-1128.35742738505</v>
      </c>
      <c r="CM102" s="48" t="n">
        <f aca="false">-$E102*CM19</f>
        <v>-1103.82791809407</v>
      </c>
      <c r="CN102" s="48" t="n">
        <f aca="false">-$E102*CN19</f>
        <v>-1116.09267273956</v>
      </c>
      <c r="CO102" s="48" t="n">
        <f aca="false">-$E102*CO19</f>
        <v>-1128.35742738505</v>
      </c>
      <c r="CP102" s="48" t="n">
        <f aca="false">-$E102*CP19</f>
        <v>-1128.35742738505</v>
      </c>
      <c r="CQ102" s="48" t="n">
        <f aca="false">-$E102*CQ19</f>
        <v>-1116.09267273956</v>
      </c>
      <c r="CR102" s="48" t="n">
        <f aca="false">-$E102*CR19</f>
        <v>-1116.09267273956</v>
      </c>
      <c r="CS102" s="48" t="n">
        <f aca="false">-$E102*CS19</f>
        <v>-1128.35742738505</v>
      </c>
      <c r="CT102" s="48" t="n">
        <f aca="false">-$E102*CT19</f>
        <v>-1128.35742738505</v>
      </c>
      <c r="CU102" s="48" t="n">
        <f aca="false">-$E102*CU19</f>
        <v>-1103.82791809407</v>
      </c>
      <c r="CV102" s="48" t="n">
        <f aca="false">-$E102*CV19</f>
        <v>-1116.09267273956</v>
      </c>
      <c r="CW102" s="48" t="n">
        <f aca="false">-$E102*CW19</f>
        <v>-1128.35742738505</v>
      </c>
      <c r="CX102" s="48" t="n">
        <f aca="false">-$E102*CX19</f>
        <v>-1128.35742738505</v>
      </c>
      <c r="CY102" s="48" t="n">
        <f aca="false">-$E102*CY19</f>
        <v>-1103.82791809407</v>
      </c>
      <c r="CZ102" s="48" t="n">
        <f aca="false">-$E102*CZ19</f>
        <v>-1116.09267273956</v>
      </c>
      <c r="DA102" s="48" t="n">
        <f aca="false">-$E102*DA19</f>
        <v>-1128.35742738505</v>
      </c>
      <c r="DB102" s="48" t="n">
        <f aca="false">-$E102*DB19</f>
        <v>-0</v>
      </c>
      <c r="DC102" s="48" t="n">
        <f aca="false">-$E102*DC19</f>
        <v>-0</v>
      </c>
      <c r="DD102" s="48" t="n">
        <f aca="false">-$E102*DD19</f>
        <v>-0</v>
      </c>
      <c r="DE102" s="48" t="n">
        <f aca="false">-$E102*DE19</f>
        <v>-0</v>
      </c>
      <c r="DF102" s="48" t="n">
        <f aca="false">-$E102*DF19</f>
        <v>-0</v>
      </c>
      <c r="DG102" s="48" t="n">
        <f aca="false">-$E102*DG19</f>
        <v>-0</v>
      </c>
      <c r="DH102" s="48" t="n">
        <f aca="false">-$E102*DH19</f>
        <v>-0</v>
      </c>
      <c r="DI102" s="48" t="n">
        <f aca="false">-$E102*DI19</f>
        <v>-0</v>
      </c>
      <c r="DJ102" s="48" t="n">
        <f aca="false">-$E102*DJ19</f>
        <v>-0</v>
      </c>
      <c r="DK102" s="48" t="n">
        <f aca="false">-$E102*DK19</f>
        <v>-0</v>
      </c>
      <c r="DL102" s="48" t="n">
        <f aca="false">-$E102*DL19</f>
        <v>-0</v>
      </c>
      <c r="DM102" s="48" t="n">
        <f aca="false">-$E102*DM19</f>
        <v>-0</v>
      </c>
      <c r="DN102" s="48" t="n">
        <f aca="false">-$E102*DN19</f>
        <v>-0</v>
      </c>
      <c r="DO102" s="48" t="n">
        <f aca="false">-$E102*DO19</f>
        <v>-0</v>
      </c>
      <c r="DP102" s="48" t="n">
        <f aca="false">-$E102*DP19</f>
        <v>-0</v>
      </c>
      <c r="DQ102" s="48" t="n">
        <f aca="false">-$E102*DQ19</f>
        <v>-0</v>
      </c>
      <c r="DR102" s="48" t="n">
        <f aca="false">-$E102*DR19</f>
        <v>-0</v>
      </c>
      <c r="DS102" s="48" t="n">
        <f aca="false">-$E102*DS19</f>
        <v>-0</v>
      </c>
      <c r="DT102" s="48" t="n">
        <f aca="false">-$E102*DT19</f>
        <v>-0</v>
      </c>
      <c r="DU102" s="48" t="n">
        <f aca="false">-$E102*DU19</f>
        <v>-0</v>
      </c>
      <c r="DV102" s="48" t="n">
        <f aca="false">-$E102*DV19</f>
        <v>-0</v>
      </c>
      <c r="DW102" s="48" t="n">
        <f aca="false">-$E102*DW19</f>
        <v>-0</v>
      </c>
      <c r="DX102" s="48" t="n">
        <f aca="false">-$E102*DX19</f>
        <v>-0</v>
      </c>
      <c r="DY102" s="48" t="n">
        <f aca="false">-$E102*DY19</f>
        <v>-0</v>
      </c>
      <c r="DZ102" s="48" t="n">
        <f aca="false">-$E102*DZ19</f>
        <v>-0</v>
      </c>
      <c r="EA102" s="48" t="n">
        <f aca="false">-$E102*EA19</f>
        <v>-0</v>
      </c>
      <c r="EB102" s="48" t="n">
        <f aca="false">-$E102*EB19</f>
        <v>-0</v>
      </c>
      <c r="EC102" s="48" t="n">
        <f aca="false">-$E102*EC19</f>
        <v>-0</v>
      </c>
      <c r="ED102" s="48" t="n">
        <f aca="false">-$E102*ED19</f>
        <v>-0</v>
      </c>
      <c r="EE102" s="48" t="n">
        <f aca="false">-$E102*EE19</f>
        <v>-0</v>
      </c>
      <c r="EF102" s="48" t="n">
        <f aca="false">-$E102*EF19</f>
        <v>-0</v>
      </c>
      <c r="EG102" s="48" t="n">
        <f aca="false">-$E102*EG19</f>
        <v>-0</v>
      </c>
      <c r="EH102" s="48" t="n">
        <f aca="false">-$E102*EH19</f>
        <v>-0</v>
      </c>
      <c r="EI102" s="48" t="n">
        <f aca="false">-$E102*EI19</f>
        <v>-0</v>
      </c>
      <c r="EJ102" s="48" t="n">
        <f aca="false">-$E102*EJ19</f>
        <v>-0</v>
      </c>
      <c r="EK102" s="48" t="n">
        <f aca="false">-$E102*EK19</f>
        <v>-0</v>
      </c>
      <c r="EL102" s="48" t="n">
        <f aca="false">-$E102*EL19</f>
        <v>-0</v>
      </c>
      <c r="EM102" s="48" t="n">
        <f aca="false">-$E102*EM19</f>
        <v>-0</v>
      </c>
      <c r="EN102" s="48" t="n">
        <f aca="false">-$E102*EN19</f>
        <v>-0</v>
      </c>
      <c r="EO102" s="48" t="n">
        <f aca="false">-$E102*EO19</f>
        <v>-0</v>
      </c>
    </row>
    <row r="103" customFormat="false" ht="15" hidden="false" customHeight="false" outlineLevel="0" collapsed="false">
      <c r="C103" s="1" t="s">
        <v>447</v>
      </c>
      <c r="D103" s="12" t="s">
        <v>33</v>
      </c>
      <c r="I103" s="48" t="n">
        <f aca="false">SUM(J103:EO103)</f>
        <v>147934.808335945</v>
      </c>
      <c r="J103" s="48" t="n">
        <f aca="false">J79+J102+J89+J96+J97+J48+J55</f>
        <v>-12.8099380746857</v>
      </c>
      <c r="K103" s="48" t="n">
        <f aca="false">K79+K102+K89+K96+K97+K48+K55</f>
        <v>-19.6746856821167</v>
      </c>
      <c r="L103" s="48" t="n">
        <f aca="false">L79+L102+L89+L96+L97+L48+L55</f>
        <v>-33.1554888346782</v>
      </c>
      <c r="M103" s="48" t="n">
        <f aca="false">M79+M102+M89+M96+M97+M48+M55</f>
        <v>-33.5198348658285</v>
      </c>
      <c r="N103" s="48" t="n">
        <f aca="false">N79+N102+N89+N96+N97+N48+N55</f>
        <v>-33.5198348658285</v>
      </c>
      <c r="O103" s="48" t="n">
        <f aca="false">O79+O102+O89+O96+O97+O48+O55</f>
        <v>-33.1554888346782</v>
      </c>
      <c r="P103" s="48" t="n">
        <f aca="false">P79+P102+P89+P96+P97+P48+P55</f>
        <v>-33.1554888346782</v>
      </c>
      <c r="Q103" s="48" t="n">
        <f aca="false">Q79+Q102+Q89+Q96+Q97+Q48+Q55</f>
        <v>-33.5198348658285</v>
      </c>
      <c r="R103" s="48" t="n">
        <f aca="false">R79+R102+R89+R96+R97+R48+R55</f>
        <v>-1405.89219882006</v>
      </c>
      <c r="S103" s="48" t="n">
        <f aca="false">S79+S102+S89+S96+S97+S48+S55</f>
        <v>-202.231076608086</v>
      </c>
      <c r="T103" s="48" t="n">
        <f aca="false">T79+T102+T89+T96+T97+T48+T55</f>
        <v>-174.314462360302</v>
      </c>
      <c r="U103" s="48" t="n">
        <f aca="false">U79+U102+U89+U96+U97+U48+U55</f>
        <v>-160.359842239747</v>
      </c>
      <c r="V103" s="48" t="n">
        <f aca="false">V79+V102+V89+V96+V97+V48+V55</f>
        <v>-144.315281173881</v>
      </c>
      <c r="W103" s="48" t="n">
        <f aca="false">W79+W102+W89+W96+W97+W48+W55</f>
        <v>-126.524157365359</v>
      </c>
      <c r="X103" s="48" t="n">
        <f aca="false">X79+X102+X89+X96+X97+X48+X55</f>
        <v>-112.404821231</v>
      </c>
      <c r="Y103" s="48" t="n">
        <f aca="false">Y79+Y102+Y89+Y96+Y97+Y48+Y55</f>
        <v>-97.7698753837493</v>
      </c>
      <c r="Z103" s="48" t="n">
        <f aca="false">Z79+Z102+Z89+Z96+Z97+Z48+Z55</f>
        <v>236.423434705596</v>
      </c>
      <c r="AA103" s="48" t="n">
        <f aca="false">AA79+AA102+AA89+AA96+AA97+AA48+AA55</f>
        <v>234.488930422877</v>
      </c>
      <c r="AB103" s="48" t="n">
        <f aca="false">AB79+AB102+AB89+AB96+AB97+AB48+AB55</f>
        <v>253.380674818356</v>
      </c>
      <c r="AC103" s="48" t="n">
        <f aca="false">AC79+AC102+AC89+AC96+AC97+AC48+AC55</f>
        <v>272.547512692538</v>
      </c>
      <c r="AD103" s="48" t="n">
        <f aca="false">AD79+AD102+AD89+AD96+AD97+AD48+AD55</f>
        <v>272.050902065284</v>
      </c>
      <c r="AE103" s="48" t="n">
        <f aca="false">AE79+AE102+AE89+AE96+AE97+AE48+AE55</f>
        <v>282.22686355815</v>
      </c>
      <c r="AF103" s="48" t="n">
        <f aca="false">AF79+AF102+AF89+AF96+AF97+AF48+AF55</f>
        <v>289.790676085921</v>
      </c>
      <c r="AG103" s="48" t="n">
        <f aca="false">AG79+AG102+AG89+AG96+AG97+AG48+AG55</f>
        <v>309.442184719961</v>
      </c>
      <c r="AH103" s="48" t="n">
        <f aca="false">AH79+AH102+AH89+AH96+AH97+AH48+AH55</f>
        <v>309.313196377901</v>
      </c>
      <c r="AI103" s="48" t="n">
        <f aca="false">AI79+AI102+AI89+AI96+AI97+AI48+AI55</f>
        <v>307.625961880467</v>
      </c>
      <c r="AJ103" s="48" t="n">
        <f aca="false">AJ79+AJ102+AJ89+AJ96+AJ97+AJ48+AJ55</f>
        <v>360.645704436112</v>
      </c>
      <c r="AK103" s="48" t="n">
        <f aca="false">AK79+AK102+AK89+AK96+AK97+AK48+AK55</f>
        <v>381.415628827994</v>
      </c>
      <c r="AL103" s="48" t="n">
        <f aca="false">AL79+AL102+AL89+AL96+AL97+AL48+AL55</f>
        <v>381.931771978686</v>
      </c>
      <c r="AM103" s="48" t="n">
        <f aca="false">AM79+AM102+AM89+AM96+AM97+AM48+AM55</f>
        <v>379.788517562958</v>
      </c>
      <c r="AN103" s="48" t="n">
        <f aca="false">AN79+AN102+AN89+AN96+AN97+AN48+AN55</f>
        <v>400.649952592823</v>
      </c>
      <c r="AO103" s="48" t="n">
        <f aca="false">AO79+AO102+AO89+AO96+AO97+AO48+AO55</f>
        <v>421.800279446158</v>
      </c>
      <c r="AP103" s="48" t="n">
        <f aca="false">AP79+AP102+AP89+AP96+AP97+AP48+AP55</f>
        <v>422.575002457455</v>
      </c>
      <c r="AQ103" s="48" t="n">
        <f aca="false">AQ79+AQ102+AQ89+AQ96+AQ97+AQ48+AQ55</f>
        <v>420.587291294625</v>
      </c>
      <c r="AR103" s="48" t="n">
        <f aca="false">AR79+AR102+AR89+AR96+AR97+AR48+AR55</f>
        <v>441.968096389337</v>
      </c>
      <c r="AS103" s="48" t="n">
        <f aca="false">AS79+AS102+AS89+AS96+AS97+AS48+AS55</f>
        <v>463.643620251714</v>
      </c>
      <c r="AT103" s="48" t="n">
        <f aca="false">AT79+AT102+AT89+AT96+AT97+AT48+AT55</f>
        <v>464.833157007406</v>
      </c>
      <c r="AU103" s="48" t="n">
        <f aca="false">AU79+AU102+AU89+AU96+AU97+AU48+AU55</f>
        <v>475.642831417071</v>
      </c>
      <c r="AV103" s="48" t="n">
        <f aca="false">AV79+AV102+AV89+AV96+AV97+AV48+AV55</f>
        <v>485.127539325642</v>
      </c>
      <c r="AW103" s="48" t="n">
        <f aca="false">AW79+AW102+AW89+AW96+AW97+AW48+AW55</f>
        <v>507.348486583177</v>
      </c>
      <c r="AX103" s="48" t="n">
        <f aca="false">AX79+AX102+AX89+AX96+AX97+AX48+AX55</f>
        <v>508.975594680542</v>
      </c>
      <c r="AY103" s="48" t="n">
        <f aca="false">AY79+AY102+AY89+AY96+AY97+AY48+AY55</f>
        <v>507.353997361556</v>
      </c>
      <c r="AZ103" s="48" t="n">
        <f aca="false">AZ79+AZ102+AZ89+AZ96+AZ97+AZ48+AZ55</f>
        <v>529.829960249406</v>
      </c>
      <c r="BA103" s="48" t="n">
        <f aca="false">BA79+BA102+BA89+BA96+BA97+BA48+BA55</f>
        <v>552.612993075704</v>
      </c>
      <c r="BB103" s="48" t="n">
        <f aca="false">BB79+BB102+BB89+BB96+BB97+BB48+BB55</f>
        <v>554.69691371723</v>
      </c>
      <c r="BC103" s="48" t="n">
        <f aca="false">BC79+BC102+BC89+BC96+BC97+BC48+BC55</f>
        <v>553.285459806315</v>
      </c>
      <c r="BD103" s="48" t="n">
        <f aca="false">BD79+BD102+BD89+BD96+BD97+BD48+BD55</f>
        <v>576.336675900976</v>
      </c>
      <c r="BE103" s="48" t="n">
        <f aca="false">BE79+BE102+BE89+BE96+BE97+BE48+BE55</f>
        <v>599.701480645199</v>
      </c>
      <c r="BF103" s="48" t="n">
        <f aca="false">BF79+BF102+BF89+BF96+BF97+BF48+BF55</f>
        <v>602.264607020726</v>
      </c>
      <c r="BG103" s="48" t="n">
        <f aca="false">BG79+BG102+BG89+BG96+BG97+BG48+BG55</f>
        <v>601.083303783991</v>
      </c>
      <c r="BH103" s="48" t="n">
        <f aca="false">BH79+BH102+BH89+BH96+BH97+BH48+BH55</f>
        <v>624.730124228028</v>
      </c>
      <c r="BI103" s="48" t="n">
        <f aca="false">BI79+BI102+BI89+BI96+BI97+BI48+BI55</f>
        <v>648.697303710921</v>
      </c>
      <c r="BJ103" s="48" t="n">
        <f aca="false">BJ79+BJ102+BJ89+BJ96+BJ97+BJ48+BJ55</f>
        <v>651.763050951251</v>
      </c>
      <c r="BK103" s="48" t="n">
        <f aca="false">BK79+BK102+BK89+BK96+BK97+BK48+BK55</f>
        <v>663.681255717492</v>
      </c>
      <c r="BL103" s="48" t="n">
        <f aca="false">BL79+BL102+BL89+BL96+BL97+BL48+BL55</f>
        <v>675.289599898881</v>
      </c>
      <c r="BM103" s="48" t="n">
        <f aca="false">BM79+BM102+BM89+BM96+BM97+BM48+BM55</f>
        <v>699.882989971721</v>
      </c>
      <c r="BN103" s="48" t="n">
        <f aca="false">BN79+BN102+BN89+BN96+BN97+BN48+BN55</f>
        <v>703.478141522747</v>
      </c>
      <c r="BO103" s="48" t="n">
        <f aca="false">BO79+BO102+BO89+BO96+BO97+BO48+BO55</f>
        <v>702.823505813293</v>
      </c>
      <c r="BP103" s="48" t="n">
        <f aca="false">BP79+BP102+BP89+BP96+BP97+BP48+BP55</f>
        <v>727.728784289805</v>
      </c>
      <c r="BQ103" s="48" t="n">
        <f aca="false">BQ79+BQ102+BQ89+BQ96+BQ97+BQ48+BQ55</f>
        <v>752.968792248396</v>
      </c>
      <c r="BR103" s="48" t="n">
        <f aca="false">BR79+BR102+BR89+BR96+BR97+BR48+BR55</f>
        <v>757.116762445603</v>
      </c>
      <c r="BS103" s="48" t="n">
        <f aca="false">BS79+BS102+BS89+BS96+BS97+BS48+BS55</f>
        <v>756.758557944183</v>
      </c>
      <c r="BT103" s="48" t="n">
        <f aca="false">BT79+BT102+BT89+BT96+BT97+BT48+BT55</f>
        <v>782.326487415475</v>
      </c>
      <c r="BU103" s="48" t="n">
        <f aca="false">BU79+BU102+BU89+BU96+BU97+BU48+BU55</f>
        <v>808.236744900384</v>
      </c>
      <c r="BV103" s="48" t="n">
        <f aca="false">BV79+BV102+BV89+BV96+BV97+BV48+BV55</f>
        <v>812.964312872926</v>
      </c>
      <c r="BW103" s="48" t="n">
        <f aca="false">BW79+BW102+BW89+BW96+BW97+BW48+BW55</f>
        <v>812.926814711022</v>
      </c>
      <c r="BX103" s="48" t="n">
        <f aca="false">BX79+BX102+BX89+BX96+BX97+BX48+BX55</f>
        <v>839.181832277038</v>
      </c>
      <c r="BY103" s="48" t="n">
        <f aca="false">BY79+BY102+BY89+BY96+BY97+BY48+BY55</f>
        <v>865.787077907768</v>
      </c>
      <c r="BZ103" s="48" t="n">
        <f aca="false">BZ79+BZ102+BZ89+BZ96+BZ97+BZ48+BZ55</f>
        <v>871.122248012733</v>
      </c>
      <c r="CA103" s="48" t="n">
        <f aca="false">CA79+CA102+CA89+CA96+CA97+CA48+CA55</f>
        <v>884.456651943738</v>
      </c>
      <c r="CB103" s="48" t="n">
        <f aca="false">CB79+CB102+CB89+CB96+CB97+CB48+CB55</f>
        <v>898.592892140215</v>
      </c>
      <c r="CC103" s="48" t="n">
        <f aca="false">CC79+CC102+CC89+CC96+CC97+CC48+CC55</f>
        <v>925.921312577105</v>
      </c>
      <c r="CD103" s="48" t="n">
        <f aca="false">CD79+CD102+CD89+CD96+CD97+CD48+CD55</f>
        <v>931.895685827668</v>
      </c>
      <c r="CE103" s="48" t="n">
        <f aca="false">CE79+CE102+CE89+CE96+CE97+CE48+CE55</f>
        <v>932.579604463053</v>
      </c>
      <c r="CF103" s="48" t="n">
        <f aca="false">CF79+CF102+CF89+CF96+CF97+CF48+CF55</f>
        <v>960.289120130922</v>
      </c>
      <c r="CG103" s="48" t="n">
        <f aca="false">CG79+CG102+CG89+CG96+CG97+CG48+CG55</f>
        <v>988.365652931162</v>
      </c>
      <c r="CH103" s="48" t="n">
        <f aca="false">CH79+CH102+CH89+CH96+CH97+CH48+CH55</f>
        <v>995.007653863407</v>
      </c>
      <c r="CI103" s="48" t="n">
        <f aca="false">CI79+CI102+CI89+CI96+CI97+CI48+CI55</f>
        <v>996.09261618345</v>
      </c>
      <c r="CJ103" s="48" t="n">
        <f aca="false">CJ79+CJ102+CJ89+CJ96+CJ97+CJ48+CJ55</f>
        <v>1024.56974776392</v>
      </c>
      <c r="CK103" s="48" t="n">
        <f aca="false">CK79+CK102+CK89+CK96+CK97+CK48+CK55</f>
        <v>1053.42278887675</v>
      </c>
      <c r="CL103" s="48" t="n">
        <f aca="false">CL79+CL102+CL89+CL96+CL97+CL48+CL55</f>
        <v>1060.76445496716</v>
      </c>
      <c r="CM103" s="48" t="n">
        <f aca="false">CM79+CM102+CM89+CM96+CM97+CM48+CM55</f>
        <v>1062.27987252696</v>
      </c>
      <c r="CN103" s="48" t="n">
        <f aca="false">CN79+CN102+CN89+CN96+CN97+CN48+CN55</f>
        <v>1091.55399143254</v>
      </c>
      <c r="CO103" s="48" t="n">
        <f aca="false">CO79+CO102+CO89+CO96+CO97+CO48+CO55</f>
        <v>1121.21327381012</v>
      </c>
      <c r="CP103" s="48" t="n">
        <f aca="false">CP79+CP102+CP89+CP96+CP97+CP48+CP55</f>
        <v>1129.28811212148</v>
      </c>
      <c r="CQ103" s="48" t="n">
        <f aca="false">CQ79+CQ102+CQ89+CQ96+CQ97+CQ48+CQ55</f>
        <v>1144.41493472652</v>
      </c>
      <c r="CR103" s="48" t="n">
        <f aca="false">CR79+CR102+CR89+CR96+CR97+CR48+CR55</f>
        <v>1161.56188563326</v>
      </c>
      <c r="CS103" s="48" t="n">
        <f aca="false">CS79+CS102+CS89+CS96+CS97+CS48+CS55</f>
        <v>1192.06084212266</v>
      </c>
      <c r="CT103" s="48" t="n">
        <f aca="false">CT79+CT102+CT89+CT96+CT97+CT48+CT55</f>
        <v>1200.90622310861</v>
      </c>
      <c r="CU103" s="48" t="n">
        <f aca="false">CU79+CU102+CU89+CU96+CU97+CU48+CU55</f>
        <v>1185.48690621501</v>
      </c>
      <c r="CV103" s="48" t="n">
        <f aca="false">CV79+CV102+CV89+CV96+CV97+CV48+CV55</f>
        <v>1198.65898295074</v>
      </c>
      <c r="CW103" s="48" t="n">
        <f aca="false">CW79+CW102+CW89+CW96+CW97+CW48+CW55</f>
        <v>1211.83105968646</v>
      </c>
      <c r="CX103" s="48" t="n">
        <f aca="false">CX79+CX102+CX89+CX96+CX97+CX48+CX55</f>
        <v>1202.87483544087</v>
      </c>
      <c r="CY103" s="48" t="n">
        <f aca="false">CY79+CY102+CY89+CY96+CY97+CY48+CY55</f>
        <v>1187.11525300689</v>
      </c>
      <c r="CZ103" s="48" t="n">
        <f aca="false">CZ79+CZ102+CZ89+CZ96+CZ97+CZ48+CZ55</f>
        <v>1200.30542248474</v>
      </c>
      <c r="DA103" s="48" t="n">
        <f aca="false">DA79+DA102+DA89+DA96+DA97+DA48+DA55</f>
        <v>1213.4955919626</v>
      </c>
      <c r="DB103" s="48" t="n">
        <f aca="false">DB79+DB102+DB89+DB96+DB97+DB48+DB55</f>
        <v>2332.84341003561</v>
      </c>
      <c r="DC103" s="48" t="n">
        <f aca="false">DC79+DC102+DC89+DC96+DC97+DC48+DC55</f>
        <v>2292.21074162574</v>
      </c>
      <c r="DD103" s="48" t="n">
        <f aca="false">DD79+DD102+DD89+DD96+DD97+DD48+DD55</f>
        <v>2317.67974986603</v>
      </c>
      <c r="DE103" s="48" t="n">
        <f aca="false">DE79+DE102+DE89+DE96+DE97+DE48+DE55</f>
        <v>2343.14875810631</v>
      </c>
      <c r="DF103" s="48" t="n">
        <f aca="false">DF79+DF102+DF89+DF96+DF97+DF48+DF55</f>
        <v>2334.08566032166</v>
      </c>
      <c r="DG103" s="48" t="n">
        <f aca="false">DG79+DG102+DG89+DG96+DG97+DG48+DG55</f>
        <v>2318.58501268533</v>
      </c>
      <c r="DH103" s="48" t="n">
        <f aca="false">DH79+DH102+DH89+DH96+DH97+DH48+DH55</f>
        <v>2318.58501268533</v>
      </c>
      <c r="DI103" s="48" t="n">
        <f aca="false">DI79+DI102+DI89+DI96+DI97+DI48+DI55</f>
        <v>2344.06396886868</v>
      </c>
      <c r="DJ103" s="48" t="n">
        <f aca="false">DJ79+DJ102+DJ89+DJ96+DJ97+DJ48+DJ55</f>
        <v>2334.94728416399</v>
      </c>
      <c r="DK103" s="48" t="n">
        <f aca="false">DK79+DK102+DK89+DK96+DK97+DK48+DK55</f>
        <v>2293.61733770569</v>
      </c>
      <c r="DL103" s="48" t="n">
        <f aca="false">DL79+DL102+DL89+DL96+DL97+DL48+DL55</f>
        <v>2319.10197479131</v>
      </c>
      <c r="DM103" s="48" t="n">
        <f aca="false">DM79+DM102+DM89+DM96+DM97+DM48+DM55</f>
        <v>2344.58661187693</v>
      </c>
      <c r="DN103" s="48" t="n">
        <f aca="false">DN79+DN102+DN89+DN96+DN97+DN48+DN55</f>
        <v>2335.41624692325</v>
      </c>
      <c r="DO103" s="48" t="n">
        <f aca="false">DO79+DO102+DO89+DO96+DO97+DO48+DO55</f>
        <v>2293.73250114924</v>
      </c>
      <c r="DP103" s="48" t="n">
        <f aca="false">DP79+DP102+DP89+DP96+DP97+DP48+DP55</f>
        <v>2319.21841782868</v>
      </c>
      <c r="DQ103" s="48" t="n">
        <f aca="false">DQ79+DQ102+DQ89+DQ96+DQ97+DQ48+DQ55</f>
        <v>2344.70433450811</v>
      </c>
      <c r="DR103" s="48" t="n">
        <f aca="false">DR79+DR102+DR89+DR96+DR97+DR48+DR55</f>
        <v>2335.48020125859</v>
      </c>
      <c r="DS103" s="48" t="n">
        <f aca="false">DS79+DS102+DS89+DS96+DS97+DS48+DS55</f>
        <v>2293.43914907761</v>
      </c>
      <c r="DT103" s="48" t="n">
        <f aca="false">DT79+DT102+DT89+DT96+DT97+DT48+DT55</f>
        <v>2318.92180628959</v>
      </c>
      <c r="DU103" s="48" t="n">
        <f aca="false">DU79+DU102+DU89+DU96+DU97+DU48+DU55</f>
        <v>2344.40446350156</v>
      </c>
      <c r="DV103" s="48" t="n">
        <f aca="false">DV79+DV102+DV89+DV96+DV97+DV48+DV55</f>
        <v>2335.12647935891</v>
      </c>
      <c r="DW103" s="48" t="n">
        <f aca="false">DW79+DW102+DW89+DW96+DW97+DW48+DW55</f>
        <v>2318.19927963646</v>
      </c>
      <c r="DX103" s="48" t="n">
        <f aca="false">DX79+DX102+DX89+DX96+DX97+DX48+DX55</f>
        <v>2318.19927963646</v>
      </c>
      <c r="DY103" s="48" t="n">
        <f aca="false">DY79+DY102+DY89+DY96+DY97+DY48+DY55</f>
        <v>2343.6739969951</v>
      </c>
      <c r="DZ103" s="48" t="n">
        <f aca="false">DZ79+DZ102+DZ89+DZ96+DZ97+DZ48+DZ55</f>
        <v>2334.34208498316</v>
      </c>
      <c r="EA103" s="48" t="n">
        <f aca="false">EA79+EA102+EA89+EA96+EA97+EA48+EA55</f>
        <v>2291.57569209672</v>
      </c>
      <c r="EB103" s="48" t="n">
        <f aca="false">EB79+EB102+EB89+EB96+EB97+EB48+EB55</f>
        <v>2317.03764423113</v>
      </c>
      <c r="EC103" s="48" t="n">
        <f aca="false">EC79+EC102+EC89+EC96+EC97+EC48+EC55</f>
        <v>2342.49959636553</v>
      </c>
      <c r="ED103" s="48" t="n">
        <f aca="false">ED79+ED102+ED89+ED96+ED97+ED48+ED55</f>
        <v>2333.11368530496</v>
      </c>
      <c r="EE103" s="48" t="n">
        <f aca="false">EE79+EE102+EE89+EE96+EE97+EE48+EE55</f>
        <v>2289.97915226266</v>
      </c>
      <c r="EF103" s="48" t="n">
        <f aca="false">EF79+EF102+EF89+EF96+EF97+EF48+EF55</f>
        <v>2315.42336506557</v>
      </c>
      <c r="EG103" s="48" t="n">
        <f aca="false">EG79+EG102+EG89+EG96+EG97+EG48+EG55</f>
        <v>2340.86757786849</v>
      </c>
      <c r="EH103" s="48" t="n">
        <f aca="false">EH79+EH102+EH89+EH96+EH97+EH48+EH55</f>
        <v>2331.42760255663</v>
      </c>
      <c r="EI103" s="48" t="n">
        <f aca="false">EI79+EI102+EI89+EI96+EI97+EI48+EI55</f>
        <v>2287.92121050596</v>
      </c>
      <c r="EJ103" s="48" t="n">
        <f aca="false">EJ79+EJ102+EJ89+EJ96+EJ97+EJ48+EJ55</f>
        <v>2313.34255728936</v>
      </c>
      <c r="EK103" s="48" t="n">
        <f aca="false">EK79+EK102+EK89+EK96+EK97+EK48+EK55</f>
        <v>2338.76390407276</v>
      </c>
      <c r="EL103" s="48" t="n">
        <f aca="false">EL79+EL102+EL89+EL96+EL97+EL48+EL55</f>
        <v>2329.26980546783</v>
      </c>
      <c r="EM103" s="48" t="n">
        <f aca="false">EM79+EM102+EM89+EM96+EM97+EM48+EM55</f>
        <v>2310.78097752875</v>
      </c>
      <c r="EN103" s="48" t="n">
        <f aca="false">EN79+EN102+EN89+EN96+EN97+EN48+EN55</f>
        <v>2310.78097752875</v>
      </c>
      <c r="EO103" s="48" t="n">
        <f aca="false">EO79+EO102+EO89+EO96+EO97+EO48+EO55</f>
        <v>2336.17417508401</v>
      </c>
    </row>
    <row r="104" customFormat="false" ht="15" hidden="false" customHeight="false" outlineLevel="0" collapsed="false">
      <c r="C104" s="1" t="s">
        <v>448</v>
      </c>
      <c r="D104" s="12" t="s">
        <v>33</v>
      </c>
      <c r="J104" s="19" t="n">
        <f aca="false">I108</f>
        <v>0</v>
      </c>
      <c r="K104" s="19" t="n">
        <f aca="false">J108</f>
        <v>12.8099380746857</v>
      </c>
      <c r="L104" s="19" t="n">
        <f aca="false">K108</f>
        <v>32.4846237568024</v>
      </c>
      <c r="M104" s="19" t="n">
        <f aca="false">L108</f>
        <v>65.6401125914806</v>
      </c>
      <c r="N104" s="19" t="n">
        <f aca="false">M108</f>
        <v>99.1599474573091</v>
      </c>
      <c r="O104" s="19" t="n">
        <f aca="false">N108</f>
        <v>132.679782323138</v>
      </c>
      <c r="P104" s="19" t="n">
        <f aca="false">O108</f>
        <v>165.835271157816</v>
      </c>
      <c r="Q104" s="19" t="n">
        <f aca="false">P108</f>
        <v>198.990759992494</v>
      </c>
      <c r="R104" s="19" t="n">
        <f aca="false">Q108</f>
        <v>232.510594858322</v>
      </c>
      <c r="S104" s="19" t="n">
        <f aca="false">R108</f>
        <v>1638.40279367838</v>
      </c>
      <c r="T104" s="19" t="n">
        <f aca="false">S108</f>
        <v>1840.63387028647</v>
      </c>
      <c r="U104" s="19" t="n">
        <f aca="false">T108</f>
        <v>2014.94833264677</v>
      </c>
      <c r="V104" s="19" t="n">
        <f aca="false">U108</f>
        <v>2175.30817488652</v>
      </c>
      <c r="W104" s="19" t="n">
        <f aca="false">V108</f>
        <v>2319.6234560604</v>
      </c>
      <c r="X104" s="19" t="n">
        <f aca="false">W108</f>
        <v>2446.14761342576</v>
      </c>
      <c r="Y104" s="19" t="n">
        <f aca="false">X108</f>
        <v>2558.55243465676</v>
      </c>
      <c r="Z104" s="19" t="n">
        <f aca="false">Y108</f>
        <v>2656.32231004051</v>
      </c>
      <c r="AA104" s="19" t="n">
        <f aca="false">Z108</f>
        <v>2538.11059268771</v>
      </c>
      <c r="AB104" s="19" t="n">
        <f aca="false">AA108</f>
        <v>2420.86612747627</v>
      </c>
      <c r="AC104" s="19" t="n">
        <f aca="false">AB108</f>
        <v>2294.17579006709</v>
      </c>
      <c r="AD104" s="19" t="n">
        <f aca="false">AC108</f>
        <v>2157.90203372082</v>
      </c>
      <c r="AE104" s="19" t="n">
        <f aca="false">AD108</f>
        <v>2021.87658268818</v>
      </c>
      <c r="AF104" s="19" t="n">
        <f aca="false">AE108</f>
        <v>1880.76315090911</v>
      </c>
      <c r="AG104" s="19" t="n">
        <f aca="false">AF108</f>
        <v>1735.86781286615</v>
      </c>
      <c r="AH104" s="19" t="n">
        <f aca="false">AG108</f>
        <v>1581.14672050617</v>
      </c>
      <c r="AI104" s="19" t="n">
        <f aca="false">AH108</f>
        <v>1426.49012231721</v>
      </c>
      <c r="AJ104" s="19" t="n">
        <f aca="false">AI108</f>
        <v>1272.67714137698</v>
      </c>
      <c r="AK104" s="19" t="n">
        <f aca="false">AJ108</f>
        <v>1092.35428915892</v>
      </c>
      <c r="AL104" s="19" t="n">
        <f aca="false">AK108</f>
        <v>0</v>
      </c>
      <c r="AM104" s="19" t="n">
        <f aca="false">AL108</f>
        <v>0</v>
      </c>
      <c r="AN104" s="19" t="n">
        <f aca="false">AM108</f>
        <v>0</v>
      </c>
      <c r="AO104" s="19" t="n">
        <f aca="false">AN108</f>
        <v>0</v>
      </c>
      <c r="AP104" s="19" t="n">
        <f aca="false">AO108</f>
        <v>0</v>
      </c>
      <c r="AQ104" s="19" t="n">
        <f aca="false">AP108</f>
        <v>0</v>
      </c>
      <c r="AR104" s="19" t="n">
        <f aca="false">AQ108</f>
        <v>0</v>
      </c>
      <c r="AS104" s="19" t="n">
        <f aca="false">AR108</f>
        <v>0</v>
      </c>
      <c r="AT104" s="19" t="n">
        <f aca="false">AS108</f>
        <v>0</v>
      </c>
      <c r="AU104" s="19" t="n">
        <f aca="false">AT108</f>
        <v>0</v>
      </c>
      <c r="AV104" s="19" t="n">
        <f aca="false">AU108</f>
        <v>0</v>
      </c>
      <c r="AW104" s="19" t="n">
        <f aca="false">AV108</f>
        <v>0</v>
      </c>
      <c r="AX104" s="19" t="n">
        <f aca="false">AW108</f>
        <v>0</v>
      </c>
      <c r="AY104" s="19" t="n">
        <f aca="false">AX108</f>
        <v>0</v>
      </c>
      <c r="AZ104" s="19" t="n">
        <f aca="false">AY108</f>
        <v>0</v>
      </c>
      <c r="BA104" s="19" t="n">
        <f aca="false">AZ108</f>
        <v>0</v>
      </c>
      <c r="BB104" s="19" t="n">
        <f aca="false">BA108</f>
        <v>0</v>
      </c>
      <c r="BC104" s="19" t="n">
        <f aca="false">BB108</f>
        <v>0</v>
      </c>
      <c r="BD104" s="19" t="n">
        <f aca="false">BC108</f>
        <v>0</v>
      </c>
      <c r="BE104" s="19" t="n">
        <f aca="false">BD108</f>
        <v>0</v>
      </c>
      <c r="BF104" s="19" t="n">
        <f aca="false">BE108</f>
        <v>0</v>
      </c>
      <c r="BG104" s="19" t="n">
        <f aca="false">BF108</f>
        <v>0</v>
      </c>
      <c r="BH104" s="19" t="n">
        <f aca="false">BG108</f>
        <v>0</v>
      </c>
      <c r="BI104" s="19" t="n">
        <f aca="false">BH108</f>
        <v>0</v>
      </c>
      <c r="BJ104" s="19" t="n">
        <f aca="false">BI108</f>
        <v>0</v>
      </c>
      <c r="BK104" s="19" t="n">
        <f aca="false">BJ108</f>
        <v>0</v>
      </c>
      <c r="BL104" s="19" t="n">
        <f aca="false">BK108</f>
        <v>0</v>
      </c>
      <c r="BM104" s="19" t="n">
        <f aca="false">BL108</f>
        <v>0</v>
      </c>
      <c r="BN104" s="19" t="n">
        <f aca="false">BM108</f>
        <v>0</v>
      </c>
      <c r="BO104" s="19" t="n">
        <f aca="false">BN108</f>
        <v>0</v>
      </c>
      <c r="BP104" s="19" t="n">
        <f aca="false">BO108</f>
        <v>0</v>
      </c>
      <c r="BQ104" s="19" t="n">
        <f aca="false">BP108</f>
        <v>0</v>
      </c>
      <c r="BR104" s="19" t="n">
        <f aca="false">BQ108</f>
        <v>0</v>
      </c>
      <c r="BS104" s="19" t="n">
        <f aca="false">BR108</f>
        <v>0</v>
      </c>
      <c r="BT104" s="19" t="n">
        <f aca="false">BS108</f>
        <v>0</v>
      </c>
      <c r="BU104" s="19" t="n">
        <f aca="false">BT108</f>
        <v>0</v>
      </c>
      <c r="BV104" s="19" t="n">
        <f aca="false">BU108</f>
        <v>0</v>
      </c>
      <c r="BW104" s="19" t="n">
        <f aca="false">BV108</f>
        <v>0</v>
      </c>
      <c r="BX104" s="19" t="n">
        <f aca="false">BW108</f>
        <v>0</v>
      </c>
      <c r="BY104" s="19" t="n">
        <f aca="false">BX108</f>
        <v>0</v>
      </c>
      <c r="BZ104" s="19" t="n">
        <f aca="false">BY108</f>
        <v>0</v>
      </c>
      <c r="CA104" s="19" t="n">
        <f aca="false">BZ108</f>
        <v>0</v>
      </c>
      <c r="CB104" s="19" t="n">
        <f aca="false">CA108</f>
        <v>0</v>
      </c>
      <c r="CC104" s="19" t="n">
        <f aca="false">CB108</f>
        <v>0</v>
      </c>
      <c r="CD104" s="19" t="n">
        <f aca="false">CC108</f>
        <v>0</v>
      </c>
      <c r="CE104" s="19" t="n">
        <f aca="false">CD108</f>
        <v>0</v>
      </c>
      <c r="CF104" s="19" t="n">
        <f aca="false">CE108</f>
        <v>0</v>
      </c>
      <c r="CG104" s="19" t="n">
        <f aca="false">CF108</f>
        <v>0</v>
      </c>
      <c r="CH104" s="19" t="n">
        <f aca="false">CG108</f>
        <v>0</v>
      </c>
      <c r="CI104" s="19" t="n">
        <f aca="false">CH108</f>
        <v>0</v>
      </c>
      <c r="CJ104" s="19" t="n">
        <f aca="false">CI108</f>
        <v>0</v>
      </c>
      <c r="CK104" s="19" t="n">
        <f aca="false">CJ108</f>
        <v>0</v>
      </c>
      <c r="CL104" s="19" t="n">
        <f aca="false">CK108</f>
        <v>0</v>
      </c>
      <c r="CM104" s="19" t="n">
        <f aca="false">CL108</f>
        <v>0</v>
      </c>
      <c r="CN104" s="19" t="n">
        <f aca="false">CM108</f>
        <v>0</v>
      </c>
      <c r="CO104" s="19" t="n">
        <f aca="false">CN108</f>
        <v>0</v>
      </c>
      <c r="CP104" s="19" t="n">
        <f aca="false">CO108</f>
        <v>0</v>
      </c>
      <c r="CQ104" s="19" t="n">
        <f aca="false">CP108</f>
        <v>0</v>
      </c>
      <c r="CR104" s="19" t="n">
        <f aca="false">CQ108</f>
        <v>0</v>
      </c>
      <c r="CS104" s="19" t="n">
        <f aca="false">CR108</f>
        <v>0</v>
      </c>
      <c r="CT104" s="19" t="n">
        <f aca="false">CS108</f>
        <v>0</v>
      </c>
      <c r="CU104" s="19" t="n">
        <f aca="false">CT108</f>
        <v>0</v>
      </c>
      <c r="CV104" s="19" t="n">
        <f aca="false">CU108</f>
        <v>0</v>
      </c>
      <c r="CW104" s="19" t="n">
        <f aca="false">CV108</f>
        <v>0</v>
      </c>
      <c r="CX104" s="19" t="n">
        <f aca="false">CW108</f>
        <v>0</v>
      </c>
      <c r="CY104" s="19" t="n">
        <f aca="false">CX108</f>
        <v>0</v>
      </c>
      <c r="CZ104" s="19" t="n">
        <f aca="false">CY108</f>
        <v>0</v>
      </c>
      <c r="DA104" s="19" t="n">
        <f aca="false">CZ108</f>
        <v>0</v>
      </c>
      <c r="DB104" s="19" t="n">
        <f aca="false">DA108</f>
        <v>0</v>
      </c>
      <c r="DC104" s="19" t="n">
        <f aca="false">DB108</f>
        <v>0</v>
      </c>
      <c r="DD104" s="19" t="n">
        <f aca="false">DC108</f>
        <v>0</v>
      </c>
      <c r="DE104" s="19" t="n">
        <f aca="false">DD108</f>
        <v>0</v>
      </c>
      <c r="DF104" s="19" t="n">
        <f aca="false">DE108</f>
        <v>0</v>
      </c>
      <c r="DG104" s="19" t="n">
        <f aca="false">DF108</f>
        <v>0</v>
      </c>
      <c r="DH104" s="19" t="n">
        <f aca="false">DG108</f>
        <v>0</v>
      </c>
      <c r="DI104" s="19" t="n">
        <f aca="false">DH108</f>
        <v>0</v>
      </c>
      <c r="DJ104" s="19" t="n">
        <f aca="false">DI108</f>
        <v>0</v>
      </c>
      <c r="DK104" s="19" t="n">
        <f aca="false">DJ108</f>
        <v>0</v>
      </c>
      <c r="DL104" s="19" t="n">
        <f aca="false">DK108</f>
        <v>0</v>
      </c>
      <c r="DM104" s="19" t="n">
        <f aca="false">DL108</f>
        <v>0</v>
      </c>
      <c r="DN104" s="19" t="n">
        <f aca="false">DM108</f>
        <v>0</v>
      </c>
      <c r="DO104" s="19" t="n">
        <f aca="false">DN108</f>
        <v>0</v>
      </c>
      <c r="DP104" s="19" t="n">
        <f aca="false">DO108</f>
        <v>0</v>
      </c>
      <c r="DQ104" s="19" t="n">
        <f aca="false">DP108</f>
        <v>0</v>
      </c>
      <c r="DR104" s="19" t="n">
        <f aca="false">DQ108</f>
        <v>0</v>
      </c>
      <c r="DS104" s="19" t="n">
        <f aca="false">DR108</f>
        <v>0</v>
      </c>
      <c r="DT104" s="19" t="n">
        <f aca="false">DS108</f>
        <v>0</v>
      </c>
      <c r="DU104" s="19" t="n">
        <f aca="false">DT108</f>
        <v>0</v>
      </c>
      <c r="DV104" s="19" t="n">
        <f aca="false">DU108</f>
        <v>0</v>
      </c>
      <c r="DW104" s="19" t="n">
        <f aca="false">DV108</f>
        <v>0</v>
      </c>
      <c r="DX104" s="19" t="n">
        <f aca="false">DW108</f>
        <v>0</v>
      </c>
      <c r="DY104" s="19" t="n">
        <f aca="false">DX108</f>
        <v>0</v>
      </c>
      <c r="DZ104" s="19" t="n">
        <f aca="false">DY108</f>
        <v>0</v>
      </c>
      <c r="EA104" s="19" t="n">
        <f aca="false">DZ108</f>
        <v>0</v>
      </c>
      <c r="EB104" s="19" t="n">
        <f aca="false">EA108</f>
        <v>0</v>
      </c>
      <c r="EC104" s="19" t="n">
        <f aca="false">EB108</f>
        <v>0</v>
      </c>
      <c r="ED104" s="19" t="n">
        <f aca="false">EC108</f>
        <v>0</v>
      </c>
      <c r="EE104" s="19" t="n">
        <f aca="false">ED108</f>
        <v>0</v>
      </c>
      <c r="EF104" s="19" t="n">
        <f aca="false">EE108</f>
        <v>0</v>
      </c>
      <c r="EG104" s="19" t="n">
        <f aca="false">EF108</f>
        <v>0</v>
      </c>
      <c r="EH104" s="19" t="n">
        <f aca="false">EG108</f>
        <v>0</v>
      </c>
      <c r="EI104" s="19" t="n">
        <f aca="false">EH108</f>
        <v>0</v>
      </c>
      <c r="EJ104" s="19" t="n">
        <f aca="false">EI108</f>
        <v>0</v>
      </c>
      <c r="EK104" s="19" t="n">
        <f aca="false">EJ108</f>
        <v>0</v>
      </c>
      <c r="EL104" s="19" t="n">
        <f aca="false">EK108</f>
        <v>0</v>
      </c>
      <c r="EM104" s="19" t="n">
        <f aca="false">EL108</f>
        <v>0</v>
      </c>
      <c r="EN104" s="19" t="n">
        <f aca="false">EM108</f>
        <v>0</v>
      </c>
      <c r="EO104" s="19" t="n">
        <f aca="false">EN108</f>
        <v>0</v>
      </c>
    </row>
    <row r="105" customFormat="false" ht="15" hidden="false" customHeight="false" outlineLevel="0" collapsed="false">
      <c r="C105" s="1" t="s">
        <v>449</v>
      </c>
      <c r="D105" s="12" t="s">
        <v>33</v>
      </c>
      <c r="I105" s="48" t="n">
        <f aca="false">SUM(J105:EO105)</f>
        <v>2656.32231004051</v>
      </c>
      <c r="J105" s="48" t="n">
        <f aca="false">MAX(0,-J103)</f>
        <v>12.8099380746857</v>
      </c>
      <c r="K105" s="48" t="n">
        <f aca="false">MAX(0,-K103)</f>
        <v>19.6746856821167</v>
      </c>
      <c r="L105" s="48" t="n">
        <f aca="false">MAX(0,-L103)</f>
        <v>33.1554888346782</v>
      </c>
      <c r="M105" s="48" t="n">
        <f aca="false">MAX(0,-M103)</f>
        <v>33.5198348658285</v>
      </c>
      <c r="N105" s="48" t="n">
        <f aca="false">MAX(0,-N103)</f>
        <v>33.5198348658285</v>
      </c>
      <c r="O105" s="48" t="n">
        <f aca="false">MAX(0,-O103)</f>
        <v>33.1554888346782</v>
      </c>
      <c r="P105" s="48" t="n">
        <f aca="false">MAX(0,-P103)</f>
        <v>33.1554888346782</v>
      </c>
      <c r="Q105" s="48" t="n">
        <f aca="false">MAX(0,-Q103)</f>
        <v>33.5198348658285</v>
      </c>
      <c r="R105" s="48" t="n">
        <f aca="false">MAX(0,-R103)</f>
        <v>1405.89219882006</v>
      </c>
      <c r="S105" s="48" t="n">
        <f aca="false">MAX(0,-S103)</f>
        <v>202.231076608086</v>
      </c>
      <c r="T105" s="48" t="n">
        <f aca="false">MAX(0,-T103)</f>
        <v>174.314462360302</v>
      </c>
      <c r="U105" s="48" t="n">
        <f aca="false">MAX(0,-U103)</f>
        <v>160.359842239747</v>
      </c>
      <c r="V105" s="48" t="n">
        <f aca="false">MAX(0,-V103)</f>
        <v>144.315281173881</v>
      </c>
      <c r="W105" s="48" t="n">
        <f aca="false">MAX(0,-W103)</f>
        <v>126.524157365359</v>
      </c>
      <c r="X105" s="48" t="n">
        <f aca="false">MAX(0,-X103)</f>
        <v>112.404821231</v>
      </c>
      <c r="Y105" s="48" t="n">
        <f aca="false">MAX(0,-Y103)</f>
        <v>97.7698753837493</v>
      </c>
      <c r="Z105" s="48" t="n">
        <f aca="false">MAX(0,-Z103)</f>
        <v>0</v>
      </c>
      <c r="AA105" s="48" t="n">
        <f aca="false">MAX(0,-AA103)</f>
        <v>0</v>
      </c>
      <c r="AB105" s="48" t="n">
        <f aca="false">MAX(0,-AB103)</f>
        <v>0</v>
      </c>
      <c r="AC105" s="48" t="n">
        <f aca="false">MAX(0,-AC103)</f>
        <v>0</v>
      </c>
      <c r="AD105" s="48" t="n">
        <f aca="false">MAX(0,-AD103)</f>
        <v>0</v>
      </c>
      <c r="AE105" s="48" t="n">
        <f aca="false">MAX(0,-AE103)</f>
        <v>0</v>
      </c>
      <c r="AF105" s="48" t="n">
        <f aca="false">MAX(0,-AF103)</f>
        <v>0</v>
      </c>
      <c r="AG105" s="48" t="n">
        <f aca="false">MAX(0,-AG103)</f>
        <v>0</v>
      </c>
      <c r="AH105" s="48" t="n">
        <f aca="false">MAX(0,-AH103)</f>
        <v>0</v>
      </c>
      <c r="AI105" s="48" t="n">
        <f aca="false">MAX(0,-AI103)</f>
        <v>0</v>
      </c>
      <c r="AJ105" s="48" t="n">
        <f aca="false">MAX(0,-AJ103)</f>
        <v>0</v>
      </c>
      <c r="AK105" s="48" t="n">
        <f aca="false">MAX(0,-AK103)</f>
        <v>0</v>
      </c>
      <c r="AL105" s="48" t="n">
        <f aca="false">MAX(0,-AL103)</f>
        <v>0</v>
      </c>
      <c r="AM105" s="48" t="n">
        <f aca="false">MAX(0,-AM103)</f>
        <v>0</v>
      </c>
      <c r="AN105" s="48" t="n">
        <f aca="false">MAX(0,-AN103)</f>
        <v>0</v>
      </c>
      <c r="AO105" s="48" t="n">
        <f aca="false">MAX(0,-AO103)</f>
        <v>0</v>
      </c>
      <c r="AP105" s="48" t="n">
        <f aca="false">MAX(0,-AP103)</f>
        <v>0</v>
      </c>
      <c r="AQ105" s="48" t="n">
        <f aca="false">MAX(0,-AQ103)</f>
        <v>0</v>
      </c>
      <c r="AR105" s="48" t="n">
        <f aca="false">MAX(0,-AR103)</f>
        <v>0</v>
      </c>
      <c r="AS105" s="48" t="n">
        <f aca="false">MAX(0,-AS103)</f>
        <v>0</v>
      </c>
      <c r="AT105" s="48" t="n">
        <f aca="false">MAX(0,-AT103)</f>
        <v>0</v>
      </c>
      <c r="AU105" s="48" t="n">
        <f aca="false">MAX(0,-AU103)</f>
        <v>0</v>
      </c>
      <c r="AV105" s="48" t="n">
        <f aca="false">MAX(0,-AV103)</f>
        <v>0</v>
      </c>
      <c r="AW105" s="48" t="n">
        <f aca="false">MAX(0,-AW103)</f>
        <v>0</v>
      </c>
      <c r="AX105" s="48" t="n">
        <f aca="false">MAX(0,-AX103)</f>
        <v>0</v>
      </c>
      <c r="AY105" s="48" t="n">
        <f aca="false">MAX(0,-AY103)</f>
        <v>0</v>
      </c>
      <c r="AZ105" s="48" t="n">
        <f aca="false">MAX(0,-AZ103)</f>
        <v>0</v>
      </c>
      <c r="BA105" s="48" t="n">
        <f aca="false">MAX(0,-BA103)</f>
        <v>0</v>
      </c>
      <c r="BB105" s="48" t="n">
        <f aca="false">MAX(0,-BB103)</f>
        <v>0</v>
      </c>
      <c r="BC105" s="48" t="n">
        <f aca="false">MAX(0,-BC103)</f>
        <v>0</v>
      </c>
      <c r="BD105" s="48" t="n">
        <f aca="false">MAX(0,-BD103)</f>
        <v>0</v>
      </c>
      <c r="BE105" s="48" t="n">
        <f aca="false">MAX(0,-BE103)</f>
        <v>0</v>
      </c>
      <c r="BF105" s="48" t="n">
        <f aca="false">MAX(0,-BF103)</f>
        <v>0</v>
      </c>
      <c r="BG105" s="48" t="n">
        <f aca="false">MAX(0,-BG103)</f>
        <v>0</v>
      </c>
      <c r="BH105" s="48" t="n">
        <f aca="false">MAX(0,-BH103)</f>
        <v>0</v>
      </c>
      <c r="BI105" s="48" t="n">
        <f aca="false">MAX(0,-BI103)</f>
        <v>0</v>
      </c>
      <c r="BJ105" s="48" t="n">
        <f aca="false">MAX(0,-BJ103)</f>
        <v>0</v>
      </c>
      <c r="BK105" s="48" t="n">
        <f aca="false">MAX(0,-BK103)</f>
        <v>0</v>
      </c>
      <c r="BL105" s="48" t="n">
        <f aca="false">MAX(0,-BL103)</f>
        <v>0</v>
      </c>
      <c r="BM105" s="48" t="n">
        <f aca="false">MAX(0,-BM103)</f>
        <v>0</v>
      </c>
      <c r="BN105" s="48" t="n">
        <f aca="false">MAX(0,-BN103)</f>
        <v>0</v>
      </c>
      <c r="BO105" s="48" t="n">
        <f aca="false">MAX(0,-BO103)</f>
        <v>0</v>
      </c>
      <c r="BP105" s="48" t="n">
        <f aca="false">MAX(0,-BP103)</f>
        <v>0</v>
      </c>
      <c r="BQ105" s="48" t="n">
        <f aca="false">MAX(0,-BQ103)</f>
        <v>0</v>
      </c>
      <c r="BR105" s="48" t="n">
        <f aca="false">MAX(0,-BR103)</f>
        <v>0</v>
      </c>
      <c r="BS105" s="48" t="n">
        <f aca="false">MAX(0,-BS103)</f>
        <v>0</v>
      </c>
      <c r="BT105" s="48" t="n">
        <f aca="false">MAX(0,-BT103)</f>
        <v>0</v>
      </c>
      <c r="BU105" s="48" t="n">
        <f aca="false">MAX(0,-BU103)</f>
        <v>0</v>
      </c>
      <c r="BV105" s="48" t="n">
        <f aca="false">MAX(0,-BV103)</f>
        <v>0</v>
      </c>
      <c r="BW105" s="48" t="n">
        <f aca="false">MAX(0,-BW103)</f>
        <v>0</v>
      </c>
      <c r="BX105" s="48" t="n">
        <f aca="false">MAX(0,-BX103)</f>
        <v>0</v>
      </c>
      <c r="BY105" s="48" t="n">
        <f aca="false">MAX(0,-BY103)</f>
        <v>0</v>
      </c>
      <c r="BZ105" s="48" t="n">
        <f aca="false">MAX(0,-BZ103)</f>
        <v>0</v>
      </c>
      <c r="CA105" s="48" t="n">
        <f aca="false">MAX(0,-CA103)</f>
        <v>0</v>
      </c>
      <c r="CB105" s="48" t="n">
        <f aca="false">MAX(0,-CB103)</f>
        <v>0</v>
      </c>
      <c r="CC105" s="48" t="n">
        <f aca="false">MAX(0,-CC103)</f>
        <v>0</v>
      </c>
      <c r="CD105" s="48" t="n">
        <f aca="false">MAX(0,-CD103)</f>
        <v>0</v>
      </c>
      <c r="CE105" s="48" t="n">
        <f aca="false">MAX(0,-CE103)</f>
        <v>0</v>
      </c>
      <c r="CF105" s="48" t="n">
        <f aca="false">MAX(0,-CF103)</f>
        <v>0</v>
      </c>
      <c r="CG105" s="48" t="n">
        <f aca="false">MAX(0,-CG103)</f>
        <v>0</v>
      </c>
      <c r="CH105" s="48" t="n">
        <f aca="false">MAX(0,-CH103)</f>
        <v>0</v>
      </c>
      <c r="CI105" s="48" t="n">
        <f aca="false">MAX(0,-CI103)</f>
        <v>0</v>
      </c>
      <c r="CJ105" s="48" t="n">
        <f aca="false">MAX(0,-CJ103)</f>
        <v>0</v>
      </c>
      <c r="CK105" s="48" t="n">
        <f aca="false">MAX(0,-CK103)</f>
        <v>0</v>
      </c>
      <c r="CL105" s="48" t="n">
        <f aca="false">MAX(0,-CL103)</f>
        <v>0</v>
      </c>
      <c r="CM105" s="48" t="n">
        <f aca="false">MAX(0,-CM103)</f>
        <v>0</v>
      </c>
      <c r="CN105" s="48" t="n">
        <f aca="false">MAX(0,-CN103)</f>
        <v>0</v>
      </c>
      <c r="CO105" s="48" t="n">
        <f aca="false">MAX(0,-CO103)</f>
        <v>0</v>
      </c>
      <c r="CP105" s="48" t="n">
        <f aca="false">MAX(0,-CP103)</f>
        <v>0</v>
      </c>
      <c r="CQ105" s="48" t="n">
        <f aca="false">MAX(0,-CQ103)</f>
        <v>0</v>
      </c>
      <c r="CR105" s="48" t="n">
        <f aca="false">MAX(0,-CR103)</f>
        <v>0</v>
      </c>
      <c r="CS105" s="48" t="n">
        <f aca="false">MAX(0,-CS103)</f>
        <v>0</v>
      </c>
      <c r="CT105" s="48" t="n">
        <f aca="false">MAX(0,-CT103)</f>
        <v>0</v>
      </c>
      <c r="CU105" s="48" t="n">
        <f aca="false">MAX(0,-CU103)</f>
        <v>0</v>
      </c>
      <c r="CV105" s="48" t="n">
        <f aca="false">MAX(0,-CV103)</f>
        <v>0</v>
      </c>
      <c r="CW105" s="48" t="n">
        <f aca="false">MAX(0,-CW103)</f>
        <v>0</v>
      </c>
      <c r="CX105" s="48" t="n">
        <f aca="false">MAX(0,-CX103)</f>
        <v>0</v>
      </c>
      <c r="CY105" s="48" t="n">
        <f aca="false">MAX(0,-CY103)</f>
        <v>0</v>
      </c>
      <c r="CZ105" s="48" t="n">
        <f aca="false">MAX(0,-CZ103)</f>
        <v>0</v>
      </c>
      <c r="DA105" s="48" t="n">
        <f aca="false">MAX(0,-DA103)</f>
        <v>0</v>
      </c>
      <c r="DB105" s="48" t="n">
        <f aca="false">MAX(0,-DB103)</f>
        <v>0</v>
      </c>
      <c r="DC105" s="48" t="n">
        <f aca="false">MAX(0,-DC103)</f>
        <v>0</v>
      </c>
      <c r="DD105" s="48" t="n">
        <f aca="false">MAX(0,-DD103)</f>
        <v>0</v>
      </c>
      <c r="DE105" s="48" t="n">
        <f aca="false">MAX(0,-DE103)</f>
        <v>0</v>
      </c>
      <c r="DF105" s="48" t="n">
        <f aca="false">MAX(0,-DF103)</f>
        <v>0</v>
      </c>
      <c r="DG105" s="48" t="n">
        <f aca="false">MAX(0,-DG103)</f>
        <v>0</v>
      </c>
      <c r="DH105" s="48" t="n">
        <f aca="false">MAX(0,-DH103)</f>
        <v>0</v>
      </c>
      <c r="DI105" s="48" t="n">
        <f aca="false">MAX(0,-DI103)</f>
        <v>0</v>
      </c>
      <c r="DJ105" s="48" t="n">
        <f aca="false">MAX(0,-DJ103)</f>
        <v>0</v>
      </c>
      <c r="DK105" s="48" t="n">
        <f aca="false">MAX(0,-DK103)</f>
        <v>0</v>
      </c>
      <c r="DL105" s="48" t="n">
        <f aca="false">MAX(0,-DL103)</f>
        <v>0</v>
      </c>
      <c r="DM105" s="48" t="n">
        <f aca="false">MAX(0,-DM103)</f>
        <v>0</v>
      </c>
      <c r="DN105" s="48" t="n">
        <f aca="false">MAX(0,-DN103)</f>
        <v>0</v>
      </c>
      <c r="DO105" s="48" t="n">
        <f aca="false">MAX(0,-DO103)</f>
        <v>0</v>
      </c>
      <c r="DP105" s="48" t="n">
        <f aca="false">MAX(0,-DP103)</f>
        <v>0</v>
      </c>
      <c r="DQ105" s="48" t="n">
        <f aca="false">MAX(0,-DQ103)</f>
        <v>0</v>
      </c>
      <c r="DR105" s="48" t="n">
        <f aca="false">MAX(0,-DR103)</f>
        <v>0</v>
      </c>
      <c r="DS105" s="48" t="n">
        <f aca="false">MAX(0,-DS103)</f>
        <v>0</v>
      </c>
      <c r="DT105" s="48" t="n">
        <f aca="false">MAX(0,-DT103)</f>
        <v>0</v>
      </c>
      <c r="DU105" s="48" t="n">
        <f aca="false">MAX(0,-DU103)</f>
        <v>0</v>
      </c>
      <c r="DV105" s="48" t="n">
        <f aca="false">MAX(0,-DV103)</f>
        <v>0</v>
      </c>
      <c r="DW105" s="48" t="n">
        <f aca="false">MAX(0,-DW103)</f>
        <v>0</v>
      </c>
      <c r="DX105" s="48" t="n">
        <f aca="false">MAX(0,-DX103)</f>
        <v>0</v>
      </c>
      <c r="DY105" s="48" t="n">
        <f aca="false">MAX(0,-DY103)</f>
        <v>0</v>
      </c>
      <c r="DZ105" s="48" t="n">
        <f aca="false">MAX(0,-DZ103)</f>
        <v>0</v>
      </c>
      <c r="EA105" s="48" t="n">
        <f aca="false">MAX(0,-EA103)</f>
        <v>0</v>
      </c>
      <c r="EB105" s="48" t="n">
        <f aca="false">MAX(0,-EB103)</f>
        <v>0</v>
      </c>
      <c r="EC105" s="48" t="n">
        <f aca="false">MAX(0,-EC103)</f>
        <v>0</v>
      </c>
      <c r="ED105" s="48" t="n">
        <f aca="false">MAX(0,-ED103)</f>
        <v>0</v>
      </c>
      <c r="EE105" s="48" t="n">
        <f aca="false">MAX(0,-EE103)</f>
        <v>0</v>
      </c>
      <c r="EF105" s="48" t="n">
        <f aca="false">MAX(0,-EF103)</f>
        <v>0</v>
      </c>
      <c r="EG105" s="48" t="n">
        <f aca="false">MAX(0,-EG103)</f>
        <v>0</v>
      </c>
      <c r="EH105" s="48" t="n">
        <f aca="false">MAX(0,-EH103)</f>
        <v>0</v>
      </c>
      <c r="EI105" s="48" t="n">
        <f aca="false">MAX(0,-EI103)</f>
        <v>0</v>
      </c>
      <c r="EJ105" s="48" t="n">
        <f aca="false">MAX(0,-EJ103)</f>
        <v>0</v>
      </c>
      <c r="EK105" s="48" t="n">
        <f aca="false">MAX(0,-EK103)</f>
        <v>0</v>
      </c>
      <c r="EL105" s="48" t="n">
        <f aca="false">MAX(0,-EL103)</f>
        <v>0</v>
      </c>
      <c r="EM105" s="48" t="n">
        <f aca="false">MAX(0,-EM103)</f>
        <v>0</v>
      </c>
      <c r="EN105" s="48" t="n">
        <f aca="false">MAX(0,-EN103)</f>
        <v>0</v>
      </c>
      <c r="EO105" s="48" t="n">
        <f aca="false">MAX(0,-EO103)</f>
        <v>0</v>
      </c>
    </row>
    <row r="106" customFormat="false" ht="15" hidden="false" customHeight="false" outlineLevel="0" collapsed="false">
      <c r="C106" s="1" t="s">
        <v>450</v>
      </c>
      <c r="D106" s="12" t="s">
        <v>33</v>
      </c>
      <c r="I106" s="48" t="n">
        <f aca="false">SUM(J106:EO106)</f>
        <v>-1754.67583529558</v>
      </c>
      <c r="J106" s="48" t="n">
        <f aca="false">-MIN(J104,In_Loss_Cap*MAX(0,J103))</f>
        <v>-0</v>
      </c>
      <c r="K106" s="48" t="n">
        <f aca="false">-MIN(K104,In_Loss_Cap*MAX(0,K103))</f>
        <v>-0</v>
      </c>
      <c r="L106" s="48" t="n">
        <f aca="false">-MIN(L104,In_Loss_Cap*MAX(0,L103))</f>
        <v>-0</v>
      </c>
      <c r="M106" s="48" t="n">
        <f aca="false">-MIN(M104,In_Loss_Cap*MAX(0,M103))</f>
        <v>-0</v>
      </c>
      <c r="N106" s="48" t="n">
        <f aca="false">-MIN(N104,In_Loss_Cap*MAX(0,N103))</f>
        <v>-0</v>
      </c>
      <c r="O106" s="48" t="n">
        <f aca="false">-MIN(O104,In_Loss_Cap*MAX(0,O103))</f>
        <v>-0</v>
      </c>
      <c r="P106" s="48" t="n">
        <f aca="false">-MIN(P104,In_Loss_Cap*MAX(0,P103))</f>
        <v>-0</v>
      </c>
      <c r="Q106" s="48" t="n">
        <f aca="false">-MIN(Q104,In_Loss_Cap*MAX(0,Q103))</f>
        <v>-0</v>
      </c>
      <c r="R106" s="48" t="n">
        <f aca="false">-MIN(R104,In_Loss_Cap*MAX(0,R103))</f>
        <v>-0</v>
      </c>
      <c r="S106" s="48" t="n">
        <f aca="false">-MIN(S104,In_Loss_Cap*MAX(0,S103))</f>
        <v>-0</v>
      </c>
      <c r="T106" s="48" t="n">
        <f aca="false">-MIN(T104,In_Loss_Cap*MAX(0,T103))</f>
        <v>-0</v>
      </c>
      <c r="U106" s="48" t="n">
        <f aca="false">-MIN(U104,In_Loss_Cap*MAX(0,U103))</f>
        <v>-0</v>
      </c>
      <c r="V106" s="48" t="n">
        <f aca="false">-MIN(V104,In_Loss_Cap*MAX(0,V103))</f>
        <v>-0</v>
      </c>
      <c r="W106" s="48" t="n">
        <f aca="false">-MIN(W104,In_Loss_Cap*MAX(0,W103))</f>
        <v>-0</v>
      </c>
      <c r="X106" s="48" t="n">
        <f aca="false">-MIN(X104,In_Loss_Cap*MAX(0,X103))</f>
        <v>-0</v>
      </c>
      <c r="Y106" s="48" t="n">
        <f aca="false">-MIN(Y104,In_Loss_Cap*MAX(0,Y103))</f>
        <v>-0</v>
      </c>
      <c r="Z106" s="48" t="n">
        <f aca="false">-MIN(Z104,In_Loss_Cap*MAX(0,Z103))</f>
        <v>-118.211717352798</v>
      </c>
      <c r="AA106" s="48" t="n">
        <f aca="false">-MIN(AA104,In_Loss_Cap*MAX(0,AA103))</f>
        <v>-117.244465211439</v>
      </c>
      <c r="AB106" s="48" t="n">
        <f aca="false">-MIN(AB104,In_Loss_Cap*MAX(0,AB103))</f>
        <v>-126.690337409178</v>
      </c>
      <c r="AC106" s="48" t="n">
        <f aca="false">-MIN(AC104,In_Loss_Cap*MAX(0,AC103))</f>
        <v>-136.273756346269</v>
      </c>
      <c r="AD106" s="48" t="n">
        <f aca="false">-MIN(AD104,In_Loss_Cap*MAX(0,AD103))</f>
        <v>-136.025451032642</v>
      </c>
      <c r="AE106" s="48" t="n">
        <f aca="false">-MIN(AE104,In_Loss_Cap*MAX(0,AE103))</f>
        <v>-141.113431779075</v>
      </c>
      <c r="AF106" s="48" t="n">
        <f aca="false">-MIN(AF104,In_Loss_Cap*MAX(0,AF103))</f>
        <v>-144.895338042961</v>
      </c>
      <c r="AG106" s="48" t="n">
        <f aca="false">-MIN(AG104,In_Loss_Cap*MAX(0,AG103))</f>
        <v>-154.721092359981</v>
      </c>
      <c r="AH106" s="48" t="n">
        <f aca="false">-MIN(AH104,In_Loss_Cap*MAX(0,AH103))</f>
        <v>-154.656598188951</v>
      </c>
      <c r="AI106" s="48" t="n">
        <f aca="false">-MIN(AI104,In_Loss_Cap*MAX(0,AI103))</f>
        <v>-153.812980940234</v>
      </c>
      <c r="AJ106" s="48" t="n">
        <f aca="false">-MIN(AJ104,In_Loss_Cap*MAX(0,AJ103))</f>
        <v>-180.322852218056</v>
      </c>
      <c r="AK106" s="48" t="n">
        <f aca="false">-MIN(AK104,In_Loss_Cap*MAX(0,AK103))</f>
        <v>-190.707814413997</v>
      </c>
      <c r="AL106" s="48" t="n">
        <f aca="false">-MIN(AL104,In_Loss_Cap*MAX(0,AL103))</f>
        <v>-0</v>
      </c>
      <c r="AM106" s="48" t="n">
        <f aca="false">-MIN(AM104,In_Loss_Cap*MAX(0,AM103))</f>
        <v>-0</v>
      </c>
      <c r="AN106" s="48" t="n">
        <f aca="false">-MIN(AN104,In_Loss_Cap*MAX(0,AN103))</f>
        <v>-0</v>
      </c>
      <c r="AO106" s="48" t="n">
        <f aca="false">-MIN(AO104,In_Loss_Cap*MAX(0,AO103))</f>
        <v>-0</v>
      </c>
      <c r="AP106" s="48" t="n">
        <f aca="false">-MIN(AP104,In_Loss_Cap*MAX(0,AP103))</f>
        <v>-0</v>
      </c>
      <c r="AQ106" s="48" t="n">
        <f aca="false">-MIN(AQ104,In_Loss_Cap*MAX(0,AQ103))</f>
        <v>-0</v>
      </c>
      <c r="AR106" s="48" t="n">
        <f aca="false">-MIN(AR104,In_Loss_Cap*MAX(0,AR103))</f>
        <v>-0</v>
      </c>
      <c r="AS106" s="48" t="n">
        <f aca="false">-MIN(AS104,In_Loss_Cap*MAX(0,AS103))</f>
        <v>-0</v>
      </c>
      <c r="AT106" s="48" t="n">
        <f aca="false">-MIN(AT104,In_Loss_Cap*MAX(0,AT103))</f>
        <v>-0</v>
      </c>
      <c r="AU106" s="48" t="n">
        <f aca="false">-MIN(AU104,In_Loss_Cap*MAX(0,AU103))</f>
        <v>-0</v>
      </c>
      <c r="AV106" s="48" t="n">
        <f aca="false">-MIN(AV104,In_Loss_Cap*MAX(0,AV103))</f>
        <v>-0</v>
      </c>
      <c r="AW106" s="48" t="n">
        <f aca="false">-MIN(AW104,In_Loss_Cap*MAX(0,AW103))</f>
        <v>-0</v>
      </c>
      <c r="AX106" s="48" t="n">
        <f aca="false">-MIN(AX104,In_Loss_Cap*MAX(0,AX103))</f>
        <v>-0</v>
      </c>
      <c r="AY106" s="48" t="n">
        <f aca="false">-MIN(AY104,In_Loss_Cap*MAX(0,AY103))</f>
        <v>-0</v>
      </c>
      <c r="AZ106" s="48" t="n">
        <f aca="false">-MIN(AZ104,In_Loss_Cap*MAX(0,AZ103))</f>
        <v>-0</v>
      </c>
      <c r="BA106" s="48" t="n">
        <f aca="false">-MIN(BA104,In_Loss_Cap*MAX(0,BA103))</f>
        <v>-0</v>
      </c>
      <c r="BB106" s="48" t="n">
        <f aca="false">-MIN(BB104,In_Loss_Cap*MAX(0,BB103))</f>
        <v>-0</v>
      </c>
      <c r="BC106" s="48" t="n">
        <f aca="false">-MIN(BC104,In_Loss_Cap*MAX(0,BC103))</f>
        <v>-0</v>
      </c>
      <c r="BD106" s="48" t="n">
        <f aca="false">-MIN(BD104,In_Loss_Cap*MAX(0,BD103))</f>
        <v>-0</v>
      </c>
      <c r="BE106" s="48" t="n">
        <f aca="false">-MIN(BE104,In_Loss_Cap*MAX(0,BE103))</f>
        <v>-0</v>
      </c>
      <c r="BF106" s="48" t="n">
        <f aca="false">-MIN(BF104,In_Loss_Cap*MAX(0,BF103))</f>
        <v>-0</v>
      </c>
      <c r="BG106" s="48" t="n">
        <f aca="false">-MIN(BG104,In_Loss_Cap*MAX(0,BG103))</f>
        <v>-0</v>
      </c>
      <c r="BH106" s="48" t="n">
        <f aca="false">-MIN(BH104,In_Loss_Cap*MAX(0,BH103))</f>
        <v>-0</v>
      </c>
      <c r="BI106" s="48" t="n">
        <f aca="false">-MIN(BI104,In_Loss_Cap*MAX(0,BI103))</f>
        <v>-0</v>
      </c>
      <c r="BJ106" s="48" t="n">
        <f aca="false">-MIN(BJ104,In_Loss_Cap*MAX(0,BJ103))</f>
        <v>-0</v>
      </c>
      <c r="BK106" s="48" t="n">
        <f aca="false">-MIN(BK104,In_Loss_Cap*MAX(0,BK103))</f>
        <v>-0</v>
      </c>
      <c r="BL106" s="48" t="n">
        <f aca="false">-MIN(BL104,In_Loss_Cap*MAX(0,BL103))</f>
        <v>-0</v>
      </c>
      <c r="BM106" s="48" t="n">
        <f aca="false">-MIN(BM104,In_Loss_Cap*MAX(0,BM103))</f>
        <v>-0</v>
      </c>
      <c r="BN106" s="48" t="n">
        <f aca="false">-MIN(BN104,In_Loss_Cap*MAX(0,BN103))</f>
        <v>-0</v>
      </c>
      <c r="BO106" s="48" t="n">
        <f aca="false">-MIN(BO104,In_Loss_Cap*MAX(0,BO103))</f>
        <v>-0</v>
      </c>
      <c r="BP106" s="48" t="n">
        <f aca="false">-MIN(BP104,In_Loss_Cap*MAX(0,BP103))</f>
        <v>-0</v>
      </c>
      <c r="BQ106" s="48" t="n">
        <f aca="false">-MIN(BQ104,In_Loss_Cap*MAX(0,BQ103))</f>
        <v>-0</v>
      </c>
      <c r="BR106" s="48" t="n">
        <f aca="false">-MIN(BR104,In_Loss_Cap*MAX(0,BR103))</f>
        <v>-0</v>
      </c>
      <c r="BS106" s="48" t="n">
        <f aca="false">-MIN(BS104,In_Loss_Cap*MAX(0,BS103))</f>
        <v>-0</v>
      </c>
      <c r="BT106" s="48" t="n">
        <f aca="false">-MIN(BT104,In_Loss_Cap*MAX(0,BT103))</f>
        <v>-0</v>
      </c>
      <c r="BU106" s="48" t="n">
        <f aca="false">-MIN(BU104,In_Loss_Cap*MAX(0,BU103))</f>
        <v>-0</v>
      </c>
      <c r="BV106" s="48" t="n">
        <f aca="false">-MIN(BV104,In_Loss_Cap*MAX(0,BV103))</f>
        <v>-0</v>
      </c>
      <c r="BW106" s="48" t="n">
        <f aca="false">-MIN(BW104,In_Loss_Cap*MAX(0,BW103))</f>
        <v>-0</v>
      </c>
      <c r="BX106" s="48" t="n">
        <f aca="false">-MIN(BX104,In_Loss_Cap*MAX(0,BX103))</f>
        <v>-0</v>
      </c>
      <c r="BY106" s="48" t="n">
        <f aca="false">-MIN(BY104,In_Loss_Cap*MAX(0,BY103))</f>
        <v>-0</v>
      </c>
      <c r="BZ106" s="48" t="n">
        <f aca="false">-MIN(BZ104,In_Loss_Cap*MAX(0,BZ103))</f>
        <v>-0</v>
      </c>
      <c r="CA106" s="48" t="n">
        <f aca="false">-MIN(CA104,In_Loss_Cap*MAX(0,CA103))</f>
        <v>-0</v>
      </c>
      <c r="CB106" s="48" t="n">
        <f aca="false">-MIN(CB104,In_Loss_Cap*MAX(0,CB103))</f>
        <v>-0</v>
      </c>
      <c r="CC106" s="48" t="n">
        <f aca="false">-MIN(CC104,In_Loss_Cap*MAX(0,CC103))</f>
        <v>-0</v>
      </c>
      <c r="CD106" s="48" t="n">
        <f aca="false">-MIN(CD104,In_Loss_Cap*MAX(0,CD103))</f>
        <v>-0</v>
      </c>
      <c r="CE106" s="48" t="n">
        <f aca="false">-MIN(CE104,In_Loss_Cap*MAX(0,CE103))</f>
        <v>-0</v>
      </c>
      <c r="CF106" s="48" t="n">
        <f aca="false">-MIN(CF104,In_Loss_Cap*MAX(0,CF103))</f>
        <v>-0</v>
      </c>
      <c r="CG106" s="48" t="n">
        <f aca="false">-MIN(CG104,In_Loss_Cap*MAX(0,CG103))</f>
        <v>-0</v>
      </c>
      <c r="CH106" s="48" t="n">
        <f aca="false">-MIN(CH104,In_Loss_Cap*MAX(0,CH103))</f>
        <v>-0</v>
      </c>
      <c r="CI106" s="48" t="n">
        <f aca="false">-MIN(CI104,In_Loss_Cap*MAX(0,CI103))</f>
        <v>-0</v>
      </c>
      <c r="CJ106" s="48" t="n">
        <f aca="false">-MIN(CJ104,In_Loss_Cap*MAX(0,CJ103))</f>
        <v>-0</v>
      </c>
      <c r="CK106" s="48" t="n">
        <f aca="false">-MIN(CK104,In_Loss_Cap*MAX(0,CK103))</f>
        <v>-0</v>
      </c>
      <c r="CL106" s="48" t="n">
        <f aca="false">-MIN(CL104,In_Loss_Cap*MAX(0,CL103))</f>
        <v>-0</v>
      </c>
      <c r="CM106" s="48" t="n">
        <f aca="false">-MIN(CM104,In_Loss_Cap*MAX(0,CM103))</f>
        <v>-0</v>
      </c>
      <c r="CN106" s="48" t="n">
        <f aca="false">-MIN(CN104,In_Loss_Cap*MAX(0,CN103))</f>
        <v>-0</v>
      </c>
      <c r="CO106" s="48" t="n">
        <f aca="false">-MIN(CO104,In_Loss_Cap*MAX(0,CO103))</f>
        <v>-0</v>
      </c>
      <c r="CP106" s="48" t="n">
        <f aca="false">-MIN(CP104,In_Loss_Cap*MAX(0,CP103))</f>
        <v>-0</v>
      </c>
      <c r="CQ106" s="48" t="n">
        <f aca="false">-MIN(CQ104,In_Loss_Cap*MAX(0,CQ103))</f>
        <v>-0</v>
      </c>
      <c r="CR106" s="48" t="n">
        <f aca="false">-MIN(CR104,In_Loss_Cap*MAX(0,CR103))</f>
        <v>-0</v>
      </c>
      <c r="CS106" s="48" t="n">
        <f aca="false">-MIN(CS104,In_Loss_Cap*MAX(0,CS103))</f>
        <v>-0</v>
      </c>
      <c r="CT106" s="48" t="n">
        <f aca="false">-MIN(CT104,In_Loss_Cap*MAX(0,CT103))</f>
        <v>-0</v>
      </c>
      <c r="CU106" s="48" t="n">
        <f aca="false">-MIN(CU104,In_Loss_Cap*MAX(0,CU103))</f>
        <v>-0</v>
      </c>
      <c r="CV106" s="48" t="n">
        <f aca="false">-MIN(CV104,In_Loss_Cap*MAX(0,CV103))</f>
        <v>-0</v>
      </c>
      <c r="CW106" s="48" t="n">
        <f aca="false">-MIN(CW104,In_Loss_Cap*MAX(0,CW103))</f>
        <v>-0</v>
      </c>
      <c r="CX106" s="48" t="n">
        <f aca="false">-MIN(CX104,In_Loss_Cap*MAX(0,CX103))</f>
        <v>-0</v>
      </c>
      <c r="CY106" s="48" t="n">
        <f aca="false">-MIN(CY104,In_Loss_Cap*MAX(0,CY103))</f>
        <v>-0</v>
      </c>
      <c r="CZ106" s="48" t="n">
        <f aca="false">-MIN(CZ104,In_Loss_Cap*MAX(0,CZ103))</f>
        <v>-0</v>
      </c>
      <c r="DA106" s="48" t="n">
        <f aca="false">-MIN(DA104,In_Loss_Cap*MAX(0,DA103))</f>
        <v>-0</v>
      </c>
      <c r="DB106" s="48" t="n">
        <f aca="false">-MIN(DB104,In_Loss_Cap*MAX(0,DB103))</f>
        <v>-0</v>
      </c>
      <c r="DC106" s="48" t="n">
        <f aca="false">-MIN(DC104,In_Loss_Cap*MAX(0,DC103))</f>
        <v>-0</v>
      </c>
      <c r="DD106" s="48" t="n">
        <f aca="false">-MIN(DD104,In_Loss_Cap*MAX(0,DD103))</f>
        <v>-0</v>
      </c>
      <c r="DE106" s="48" t="n">
        <f aca="false">-MIN(DE104,In_Loss_Cap*MAX(0,DE103))</f>
        <v>-0</v>
      </c>
      <c r="DF106" s="48" t="n">
        <f aca="false">-MIN(DF104,In_Loss_Cap*MAX(0,DF103))</f>
        <v>-0</v>
      </c>
      <c r="DG106" s="48" t="n">
        <f aca="false">-MIN(DG104,In_Loss_Cap*MAX(0,DG103))</f>
        <v>-0</v>
      </c>
      <c r="DH106" s="48" t="n">
        <f aca="false">-MIN(DH104,In_Loss_Cap*MAX(0,DH103))</f>
        <v>-0</v>
      </c>
      <c r="DI106" s="48" t="n">
        <f aca="false">-MIN(DI104,In_Loss_Cap*MAX(0,DI103))</f>
        <v>-0</v>
      </c>
      <c r="DJ106" s="48" t="n">
        <f aca="false">-MIN(DJ104,In_Loss_Cap*MAX(0,DJ103))</f>
        <v>-0</v>
      </c>
      <c r="DK106" s="48" t="n">
        <f aca="false">-MIN(DK104,In_Loss_Cap*MAX(0,DK103))</f>
        <v>-0</v>
      </c>
      <c r="DL106" s="48" t="n">
        <f aca="false">-MIN(DL104,In_Loss_Cap*MAX(0,DL103))</f>
        <v>-0</v>
      </c>
      <c r="DM106" s="48" t="n">
        <f aca="false">-MIN(DM104,In_Loss_Cap*MAX(0,DM103))</f>
        <v>-0</v>
      </c>
      <c r="DN106" s="48" t="n">
        <f aca="false">-MIN(DN104,In_Loss_Cap*MAX(0,DN103))</f>
        <v>-0</v>
      </c>
      <c r="DO106" s="48" t="n">
        <f aca="false">-MIN(DO104,In_Loss_Cap*MAX(0,DO103))</f>
        <v>-0</v>
      </c>
      <c r="DP106" s="48" t="n">
        <f aca="false">-MIN(DP104,In_Loss_Cap*MAX(0,DP103))</f>
        <v>-0</v>
      </c>
      <c r="DQ106" s="48" t="n">
        <f aca="false">-MIN(DQ104,In_Loss_Cap*MAX(0,DQ103))</f>
        <v>-0</v>
      </c>
      <c r="DR106" s="48" t="n">
        <f aca="false">-MIN(DR104,In_Loss_Cap*MAX(0,DR103))</f>
        <v>-0</v>
      </c>
      <c r="DS106" s="48" t="n">
        <f aca="false">-MIN(DS104,In_Loss_Cap*MAX(0,DS103))</f>
        <v>-0</v>
      </c>
      <c r="DT106" s="48" t="n">
        <f aca="false">-MIN(DT104,In_Loss_Cap*MAX(0,DT103))</f>
        <v>-0</v>
      </c>
      <c r="DU106" s="48" t="n">
        <f aca="false">-MIN(DU104,In_Loss_Cap*MAX(0,DU103))</f>
        <v>-0</v>
      </c>
      <c r="DV106" s="48" t="n">
        <f aca="false">-MIN(DV104,In_Loss_Cap*MAX(0,DV103))</f>
        <v>-0</v>
      </c>
      <c r="DW106" s="48" t="n">
        <f aca="false">-MIN(DW104,In_Loss_Cap*MAX(0,DW103))</f>
        <v>-0</v>
      </c>
      <c r="DX106" s="48" t="n">
        <f aca="false">-MIN(DX104,In_Loss_Cap*MAX(0,DX103))</f>
        <v>-0</v>
      </c>
      <c r="DY106" s="48" t="n">
        <f aca="false">-MIN(DY104,In_Loss_Cap*MAX(0,DY103))</f>
        <v>-0</v>
      </c>
      <c r="DZ106" s="48" t="n">
        <f aca="false">-MIN(DZ104,In_Loss_Cap*MAX(0,DZ103))</f>
        <v>-0</v>
      </c>
      <c r="EA106" s="48" t="n">
        <f aca="false">-MIN(EA104,In_Loss_Cap*MAX(0,EA103))</f>
        <v>-0</v>
      </c>
      <c r="EB106" s="48" t="n">
        <f aca="false">-MIN(EB104,In_Loss_Cap*MAX(0,EB103))</f>
        <v>-0</v>
      </c>
      <c r="EC106" s="48" t="n">
        <f aca="false">-MIN(EC104,In_Loss_Cap*MAX(0,EC103))</f>
        <v>-0</v>
      </c>
      <c r="ED106" s="48" t="n">
        <f aca="false">-MIN(ED104,In_Loss_Cap*MAX(0,ED103))</f>
        <v>-0</v>
      </c>
      <c r="EE106" s="48" t="n">
        <f aca="false">-MIN(EE104,In_Loss_Cap*MAX(0,EE103))</f>
        <v>-0</v>
      </c>
      <c r="EF106" s="48" t="n">
        <f aca="false">-MIN(EF104,In_Loss_Cap*MAX(0,EF103))</f>
        <v>-0</v>
      </c>
      <c r="EG106" s="48" t="n">
        <f aca="false">-MIN(EG104,In_Loss_Cap*MAX(0,EG103))</f>
        <v>-0</v>
      </c>
      <c r="EH106" s="48" t="n">
        <f aca="false">-MIN(EH104,In_Loss_Cap*MAX(0,EH103))</f>
        <v>-0</v>
      </c>
      <c r="EI106" s="48" t="n">
        <f aca="false">-MIN(EI104,In_Loss_Cap*MAX(0,EI103))</f>
        <v>-0</v>
      </c>
      <c r="EJ106" s="48" t="n">
        <f aca="false">-MIN(EJ104,In_Loss_Cap*MAX(0,EJ103))</f>
        <v>-0</v>
      </c>
      <c r="EK106" s="48" t="n">
        <f aca="false">-MIN(EK104,In_Loss_Cap*MAX(0,EK103))</f>
        <v>-0</v>
      </c>
      <c r="EL106" s="48" t="n">
        <f aca="false">-MIN(EL104,In_Loss_Cap*MAX(0,EL103))</f>
        <v>-0</v>
      </c>
      <c r="EM106" s="48" t="n">
        <f aca="false">-MIN(EM104,In_Loss_Cap*MAX(0,EM103))</f>
        <v>-0</v>
      </c>
      <c r="EN106" s="48" t="n">
        <f aca="false">-MIN(EN104,In_Loss_Cap*MAX(0,EN103))</f>
        <v>-0</v>
      </c>
      <c r="EO106" s="48" t="n">
        <f aca="false">-MIN(EO104,In_Loss_Cap*MAX(0,EO103))</f>
        <v>-0</v>
      </c>
    </row>
    <row r="107" customFormat="false" ht="15" hidden="false" customHeight="false" outlineLevel="0" collapsed="false">
      <c r="C107" s="1" t="s">
        <v>451</v>
      </c>
      <c r="D107" s="12" t="s">
        <v>33</v>
      </c>
      <c r="E107" s="46" t="n">
        <f aca="false">EDATE(In_NTP,In_Loss_Years*Months_In_Year)</f>
        <v>48852</v>
      </c>
      <c r="I107" s="48" t="n">
        <f aca="false">SUM(J107:EO107)</f>
        <v>-901.646474744928</v>
      </c>
      <c r="J107" s="48" t="n">
        <f aca="false">-(J104+J105+J106)*N(AND(J$3&lt;=$E107,J$4&gt;=$E107))</f>
        <v>-0</v>
      </c>
      <c r="K107" s="48" t="n">
        <f aca="false">-(K104+K105+K106)*N(AND(K$3&lt;=$E107,K$4&gt;=$E107))</f>
        <v>-0</v>
      </c>
      <c r="L107" s="48" t="n">
        <f aca="false">-(L104+L105+L106)*N(AND(L$3&lt;=$E107,L$4&gt;=$E107))</f>
        <v>-0</v>
      </c>
      <c r="M107" s="48" t="n">
        <f aca="false">-(M104+M105+M106)*N(AND(M$3&lt;=$E107,M$4&gt;=$E107))</f>
        <v>-0</v>
      </c>
      <c r="N107" s="48" t="n">
        <f aca="false">-(N104+N105+N106)*N(AND(N$3&lt;=$E107,N$4&gt;=$E107))</f>
        <v>-0</v>
      </c>
      <c r="O107" s="48" t="n">
        <f aca="false">-(O104+O105+O106)*N(AND(O$3&lt;=$E107,O$4&gt;=$E107))</f>
        <v>-0</v>
      </c>
      <c r="P107" s="48" t="n">
        <f aca="false">-(P104+P105+P106)*N(AND(P$3&lt;=$E107,P$4&gt;=$E107))</f>
        <v>-0</v>
      </c>
      <c r="Q107" s="48" t="n">
        <f aca="false">-(Q104+Q105+Q106)*N(AND(Q$3&lt;=$E107,Q$4&gt;=$E107))</f>
        <v>-0</v>
      </c>
      <c r="R107" s="48" t="n">
        <f aca="false">-(R104+R105+R106)*N(AND(R$3&lt;=$E107,R$4&gt;=$E107))</f>
        <v>-0</v>
      </c>
      <c r="S107" s="48" t="n">
        <f aca="false">-(S104+S105+S106)*N(AND(S$3&lt;=$E107,S$4&gt;=$E107))</f>
        <v>-0</v>
      </c>
      <c r="T107" s="48" t="n">
        <f aca="false">-(T104+T105+T106)*N(AND(T$3&lt;=$E107,T$4&gt;=$E107))</f>
        <v>-0</v>
      </c>
      <c r="U107" s="48" t="n">
        <f aca="false">-(U104+U105+U106)*N(AND(U$3&lt;=$E107,U$4&gt;=$E107))</f>
        <v>-0</v>
      </c>
      <c r="V107" s="48" t="n">
        <f aca="false">-(V104+V105+V106)*N(AND(V$3&lt;=$E107,V$4&gt;=$E107))</f>
        <v>-0</v>
      </c>
      <c r="W107" s="48" t="n">
        <f aca="false">-(W104+W105+W106)*N(AND(W$3&lt;=$E107,W$4&gt;=$E107))</f>
        <v>-0</v>
      </c>
      <c r="X107" s="48" t="n">
        <f aca="false">-(X104+X105+X106)*N(AND(X$3&lt;=$E107,X$4&gt;=$E107))</f>
        <v>-0</v>
      </c>
      <c r="Y107" s="48" t="n">
        <f aca="false">-(Y104+Y105+Y106)*N(AND(Y$3&lt;=$E107,Y$4&gt;=$E107))</f>
        <v>-0</v>
      </c>
      <c r="Z107" s="48" t="n">
        <f aca="false">-(Z104+Z105+Z106)*N(AND(Z$3&lt;=$E107,Z$4&gt;=$E107))</f>
        <v>-0</v>
      </c>
      <c r="AA107" s="48" t="n">
        <f aca="false">-(AA104+AA105+AA106)*N(AND(AA$3&lt;=$E107,AA$4&gt;=$E107))</f>
        <v>-0</v>
      </c>
      <c r="AB107" s="48" t="n">
        <f aca="false">-(AB104+AB105+AB106)*N(AND(AB$3&lt;=$E107,AB$4&gt;=$E107))</f>
        <v>-0</v>
      </c>
      <c r="AC107" s="48" t="n">
        <f aca="false">-(AC104+AC105+AC106)*N(AND(AC$3&lt;=$E107,AC$4&gt;=$E107))</f>
        <v>-0</v>
      </c>
      <c r="AD107" s="48" t="n">
        <f aca="false">-(AD104+AD105+AD106)*N(AND(AD$3&lt;=$E107,AD$4&gt;=$E107))</f>
        <v>-0</v>
      </c>
      <c r="AE107" s="48" t="n">
        <f aca="false">-(AE104+AE105+AE106)*N(AND(AE$3&lt;=$E107,AE$4&gt;=$E107))</f>
        <v>-0</v>
      </c>
      <c r="AF107" s="48" t="n">
        <f aca="false">-(AF104+AF105+AF106)*N(AND(AF$3&lt;=$E107,AF$4&gt;=$E107))</f>
        <v>-0</v>
      </c>
      <c r="AG107" s="48" t="n">
        <f aca="false">-(AG104+AG105+AG106)*N(AND(AG$3&lt;=$E107,AG$4&gt;=$E107))</f>
        <v>-0</v>
      </c>
      <c r="AH107" s="48" t="n">
        <f aca="false">-(AH104+AH105+AH106)*N(AND(AH$3&lt;=$E107,AH$4&gt;=$E107))</f>
        <v>-0</v>
      </c>
      <c r="AI107" s="48" t="n">
        <f aca="false">-(AI104+AI105+AI106)*N(AND(AI$3&lt;=$E107,AI$4&gt;=$E107))</f>
        <v>-0</v>
      </c>
      <c r="AJ107" s="48" t="n">
        <f aca="false">-(AJ104+AJ105+AJ106)*N(AND(AJ$3&lt;=$E107,AJ$4&gt;=$E107))</f>
        <v>-0</v>
      </c>
      <c r="AK107" s="48" t="n">
        <f aca="false">-(AK104+AK105+AK106)*N(AND(AK$3&lt;=$E107,AK$4&gt;=$E107))</f>
        <v>-901.646474744928</v>
      </c>
      <c r="AL107" s="48" t="n">
        <f aca="false">-(AL104+AL105+AL106)*N(AND(AL$3&lt;=$E107,AL$4&gt;=$E107))</f>
        <v>-0</v>
      </c>
      <c r="AM107" s="48" t="n">
        <f aca="false">-(AM104+AM105+AM106)*N(AND(AM$3&lt;=$E107,AM$4&gt;=$E107))</f>
        <v>-0</v>
      </c>
      <c r="AN107" s="48" t="n">
        <f aca="false">-(AN104+AN105+AN106)*N(AND(AN$3&lt;=$E107,AN$4&gt;=$E107))</f>
        <v>-0</v>
      </c>
      <c r="AO107" s="48" t="n">
        <f aca="false">-(AO104+AO105+AO106)*N(AND(AO$3&lt;=$E107,AO$4&gt;=$E107))</f>
        <v>-0</v>
      </c>
      <c r="AP107" s="48" t="n">
        <f aca="false">-(AP104+AP105+AP106)*N(AND(AP$3&lt;=$E107,AP$4&gt;=$E107))</f>
        <v>-0</v>
      </c>
      <c r="AQ107" s="48" t="n">
        <f aca="false">-(AQ104+AQ105+AQ106)*N(AND(AQ$3&lt;=$E107,AQ$4&gt;=$E107))</f>
        <v>-0</v>
      </c>
      <c r="AR107" s="48" t="n">
        <f aca="false">-(AR104+AR105+AR106)*N(AND(AR$3&lt;=$E107,AR$4&gt;=$E107))</f>
        <v>-0</v>
      </c>
      <c r="AS107" s="48" t="n">
        <f aca="false">-(AS104+AS105+AS106)*N(AND(AS$3&lt;=$E107,AS$4&gt;=$E107))</f>
        <v>-0</v>
      </c>
      <c r="AT107" s="48" t="n">
        <f aca="false">-(AT104+AT105+AT106)*N(AND(AT$3&lt;=$E107,AT$4&gt;=$E107))</f>
        <v>-0</v>
      </c>
      <c r="AU107" s="48" t="n">
        <f aca="false">-(AU104+AU105+AU106)*N(AND(AU$3&lt;=$E107,AU$4&gt;=$E107))</f>
        <v>-0</v>
      </c>
      <c r="AV107" s="48" t="n">
        <f aca="false">-(AV104+AV105+AV106)*N(AND(AV$3&lt;=$E107,AV$4&gt;=$E107))</f>
        <v>-0</v>
      </c>
      <c r="AW107" s="48" t="n">
        <f aca="false">-(AW104+AW105+AW106)*N(AND(AW$3&lt;=$E107,AW$4&gt;=$E107))</f>
        <v>-0</v>
      </c>
      <c r="AX107" s="48" t="n">
        <f aca="false">-(AX104+AX105+AX106)*N(AND(AX$3&lt;=$E107,AX$4&gt;=$E107))</f>
        <v>-0</v>
      </c>
      <c r="AY107" s="48" t="n">
        <f aca="false">-(AY104+AY105+AY106)*N(AND(AY$3&lt;=$E107,AY$4&gt;=$E107))</f>
        <v>-0</v>
      </c>
      <c r="AZ107" s="48" t="n">
        <f aca="false">-(AZ104+AZ105+AZ106)*N(AND(AZ$3&lt;=$E107,AZ$4&gt;=$E107))</f>
        <v>-0</v>
      </c>
      <c r="BA107" s="48" t="n">
        <f aca="false">-(BA104+BA105+BA106)*N(AND(BA$3&lt;=$E107,BA$4&gt;=$E107))</f>
        <v>-0</v>
      </c>
      <c r="BB107" s="48" t="n">
        <f aca="false">-(BB104+BB105+BB106)*N(AND(BB$3&lt;=$E107,BB$4&gt;=$E107))</f>
        <v>-0</v>
      </c>
      <c r="BC107" s="48" t="n">
        <f aca="false">-(BC104+BC105+BC106)*N(AND(BC$3&lt;=$E107,BC$4&gt;=$E107))</f>
        <v>-0</v>
      </c>
      <c r="BD107" s="48" t="n">
        <f aca="false">-(BD104+BD105+BD106)*N(AND(BD$3&lt;=$E107,BD$4&gt;=$E107))</f>
        <v>-0</v>
      </c>
      <c r="BE107" s="48" t="n">
        <f aca="false">-(BE104+BE105+BE106)*N(AND(BE$3&lt;=$E107,BE$4&gt;=$E107))</f>
        <v>-0</v>
      </c>
      <c r="BF107" s="48" t="n">
        <f aca="false">-(BF104+BF105+BF106)*N(AND(BF$3&lt;=$E107,BF$4&gt;=$E107))</f>
        <v>-0</v>
      </c>
      <c r="BG107" s="48" t="n">
        <f aca="false">-(BG104+BG105+BG106)*N(AND(BG$3&lt;=$E107,BG$4&gt;=$E107))</f>
        <v>-0</v>
      </c>
      <c r="BH107" s="48" t="n">
        <f aca="false">-(BH104+BH105+BH106)*N(AND(BH$3&lt;=$E107,BH$4&gt;=$E107))</f>
        <v>-0</v>
      </c>
      <c r="BI107" s="48" t="n">
        <f aca="false">-(BI104+BI105+BI106)*N(AND(BI$3&lt;=$E107,BI$4&gt;=$E107))</f>
        <v>-0</v>
      </c>
      <c r="BJ107" s="48" t="n">
        <f aca="false">-(BJ104+BJ105+BJ106)*N(AND(BJ$3&lt;=$E107,BJ$4&gt;=$E107))</f>
        <v>-0</v>
      </c>
      <c r="BK107" s="48" t="n">
        <f aca="false">-(BK104+BK105+BK106)*N(AND(BK$3&lt;=$E107,BK$4&gt;=$E107))</f>
        <v>-0</v>
      </c>
      <c r="BL107" s="48" t="n">
        <f aca="false">-(BL104+BL105+BL106)*N(AND(BL$3&lt;=$E107,BL$4&gt;=$E107))</f>
        <v>-0</v>
      </c>
      <c r="BM107" s="48" t="n">
        <f aca="false">-(BM104+BM105+BM106)*N(AND(BM$3&lt;=$E107,BM$4&gt;=$E107))</f>
        <v>-0</v>
      </c>
      <c r="BN107" s="48" t="n">
        <f aca="false">-(BN104+BN105+BN106)*N(AND(BN$3&lt;=$E107,BN$4&gt;=$E107))</f>
        <v>-0</v>
      </c>
      <c r="BO107" s="48" t="n">
        <f aca="false">-(BO104+BO105+BO106)*N(AND(BO$3&lt;=$E107,BO$4&gt;=$E107))</f>
        <v>-0</v>
      </c>
      <c r="BP107" s="48" t="n">
        <f aca="false">-(BP104+BP105+BP106)*N(AND(BP$3&lt;=$E107,BP$4&gt;=$E107))</f>
        <v>-0</v>
      </c>
      <c r="BQ107" s="48" t="n">
        <f aca="false">-(BQ104+BQ105+BQ106)*N(AND(BQ$3&lt;=$E107,BQ$4&gt;=$E107))</f>
        <v>-0</v>
      </c>
      <c r="BR107" s="48" t="n">
        <f aca="false">-(BR104+BR105+BR106)*N(AND(BR$3&lt;=$E107,BR$4&gt;=$E107))</f>
        <v>-0</v>
      </c>
      <c r="BS107" s="48" t="n">
        <f aca="false">-(BS104+BS105+BS106)*N(AND(BS$3&lt;=$E107,BS$4&gt;=$E107))</f>
        <v>-0</v>
      </c>
      <c r="BT107" s="48" t="n">
        <f aca="false">-(BT104+BT105+BT106)*N(AND(BT$3&lt;=$E107,BT$4&gt;=$E107))</f>
        <v>-0</v>
      </c>
      <c r="BU107" s="48" t="n">
        <f aca="false">-(BU104+BU105+BU106)*N(AND(BU$3&lt;=$E107,BU$4&gt;=$E107))</f>
        <v>-0</v>
      </c>
      <c r="BV107" s="48" t="n">
        <f aca="false">-(BV104+BV105+BV106)*N(AND(BV$3&lt;=$E107,BV$4&gt;=$E107))</f>
        <v>-0</v>
      </c>
      <c r="BW107" s="48" t="n">
        <f aca="false">-(BW104+BW105+BW106)*N(AND(BW$3&lt;=$E107,BW$4&gt;=$E107))</f>
        <v>-0</v>
      </c>
      <c r="BX107" s="48" t="n">
        <f aca="false">-(BX104+BX105+BX106)*N(AND(BX$3&lt;=$E107,BX$4&gt;=$E107))</f>
        <v>-0</v>
      </c>
      <c r="BY107" s="48" t="n">
        <f aca="false">-(BY104+BY105+BY106)*N(AND(BY$3&lt;=$E107,BY$4&gt;=$E107))</f>
        <v>-0</v>
      </c>
      <c r="BZ107" s="48" t="n">
        <f aca="false">-(BZ104+BZ105+BZ106)*N(AND(BZ$3&lt;=$E107,BZ$4&gt;=$E107))</f>
        <v>-0</v>
      </c>
      <c r="CA107" s="48" t="n">
        <f aca="false">-(CA104+CA105+CA106)*N(AND(CA$3&lt;=$E107,CA$4&gt;=$E107))</f>
        <v>-0</v>
      </c>
      <c r="CB107" s="48" t="n">
        <f aca="false">-(CB104+CB105+CB106)*N(AND(CB$3&lt;=$E107,CB$4&gt;=$E107))</f>
        <v>-0</v>
      </c>
      <c r="CC107" s="48" t="n">
        <f aca="false">-(CC104+CC105+CC106)*N(AND(CC$3&lt;=$E107,CC$4&gt;=$E107))</f>
        <v>-0</v>
      </c>
      <c r="CD107" s="48" t="n">
        <f aca="false">-(CD104+CD105+CD106)*N(AND(CD$3&lt;=$E107,CD$4&gt;=$E107))</f>
        <v>-0</v>
      </c>
      <c r="CE107" s="48" t="n">
        <f aca="false">-(CE104+CE105+CE106)*N(AND(CE$3&lt;=$E107,CE$4&gt;=$E107))</f>
        <v>-0</v>
      </c>
      <c r="CF107" s="48" t="n">
        <f aca="false">-(CF104+CF105+CF106)*N(AND(CF$3&lt;=$E107,CF$4&gt;=$E107))</f>
        <v>-0</v>
      </c>
      <c r="CG107" s="48" t="n">
        <f aca="false">-(CG104+CG105+CG106)*N(AND(CG$3&lt;=$E107,CG$4&gt;=$E107))</f>
        <v>-0</v>
      </c>
      <c r="CH107" s="48" t="n">
        <f aca="false">-(CH104+CH105+CH106)*N(AND(CH$3&lt;=$E107,CH$4&gt;=$E107))</f>
        <v>-0</v>
      </c>
      <c r="CI107" s="48" t="n">
        <f aca="false">-(CI104+CI105+CI106)*N(AND(CI$3&lt;=$E107,CI$4&gt;=$E107))</f>
        <v>-0</v>
      </c>
      <c r="CJ107" s="48" t="n">
        <f aca="false">-(CJ104+CJ105+CJ106)*N(AND(CJ$3&lt;=$E107,CJ$4&gt;=$E107))</f>
        <v>-0</v>
      </c>
      <c r="CK107" s="48" t="n">
        <f aca="false">-(CK104+CK105+CK106)*N(AND(CK$3&lt;=$E107,CK$4&gt;=$E107))</f>
        <v>-0</v>
      </c>
      <c r="CL107" s="48" t="n">
        <f aca="false">-(CL104+CL105+CL106)*N(AND(CL$3&lt;=$E107,CL$4&gt;=$E107))</f>
        <v>-0</v>
      </c>
      <c r="CM107" s="48" t="n">
        <f aca="false">-(CM104+CM105+CM106)*N(AND(CM$3&lt;=$E107,CM$4&gt;=$E107))</f>
        <v>-0</v>
      </c>
      <c r="CN107" s="48" t="n">
        <f aca="false">-(CN104+CN105+CN106)*N(AND(CN$3&lt;=$E107,CN$4&gt;=$E107))</f>
        <v>-0</v>
      </c>
      <c r="CO107" s="48" t="n">
        <f aca="false">-(CO104+CO105+CO106)*N(AND(CO$3&lt;=$E107,CO$4&gt;=$E107))</f>
        <v>-0</v>
      </c>
      <c r="CP107" s="48" t="n">
        <f aca="false">-(CP104+CP105+CP106)*N(AND(CP$3&lt;=$E107,CP$4&gt;=$E107))</f>
        <v>-0</v>
      </c>
      <c r="CQ107" s="48" t="n">
        <f aca="false">-(CQ104+CQ105+CQ106)*N(AND(CQ$3&lt;=$E107,CQ$4&gt;=$E107))</f>
        <v>-0</v>
      </c>
      <c r="CR107" s="48" t="n">
        <f aca="false">-(CR104+CR105+CR106)*N(AND(CR$3&lt;=$E107,CR$4&gt;=$E107))</f>
        <v>-0</v>
      </c>
      <c r="CS107" s="48" t="n">
        <f aca="false">-(CS104+CS105+CS106)*N(AND(CS$3&lt;=$E107,CS$4&gt;=$E107))</f>
        <v>-0</v>
      </c>
      <c r="CT107" s="48" t="n">
        <f aca="false">-(CT104+CT105+CT106)*N(AND(CT$3&lt;=$E107,CT$4&gt;=$E107))</f>
        <v>-0</v>
      </c>
      <c r="CU107" s="48" t="n">
        <f aca="false">-(CU104+CU105+CU106)*N(AND(CU$3&lt;=$E107,CU$4&gt;=$E107))</f>
        <v>-0</v>
      </c>
      <c r="CV107" s="48" t="n">
        <f aca="false">-(CV104+CV105+CV106)*N(AND(CV$3&lt;=$E107,CV$4&gt;=$E107))</f>
        <v>-0</v>
      </c>
      <c r="CW107" s="48" t="n">
        <f aca="false">-(CW104+CW105+CW106)*N(AND(CW$3&lt;=$E107,CW$4&gt;=$E107))</f>
        <v>-0</v>
      </c>
      <c r="CX107" s="48" t="n">
        <f aca="false">-(CX104+CX105+CX106)*N(AND(CX$3&lt;=$E107,CX$4&gt;=$E107))</f>
        <v>-0</v>
      </c>
      <c r="CY107" s="48" t="n">
        <f aca="false">-(CY104+CY105+CY106)*N(AND(CY$3&lt;=$E107,CY$4&gt;=$E107))</f>
        <v>-0</v>
      </c>
      <c r="CZ107" s="48" t="n">
        <f aca="false">-(CZ104+CZ105+CZ106)*N(AND(CZ$3&lt;=$E107,CZ$4&gt;=$E107))</f>
        <v>-0</v>
      </c>
      <c r="DA107" s="48" t="n">
        <f aca="false">-(DA104+DA105+DA106)*N(AND(DA$3&lt;=$E107,DA$4&gt;=$E107))</f>
        <v>-0</v>
      </c>
      <c r="DB107" s="48" t="n">
        <f aca="false">-(DB104+DB105+DB106)*N(AND(DB$3&lt;=$E107,DB$4&gt;=$E107))</f>
        <v>-0</v>
      </c>
      <c r="DC107" s="48" t="n">
        <f aca="false">-(DC104+DC105+DC106)*N(AND(DC$3&lt;=$E107,DC$4&gt;=$E107))</f>
        <v>-0</v>
      </c>
      <c r="DD107" s="48" t="n">
        <f aca="false">-(DD104+DD105+DD106)*N(AND(DD$3&lt;=$E107,DD$4&gt;=$E107))</f>
        <v>-0</v>
      </c>
      <c r="DE107" s="48" t="n">
        <f aca="false">-(DE104+DE105+DE106)*N(AND(DE$3&lt;=$E107,DE$4&gt;=$E107))</f>
        <v>-0</v>
      </c>
      <c r="DF107" s="48" t="n">
        <f aca="false">-(DF104+DF105+DF106)*N(AND(DF$3&lt;=$E107,DF$4&gt;=$E107))</f>
        <v>-0</v>
      </c>
      <c r="DG107" s="48" t="n">
        <f aca="false">-(DG104+DG105+DG106)*N(AND(DG$3&lt;=$E107,DG$4&gt;=$E107))</f>
        <v>-0</v>
      </c>
      <c r="DH107" s="48" t="n">
        <f aca="false">-(DH104+DH105+DH106)*N(AND(DH$3&lt;=$E107,DH$4&gt;=$E107))</f>
        <v>-0</v>
      </c>
      <c r="DI107" s="48" t="n">
        <f aca="false">-(DI104+DI105+DI106)*N(AND(DI$3&lt;=$E107,DI$4&gt;=$E107))</f>
        <v>-0</v>
      </c>
      <c r="DJ107" s="48" t="n">
        <f aca="false">-(DJ104+DJ105+DJ106)*N(AND(DJ$3&lt;=$E107,DJ$4&gt;=$E107))</f>
        <v>-0</v>
      </c>
      <c r="DK107" s="48" t="n">
        <f aca="false">-(DK104+DK105+DK106)*N(AND(DK$3&lt;=$E107,DK$4&gt;=$E107))</f>
        <v>-0</v>
      </c>
      <c r="DL107" s="48" t="n">
        <f aca="false">-(DL104+DL105+DL106)*N(AND(DL$3&lt;=$E107,DL$4&gt;=$E107))</f>
        <v>-0</v>
      </c>
      <c r="DM107" s="48" t="n">
        <f aca="false">-(DM104+DM105+DM106)*N(AND(DM$3&lt;=$E107,DM$4&gt;=$E107))</f>
        <v>-0</v>
      </c>
      <c r="DN107" s="48" t="n">
        <f aca="false">-(DN104+DN105+DN106)*N(AND(DN$3&lt;=$E107,DN$4&gt;=$E107))</f>
        <v>-0</v>
      </c>
      <c r="DO107" s="48" t="n">
        <f aca="false">-(DO104+DO105+DO106)*N(AND(DO$3&lt;=$E107,DO$4&gt;=$E107))</f>
        <v>-0</v>
      </c>
      <c r="DP107" s="48" t="n">
        <f aca="false">-(DP104+DP105+DP106)*N(AND(DP$3&lt;=$E107,DP$4&gt;=$E107))</f>
        <v>-0</v>
      </c>
      <c r="DQ107" s="48" t="n">
        <f aca="false">-(DQ104+DQ105+DQ106)*N(AND(DQ$3&lt;=$E107,DQ$4&gt;=$E107))</f>
        <v>-0</v>
      </c>
      <c r="DR107" s="48" t="n">
        <f aca="false">-(DR104+DR105+DR106)*N(AND(DR$3&lt;=$E107,DR$4&gt;=$E107))</f>
        <v>-0</v>
      </c>
      <c r="DS107" s="48" t="n">
        <f aca="false">-(DS104+DS105+DS106)*N(AND(DS$3&lt;=$E107,DS$4&gt;=$E107))</f>
        <v>-0</v>
      </c>
      <c r="DT107" s="48" t="n">
        <f aca="false">-(DT104+DT105+DT106)*N(AND(DT$3&lt;=$E107,DT$4&gt;=$E107))</f>
        <v>-0</v>
      </c>
      <c r="DU107" s="48" t="n">
        <f aca="false">-(DU104+DU105+DU106)*N(AND(DU$3&lt;=$E107,DU$4&gt;=$E107))</f>
        <v>-0</v>
      </c>
      <c r="DV107" s="48" t="n">
        <f aca="false">-(DV104+DV105+DV106)*N(AND(DV$3&lt;=$E107,DV$4&gt;=$E107))</f>
        <v>-0</v>
      </c>
      <c r="DW107" s="48" t="n">
        <f aca="false">-(DW104+DW105+DW106)*N(AND(DW$3&lt;=$E107,DW$4&gt;=$E107))</f>
        <v>-0</v>
      </c>
      <c r="DX107" s="48" t="n">
        <f aca="false">-(DX104+DX105+DX106)*N(AND(DX$3&lt;=$E107,DX$4&gt;=$E107))</f>
        <v>-0</v>
      </c>
      <c r="DY107" s="48" t="n">
        <f aca="false">-(DY104+DY105+DY106)*N(AND(DY$3&lt;=$E107,DY$4&gt;=$E107))</f>
        <v>-0</v>
      </c>
      <c r="DZ107" s="48" t="n">
        <f aca="false">-(DZ104+DZ105+DZ106)*N(AND(DZ$3&lt;=$E107,DZ$4&gt;=$E107))</f>
        <v>-0</v>
      </c>
      <c r="EA107" s="48" t="n">
        <f aca="false">-(EA104+EA105+EA106)*N(AND(EA$3&lt;=$E107,EA$4&gt;=$E107))</f>
        <v>-0</v>
      </c>
      <c r="EB107" s="48" t="n">
        <f aca="false">-(EB104+EB105+EB106)*N(AND(EB$3&lt;=$E107,EB$4&gt;=$E107))</f>
        <v>-0</v>
      </c>
      <c r="EC107" s="48" t="n">
        <f aca="false">-(EC104+EC105+EC106)*N(AND(EC$3&lt;=$E107,EC$4&gt;=$E107))</f>
        <v>-0</v>
      </c>
      <c r="ED107" s="48" t="n">
        <f aca="false">-(ED104+ED105+ED106)*N(AND(ED$3&lt;=$E107,ED$4&gt;=$E107))</f>
        <v>-0</v>
      </c>
      <c r="EE107" s="48" t="n">
        <f aca="false">-(EE104+EE105+EE106)*N(AND(EE$3&lt;=$E107,EE$4&gt;=$E107))</f>
        <v>-0</v>
      </c>
      <c r="EF107" s="48" t="n">
        <f aca="false">-(EF104+EF105+EF106)*N(AND(EF$3&lt;=$E107,EF$4&gt;=$E107))</f>
        <v>-0</v>
      </c>
      <c r="EG107" s="48" t="n">
        <f aca="false">-(EG104+EG105+EG106)*N(AND(EG$3&lt;=$E107,EG$4&gt;=$E107))</f>
        <v>-0</v>
      </c>
      <c r="EH107" s="48" t="n">
        <f aca="false">-(EH104+EH105+EH106)*N(AND(EH$3&lt;=$E107,EH$4&gt;=$E107))</f>
        <v>-0</v>
      </c>
      <c r="EI107" s="48" t="n">
        <f aca="false">-(EI104+EI105+EI106)*N(AND(EI$3&lt;=$E107,EI$4&gt;=$E107))</f>
        <v>-0</v>
      </c>
      <c r="EJ107" s="48" t="n">
        <f aca="false">-(EJ104+EJ105+EJ106)*N(AND(EJ$3&lt;=$E107,EJ$4&gt;=$E107))</f>
        <v>-0</v>
      </c>
      <c r="EK107" s="48" t="n">
        <f aca="false">-(EK104+EK105+EK106)*N(AND(EK$3&lt;=$E107,EK$4&gt;=$E107))</f>
        <v>-0</v>
      </c>
      <c r="EL107" s="48" t="n">
        <f aca="false">-(EL104+EL105+EL106)*N(AND(EL$3&lt;=$E107,EL$4&gt;=$E107))</f>
        <v>-0</v>
      </c>
      <c r="EM107" s="48" t="n">
        <f aca="false">-(EM104+EM105+EM106)*N(AND(EM$3&lt;=$E107,EM$4&gt;=$E107))</f>
        <v>-0</v>
      </c>
      <c r="EN107" s="48" t="n">
        <f aca="false">-(EN104+EN105+EN106)*N(AND(EN$3&lt;=$E107,EN$4&gt;=$E107))</f>
        <v>-0</v>
      </c>
      <c r="EO107" s="48" t="n">
        <f aca="false">-(EO104+EO105+EO106)*N(AND(EO$3&lt;=$E107,EO$4&gt;=$E107))</f>
        <v>-0</v>
      </c>
    </row>
    <row r="108" customFormat="false" ht="15" hidden="false" customHeight="false" outlineLevel="0" collapsed="false">
      <c r="C108" s="1" t="s">
        <v>452</v>
      </c>
      <c r="D108" s="12" t="s">
        <v>33</v>
      </c>
      <c r="I108" s="59"/>
      <c r="J108" s="48" t="n">
        <f aca="false">SUM(J104:J107)</f>
        <v>12.8099380746857</v>
      </c>
      <c r="K108" s="48" t="n">
        <f aca="false">SUM(K104:K107)</f>
        <v>32.4846237568024</v>
      </c>
      <c r="L108" s="48" t="n">
        <f aca="false">SUM(L104:L107)</f>
        <v>65.6401125914806</v>
      </c>
      <c r="M108" s="48" t="n">
        <f aca="false">SUM(M104:M107)</f>
        <v>99.1599474573091</v>
      </c>
      <c r="N108" s="48" t="n">
        <f aca="false">SUM(N104:N107)</f>
        <v>132.679782323138</v>
      </c>
      <c r="O108" s="48" t="n">
        <f aca="false">SUM(O104:O107)</f>
        <v>165.835271157816</v>
      </c>
      <c r="P108" s="48" t="n">
        <f aca="false">SUM(P104:P107)</f>
        <v>198.990759992494</v>
      </c>
      <c r="Q108" s="48" t="n">
        <f aca="false">SUM(Q104:Q107)</f>
        <v>232.510594858322</v>
      </c>
      <c r="R108" s="48" t="n">
        <f aca="false">SUM(R104:R107)</f>
        <v>1638.40279367838</v>
      </c>
      <c r="S108" s="48" t="n">
        <f aca="false">SUM(S104:S107)</f>
        <v>1840.63387028647</v>
      </c>
      <c r="T108" s="48" t="n">
        <f aca="false">SUM(T104:T107)</f>
        <v>2014.94833264677</v>
      </c>
      <c r="U108" s="48" t="n">
        <f aca="false">SUM(U104:U107)</f>
        <v>2175.30817488652</v>
      </c>
      <c r="V108" s="48" t="n">
        <f aca="false">SUM(V104:V107)</f>
        <v>2319.6234560604</v>
      </c>
      <c r="W108" s="48" t="n">
        <f aca="false">SUM(W104:W107)</f>
        <v>2446.14761342576</v>
      </c>
      <c r="X108" s="48" t="n">
        <f aca="false">SUM(X104:X107)</f>
        <v>2558.55243465676</v>
      </c>
      <c r="Y108" s="48" t="n">
        <f aca="false">SUM(Y104:Y107)</f>
        <v>2656.32231004051</v>
      </c>
      <c r="Z108" s="48" t="n">
        <f aca="false">SUM(Z104:Z107)</f>
        <v>2538.11059268771</v>
      </c>
      <c r="AA108" s="48" t="n">
        <f aca="false">SUM(AA104:AA107)</f>
        <v>2420.86612747627</v>
      </c>
      <c r="AB108" s="48" t="n">
        <f aca="false">SUM(AB104:AB107)</f>
        <v>2294.17579006709</v>
      </c>
      <c r="AC108" s="48" t="n">
        <f aca="false">SUM(AC104:AC107)</f>
        <v>2157.90203372082</v>
      </c>
      <c r="AD108" s="48" t="n">
        <f aca="false">SUM(AD104:AD107)</f>
        <v>2021.87658268818</v>
      </c>
      <c r="AE108" s="48" t="n">
        <f aca="false">SUM(AE104:AE107)</f>
        <v>1880.76315090911</v>
      </c>
      <c r="AF108" s="48" t="n">
        <f aca="false">SUM(AF104:AF107)</f>
        <v>1735.86781286615</v>
      </c>
      <c r="AG108" s="48" t="n">
        <f aca="false">SUM(AG104:AG107)</f>
        <v>1581.14672050617</v>
      </c>
      <c r="AH108" s="48" t="n">
        <f aca="false">SUM(AH104:AH107)</f>
        <v>1426.49012231721</v>
      </c>
      <c r="AI108" s="48" t="n">
        <f aca="false">SUM(AI104:AI107)</f>
        <v>1272.67714137698</v>
      </c>
      <c r="AJ108" s="48" t="n">
        <f aca="false">SUM(AJ104:AJ107)</f>
        <v>1092.35428915892</v>
      </c>
      <c r="AK108" s="48" t="n">
        <f aca="false">SUM(AK104:AK107)</f>
        <v>0</v>
      </c>
      <c r="AL108" s="48" t="n">
        <f aca="false">SUM(AL104:AL107)</f>
        <v>0</v>
      </c>
      <c r="AM108" s="48" t="n">
        <f aca="false">SUM(AM104:AM107)</f>
        <v>0</v>
      </c>
      <c r="AN108" s="48" t="n">
        <f aca="false">SUM(AN104:AN107)</f>
        <v>0</v>
      </c>
      <c r="AO108" s="48" t="n">
        <f aca="false">SUM(AO104:AO107)</f>
        <v>0</v>
      </c>
      <c r="AP108" s="48" t="n">
        <f aca="false">SUM(AP104:AP107)</f>
        <v>0</v>
      </c>
      <c r="AQ108" s="48" t="n">
        <f aca="false">SUM(AQ104:AQ107)</f>
        <v>0</v>
      </c>
      <c r="AR108" s="48" t="n">
        <f aca="false">SUM(AR104:AR107)</f>
        <v>0</v>
      </c>
      <c r="AS108" s="48" t="n">
        <f aca="false">SUM(AS104:AS107)</f>
        <v>0</v>
      </c>
      <c r="AT108" s="48" t="n">
        <f aca="false">SUM(AT104:AT107)</f>
        <v>0</v>
      </c>
      <c r="AU108" s="48" t="n">
        <f aca="false">SUM(AU104:AU107)</f>
        <v>0</v>
      </c>
      <c r="AV108" s="48" t="n">
        <f aca="false">SUM(AV104:AV107)</f>
        <v>0</v>
      </c>
      <c r="AW108" s="48" t="n">
        <f aca="false">SUM(AW104:AW107)</f>
        <v>0</v>
      </c>
      <c r="AX108" s="48" t="n">
        <f aca="false">SUM(AX104:AX107)</f>
        <v>0</v>
      </c>
      <c r="AY108" s="48" t="n">
        <f aca="false">SUM(AY104:AY107)</f>
        <v>0</v>
      </c>
      <c r="AZ108" s="48" t="n">
        <f aca="false">SUM(AZ104:AZ107)</f>
        <v>0</v>
      </c>
      <c r="BA108" s="48" t="n">
        <f aca="false">SUM(BA104:BA107)</f>
        <v>0</v>
      </c>
      <c r="BB108" s="48" t="n">
        <f aca="false">SUM(BB104:BB107)</f>
        <v>0</v>
      </c>
      <c r="BC108" s="48" t="n">
        <f aca="false">SUM(BC104:BC107)</f>
        <v>0</v>
      </c>
      <c r="BD108" s="48" t="n">
        <f aca="false">SUM(BD104:BD107)</f>
        <v>0</v>
      </c>
      <c r="BE108" s="48" t="n">
        <f aca="false">SUM(BE104:BE107)</f>
        <v>0</v>
      </c>
      <c r="BF108" s="48" t="n">
        <f aca="false">SUM(BF104:BF107)</f>
        <v>0</v>
      </c>
      <c r="BG108" s="48" t="n">
        <f aca="false">SUM(BG104:BG107)</f>
        <v>0</v>
      </c>
      <c r="BH108" s="48" t="n">
        <f aca="false">SUM(BH104:BH107)</f>
        <v>0</v>
      </c>
      <c r="BI108" s="48" t="n">
        <f aca="false">SUM(BI104:BI107)</f>
        <v>0</v>
      </c>
      <c r="BJ108" s="48" t="n">
        <f aca="false">SUM(BJ104:BJ107)</f>
        <v>0</v>
      </c>
      <c r="BK108" s="48" t="n">
        <f aca="false">SUM(BK104:BK107)</f>
        <v>0</v>
      </c>
      <c r="BL108" s="48" t="n">
        <f aca="false">SUM(BL104:BL107)</f>
        <v>0</v>
      </c>
      <c r="BM108" s="48" t="n">
        <f aca="false">SUM(BM104:BM107)</f>
        <v>0</v>
      </c>
      <c r="BN108" s="48" t="n">
        <f aca="false">SUM(BN104:BN107)</f>
        <v>0</v>
      </c>
      <c r="BO108" s="48" t="n">
        <f aca="false">SUM(BO104:BO107)</f>
        <v>0</v>
      </c>
      <c r="BP108" s="48" t="n">
        <f aca="false">SUM(BP104:BP107)</f>
        <v>0</v>
      </c>
      <c r="BQ108" s="48" t="n">
        <f aca="false">SUM(BQ104:BQ107)</f>
        <v>0</v>
      </c>
      <c r="BR108" s="48" t="n">
        <f aca="false">SUM(BR104:BR107)</f>
        <v>0</v>
      </c>
      <c r="BS108" s="48" t="n">
        <f aca="false">SUM(BS104:BS107)</f>
        <v>0</v>
      </c>
      <c r="BT108" s="48" t="n">
        <f aca="false">SUM(BT104:BT107)</f>
        <v>0</v>
      </c>
      <c r="BU108" s="48" t="n">
        <f aca="false">SUM(BU104:BU107)</f>
        <v>0</v>
      </c>
      <c r="BV108" s="48" t="n">
        <f aca="false">SUM(BV104:BV107)</f>
        <v>0</v>
      </c>
      <c r="BW108" s="48" t="n">
        <f aca="false">SUM(BW104:BW107)</f>
        <v>0</v>
      </c>
      <c r="BX108" s="48" t="n">
        <f aca="false">SUM(BX104:BX107)</f>
        <v>0</v>
      </c>
      <c r="BY108" s="48" t="n">
        <f aca="false">SUM(BY104:BY107)</f>
        <v>0</v>
      </c>
      <c r="BZ108" s="48" t="n">
        <f aca="false">SUM(BZ104:BZ107)</f>
        <v>0</v>
      </c>
      <c r="CA108" s="48" t="n">
        <f aca="false">SUM(CA104:CA107)</f>
        <v>0</v>
      </c>
      <c r="CB108" s="48" t="n">
        <f aca="false">SUM(CB104:CB107)</f>
        <v>0</v>
      </c>
      <c r="CC108" s="48" t="n">
        <f aca="false">SUM(CC104:CC107)</f>
        <v>0</v>
      </c>
      <c r="CD108" s="48" t="n">
        <f aca="false">SUM(CD104:CD107)</f>
        <v>0</v>
      </c>
      <c r="CE108" s="48" t="n">
        <f aca="false">SUM(CE104:CE107)</f>
        <v>0</v>
      </c>
      <c r="CF108" s="48" t="n">
        <f aca="false">SUM(CF104:CF107)</f>
        <v>0</v>
      </c>
      <c r="CG108" s="48" t="n">
        <f aca="false">SUM(CG104:CG107)</f>
        <v>0</v>
      </c>
      <c r="CH108" s="48" t="n">
        <f aca="false">SUM(CH104:CH107)</f>
        <v>0</v>
      </c>
      <c r="CI108" s="48" t="n">
        <f aca="false">SUM(CI104:CI107)</f>
        <v>0</v>
      </c>
      <c r="CJ108" s="48" t="n">
        <f aca="false">SUM(CJ104:CJ107)</f>
        <v>0</v>
      </c>
      <c r="CK108" s="48" t="n">
        <f aca="false">SUM(CK104:CK107)</f>
        <v>0</v>
      </c>
      <c r="CL108" s="48" t="n">
        <f aca="false">SUM(CL104:CL107)</f>
        <v>0</v>
      </c>
      <c r="CM108" s="48" t="n">
        <f aca="false">SUM(CM104:CM107)</f>
        <v>0</v>
      </c>
      <c r="CN108" s="48" t="n">
        <f aca="false">SUM(CN104:CN107)</f>
        <v>0</v>
      </c>
      <c r="CO108" s="48" t="n">
        <f aca="false">SUM(CO104:CO107)</f>
        <v>0</v>
      </c>
      <c r="CP108" s="48" t="n">
        <f aca="false">SUM(CP104:CP107)</f>
        <v>0</v>
      </c>
      <c r="CQ108" s="48" t="n">
        <f aca="false">SUM(CQ104:CQ107)</f>
        <v>0</v>
      </c>
      <c r="CR108" s="48" t="n">
        <f aca="false">SUM(CR104:CR107)</f>
        <v>0</v>
      </c>
      <c r="CS108" s="48" t="n">
        <f aca="false">SUM(CS104:CS107)</f>
        <v>0</v>
      </c>
      <c r="CT108" s="48" t="n">
        <f aca="false">SUM(CT104:CT107)</f>
        <v>0</v>
      </c>
      <c r="CU108" s="48" t="n">
        <f aca="false">SUM(CU104:CU107)</f>
        <v>0</v>
      </c>
      <c r="CV108" s="48" t="n">
        <f aca="false">SUM(CV104:CV107)</f>
        <v>0</v>
      </c>
      <c r="CW108" s="48" t="n">
        <f aca="false">SUM(CW104:CW107)</f>
        <v>0</v>
      </c>
      <c r="CX108" s="48" t="n">
        <f aca="false">SUM(CX104:CX107)</f>
        <v>0</v>
      </c>
      <c r="CY108" s="48" t="n">
        <f aca="false">SUM(CY104:CY107)</f>
        <v>0</v>
      </c>
      <c r="CZ108" s="48" t="n">
        <f aca="false">SUM(CZ104:CZ107)</f>
        <v>0</v>
      </c>
      <c r="DA108" s="48" t="n">
        <f aca="false">SUM(DA104:DA107)</f>
        <v>0</v>
      </c>
      <c r="DB108" s="48" t="n">
        <f aca="false">SUM(DB104:DB107)</f>
        <v>0</v>
      </c>
      <c r="DC108" s="48" t="n">
        <f aca="false">SUM(DC104:DC107)</f>
        <v>0</v>
      </c>
      <c r="DD108" s="48" t="n">
        <f aca="false">SUM(DD104:DD107)</f>
        <v>0</v>
      </c>
      <c r="DE108" s="48" t="n">
        <f aca="false">SUM(DE104:DE107)</f>
        <v>0</v>
      </c>
      <c r="DF108" s="48" t="n">
        <f aca="false">SUM(DF104:DF107)</f>
        <v>0</v>
      </c>
      <c r="DG108" s="48" t="n">
        <f aca="false">SUM(DG104:DG107)</f>
        <v>0</v>
      </c>
      <c r="DH108" s="48" t="n">
        <f aca="false">SUM(DH104:DH107)</f>
        <v>0</v>
      </c>
      <c r="DI108" s="48" t="n">
        <f aca="false">SUM(DI104:DI107)</f>
        <v>0</v>
      </c>
      <c r="DJ108" s="48" t="n">
        <f aca="false">SUM(DJ104:DJ107)</f>
        <v>0</v>
      </c>
      <c r="DK108" s="48" t="n">
        <f aca="false">SUM(DK104:DK107)</f>
        <v>0</v>
      </c>
      <c r="DL108" s="48" t="n">
        <f aca="false">SUM(DL104:DL107)</f>
        <v>0</v>
      </c>
      <c r="DM108" s="48" t="n">
        <f aca="false">SUM(DM104:DM107)</f>
        <v>0</v>
      </c>
      <c r="DN108" s="48" t="n">
        <f aca="false">SUM(DN104:DN107)</f>
        <v>0</v>
      </c>
      <c r="DO108" s="48" t="n">
        <f aca="false">SUM(DO104:DO107)</f>
        <v>0</v>
      </c>
      <c r="DP108" s="48" t="n">
        <f aca="false">SUM(DP104:DP107)</f>
        <v>0</v>
      </c>
      <c r="DQ108" s="48" t="n">
        <f aca="false">SUM(DQ104:DQ107)</f>
        <v>0</v>
      </c>
      <c r="DR108" s="48" t="n">
        <f aca="false">SUM(DR104:DR107)</f>
        <v>0</v>
      </c>
      <c r="DS108" s="48" t="n">
        <f aca="false">SUM(DS104:DS107)</f>
        <v>0</v>
      </c>
      <c r="DT108" s="48" t="n">
        <f aca="false">SUM(DT104:DT107)</f>
        <v>0</v>
      </c>
      <c r="DU108" s="48" t="n">
        <f aca="false">SUM(DU104:DU107)</f>
        <v>0</v>
      </c>
      <c r="DV108" s="48" t="n">
        <f aca="false">SUM(DV104:DV107)</f>
        <v>0</v>
      </c>
      <c r="DW108" s="48" t="n">
        <f aca="false">SUM(DW104:DW107)</f>
        <v>0</v>
      </c>
      <c r="DX108" s="48" t="n">
        <f aca="false">SUM(DX104:DX107)</f>
        <v>0</v>
      </c>
      <c r="DY108" s="48" t="n">
        <f aca="false">SUM(DY104:DY107)</f>
        <v>0</v>
      </c>
      <c r="DZ108" s="48" t="n">
        <f aca="false">SUM(DZ104:DZ107)</f>
        <v>0</v>
      </c>
      <c r="EA108" s="48" t="n">
        <f aca="false">SUM(EA104:EA107)</f>
        <v>0</v>
      </c>
      <c r="EB108" s="48" t="n">
        <f aca="false">SUM(EB104:EB107)</f>
        <v>0</v>
      </c>
      <c r="EC108" s="48" t="n">
        <f aca="false">SUM(EC104:EC107)</f>
        <v>0</v>
      </c>
      <c r="ED108" s="48" t="n">
        <f aca="false">SUM(ED104:ED107)</f>
        <v>0</v>
      </c>
      <c r="EE108" s="48" t="n">
        <f aca="false">SUM(EE104:EE107)</f>
        <v>0</v>
      </c>
      <c r="EF108" s="48" t="n">
        <f aca="false">SUM(EF104:EF107)</f>
        <v>0</v>
      </c>
      <c r="EG108" s="48" t="n">
        <f aca="false">SUM(EG104:EG107)</f>
        <v>0</v>
      </c>
      <c r="EH108" s="48" t="n">
        <f aca="false">SUM(EH104:EH107)</f>
        <v>0</v>
      </c>
      <c r="EI108" s="48" t="n">
        <f aca="false">SUM(EI104:EI107)</f>
        <v>0</v>
      </c>
      <c r="EJ108" s="48" t="n">
        <f aca="false">SUM(EJ104:EJ107)</f>
        <v>0</v>
      </c>
      <c r="EK108" s="48" t="n">
        <f aca="false">SUM(EK104:EK107)</f>
        <v>0</v>
      </c>
      <c r="EL108" s="48" t="n">
        <f aca="false">SUM(EL104:EL107)</f>
        <v>0</v>
      </c>
      <c r="EM108" s="48" t="n">
        <f aca="false">SUM(EM104:EM107)</f>
        <v>0</v>
      </c>
      <c r="EN108" s="48" t="n">
        <f aca="false">SUM(EN104:EN107)</f>
        <v>0</v>
      </c>
      <c r="EO108" s="48" t="n">
        <f aca="false">SUM(EO104:EO107)</f>
        <v>0</v>
      </c>
    </row>
    <row r="109" customFormat="false" ht="15" hidden="false" customHeight="false" outlineLevel="0" collapsed="false">
      <c r="C109" s="1" t="s">
        <v>453</v>
      </c>
      <c r="D109" s="12" t="s">
        <v>33</v>
      </c>
      <c r="J109" s="48" t="n">
        <f aca="false">-In_CIT*(MAX(0,J103)+J106)</f>
        <v>-0</v>
      </c>
      <c r="K109" s="48" t="n">
        <f aca="false">-In_CIT*(MAX(0,K103)+K106)</f>
        <v>-0</v>
      </c>
      <c r="L109" s="48" t="n">
        <f aca="false">-In_CIT*(MAX(0,L103)+L106)</f>
        <v>-0</v>
      </c>
      <c r="M109" s="48" t="n">
        <f aca="false">-In_CIT*(MAX(0,M103)+M106)</f>
        <v>-0</v>
      </c>
      <c r="N109" s="48" t="n">
        <f aca="false">-In_CIT*(MAX(0,N103)+N106)</f>
        <v>-0</v>
      </c>
      <c r="O109" s="48" t="n">
        <f aca="false">-In_CIT*(MAX(0,O103)+O106)</f>
        <v>-0</v>
      </c>
      <c r="P109" s="48" t="n">
        <f aca="false">-In_CIT*(MAX(0,P103)+P106)</f>
        <v>-0</v>
      </c>
      <c r="Q109" s="48" t="n">
        <f aca="false">-In_CIT*(MAX(0,Q103)+Q106)</f>
        <v>-0</v>
      </c>
      <c r="R109" s="48" t="n">
        <f aca="false">-In_CIT*(MAX(0,R103)+R106)</f>
        <v>-0</v>
      </c>
      <c r="S109" s="48" t="n">
        <f aca="false">-In_CIT*(MAX(0,S103)+S106)</f>
        <v>-0</v>
      </c>
      <c r="T109" s="48" t="n">
        <f aca="false">-In_CIT*(MAX(0,T103)+T106)</f>
        <v>-0</v>
      </c>
      <c r="U109" s="48" t="n">
        <f aca="false">-In_CIT*(MAX(0,U103)+U106)</f>
        <v>-0</v>
      </c>
      <c r="V109" s="48" t="n">
        <f aca="false">-In_CIT*(MAX(0,V103)+V106)</f>
        <v>-0</v>
      </c>
      <c r="W109" s="48" t="n">
        <f aca="false">-In_CIT*(MAX(0,W103)+W106)</f>
        <v>-0</v>
      </c>
      <c r="X109" s="48" t="n">
        <f aca="false">-In_CIT*(MAX(0,X103)+X106)</f>
        <v>-0</v>
      </c>
      <c r="Y109" s="48" t="n">
        <f aca="false">-In_CIT*(MAX(0,Y103)+Y106)</f>
        <v>-0</v>
      </c>
      <c r="Z109" s="48" t="n">
        <f aca="false">-In_CIT*(MAX(0,Z103)+Z106)</f>
        <v>-10.6390545617518</v>
      </c>
      <c r="AA109" s="48" t="n">
        <f aca="false">-In_CIT*(MAX(0,AA103)+AA106)</f>
        <v>-10.5520018690295</v>
      </c>
      <c r="AB109" s="48" t="n">
        <f aca="false">-In_CIT*(MAX(0,AB103)+AB106)</f>
        <v>-11.402130366826</v>
      </c>
      <c r="AC109" s="48" t="n">
        <f aca="false">-In_CIT*(MAX(0,AC103)+AC106)</f>
        <v>-12.2646380711642</v>
      </c>
      <c r="AD109" s="48" t="n">
        <f aca="false">-In_CIT*(MAX(0,AD103)+AD106)</f>
        <v>-12.2422905929378</v>
      </c>
      <c r="AE109" s="48" t="n">
        <f aca="false">-In_CIT*(MAX(0,AE103)+AE106)</f>
        <v>-12.7002088601167</v>
      </c>
      <c r="AF109" s="48" t="n">
        <f aca="false">-In_CIT*(MAX(0,AF103)+AF106)</f>
        <v>-13.0405804238665</v>
      </c>
      <c r="AG109" s="48" t="n">
        <f aca="false">-In_CIT*(MAX(0,AG103)+AG106)</f>
        <v>-13.9248983123983</v>
      </c>
      <c r="AH109" s="48" t="n">
        <f aca="false">-In_CIT*(MAX(0,AH103)+AH106)</f>
        <v>-13.9190938370055</v>
      </c>
      <c r="AI109" s="48" t="n">
        <f aca="false">-In_CIT*(MAX(0,AI103)+AI106)</f>
        <v>-13.843168284621</v>
      </c>
      <c r="AJ109" s="48" t="n">
        <f aca="false">-In_CIT*(MAX(0,AJ103)+AJ106)</f>
        <v>-16.229056699625</v>
      </c>
      <c r="AK109" s="48" t="n">
        <f aca="false">-In_CIT*(MAX(0,AK103)+AK106)</f>
        <v>-17.1637032972597</v>
      </c>
      <c r="AL109" s="48" t="n">
        <f aca="false">-In_CIT*(MAX(0,AL103)+AL106)</f>
        <v>-34.3738594780818</v>
      </c>
      <c r="AM109" s="48" t="n">
        <f aca="false">-In_CIT*(MAX(0,AM103)+AM106)</f>
        <v>-34.1809665806662</v>
      </c>
      <c r="AN109" s="48" t="n">
        <f aca="false">-In_CIT*(MAX(0,AN103)+AN106)</f>
        <v>-36.058495733354</v>
      </c>
      <c r="AO109" s="48" t="n">
        <f aca="false">-In_CIT*(MAX(0,AO103)+AO106)</f>
        <v>-37.9620251501542</v>
      </c>
      <c r="AP109" s="48" t="n">
        <f aca="false">-In_CIT*(MAX(0,AP103)+AP106)</f>
        <v>-38.0317502211709</v>
      </c>
      <c r="AQ109" s="48" t="n">
        <f aca="false">-In_CIT*(MAX(0,AQ103)+AQ106)</f>
        <v>-37.8528562165163</v>
      </c>
      <c r="AR109" s="48" t="n">
        <f aca="false">-In_CIT*(MAX(0,AR103)+AR106)</f>
        <v>-39.7771286750404</v>
      </c>
      <c r="AS109" s="48" t="n">
        <f aca="false">-In_CIT*(MAX(0,AS103)+AS106)</f>
        <v>-41.7279258226542</v>
      </c>
      <c r="AT109" s="48" t="n">
        <f aca="false">-In_CIT*(MAX(0,AT103)+AT106)</f>
        <v>-41.8349841306666</v>
      </c>
      <c r="AU109" s="48" t="n">
        <f aca="false">-In_CIT*(MAX(0,AU103)+AU106)</f>
        <v>-42.8078548275364</v>
      </c>
      <c r="AV109" s="48" t="n">
        <f aca="false">-In_CIT*(MAX(0,AV103)+AV106)</f>
        <v>-43.6614785393078</v>
      </c>
      <c r="AW109" s="48" t="n">
        <f aca="false">-In_CIT*(MAX(0,AW103)+AW106)</f>
        <v>-45.6613637924859</v>
      </c>
      <c r="AX109" s="48" t="n">
        <f aca="false">-In_CIT*(MAX(0,AX103)+AX106)</f>
        <v>-45.8078035212488</v>
      </c>
      <c r="AY109" s="48" t="n">
        <f aca="false">-In_CIT*(MAX(0,AY103)+AY106)</f>
        <v>-45.66185976254</v>
      </c>
      <c r="AZ109" s="48" t="n">
        <f aca="false">-In_CIT*(MAX(0,AZ103)+AZ106)</f>
        <v>-47.6846964224466</v>
      </c>
      <c r="BA109" s="48" t="n">
        <f aca="false">-In_CIT*(MAX(0,BA103)+BA106)</f>
        <v>-49.7351693768134</v>
      </c>
      <c r="BB109" s="48" t="n">
        <f aca="false">-In_CIT*(MAX(0,BB103)+BB106)</f>
        <v>-49.9227222345507</v>
      </c>
      <c r="BC109" s="48" t="n">
        <f aca="false">-In_CIT*(MAX(0,BC103)+BC106)</f>
        <v>-49.7956913825684</v>
      </c>
      <c r="BD109" s="48" t="n">
        <f aca="false">-In_CIT*(MAX(0,BD103)+BD106)</f>
        <v>-51.8703008310879</v>
      </c>
      <c r="BE109" s="48" t="n">
        <f aca="false">-In_CIT*(MAX(0,BE103)+BE106)</f>
        <v>-53.9731332580679</v>
      </c>
      <c r="BF109" s="48" t="n">
        <f aca="false">-In_CIT*(MAX(0,BF103)+BF106)</f>
        <v>-54.2038146318654</v>
      </c>
      <c r="BG109" s="48" t="n">
        <f aca="false">-In_CIT*(MAX(0,BG103)+BG106)</f>
        <v>-54.0974973405592</v>
      </c>
      <c r="BH109" s="48" t="n">
        <f aca="false">-In_CIT*(MAX(0,BH103)+BH106)</f>
        <v>-56.2257111805225</v>
      </c>
      <c r="BI109" s="48" t="n">
        <f aca="false">-In_CIT*(MAX(0,BI103)+BI106)</f>
        <v>-58.3827573339829</v>
      </c>
      <c r="BJ109" s="48" t="n">
        <f aca="false">-In_CIT*(MAX(0,BJ103)+BJ106)</f>
        <v>-58.6586745856126</v>
      </c>
      <c r="BK109" s="48" t="n">
        <f aca="false">-In_CIT*(MAX(0,BK103)+BK106)</f>
        <v>-59.7313130145743</v>
      </c>
      <c r="BL109" s="48" t="n">
        <f aca="false">-In_CIT*(MAX(0,BL103)+BL106)</f>
        <v>-60.7760639908993</v>
      </c>
      <c r="BM109" s="48" t="n">
        <f aca="false">-In_CIT*(MAX(0,BM103)+BM106)</f>
        <v>-62.9894690974549</v>
      </c>
      <c r="BN109" s="48" t="n">
        <f aca="false">-In_CIT*(MAX(0,BN103)+BN106)</f>
        <v>-63.3130327370472</v>
      </c>
      <c r="BO109" s="48" t="n">
        <f aca="false">-In_CIT*(MAX(0,BO103)+BO106)</f>
        <v>-63.2541155231964</v>
      </c>
      <c r="BP109" s="48" t="n">
        <f aca="false">-In_CIT*(MAX(0,BP103)+BP106)</f>
        <v>-65.4955905860824</v>
      </c>
      <c r="BQ109" s="48" t="n">
        <f aca="false">-In_CIT*(MAX(0,BQ103)+BQ106)</f>
        <v>-67.7671913023556</v>
      </c>
      <c r="BR109" s="48" t="n">
        <f aca="false">-In_CIT*(MAX(0,BR103)+BR106)</f>
        <v>-68.1405086201042</v>
      </c>
      <c r="BS109" s="48" t="n">
        <f aca="false">-In_CIT*(MAX(0,BS103)+BS106)</f>
        <v>-68.1082702149765</v>
      </c>
      <c r="BT109" s="48" t="n">
        <f aca="false">-In_CIT*(MAX(0,BT103)+BT106)</f>
        <v>-70.4093838673927</v>
      </c>
      <c r="BU109" s="48" t="n">
        <f aca="false">-In_CIT*(MAX(0,BU103)+BU106)</f>
        <v>-72.7413070410345</v>
      </c>
      <c r="BV109" s="48" t="n">
        <f aca="false">-In_CIT*(MAX(0,BV103)+BV106)</f>
        <v>-73.1667881585633</v>
      </c>
      <c r="BW109" s="48" t="n">
        <f aca="false">-In_CIT*(MAX(0,BW103)+BW106)</f>
        <v>-73.163413323992</v>
      </c>
      <c r="BX109" s="48" t="n">
        <f aca="false">-In_CIT*(MAX(0,BX103)+BX106)</f>
        <v>-75.5263649049334</v>
      </c>
      <c r="BY109" s="48" t="n">
        <f aca="false">-In_CIT*(MAX(0,BY103)+BY106)</f>
        <v>-77.9208370116992</v>
      </c>
      <c r="BZ109" s="48" t="n">
        <f aca="false">-In_CIT*(MAX(0,BZ103)+BZ106)</f>
        <v>-78.401002321146</v>
      </c>
      <c r="CA109" s="48" t="n">
        <f aca="false">-In_CIT*(MAX(0,CA103)+CA106)</f>
        <v>-79.6010986749364</v>
      </c>
      <c r="CB109" s="48" t="n">
        <f aca="false">-In_CIT*(MAX(0,CB103)+CB106)</f>
        <v>-80.8733602926194</v>
      </c>
      <c r="CC109" s="48" t="n">
        <f aca="false">-In_CIT*(MAX(0,CC103)+CC106)</f>
        <v>-83.3329181319395</v>
      </c>
      <c r="CD109" s="48" t="n">
        <f aca="false">-In_CIT*(MAX(0,CD103)+CD106)</f>
        <v>-83.8706117244902</v>
      </c>
      <c r="CE109" s="48" t="n">
        <f aca="false">-In_CIT*(MAX(0,CE103)+CE106)</f>
        <v>-83.9321644016748</v>
      </c>
      <c r="CF109" s="48" t="n">
        <f aca="false">-In_CIT*(MAX(0,CF103)+CF106)</f>
        <v>-86.426020811783</v>
      </c>
      <c r="CG109" s="48" t="n">
        <f aca="false">-In_CIT*(MAX(0,CG103)+CG106)</f>
        <v>-88.9529087638046</v>
      </c>
      <c r="CH109" s="48" t="n">
        <f aca="false">-In_CIT*(MAX(0,CH103)+CH106)</f>
        <v>-89.5506888477067</v>
      </c>
      <c r="CI109" s="48" t="n">
        <f aca="false">-In_CIT*(MAX(0,CI103)+CI106)</f>
        <v>-89.6483354565105</v>
      </c>
      <c r="CJ109" s="48" t="n">
        <f aca="false">-In_CIT*(MAX(0,CJ103)+CJ106)</f>
        <v>-92.2112772987528</v>
      </c>
      <c r="CK109" s="48" t="n">
        <f aca="false">-In_CIT*(MAX(0,CK103)+CK106)</f>
        <v>-94.8080509989077</v>
      </c>
      <c r="CL109" s="48" t="n">
        <f aca="false">-In_CIT*(MAX(0,CL103)+CL106)</f>
        <v>-95.4688009470442</v>
      </c>
      <c r="CM109" s="48" t="n">
        <f aca="false">-In_CIT*(MAX(0,CM103)+CM106)</f>
        <v>-95.6051885274261</v>
      </c>
      <c r="CN109" s="48" t="n">
        <f aca="false">-In_CIT*(MAX(0,CN103)+CN106)</f>
        <v>-98.2398592289289</v>
      </c>
      <c r="CO109" s="48" t="n">
        <f aca="false">-In_CIT*(MAX(0,CO103)+CO106)</f>
        <v>-100.909194642911</v>
      </c>
      <c r="CP109" s="48" t="n">
        <f aca="false">-In_CIT*(MAX(0,CP103)+CP106)</f>
        <v>-101.635930090933</v>
      </c>
      <c r="CQ109" s="48" t="n">
        <f aca="false">-In_CIT*(MAX(0,CQ103)+CQ106)</f>
        <v>-102.997344125387</v>
      </c>
      <c r="CR109" s="48" t="n">
        <f aca="false">-In_CIT*(MAX(0,CR103)+CR106)</f>
        <v>-104.540569706994</v>
      </c>
      <c r="CS109" s="48" t="n">
        <f aca="false">-In_CIT*(MAX(0,CS103)+CS106)</f>
        <v>-107.285475791039</v>
      </c>
      <c r="CT109" s="48" t="n">
        <f aca="false">-In_CIT*(MAX(0,CT103)+CT106)</f>
        <v>-108.081560079775</v>
      </c>
      <c r="CU109" s="48" t="n">
        <f aca="false">-In_CIT*(MAX(0,CU103)+CU106)</f>
        <v>-106.693821559351</v>
      </c>
      <c r="CV109" s="48" t="n">
        <f aca="false">-In_CIT*(MAX(0,CV103)+CV106)</f>
        <v>-107.879308465566</v>
      </c>
      <c r="CW109" s="48" t="n">
        <f aca="false">-In_CIT*(MAX(0,CW103)+CW106)</f>
        <v>-109.064795371781</v>
      </c>
      <c r="CX109" s="48" t="n">
        <f aca="false">-In_CIT*(MAX(0,CX103)+CX106)</f>
        <v>-108.258735189678</v>
      </c>
      <c r="CY109" s="48" t="n">
        <f aca="false">-In_CIT*(MAX(0,CY103)+CY106)</f>
        <v>-106.84037277062</v>
      </c>
      <c r="CZ109" s="48" t="n">
        <f aca="false">-In_CIT*(MAX(0,CZ103)+CZ106)</f>
        <v>-108.027488023627</v>
      </c>
      <c r="DA109" s="48" t="n">
        <f aca="false">-In_CIT*(MAX(0,DA103)+DA106)</f>
        <v>-109.214603276634</v>
      </c>
      <c r="DB109" s="48" t="n">
        <f aca="false">-In_CIT*(MAX(0,DB103)+DB106)</f>
        <v>-209.955906903205</v>
      </c>
      <c r="DC109" s="48" t="n">
        <f aca="false">-In_CIT*(MAX(0,DC103)+DC106)</f>
        <v>-206.298966746317</v>
      </c>
      <c r="DD109" s="48" t="n">
        <f aca="false">-In_CIT*(MAX(0,DD103)+DD106)</f>
        <v>-208.591177487942</v>
      </c>
      <c r="DE109" s="48" t="n">
        <f aca="false">-In_CIT*(MAX(0,DE103)+DE106)</f>
        <v>-210.883388229568</v>
      </c>
      <c r="DF109" s="48" t="n">
        <f aca="false">-In_CIT*(MAX(0,DF103)+DF106)</f>
        <v>-210.067709428949</v>
      </c>
      <c r="DG109" s="48" t="n">
        <f aca="false">-In_CIT*(MAX(0,DG103)+DG106)</f>
        <v>-208.672651141679</v>
      </c>
      <c r="DH109" s="48" t="n">
        <f aca="false">-In_CIT*(MAX(0,DH103)+DH106)</f>
        <v>-208.672651141679</v>
      </c>
      <c r="DI109" s="48" t="n">
        <f aca="false">-In_CIT*(MAX(0,DI103)+DI106)</f>
        <v>-210.965757198181</v>
      </c>
      <c r="DJ109" s="48" t="n">
        <f aca="false">-In_CIT*(MAX(0,DJ103)+DJ106)</f>
        <v>-210.145255574759</v>
      </c>
      <c r="DK109" s="48" t="n">
        <f aca="false">-In_CIT*(MAX(0,DK103)+DK106)</f>
        <v>-206.425560393512</v>
      </c>
      <c r="DL109" s="48" t="n">
        <f aca="false">-In_CIT*(MAX(0,DL103)+DL106)</f>
        <v>-208.719177731218</v>
      </c>
      <c r="DM109" s="48" t="n">
        <f aca="false">-In_CIT*(MAX(0,DM103)+DM106)</f>
        <v>-211.012795068924</v>
      </c>
      <c r="DN109" s="48" t="n">
        <f aca="false">-In_CIT*(MAX(0,DN103)+DN106)</f>
        <v>-210.187462223093</v>
      </c>
      <c r="DO109" s="48" t="n">
        <f aca="false">-In_CIT*(MAX(0,DO103)+DO106)</f>
        <v>-206.435925103432</v>
      </c>
      <c r="DP109" s="48" t="n">
        <f aca="false">-In_CIT*(MAX(0,DP103)+DP106)</f>
        <v>-208.729657604581</v>
      </c>
      <c r="DQ109" s="48" t="n">
        <f aca="false">-In_CIT*(MAX(0,DQ103)+DQ106)</f>
        <v>-211.02339010573</v>
      </c>
      <c r="DR109" s="48" t="n">
        <f aca="false">-In_CIT*(MAX(0,DR103)+DR106)</f>
        <v>-210.193218113273</v>
      </c>
      <c r="DS109" s="48" t="n">
        <f aca="false">-In_CIT*(MAX(0,DS103)+DS106)</f>
        <v>-206.409523416985</v>
      </c>
      <c r="DT109" s="48" t="n">
        <f aca="false">-In_CIT*(MAX(0,DT103)+DT106)</f>
        <v>-208.702962566063</v>
      </c>
      <c r="DU109" s="48" t="n">
        <f aca="false">-In_CIT*(MAX(0,DU103)+DU106)</f>
        <v>-210.99640171514</v>
      </c>
      <c r="DV109" s="48" t="n">
        <f aca="false">-In_CIT*(MAX(0,DV103)+DV106)</f>
        <v>-210.161383142302</v>
      </c>
      <c r="DW109" s="48" t="n">
        <f aca="false">-In_CIT*(MAX(0,DW103)+DW106)</f>
        <v>-208.637935167281</v>
      </c>
      <c r="DX109" s="48" t="n">
        <f aca="false">-In_CIT*(MAX(0,DX103)+DX106)</f>
        <v>-208.637935167281</v>
      </c>
      <c r="DY109" s="48" t="n">
        <f aca="false">-In_CIT*(MAX(0,DY103)+DY106)</f>
        <v>-210.930659729559</v>
      </c>
      <c r="DZ109" s="48" t="n">
        <f aca="false">-In_CIT*(MAX(0,DZ103)+DZ106)</f>
        <v>-210.090787648485</v>
      </c>
      <c r="EA109" s="48" t="n">
        <f aca="false">-In_CIT*(MAX(0,EA103)+EA106)</f>
        <v>-206.241812288705</v>
      </c>
      <c r="EB109" s="48" t="n">
        <f aca="false">-In_CIT*(MAX(0,EB103)+EB106)</f>
        <v>-208.533387980801</v>
      </c>
      <c r="EC109" s="48" t="n">
        <f aca="false">-In_CIT*(MAX(0,EC103)+EC106)</f>
        <v>-210.824963672898</v>
      </c>
      <c r="ED109" s="48" t="n">
        <f aca="false">-In_CIT*(MAX(0,ED103)+ED106)</f>
        <v>-209.980231677447</v>
      </c>
      <c r="EE109" s="48" t="n">
        <f aca="false">-In_CIT*(MAX(0,EE103)+EE106)</f>
        <v>-206.098123703639</v>
      </c>
      <c r="EF109" s="48" t="n">
        <f aca="false">-In_CIT*(MAX(0,EF103)+EF106)</f>
        <v>-208.388102855902</v>
      </c>
      <c r="EG109" s="48" t="n">
        <f aca="false">-In_CIT*(MAX(0,EG103)+EG106)</f>
        <v>-210.678082008164</v>
      </c>
      <c r="EH109" s="48" t="n">
        <f aca="false">-In_CIT*(MAX(0,EH103)+EH106)</f>
        <v>-209.828484230097</v>
      </c>
      <c r="EI109" s="48" t="n">
        <f aca="false">-In_CIT*(MAX(0,EI103)+EI106)</f>
        <v>-205.912908945536</v>
      </c>
      <c r="EJ109" s="48" t="n">
        <f aca="false">-In_CIT*(MAX(0,EJ103)+EJ106)</f>
        <v>-208.200830156042</v>
      </c>
      <c r="EK109" s="48" t="n">
        <f aca="false">-In_CIT*(MAX(0,EK103)+EK106)</f>
        <v>-210.488751366548</v>
      </c>
      <c r="EL109" s="48" t="n">
        <f aca="false">-In_CIT*(MAX(0,EL103)+EL106)</f>
        <v>-209.634282492104</v>
      </c>
      <c r="EM109" s="48" t="n">
        <f aca="false">-In_CIT*(MAX(0,EM103)+EM106)</f>
        <v>-207.970287977588</v>
      </c>
      <c r="EN109" s="48" t="n">
        <f aca="false">-In_CIT*(MAX(0,EN103)+EN106)</f>
        <v>-207.970287977588</v>
      </c>
      <c r="EO109" s="48" t="n">
        <f aca="false">-In_CIT*(MAX(0,EO103)+EO106)</f>
        <v>-210.255675757561</v>
      </c>
    </row>
    <row r="110" customFormat="false" ht="15" hidden="false" customHeight="false" outlineLevel="0" collapsed="false">
      <c r="C110" s="1" t="s">
        <v>454</v>
      </c>
      <c r="D110" s="12" t="s">
        <v>33</v>
      </c>
      <c r="I110" s="48" t="n">
        <f aca="false">SUM(J110:EO110)</f>
        <v>3.3335124882683E-008</v>
      </c>
      <c r="J110" s="48" t="n">
        <f aca="false">ABS(J109-J82)</f>
        <v>0</v>
      </c>
      <c r="K110" s="48" t="n">
        <f aca="false">ABS(K109-K82)</f>
        <v>0</v>
      </c>
      <c r="L110" s="48" t="n">
        <f aca="false">ABS(L109-L82)</f>
        <v>0</v>
      </c>
      <c r="M110" s="48" t="n">
        <f aca="false">ABS(M109-M82)</f>
        <v>0</v>
      </c>
      <c r="N110" s="48" t="n">
        <f aca="false">ABS(N109-N82)</f>
        <v>0</v>
      </c>
      <c r="O110" s="48" t="n">
        <f aca="false">ABS(O109-O82)</f>
        <v>0</v>
      </c>
      <c r="P110" s="48" t="n">
        <f aca="false">ABS(P109-P82)</f>
        <v>0</v>
      </c>
      <c r="Q110" s="48" t="n">
        <f aca="false">ABS(Q109-Q82)</f>
        <v>0</v>
      </c>
      <c r="R110" s="48" t="n">
        <f aca="false">ABS(R109-R82)</f>
        <v>0</v>
      </c>
      <c r="S110" s="48" t="n">
        <f aca="false">ABS(S109-S82)</f>
        <v>0</v>
      </c>
      <c r="T110" s="48" t="n">
        <f aca="false">ABS(T109-T82)</f>
        <v>0</v>
      </c>
      <c r="U110" s="48" t="n">
        <f aca="false">ABS(U109-U82)</f>
        <v>0</v>
      </c>
      <c r="V110" s="48" t="n">
        <f aca="false">ABS(V109-V82)</f>
        <v>0</v>
      </c>
      <c r="W110" s="48" t="n">
        <f aca="false">ABS(W109-W82)</f>
        <v>0</v>
      </c>
      <c r="X110" s="48" t="n">
        <f aca="false">ABS(X109-X82)</f>
        <v>0</v>
      </c>
      <c r="Y110" s="48" t="n">
        <f aca="false">ABS(Y109-Y82)</f>
        <v>0</v>
      </c>
      <c r="Z110" s="48" t="n">
        <f aca="false">ABS(Z109-Z82)</f>
        <v>0</v>
      </c>
      <c r="AA110" s="48" t="n">
        <f aca="false">ABS(AA109-AA82)</f>
        <v>1.06137321154165E-011</v>
      </c>
      <c r="AB110" s="48" t="n">
        <f aca="false">ABS(AB109-AB82)</f>
        <v>2.19984030991327E-011</v>
      </c>
      <c r="AC110" s="48" t="n">
        <f aca="false">ABS(AC109-AC82)</f>
        <v>3.4271252502549E-011</v>
      </c>
      <c r="AD110" s="48" t="n">
        <f aca="false">ABS(AD109-AD82)</f>
        <v>4.75424144497083E-011</v>
      </c>
      <c r="AE110" s="48" t="n">
        <f aca="false">ABS(AE109-AE82)</f>
        <v>6.15525408420581E-011</v>
      </c>
      <c r="AF110" s="48" t="n">
        <f aca="false">ABS(AF109-AF82)</f>
        <v>7.6246564617577E-011</v>
      </c>
      <c r="AG110" s="48" t="n">
        <f aca="false">ABS(AG109-AG82)</f>
        <v>9.17488307550229E-011</v>
      </c>
      <c r="AH110" s="48" t="n">
        <f aca="false">ABS(AH109-AH82)</f>
        <v>1.07952757844032E-010</v>
      </c>
      <c r="AI110" s="48" t="n">
        <f aca="false">ABS(AI109-AI82)</f>
        <v>1.24972032722326E-010</v>
      </c>
      <c r="AJ110" s="48" t="n">
        <f aca="false">ABS(AJ109-AJ82)</f>
        <v>1.42453160378864E-010</v>
      </c>
      <c r="AK110" s="48" t="n">
        <f aca="false">ABS(AK109-AK82)</f>
        <v>1.60795821102511E-010</v>
      </c>
      <c r="AL110" s="48" t="n">
        <f aca="false">ABS(AL109-AL82)</f>
        <v>3.5983305224363E-010</v>
      </c>
      <c r="AM110" s="48" t="n">
        <f aca="false">ABS(AM109-AM82)</f>
        <v>4.1207925960407E-010</v>
      </c>
      <c r="AN110" s="48" t="n">
        <f aca="false">ABS(AN109-AN82)</f>
        <v>4.63877825040981E-010</v>
      </c>
      <c r="AO110" s="48" t="n">
        <f aca="false">ABS(AO109-AO82)</f>
        <v>5.15264275691152E-010</v>
      </c>
      <c r="AP110" s="48" t="n">
        <f aca="false">ABS(AP109-AP82)</f>
        <v>5.65954394460277E-010</v>
      </c>
      <c r="AQ110" s="48" t="n">
        <f aca="false">ABS(AQ109-AQ82)</f>
        <v>6.15315798313532E-010</v>
      </c>
      <c r="AR110" s="48" t="n">
        <f aca="false">ABS(AR109-AR82)</f>
        <v>6.62730315070803E-010</v>
      </c>
      <c r="AS110" s="48" t="n">
        <f aca="false">ABS(AS109-AS82)</f>
        <v>7.0838268584339E-010</v>
      </c>
      <c r="AT110" s="48" t="n">
        <f aca="false">ABS(AT109-AT82)</f>
        <v>7.51924744690768E-010</v>
      </c>
      <c r="AU110" s="48" t="n">
        <f aca="false">ABS(AU109-AU82)</f>
        <v>7.92894638834696E-010</v>
      </c>
      <c r="AV110" s="48" t="n">
        <f aca="false">ABS(AV109-AV82)</f>
        <v>8.30809199214855E-010</v>
      </c>
      <c r="AW110" s="48" t="n">
        <f aca="false">ABS(AW109-AW82)</f>
        <v>8.65711058395391E-010</v>
      </c>
      <c r="AX110" s="48" t="n">
        <f aca="false">ABS(AX109-AX82)</f>
        <v>8.97308893854643E-010</v>
      </c>
      <c r="AY110" s="48" t="n">
        <f aca="false">ABS(AY109-AY82)</f>
        <v>9.25368226489809E-010</v>
      </c>
      <c r="AZ110" s="48" t="n">
        <f aca="false">ABS(AZ109-AZ82)</f>
        <v>9.49221146129275E-010</v>
      </c>
      <c r="BA110" s="48" t="n">
        <f aca="false">ABS(BA109-BA82)</f>
        <v>9.69414770679578E-010</v>
      </c>
      <c r="BB110" s="48" t="n">
        <f aca="false">ABS(BB109-BB82)</f>
        <v>9.85778569884133E-010</v>
      </c>
      <c r="BC110" s="48" t="n">
        <f aca="false">ABS(BC109-BC82)</f>
        <v>9.97843585537339E-010</v>
      </c>
      <c r="BD110" s="48" t="n">
        <f aca="false">ABS(BD109-BD82)</f>
        <v>1.00533981139961E-009</v>
      </c>
      <c r="BE110" s="48" t="n">
        <f aca="false">ABS(BE109-BE82)</f>
        <v>1.00872910024918E-009</v>
      </c>
      <c r="BF110" s="48" t="n">
        <f aca="false">ABS(BF109-BF82)</f>
        <v>1.0080398737955E-009</v>
      </c>
      <c r="BG110" s="48" t="n">
        <f aca="false">ABS(BG109-BG82)</f>
        <v>1.00312291806404E-009</v>
      </c>
      <c r="BH110" s="48" t="n">
        <f aca="false">ABS(BH109-BH82)</f>
        <v>9.93480853139772E-010</v>
      </c>
      <c r="BI110" s="48" t="n">
        <f aca="false">ABS(BI109-BI82)</f>
        <v>9.79937908596185E-010</v>
      </c>
      <c r="BJ110" s="48" t="n">
        <f aca="false">ABS(BJ109-BJ82)</f>
        <v>9.62636192980426E-010</v>
      </c>
      <c r="BK110" s="48" t="n">
        <f aca="false">ABS(BK109-BK82)</f>
        <v>9.41355438044411E-010</v>
      </c>
      <c r="BL110" s="48" t="n">
        <f aca="false">ABS(BL109-BL82)</f>
        <v>9.16323017463583E-010</v>
      </c>
      <c r="BM110" s="48" t="n">
        <f aca="false">ABS(BM109-BM82)</f>
        <v>8.87730777776596E-010</v>
      </c>
      <c r="BN110" s="48" t="n">
        <f aca="false">ABS(BN109-BN82)</f>
        <v>8.56019255479623E-010</v>
      </c>
      <c r="BO110" s="48" t="n">
        <f aca="false">ABS(BO109-BO82)</f>
        <v>8.213163482651E-010</v>
      </c>
      <c r="BP110" s="48" t="n">
        <f aca="false">ABS(BP109-BP82)</f>
        <v>7.83558107286808E-010</v>
      </c>
      <c r="BQ110" s="48" t="n">
        <f aca="false">ABS(BQ109-BQ82)</f>
        <v>7.4359718382766E-010</v>
      </c>
      <c r="BR110" s="48" t="n">
        <f aca="false">ABS(BR109-BR82)</f>
        <v>7.01675162417814E-010</v>
      </c>
      <c r="BS110" s="48" t="n">
        <f aca="false">ABS(BS109-BS82)</f>
        <v>6.58047838442144E-010</v>
      </c>
      <c r="BT110" s="48" t="n">
        <f aca="false">ABS(BT109-BT82)</f>
        <v>6.12587314208213E-010</v>
      </c>
      <c r="BU110" s="48" t="n">
        <f aca="false">ABS(BU109-BU82)</f>
        <v>5.66373614674376E-010</v>
      </c>
      <c r="BV110" s="48" t="n">
        <f aca="false">ABS(BV109-BV82)</f>
        <v>5.19577270097216E-010</v>
      </c>
      <c r="BW110" s="48" t="n">
        <f aca="false">ABS(BW109-BW82)</f>
        <v>4.72553551844612E-010</v>
      </c>
      <c r="BX110" s="48" t="n">
        <f aca="false">ABS(BX109-BX82)</f>
        <v>4.25174562224129E-010</v>
      </c>
      <c r="BY110" s="48" t="n">
        <f aca="false">ABS(BY109-BY82)</f>
        <v>3.78435061065829E-010</v>
      </c>
      <c r="BZ110" s="48" t="n">
        <f aca="false">ABS(BZ109-BZ82)</f>
        <v>3.32832428284746E-010</v>
      </c>
      <c r="CA110" s="48" t="n">
        <f aca="false">ABS(CA109-CA82)</f>
        <v>2.88309820462018E-010</v>
      </c>
      <c r="CB110" s="48" t="n">
        <f aca="false">ABS(CB109-CB82)</f>
        <v>2.45236719820241E-010</v>
      </c>
      <c r="CC110" s="48" t="n">
        <f aca="false">ABS(CC109-CC82)</f>
        <v>2.03939976017864E-010</v>
      </c>
      <c r="CD110" s="48" t="n">
        <f aca="false">ABS(CD109-CD82)</f>
        <v>1.65059077517071E-010</v>
      </c>
      <c r="CE110" s="48" t="n">
        <f aca="false">ABS(CE109-CE82)</f>
        <v>1.28594024317863E-010</v>
      </c>
      <c r="CF110" s="48" t="n">
        <f aca="false">ABS(CF109-CF82)</f>
        <v>9.45021838560933E-011</v>
      </c>
      <c r="CG110" s="48" t="n">
        <f aca="false">ABS(CG109-CG82)</f>
        <v>6.36362074146746E-011</v>
      </c>
      <c r="CH110" s="48" t="n">
        <f aca="false">ABS(CH109-CH82)</f>
        <v>3.62518903784803E-011</v>
      </c>
      <c r="CI110" s="48" t="n">
        <f aca="false">ABS(CI109-CI82)</f>
        <v>1.21218590720673E-011</v>
      </c>
      <c r="CJ110" s="48" t="n">
        <f aca="false">ABS(CJ109-CJ82)</f>
        <v>8.55493453855161E-012</v>
      </c>
      <c r="CK110" s="48" t="n">
        <f aca="false">ABS(CK109-CK82)</f>
        <v>2.5465851649642E-011</v>
      </c>
      <c r="CL110" s="48" t="n">
        <f aca="false">ABS(CL109-CL82)</f>
        <v>3.81845666197478E-011</v>
      </c>
      <c r="CM110" s="48" t="n">
        <f aca="false">ABS(CM109-CM82)</f>
        <v>4.71089833808946E-011</v>
      </c>
      <c r="CN110" s="48" t="n">
        <f aca="false">ABS(CN109-CN82)</f>
        <v>5.23669996255194E-011</v>
      </c>
      <c r="CO110" s="48" t="n">
        <f aca="false">ABS(CO109-CO82)</f>
        <v>5.30349097971339E-011</v>
      </c>
      <c r="CP110" s="48" t="n">
        <f aca="false">ABS(CP109-CP82)</f>
        <v>4.98943109050742E-011</v>
      </c>
      <c r="CQ110" s="48" t="n">
        <f aca="false">ABS(CQ109-CQ82)</f>
        <v>4.36699565398158E-011</v>
      </c>
      <c r="CR110" s="48" t="n">
        <f aca="false">ABS(CR109-CR82)</f>
        <v>3.28412852468318E-011</v>
      </c>
      <c r="CS110" s="48" t="n">
        <f aca="false">ABS(CS109-CS82)</f>
        <v>1.80477854883065E-011</v>
      </c>
      <c r="CT110" s="48" t="n">
        <f aca="false">ABS(CT109-CT82)</f>
        <v>0</v>
      </c>
      <c r="CU110" s="48" t="n">
        <f aca="false">ABS(CU109-CU82)</f>
        <v>0</v>
      </c>
      <c r="CV110" s="48" t="n">
        <f aca="false">ABS(CV109-CV82)</f>
        <v>0</v>
      </c>
      <c r="CW110" s="48" t="n">
        <f aca="false">ABS(CW109-CW82)</f>
        <v>0</v>
      </c>
      <c r="CX110" s="48" t="n">
        <f aca="false">ABS(CX109-CX82)</f>
        <v>0</v>
      </c>
      <c r="CY110" s="48" t="n">
        <f aca="false">ABS(CY109-CY82)</f>
        <v>0</v>
      </c>
      <c r="CZ110" s="48" t="n">
        <f aca="false">ABS(CZ109-CZ82)</f>
        <v>0</v>
      </c>
      <c r="DA110" s="48" t="n">
        <f aca="false">ABS(DA109-DA82)</f>
        <v>0</v>
      </c>
      <c r="DB110" s="48" t="n">
        <f aca="false">ABS(DB109-DB82)</f>
        <v>0</v>
      </c>
      <c r="DC110" s="48" t="n">
        <f aca="false">ABS(DC109-DC82)</f>
        <v>0</v>
      </c>
      <c r="DD110" s="48" t="n">
        <f aca="false">ABS(DD109-DD82)</f>
        <v>0</v>
      </c>
      <c r="DE110" s="48" t="n">
        <f aca="false">ABS(DE109-DE82)</f>
        <v>0</v>
      </c>
      <c r="DF110" s="48" t="n">
        <f aca="false">ABS(DF109-DF82)</f>
        <v>0</v>
      </c>
      <c r="DG110" s="48" t="n">
        <f aca="false">ABS(DG109-DG82)</f>
        <v>0</v>
      </c>
      <c r="DH110" s="48" t="n">
        <f aca="false">ABS(DH109-DH82)</f>
        <v>0</v>
      </c>
      <c r="DI110" s="48" t="n">
        <f aca="false">ABS(DI109-DI82)</f>
        <v>0</v>
      </c>
      <c r="DJ110" s="48" t="n">
        <f aca="false">ABS(DJ109-DJ82)</f>
        <v>0</v>
      </c>
      <c r="DK110" s="48" t="n">
        <f aca="false">ABS(DK109-DK82)</f>
        <v>0</v>
      </c>
      <c r="DL110" s="48" t="n">
        <f aca="false">ABS(DL109-DL82)</f>
        <v>0</v>
      </c>
      <c r="DM110" s="48" t="n">
        <f aca="false">ABS(DM109-DM82)</f>
        <v>0</v>
      </c>
      <c r="DN110" s="48" t="n">
        <f aca="false">ABS(DN109-DN82)</f>
        <v>0</v>
      </c>
      <c r="DO110" s="48" t="n">
        <f aca="false">ABS(DO109-DO82)</f>
        <v>0</v>
      </c>
      <c r="DP110" s="48" t="n">
        <f aca="false">ABS(DP109-DP82)</f>
        <v>0</v>
      </c>
      <c r="DQ110" s="48" t="n">
        <f aca="false">ABS(DQ109-DQ82)</f>
        <v>0</v>
      </c>
      <c r="DR110" s="48" t="n">
        <f aca="false">ABS(DR109-DR82)</f>
        <v>0</v>
      </c>
      <c r="DS110" s="48" t="n">
        <f aca="false">ABS(DS109-DS82)</f>
        <v>0</v>
      </c>
      <c r="DT110" s="48" t="n">
        <f aca="false">ABS(DT109-DT82)</f>
        <v>0</v>
      </c>
      <c r="DU110" s="48" t="n">
        <f aca="false">ABS(DU109-DU82)</f>
        <v>0</v>
      </c>
      <c r="DV110" s="48" t="n">
        <f aca="false">ABS(DV109-DV82)</f>
        <v>0</v>
      </c>
      <c r="DW110" s="48" t="n">
        <f aca="false">ABS(DW109-DW82)</f>
        <v>0</v>
      </c>
      <c r="DX110" s="48" t="n">
        <f aca="false">ABS(DX109-DX82)</f>
        <v>0</v>
      </c>
      <c r="DY110" s="48" t="n">
        <f aca="false">ABS(DY109-DY82)</f>
        <v>0</v>
      </c>
      <c r="DZ110" s="48" t="n">
        <f aca="false">ABS(DZ109-DZ82)</f>
        <v>0</v>
      </c>
      <c r="EA110" s="48" t="n">
        <f aca="false">ABS(EA109-EA82)</f>
        <v>0</v>
      </c>
      <c r="EB110" s="48" t="n">
        <f aca="false">ABS(EB109-EB82)</f>
        <v>0</v>
      </c>
      <c r="EC110" s="48" t="n">
        <f aca="false">ABS(EC109-EC82)</f>
        <v>0</v>
      </c>
      <c r="ED110" s="48" t="n">
        <f aca="false">ABS(ED109-ED82)</f>
        <v>0</v>
      </c>
      <c r="EE110" s="48" t="n">
        <f aca="false">ABS(EE109-EE82)</f>
        <v>0</v>
      </c>
      <c r="EF110" s="48" t="n">
        <f aca="false">ABS(EF109-EF82)</f>
        <v>0</v>
      </c>
      <c r="EG110" s="48" t="n">
        <f aca="false">ABS(EG109-EG82)</f>
        <v>0</v>
      </c>
      <c r="EH110" s="48" t="n">
        <f aca="false">ABS(EH109-EH82)</f>
        <v>0</v>
      </c>
      <c r="EI110" s="48" t="n">
        <f aca="false">ABS(EI109-EI82)</f>
        <v>0</v>
      </c>
      <c r="EJ110" s="48" t="n">
        <f aca="false">ABS(EJ109-EJ82)</f>
        <v>0</v>
      </c>
      <c r="EK110" s="48" t="n">
        <f aca="false">ABS(EK109-EK82)</f>
        <v>0</v>
      </c>
      <c r="EL110" s="48" t="n">
        <f aca="false">ABS(EL109-EL82)</f>
        <v>0</v>
      </c>
      <c r="EM110" s="48" t="n">
        <f aca="false">ABS(EM109-EM82)</f>
        <v>0</v>
      </c>
      <c r="EN110" s="48" t="n">
        <f aca="false">ABS(EN109-EN82)</f>
        <v>0</v>
      </c>
      <c r="EO110" s="48" t="n">
        <f aca="false">ABS(EO109-EO82)</f>
        <v>0</v>
      </c>
    </row>
    <row r="112" customFormat="false" ht="15" hidden="false" customHeight="false" outlineLevel="0" collapsed="false">
      <c r="A112" s="10" t="s">
        <v>13</v>
      </c>
      <c r="B112" s="10"/>
      <c r="C112" s="10" t="s">
        <v>455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93</v>
      </c>
      <c r="D113" s="12" t="s">
        <v>33</v>
      </c>
      <c r="E113" s="48" t="n">
        <f aca="false">-($I44+$I45+$I46)</f>
        <v>5150</v>
      </c>
    </row>
    <row r="114" customFormat="false" ht="15" hidden="false" customHeight="false" outlineLevel="0" collapsed="false">
      <c r="C114" s="1" t="s">
        <v>94</v>
      </c>
      <c r="D114" s="12" t="s">
        <v>33</v>
      </c>
      <c r="E114" s="48" t="n">
        <f aca="false">-($I48+$I51+$E55)</f>
        <v>1114.92155376243</v>
      </c>
    </row>
    <row r="115" customFormat="false" ht="15" hidden="false" customHeight="false" outlineLevel="0" collapsed="false">
      <c r="C115" s="1" t="s">
        <v>95</v>
      </c>
      <c r="D115" s="12" t="s">
        <v>33</v>
      </c>
      <c r="E115" s="48" t="n">
        <f aca="false">-$I64</f>
        <v>70151.25</v>
      </c>
    </row>
    <row r="116" customFormat="false" ht="15" hidden="false" customHeight="false" outlineLevel="0" collapsed="false">
      <c r="C116" s="1" t="s">
        <v>96</v>
      </c>
      <c r="D116" s="12" t="s">
        <v>33</v>
      </c>
      <c r="E116" s="48" t="n">
        <f aca="false">-$I54</f>
        <v>8154.82315068493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8" t="n">
        <f aca="false">-$I65</f>
        <v>2500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8" t="n">
        <f aca="false">$I93-$I96-$I97</f>
        <v>4839.19009336073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8" t="n">
        <f aca="false">-SUMIF($J$4:$EO$4,"&lt;="&amp;In_COD,$J79:$EO79)</f>
        <v>340.170197534084</v>
      </c>
    </row>
    <row r="120" customFormat="false" ht="15" hidden="false" customHeight="false" outlineLevel="0" collapsed="false">
      <c r="C120" s="26" t="s">
        <v>100</v>
      </c>
      <c r="D120" s="12" t="s">
        <v>33</v>
      </c>
      <c r="E120" s="57" t="n">
        <f aca="false">SUM($E113:$E119)</f>
        <v>92250.3549953422</v>
      </c>
    </row>
    <row r="121" customFormat="false" ht="15" hidden="false" customHeight="false" outlineLevel="0" collapsed="false">
      <c r="C121" s="1" t="s">
        <v>456</v>
      </c>
      <c r="D121" s="12" t="s">
        <v>33</v>
      </c>
      <c r="E121" s="48" t="n">
        <f aca="false">$E120-$E95</f>
        <v>24583.9752963419</v>
      </c>
      <c r="F121" s="48" t="n">
        <f aca="false">$E121+$E98</f>
        <v>26001.6712866069</v>
      </c>
    </row>
    <row r="122" customFormat="false" ht="15" hidden="false" customHeight="false" outlineLevel="0" collapsed="false">
      <c r="C122" s="1" t="s">
        <v>104</v>
      </c>
      <c r="D122" s="12" t="s">
        <v>27</v>
      </c>
      <c r="E122" s="49" t="n">
        <f aca="false">$E95/$E120</f>
        <v>0.733508068369134</v>
      </c>
    </row>
    <row r="124" customFormat="false" ht="15" hidden="false" customHeight="false" outlineLevel="0" collapsed="false">
      <c r="A124" s="10" t="s">
        <v>13</v>
      </c>
      <c r="B124" s="10"/>
      <c r="C124" s="10" t="s">
        <v>120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  <row r="125" customFormat="false" ht="15" hidden="false" customHeight="false" outlineLevel="0" collapsed="false">
      <c r="C125" s="1" t="s">
        <v>457</v>
      </c>
      <c r="D125" s="12" t="s">
        <v>33</v>
      </c>
      <c r="I125" s="48" t="n">
        <f aca="false">SUM(J125:EO125)</f>
        <v>-24583.9752963419</v>
      </c>
      <c r="J125" s="48" t="n">
        <f aca="false">(J59+J66+J92+J96+J97+J79)*(J$4&lt;=In_COD)</f>
        <v>-4662.80993807469</v>
      </c>
      <c r="K125" s="48" t="n">
        <f aca="false">(K59+K66+K92+K96+K97+K79)*(K$4&lt;=In_COD)</f>
        <v>-706.535577057768</v>
      </c>
      <c r="L125" s="48" t="n">
        <f aca="false">(L59+L66+L92+L96+L97+L79)*(L$4&lt;=In_COD)</f>
        <v>-104.360496659404</v>
      </c>
      <c r="M125" s="48" t="n">
        <f aca="false">(M59+M66+M92+M96+M97+M79)*(M$4&lt;=In_COD)</f>
        <v>-105.507315304013</v>
      </c>
      <c r="N125" s="48" t="n">
        <f aca="false">(N59+N66+N92+N96+N97+N79)*(N$4&lt;=In_COD)</f>
        <v>-105.507315304013</v>
      </c>
      <c r="O125" s="48" t="n">
        <f aca="false">(O59+O66+O92+O96+O97+O79)*(O$4&lt;=In_COD)</f>
        <v>-104.360496659404</v>
      </c>
      <c r="P125" s="48" t="n">
        <f aca="false">(P59+P66+P92+P96+P97+P79)*(P$4&lt;=In_COD)</f>
        <v>-104.360496659404</v>
      </c>
      <c r="Q125" s="48" t="n">
        <f aca="false">(Q59+Q66+Q92+Q96+Q97+Q79)*(Q$4&lt;=In_COD)</f>
        <v>-105.507315304013</v>
      </c>
      <c r="R125" s="48" t="n">
        <f aca="false">(R59+R66+R92+R96+R97+R79)*(R$4&lt;=In_COD)</f>
        <v>-3174.08808923102</v>
      </c>
      <c r="S125" s="48" t="n">
        <f aca="false">(S59+S66+S92+S96+S97+S79)*(S$4&lt;=In_COD)</f>
        <v>-3562.95255606014</v>
      </c>
      <c r="T125" s="48" t="n">
        <f aca="false">(T59+T66+T92+T96+T97+T79)*(T$4&lt;=In_COD)</f>
        <v>-1923.29083222332</v>
      </c>
      <c r="U125" s="48" t="n">
        <f aca="false">(U59+U66+U92+U96+U97+U79)*(U$4&lt;=In_COD)</f>
        <v>-1928.55573265071</v>
      </c>
      <c r="V125" s="48" t="n">
        <f aca="false">(V59+V66+V92+V96+V97+V79)*(V$4&lt;=In_COD)</f>
        <v>-1912.51117158484</v>
      </c>
      <c r="W125" s="48" t="n">
        <f aca="false">(W59+W66+W92+W96+W97+W79)*(W$4&lt;=In_COD)</f>
        <v>-1856.28100668043</v>
      </c>
      <c r="X125" s="48" t="n">
        <f aca="false">(X59+X66+X92+X96+X97+X79)*(X$4&lt;=In_COD)</f>
        <v>-1861.38119109401</v>
      </c>
      <c r="Y125" s="48" t="n">
        <f aca="false">(Y59+Y66+Y92+Y96+Y97+Y79)*(Y$4&lt;=In_COD)</f>
        <v>-2365.96576579471</v>
      </c>
      <c r="Z125" s="48" t="n">
        <f aca="false">(Z59+Z66+Z92+Z96+Z97+Z79)*(Z$4&lt;=In_COD)</f>
        <v>0</v>
      </c>
      <c r="AA125" s="48" t="n">
        <f aca="false">(AA59+AA66+AA92+AA96+AA97+AA79)*(AA$4&lt;=In_COD)</f>
        <v>0</v>
      </c>
      <c r="AB125" s="48" t="n">
        <f aca="false">(AB59+AB66+AB92+AB96+AB97+AB79)*(AB$4&lt;=In_COD)</f>
        <v>0</v>
      </c>
      <c r="AC125" s="48" t="n">
        <f aca="false">(AC59+AC66+AC92+AC96+AC97+AC79)*(AC$4&lt;=In_COD)</f>
        <v>0</v>
      </c>
      <c r="AD125" s="48" t="n">
        <f aca="false">(AD59+AD66+AD92+AD96+AD97+AD79)*(AD$4&lt;=In_COD)</f>
        <v>0</v>
      </c>
      <c r="AE125" s="48" t="n">
        <f aca="false">(AE59+AE66+AE92+AE96+AE97+AE79)*(AE$4&lt;=In_COD)</f>
        <v>0</v>
      </c>
      <c r="AF125" s="48" t="n">
        <f aca="false">(AF59+AF66+AF92+AF96+AF97+AF79)*(AF$4&lt;=In_COD)</f>
        <v>0</v>
      </c>
      <c r="AG125" s="48" t="n">
        <f aca="false">(AG59+AG66+AG92+AG96+AG97+AG79)*(AG$4&lt;=In_COD)</f>
        <v>0</v>
      </c>
      <c r="AH125" s="48" t="n">
        <f aca="false">(AH59+AH66+AH92+AH96+AH97+AH79)*(AH$4&lt;=In_COD)</f>
        <v>0</v>
      </c>
      <c r="AI125" s="48" t="n">
        <f aca="false">(AI59+AI66+AI92+AI96+AI97+AI79)*(AI$4&lt;=In_COD)</f>
        <v>0</v>
      </c>
      <c r="AJ125" s="48" t="n">
        <f aca="false">(AJ59+AJ66+AJ92+AJ96+AJ97+AJ79)*(AJ$4&lt;=In_COD)</f>
        <v>0</v>
      </c>
      <c r="AK125" s="48" t="n">
        <f aca="false">(AK59+AK66+AK92+AK96+AK97+AK79)*(AK$4&lt;=In_COD)</f>
        <v>0</v>
      </c>
      <c r="AL125" s="48" t="n">
        <f aca="false">(AL59+AL66+AL92+AL96+AL97+AL79)*(AL$4&lt;=In_COD)</f>
        <v>0</v>
      </c>
      <c r="AM125" s="48" t="n">
        <f aca="false">(AM59+AM66+AM92+AM96+AM97+AM79)*(AM$4&lt;=In_COD)</f>
        <v>0</v>
      </c>
      <c r="AN125" s="48" t="n">
        <f aca="false">(AN59+AN66+AN92+AN96+AN97+AN79)*(AN$4&lt;=In_COD)</f>
        <v>0</v>
      </c>
      <c r="AO125" s="48" t="n">
        <f aca="false">(AO59+AO66+AO92+AO96+AO97+AO79)*(AO$4&lt;=In_COD)</f>
        <v>0</v>
      </c>
      <c r="AP125" s="48" t="n">
        <f aca="false">(AP59+AP66+AP92+AP96+AP97+AP79)*(AP$4&lt;=In_COD)</f>
        <v>0</v>
      </c>
      <c r="AQ125" s="48" t="n">
        <f aca="false">(AQ59+AQ66+AQ92+AQ96+AQ97+AQ79)*(AQ$4&lt;=In_COD)</f>
        <v>0</v>
      </c>
      <c r="AR125" s="48" t="n">
        <f aca="false">(AR59+AR66+AR92+AR96+AR97+AR79)*(AR$4&lt;=In_COD)</f>
        <v>0</v>
      </c>
      <c r="AS125" s="48" t="n">
        <f aca="false">(AS59+AS66+AS92+AS96+AS97+AS79)*(AS$4&lt;=In_COD)</f>
        <v>0</v>
      </c>
      <c r="AT125" s="48" t="n">
        <f aca="false">(AT59+AT66+AT92+AT96+AT97+AT79)*(AT$4&lt;=In_COD)</f>
        <v>0</v>
      </c>
      <c r="AU125" s="48" t="n">
        <f aca="false">(AU59+AU66+AU92+AU96+AU97+AU79)*(AU$4&lt;=In_COD)</f>
        <v>0</v>
      </c>
      <c r="AV125" s="48" t="n">
        <f aca="false">(AV59+AV66+AV92+AV96+AV97+AV79)*(AV$4&lt;=In_COD)</f>
        <v>0</v>
      </c>
      <c r="AW125" s="48" t="n">
        <f aca="false">(AW59+AW66+AW92+AW96+AW97+AW79)*(AW$4&lt;=In_COD)</f>
        <v>0</v>
      </c>
      <c r="AX125" s="48" t="n">
        <f aca="false">(AX59+AX66+AX92+AX96+AX97+AX79)*(AX$4&lt;=In_COD)</f>
        <v>0</v>
      </c>
      <c r="AY125" s="48" t="n">
        <f aca="false">(AY59+AY66+AY92+AY96+AY97+AY79)*(AY$4&lt;=In_COD)</f>
        <v>0</v>
      </c>
      <c r="AZ125" s="48" t="n">
        <f aca="false">(AZ59+AZ66+AZ92+AZ96+AZ97+AZ79)*(AZ$4&lt;=In_COD)</f>
        <v>0</v>
      </c>
      <c r="BA125" s="48" t="n">
        <f aca="false">(BA59+BA66+BA92+BA96+BA97+BA79)*(BA$4&lt;=In_COD)</f>
        <v>0</v>
      </c>
      <c r="BB125" s="48" t="n">
        <f aca="false">(BB59+BB66+BB92+BB96+BB97+BB79)*(BB$4&lt;=In_COD)</f>
        <v>0</v>
      </c>
      <c r="BC125" s="48" t="n">
        <f aca="false">(BC59+BC66+BC92+BC96+BC97+BC79)*(BC$4&lt;=In_COD)</f>
        <v>0</v>
      </c>
      <c r="BD125" s="48" t="n">
        <f aca="false">(BD59+BD66+BD92+BD96+BD97+BD79)*(BD$4&lt;=In_COD)</f>
        <v>0</v>
      </c>
      <c r="BE125" s="48" t="n">
        <f aca="false">(BE59+BE66+BE92+BE96+BE97+BE79)*(BE$4&lt;=In_COD)</f>
        <v>0</v>
      </c>
      <c r="BF125" s="48" t="n">
        <f aca="false">(BF59+BF66+BF92+BF96+BF97+BF79)*(BF$4&lt;=In_COD)</f>
        <v>0</v>
      </c>
      <c r="BG125" s="48" t="n">
        <f aca="false">(BG59+BG66+BG92+BG96+BG97+BG79)*(BG$4&lt;=In_COD)</f>
        <v>0</v>
      </c>
      <c r="BH125" s="48" t="n">
        <f aca="false">(BH59+BH66+BH92+BH96+BH97+BH79)*(BH$4&lt;=In_COD)</f>
        <v>0</v>
      </c>
      <c r="BI125" s="48" t="n">
        <f aca="false">(BI59+BI66+BI92+BI96+BI97+BI79)*(BI$4&lt;=In_COD)</f>
        <v>0</v>
      </c>
      <c r="BJ125" s="48" t="n">
        <f aca="false">(BJ59+BJ66+BJ92+BJ96+BJ97+BJ79)*(BJ$4&lt;=In_COD)</f>
        <v>0</v>
      </c>
      <c r="BK125" s="48" t="n">
        <f aca="false">(BK59+BK66+BK92+BK96+BK97+BK79)*(BK$4&lt;=In_COD)</f>
        <v>0</v>
      </c>
      <c r="BL125" s="48" t="n">
        <f aca="false">(BL59+BL66+BL92+BL96+BL97+BL79)*(BL$4&lt;=In_COD)</f>
        <v>0</v>
      </c>
      <c r="BM125" s="48" t="n">
        <f aca="false">(BM59+BM66+BM92+BM96+BM97+BM79)*(BM$4&lt;=In_COD)</f>
        <v>0</v>
      </c>
      <c r="BN125" s="48" t="n">
        <f aca="false">(BN59+BN66+BN92+BN96+BN97+BN79)*(BN$4&lt;=In_COD)</f>
        <v>0</v>
      </c>
      <c r="BO125" s="48" t="n">
        <f aca="false">(BO59+BO66+BO92+BO96+BO97+BO79)*(BO$4&lt;=In_COD)</f>
        <v>0</v>
      </c>
      <c r="BP125" s="48" t="n">
        <f aca="false">(BP59+BP66+BP92+BP96+BP97+BP79)*(BP$4&lt;=In_COD)</f>
        <v>0</v>
      </c>
      <c r="BQ125" s="48" t="n">
        <f aca="false">(BQ59+BQ66+BQ92+BQ96+BQ97+BQ79)*(BQ$4&lt;=In_COD)</f>
        <v>0</v>
      </c>
      <c r="BR125" s="48" t="n">
        <f aca="false">(BR59+BR66+BR92+BR96+BR97+BR79)*(BR$4&lt;=In_COD)</f>
        <v>0</v>
      </c>
      <c r="BS125" s="48" t="n">
        <f aca="false">(BS59+BS66+BS92+BS96+BS97+BS79)*(BS$4&lt;=In_COD)</f>
        <v>0</v>
      </c>
      <c r="BT125" s="48" t="n">
        <f aca="false">(BT59+BT66+BT92+BT96+BT97+BT79)*(BT$4&lt;=In_COD)</f>
        <v>0</v>
      </c>
      <c r="BU125" s="48" t="n">
        <f aca="false">(BU59+BU66+BU92+BU96+BU97+BU79)*(BU$4&lt;=In_COD)</f>
        <v>0</v>
      </c>
      <c r="BV125" s="48" t="n">
        <f aca="false">(BV59+BV66+BV92+BV96+BV97+BV79)*(BV$4&lt;=In_COD)</f>
        <v>0</v>
      </c>
      <c r="BW125" s="48" t="n">
        <f aca="false">(BW59+BW66+BW92+BW96+BW97+BW79)*(BW$4&lt;=In_COD)</f>
        <v>0</v>
      </c>
      <c r="BX125" s="48" t="n">
        <f aca="false">(BX59+BX66+BX92+BX96+BX97+BX79)*(BX$4&lt;=In_COD)</f>
        <v>0</v>
      </c>
      <c r="BY125" s="48" t="n">
        <f aca="false">(BY59+BY66+BY92+BY96+BY97+BY79)*(BY$4&lt;=In_COD)</f>
        <v>0</v>
      </c>
      <c r="BZ125" s="48" t="n">
        <f aca="false">(BZ59+BZ66+BZ92+BZ96+BZ97+BZ79)*(BZ$4&lt;=In_COD)</f>
        <v>0</v>
      </c>
      <c r="CA125" s="48" t="n">
        <f aca="false">(CA59+CA66+CA92+CA96+CA97+CA79)*(CA$4&lt;=In_COD)</f>
        <v>0</v>
      </c>
      <c r="CB125" s="48" t="n">
        <f aca="false">(CB59+CB66+CB92+CB96+CB97+CB79)*(CB$4&lt;=In_COD)</f>
        <v>0</v>
      </c>
      <c r="CC125" s="48" t="n">
        <f aca="false">(CC59+CC66+CC92+CC96+CC97+CC79)*(CC$4&lt;=In_COD)</f>
        <v>0</v>
      </c>
      <c r="CD125" s="48" t="n">
        <f aca="false">(CD59+CD66+CD92+CD96+CD97+CD79)*(CD$4&lt;=In_COD)</f>
        <v>0</v>
      </c>
      <c r="CE125" s="48" t="n">
        <f aca="false">(CE59+CE66+CE92+CE96+CE97+CE79)*(CE$4&lt;=In_COD)</f>
        <v>0</v>
      </c>
      <c r="CF125" s="48" t="n">
        <f aca="false">(CF59+CF66+CF92+CF96+CF97+CF79)*(CF$4&lt;=In_COD)</f>
        <v>0</v>
      </c>
      <c r="CG125" s="48" t="n">
        <f aca="false">(CG59+CG66+CG92+CG96+CG97+CG79)*(CG$4&lt;=In_COD)</f>
        <v>0</v>
      </c>
      <c r="CH125" s="48" t="n">
        <f aca="false">(CH59+CH66+CH92+CH96+CH97+CH79)*(CH$4&lt;=In_COD)</f>
        <v>0</v>
      </c>
      <c r="CI125" s="48" t="n">
        <f aca="false">(CI59+CI66+CI92+CI96+CI97+CI79)*(CI$4&lt;=In_COD)</f>
        <v>0</v>
      </c>
      <c r="CJ125" s="48" t="n">
        <f aca="false">(CJ59+CJ66+CJ92+CJ96+CJ97+CJ79)*(CJ$4&lt;=In_COD)</f>
        <v>0</v>
      </c>
      <c r="CK125" s="48" t="n">
        <f aca="false">(CK59+CK66+CK92+CK96+CK97+CK79)*(CK$4&lt;=In_COD)</f>
        <v>0</v>
      </c>
      <c r="CL125" s="48" t="n">
        <f aca="false">(CL59+CL66+CL92+CL96+CL97+CL79)*(CL$4&lt;=In_COD)</f>
        <v>0</v>
      </c>
      <c r="CM125" s="48" t="n">
        <f aca="false">(CM59+CM66+CM92+CM96+CM97+CM79)*(CM$4&lt;=In_COD)</f>
        <v>0</v>
      </c>
      <c r="CN125" s="48" t="n">
        <f aca="false">(CN59+CN66+CN92+CN96+CN97+CN79)*(CN$4&lt;=In_COD)</f>
        <v>0</v>
      </c>
      <c r="CO125" s="48" t="n">
        <f aca="false">(CO59+CO66+CO92+CO96+CO97+CO79)*(CO$4&lt;=In_COD)</f>
        <v>0</v>
      </c>
      <c r="CP125" s="48" t="n">
        <f aca="false">(CP59+CP66+CP92+CP96+CP97+CP79)*(CP$4&lt;=In_COD)</f>
        <v>0</v>
      </c>
      <c r="CQ125" s="48" t="n">
        <f aca="false">(CQ59+CQ66+CQ92+CQ96+CQ97+CQ79)*(CQ$4&lt;=In_COD)</f>
        <v>0</v>
      </c>
      <c r="CR125" s="48" t="n">
        <f aca="false">(CR59+CR66+CR92+CR96+CR97+CR79)*(CR$4&lt;=In_COD)</f>
        <v>0</v>
      </c>
      <c r="CS125" s="48" t="n">
        <f aca="false">(CS59+CS66+CS92+CS96+CS97+CS79)*(CS$4&lt;=In_COD)</f>
        <v>0</v>
      </c>
      <c r="CT125" s="48" t="n">
        <f aca="false">(CT59+CT66+CT92+CT96+CT97+CT79)*(CT$4&lt;=In_COD)</f>
        <v>0</v>
      </c>
      <c r="CU125" s="48" t="n">
        <f aca="false">(CU59+CU66+CU92+CU96+CU97+CU79)*(CU$4&lt;=In_COD)</f>
        <v>0</v>
      </c>
      <c r="CV125" s="48" t="n">
        <f aca="false">(CV59+CV66+CV92+CV96+CV97+CV79)*(CV$4&lt;=In_COD)</f>
        <v>0</v>
      </c>
      <c r="CW125" s="48" t="n">
        <f aca="false">(CW59+CW66+CW92+CW96+CW97+CW79)*(CW$4&lt;=In_COD)</f>
        <v>0</v>
      </c>
      <c r="CX125" s="48" t="n">
        <f aca="false">(CX59+CX66+CX92+CX96+CX97+CX79)*(CX$4&lt;=In_COD)</f>
        <v>0</v>
      </c>
      <c r="CY125" s="48" t="n">
        <f aca="false">(CY59+CY66+CY92+CY96+CY97+CY79)*(CY$4&lt;=In_COD)</f>
        <v>0</v>
      </c>
      <c r="CZ125" s="48" t="n">
        <f aca="false">(CZ59+CZ66+CZ92+CZ96+CZ97+CZ79)*(CZ$4&lt;=In_COD)</f>
        <v>0</v>
      </c>
      <c r="DA125" s="48" t="n">
        <f aca="false">(DA59+DA66+DA92+DA96+DA97+DA79)*(DA$4&lt;=In_COD)</f>
        <v>0</v>
      </c>
      <c r="DB125" s="48" t="n">
        <f aca="false">(DB59+DB66+DB92+DB96+DB97+DB79)*(DB$4&lt;=In_COD)</f>
        <v>0</v>
      </c>
      <c r="DC125" s="48" t="n">
        <f aca="false">(DC59+DC66+DC92+DC96+DC97+DC79)*(DC$4&lt;=In_COD)</f>
        <v>0</v>
      </c>
      <c r="DD125" s="48" t="n">
        <f aca="false">(DD59+DD66+DD92+DD96+DD97+DD79)*(DD$4&lt;=In_COD)</f>
        <v>0</v>
      </c>
      <c r="DE125" s="48" t="n">
        <f aca="false">(DE59+DE66+DE92+DE96+DE97+DE79)*(DE$4&lt;=In_COD)</f>
        <v>0</v>
      </c>
      <c r="DF125" s="48" t="n">
        <f aca="false">(DF59+DF66+DF92+DF96+DF97+DF79)*(DF$4&lt;=In_COD)</f>
        <v>0</v>
      </c>
      <c r="DG125" s="48" t="n">
        <f aca="false">(DG59+DG66+DG92+DG96+DG97+DG79)*(DG$4&lt;=In_COD)</f>
        <v>0</v>
      </c>
      <c r="DH125" s="48" t="n">
        <f aca="false">(DH59+DH66+DH92+DH96+DH97+DH79)*(DH$4&lt;=In_COD)</f>
        <v>0</v>
      </c>
      <c r="DI125" s="48" t="n">
        <f aca="false">(DI59+DI66+DI92+DI96+DI97+DI79)*(DI$4&lt;=In_COD)</f>
        <v>0</v>
      </c>
      <c r="DJ125" s="48" t="n">
        <f aca="false">(DJ59+DJ66+DJ92+DJ96+DJ97+DJ79)*(DJ$4&lt;=In_COD)</f>
        <v>0</v>
      </c>
      <c r="DK125" s="48" t="n">
        <f aca="false">(DK59+DK66+DK92+DK96+DK97+DK79)*(DK$4&lt;=In_COD)</f>
        <v>0</v>
      </c>
      <c r="DL125" s="48" t="n">
        <f aca="false">(DL59+DL66+DL92+DL96+DL97+DL79)*(DL$4&lt;=In_COD)</f>
        <v>0</v>
      </c>
      <c r="DM125" s="48" t="n">
        <f aca="false">(DM59+DM66+DM92+DM96+DM97+DM79)*(DM$4&lt;=In_COD)</f>
        <v>0</v>
      </c>
      <c r="DN125" s="48" t="n">
        <f aca="false">(DN59+DN66+DN92+DN96+DN97+DN79)*(DN$4&lt;=In_COD)</f>
        <v>0</v>
      </c>
      <c r="DO125" s="48" t="n">
        <f aca="false">(DO59+DO66+DO92+DO96+DO97+DO79)*(DO$4&lt;=In_COD)</f>
        <v>0</v>
      </c>
      <c r="DP125" s="48" t="n">
        <f aca="false">(DP59+DP66+DP92+DP96+DP97+DP79)*(DP$4&lt;=In_COD)</f>
        <v>0</v>
      </c>
      <c r="DQ125" s="48" t="n">
        <f aca="false">(DQ59+DQ66+DQ92+DQ96+DQ97+DQ79)*(DQ$4&lt;=In_COD)</f>
        <v>0</v>
      </c>
      <c r="DR125" s="48" t="n">
        <f aca="false">(DR59+DR66+DR92+DR96+DR97+DR79)*(DR$4&lt;=In_COD)</f>
        <v>0</v>
      </c>
      <c r="DS125" s="48" t="n">
        <f aca="false">(DS59+DS66+DS92+DS96+DS97+DS79)*(DS$4&lt;=In_COD)</f>
        <v>0</v>
      </c>
      <c r="DT125" s="48" t="n">
        <f aca="false">(DT59+DT66+DT92+DT96+DT97+DT79)*(DT$4&lt;=In_COD)</f>
        <v>0</v>
      </c>
      <c r="DU125" s="48" t="n">
        <f aca="false">(DU59+DU66+DU92+DU96+DU97+DU79)*(DU$4&lt;=In_COD)</f>
        <v>0</v>
      </c>
      <c r="DV125" s="48" t="n">
        <f aca="false">(DV59+DV66+DV92+DV96+DV97+DV79)*(DV$4&lt;=In_COD)</f>
        <v>0</v>
      </c>
      <c r="DW125" s="48" t="n">
        <f aca="false">(DW59+DW66+DW92+DW96+DW97+DW79)*(DW$4&lt;=In_COD)</f>
        <v>0</v>
      </c>
      <c r="DX125" s="48" t="n">
        <f aca="false">(DX59+DX66+DX92+DX96+DX97+DX79)*(DX$4&lt;=In_COD)</f>
        <v>0</v>
      </c>
      <c r="DY125" s="48" t="n">
        <f aca="false">(DY59+DY66+DY92+DY96+DY97+DY79)*(DY$4&lt;=In_COD)</f>
        <v>0</v>
      </c>
      <c r="DZ125" s="48" t="n">
        <f aca="false">(DZ59+DZ66+DZ92+DZ96+DZ97+DZ79)*(DZ$4&lt;=In_COD)</f>
        <v>0</v>
      </c>
      <c r="EA125" s="48" t="n">
        <f aca="false">(EA59+EA66+EA92+EA96+EA97+EA79)*(EA$4&lt;=In_COD)</f>
        <v>0</v>
      </c>
      <c r="EB125" s="48" t="n">
        <f aca="false">(EB59+EB66+EB92+EB96+EB97+EB79)*(EB$4&lt;=In_COD)</f>
        <v>0</v>
      </c>
      <c r="EC125" s="48" t="n">
        <f aca="false">(EC59+EC66+EC92+EC96+EC97+EC79)*(EC$4&lt;=In_COD)</f>
        <v>0</v>
      </c>
      <c r="ED125" s="48" t="n">
        <f aca="false">(ED59+ED66+ED92+ED96+ED97+ED79)*(ED$4&lt;=In_COD)</f>
        <v>0</v>
      </c>
      <c r="EE125" s="48" t="n">
        <f aca="false">(EE59+EE66+EE92+EE96+EE97+EE79)*(EE$4&lt;=In_COD)</f>
        <v>0</v>
      </c>
      <c r="EF125" s="48" t="n">
        <f aca="false">(EF59+EF66+EF92+EF96+EF97+EF79)*(EF$4&lt;=In_COD)</f>
        <v>0</v>
      </c>
      <c r="EG125" s="48" t="n">
        <f aca="false">(EG59+EG66+EG92+EG96+EG97+EG79)*(EG$4&lt;=In_COD)</f>
        <v>0</v>
      </c>
      <c r="EH125" s="48" t="n">
        <f aca="false">(EH59+EH66+EH92+EH96+EH97+EH79)*(EH$4&lt;=In_COD)</f>
        <v>0</v>
      </c>
      <c r="EI125" s="48" t="n">
        <f aca="false">(EI59+EI66+EI92+EI96+EI97+EI79)*(EI$4&lt;=In_COD)</f>
        <v>0</v>
      </c>
      <c r="EJ125" s="48" t="n">
        <f aca="false">(EJ59+EJ66+EJ92+EJ96+EJ97+EJ79)*(EJ$4&lt;=In_COD)</f>
        <v>0</v>
      </c>
      <c r="EK125" s="48" t="n">
        <f aca="false">(EK59+EK66+EK92+EK96+EK97+EK79)*(EK$4&lt;=In_COD)</f>
        <v>0</v>
      </c>
      <c r="EL125" s="48" t="n">
        <f aca="false">(EL59+EL66+EL92+EL96+EL97+EL79)*(EL$4&lt;=In_COD)</f>
        <v>0</v>
      </c>
      <c r="EM125" s="48" t="n">
        <f aca="false">(EM59+EM66+EM92+EM96+EM97+EM79)*(EM$4&lt;=In_COD)</f>
        <v>0</v>
      </c>
      <c r="EN125" s="48" t="n">
        <f aca="false">(EN59+EN66+EN92+EN96+EN97+EN79)*(EN$4&lt;=In_COD)</f>
        <v>0</v>
      </c>
      <c r="EO125" s="48" t="n">
        <f aca="false">(EO59+EO66+EO92+EO96+EO97+EO79)*(EO$4&lt;=In_COD)</f>
        <v>0</v>
      </c>
    </row>
    <row r="126" customFormat="false" ht="15" hidden="false" customHeight="false" outlineLevel="0" collapsed="false">
      <c r="C126" s="1" t="s">
        <v>458</v>
      </c>
      <c r="D126" s="12" t="s">
        <v>33</v>
      </c>
      <c r="E126" s="48" t="n">
        <f aca="false">IF($E38=1,In_COD_Price,In_COD_Price_CN)*$F24*(1-$E27)</f>
        <v>134137.5</v>
      </c>
    </row>
    <row r="127" customFormat="false" ht="15" hidden="false" customHeight="false" outlineLevel="0" collapsed="false">
      <c r="C127" s="1" t="s">
        <v>459</v>
      </c>
      <c r="D127" s="12" t="s">
        <v>33</v>
      </c>
      <c r="E127" s="48" t="n">
        <f aca="false">$E126+$I58-$E95-In_Sale_Costs</f>
        <v>65971.1203009997</v>
      </c>
    </row>
    <row r="128" customFormat="false" ht="15" hidden="false" customHeight="false" outlineLevel="0" collapsed="false">
      <c r="C128" s="1" t="s">
        <v>123</v>
      </c>
      <c r="D128" s="12" t="s">
        <v>33</v>
      </c>
      <c r="E128" s="48" t="n">
        <f aca="false">-In_CIT*In_Sale_Gain_Taxed*MAX(0,$E127+$I125)</f>
        <v>-0</v>
      </c>
    </row>
    <row r="129" customFormat="false" ht="15" hidden="false" customHeight="false" outlineLevel="0" collapsed="false">
      <c r="C129" s="26" t="s">
        <v>460</v>
      </c>
      <c r="D129" s="12" t="s">
        <v>33</v>
      </c>
      <c r="I129" s="57" t="n">
        <f aca="false">SUM(J129:EO129)</f>
        <v>41387.1450046578</v>
      </c>
      <c r="J129" s="57" t="n">
        <f aca="false">J125+($E127+$E128)*J14</f>
        <v>-4662.80993807469</v>
      </c>
      <c r="K129" s="57" t="n">
        <f aca="false">K125+($E127+$E128)*K14</f>
        <v>-706.535577057768</v>
      </c>
      <c r="L129" s="57" t="n">
        <f aca="false">L125+($E127+$E128)*L14</f>
        <v>-104.360496659404</v>
      </c>
      <c r="M129" s="57" t="n">
        <f aca="false">M125+($E127+$E128)*M14</f>
        <v>-105.507315304013</v>
      </c>
      <c r="N129" s="57" t="n">
        <f aca="false">N125+($E127+$E128)*N14</f>
        <v>-105.507315304013</v>
      </c>
      <c r="O129" s="57" t="n">
        <f aca="false">O125+($E127+$E128)*O14</f>
        <v>-104.360496659404</v>
      </c>
      <c r="P129" s="57" t="n">
        <f aca="false">P125+($E127+$E128)*P14</f>
        <v>-104.360496659404</v>
      </c>
      <c r="Q129" s="57" t="n">
        <f aca="false">Q125+($E127+$E128)*Q14</f>
        <v>-105.507315304013</v>
      </c>
      <c r="R129" s="57" t="n">
        <f aca="false">R125+($E127+$E128)*R14</f>
        <v>-3174.08808923102</v>
      </c>
      <c r="S129" s="57" t="n">
        <f aca="false">S125+($E127+$E128)*S14</f>
        <v>-3562.95255606014</v>
      </c>
      <c r="T129" s="57" t="n">
        <f aca="false">T125+($E127+$E128)*T14</f>
        <v>-1923.29083222332</v>
      </c>
      <c r="U129" s="57" t="n">
        <f aca="false">U125+($E127+$E128)*U14</f>
        <v>-1928.55573265071</v>
      </c>
      <c r="V129" s="57" t="n">
        <f aca="false">V125+($E127+$E128)*V14</f>
        <v>-1912.51117158484</v>
      </c>
      <c r="W129" s="57" t="n">
        <f aca="false">W125+($E127+$E128)*W14</f>
        <v>-1856.28100668043</v>
      </c>
      <c r="X129" s="57" t="n">
        <f aca="false">X125+($E127+$E128)*X14</f>
        <v>-1861.38119109401</v>
      </c>
      <c r="Y129" s="57" t="n">
        <f aca="false">Y125+($E127+$E128)*Y14</f>
        <v>63605.154535205</v>
      </c>
      <c r="Z129" s="57" t="n">
        <f aca="false">Z125+($E127+$E128)*Z14</f>
        <v>0</v>
      </c>
      <c r="AA129" s="57" t="n">
        <f aca="false">AA125+($E127+$E128)*AA14</f>
        <v>0</v>
      </c>
      <c r="AB129" s="57" t="n">
        <f aca="false">AB125+($E127+$E128)*AB14</f>
        <v>0</v>
      </c>
      <c r="AC129" s="57" t="n">
        <f aca="false">AC125+($E127+$E128)*AC14</f>
        <v>0</v>
      </c>
      <c r="AD129" s="57" t="n">
        <f aca="false">AD125+($E127+$E128)*AD14</f>
        <v>0</v>
      </c>
      <c r="AE129" s="57" t="n">
        <f aca="false">AE125+($E127+$E128)*AE14</f>
        <v>0</v>
      </c>
      <c r="AF129" s="57" t="n">
        <f aca="false">AF125+($E127+$E128)*AF14</f>
        <v>0</v>
      </c>
      <c r="AG129" s="57" t="n">
        <f aca="false">AG125+($E127+$E128)*AG14</f>
        <v>0</v>
      </c>
      <c r="AH129" s="57" t="n">
        <f aca="false">AH125+($E127+$E128)*AH14</f>
        <v>0</v>
      </c>
      <c r="AI129" s="57" t="n">
        <f aca="false">AI125+($E127+$E128)*AI14</f>
        <v>0</v>
      </c>
      <c r="AJ129" s="57" t="n">
        <f aca="false">AJ125+($E127+$E128)*AJ14</f>
        <v>0</v>
      </c>
      <c r="AK129" s="57" t="n">
        <f aca="false">AK125+($E127+$E128)*AK14</f>
        <v>0</v>
      </c>
      <c r="AL129" s="57" t="n">
        <f aca="false">AL125+($E127+$E128)*AL14</f>
        <v>0</v>
      </c>
      <c r="AM129" s="57" t="n">
        <f aca="false">AM125+($E127+$E128)*AM14</f>
        <v>0</v>
      </c>
      <c r="AN129" s="57" t="n">
        <f aca="false">AN125+($E127+$E128)*AN14</f>
        <v>0</v>
      </c>
      <c r="AO129" s="57" t="n">
        <f aca="false">AO125+($E127+$E128)*AO14</f>
        <v>0</v>
      </c>
      <c r="AP129" s="57" t="n">
        <f aca="false">AP125+($E127+$E128)*AP14</f>
        <v>0</v>
      </c>
      <c r="AQ129" s="57" t="n">
        <f aca="false">AQ125+($E127+$E128)*AQ14</f>
        <v>0</v>
      </c>
      <c r="AR129" s="57" t="n">
        <f aca="false">AR125+($E127+$E128)*AR14</f>
        <v>0</v>
      </c>
      <c r="AS129" s="57" t="n">
        <f aca="false">AS125+($E127+$E128)*AS14</f>
        <v>0</v>
      </c>
      <c r="AT129" s="57" t="n">
        <f aca="false">AT125+($E127+$E128)*AT14</f>
        <v>0</v>
      </c>
      <c r="AU129" s="57" t="n">
        <f aca="false">AU125+($E127+$E128)*AU14</f>
        <v>0</v>
      </c>
      <c r="AV129" s="57" t="n">
        <f aca="false">AV125+($E127+$E128)*AV14</f>
        <v>0</v>
      </c>
      <c r="AW129" s="57" t="n">
        <f aca="false">AW125+($E127+$E128)*AW14</f>
        <v>0</v>
      </c>
      <c r="AX129" s="57" t="n">
        <f aca="false">AX125+($E127+$E128)*AX14</f>
        <v>0</v>
      </c>
      <c r="AY129" s="57" t="n">
        <f aca="false">AY125+($E127+$E128)*AY14</f>
        <v>0</v>
      </c>
      <c r="AZ129" s="57" t="n">
        <f aca="false">AZ125+($E127+$E128)*AZ14</f>
        <v>0</v>
      </c>
      <c r="BA129" s="57" t="n">
        <f aca="false">BA125+($E127+$E128)*BA14</f>
        <v>0</v>
      </c>
      <c r="BB129" s="57" t="n">
        <f aca="false">BB125+($E127+$E128)*BB14</f>
        <v>0</v>
      </c>
      <c r="BC129" s="57" t="n">
        <f aca="false">BC125+($E127+$E128)*BC14</f>
        <v>0</v>
      </c>
      <c r="BD129" s="57" t="n">
        <f aca="false">BD125+($E127+$E128)*BD14</f>
        <v>0</v>
      </c>
      <c r="BE129" s="57" t="n">
        <f aca="false">BE125+($E127+$E128)*BE14</f>
        <v>0</v>
      </c>
      <c r="BF129" s="57" t="n">
        <f aca="false">BF125+($E127+$E128)*BF14</f>
        <v>0</v>
      </c>
      <c r="BG129" s="57" t="n">
        <f aca="false">BG125+($E127+$E128)*BG14</f>
        <v>0</v>
      </c>
      <c r="BH129" s="57" t="n">
        <f aca="false">BH125+($E127+$E128)*BH14</f>
        <v>0</v>
      </c>
      <c r="BI129" s="57" t="n">
        <f aca="false">BI125+($E127+$E128)*BI14</f>
        <v>0</v>
      </c>
      <c r="BJ129" s="57" t="n">
        <f aca="false">BJ125+($E127+$E128)*BJ14</f>
        <v>0</v>
      </c>
      <c r="BK129" s="57" t="n">
        <f aca="false">BK125+($E127+$E128)*BK14</f>
        <v>0</v>
      </c>
      <c r="BL129" s="57" t="n">
        <f aca="false">BL125+($E127+$E128)*BL14</f>
        <v>0</v>
      </c>
      <c r="BM129" s="57" t="n">
        <f aca="false">BM125+($E127+$E128)*BM14</f>
        <v>0</v>
      </c>
      <c r="BN129" s="57" t="n">
        <f aca="false">BN125+($E127+$E128)*BN14</f>
        <v>0</v>
      </c>
      <c r="BO129" s="57" t="n">
        <f aca="false">BO125+($E127+$E128)*BO14</f>
        <v>0</v>
      </c>
      <c r="BP129" s="57" t="n">
        <f aca="false">BP125+($E127+$E128)*BP14</f>
        <v>0</v>
      </c>
      <c r="BQ129" s="57" t="n">
        <f aca="false">BQ125+($E127+$E128)*BQ14</f>
        <v>0</v>
      </c>
      <c r="BR129" s="57" t="n">
        <f aca="false">BR125+($E127+$E128)*BR14</f>
        <v>0</v>
      </c>
      <c r="BS129" s="57" t="n">
        <f aca="false">BS125+($E127+$E128)*BS14</f>
        <v>0</v>
      </c>
      <c r="BT129" s="57" t="n">
        <f aca="false">BT125+($E127+$E128)*BT14</f>
        <v>0</v>
      </c>
      <c r="BU129" s="57" t="n">
        <f aca="false">BU125+($E127+$E128)*BU14</f>
        <v>0</v>
      </c>
      <c r="BV129" s="57" t="n">
        <f aca="false">BV125+($E127+$E128)*BV14</f>
        <v>0</v>
      </c>
      <c r="BW129" s="57" t="n">
        <f aca="false">BW125+($E127+$E128)*BW14</f>
        <v>0</v>
      </c>
      <c r="BX129" s="57" t="n">
        <f aca="false">BX125+($E127+$E128)*BX14</f>
        <v>0</v>
      </c>
      <c r="BY129" s="57" t="n">
        <f aca="false">BY125+($E127+$E128)*BY14</f>
        <v>0</v>
      </c>
      <c r="BZ129" s="57" t="n">
        <f aca="false">BZ125+($E127+$E128)*BZ14</f>
        <v>0</v>
      </c>
      <c r="CA129" s="57" t="n">
        <f aca="false">CA125+($E127+$E128)*CA14</f>
        <v>0</v>
      </c>
      <c r="CB129" s="57" t="n">
        <f aca="false">CB125+($E127+$E128)*CB14</f>
        <v>0</v>
      </c>
      <c r="CC129" s="57" t="n">
        <f aca="false">CC125+($E127+$E128)*CC14</f>
        <v>0</v>
      </c>
      <c r="CD129" s="57" t="n">
        <f aca="false">CD125+($E127+$E128)*CD14</f>
        <v>0</v>
      </c>
      <c r="CE129" s="57" t="n">
        <f aca="false">CE125+($E127+$E128)*CE14</f>
        <v>0</v>
      </c>
      <c r="CF129" s="57" t="n">
        <f aca="false">CF125+($E127+$E128)*CF14</f>
        <v>0</v>
      </c>
      <c r="CG129" s="57" t="n">
        <f aca="false">CG125+($E127+$E128)*CG14</f>
        <v>0</v>
      </c>
      <c r="CH129" s="57" t="n">
        <f aca="false">CH125+($E127+$E128)*CH14</f>
        <v>0</v>
      </c>
      <c r="CI129" s="57" t="n">
        <f aca="false">CI125+($E127+$E128)*CI14</f>
        <v>0</v>
      </c>
      <c r="CJ129" s="57" t="n">
        <f aca="false">CJ125+($E127+$E128)*CJ14</f>
        <v>0</v>
      </c>
      <c r="CK129" s="57" t="n">
        <f aca="false">CK125+($E127+$E128)*CK14</f>
        <v>0</v>
      </c>
      <c r="CL129" s="57" t="n">
        <f aca="false">CL125+($E127+$E128)*CL14</f>
        <v>0</v>
      </c>
      <c r="CM129" s="57" t="n">
        <f aca="false">CM125+($E127+$E128)*CM14</f>
        <v>0</v>
      </c>
      <c r="CN129" s="57" t="n">
        <f aca="false">CN125+($E127+$E128)*CN14</f>
        <v>0</v>
      </c>
      <c r="CO129" s="57" t="n">
        <f aca="false">CO125+($E127+$E128)*CO14</f>
        <v>0</v>
      </c>
      <c r="CP129" s="57" t="n">
        <f aca="false">CP125+($E127+$E128)*CP14</f>
        <v>0</v>
      </c>
      <c r="CQ129" s="57" t="n">
        <f aca="false">CQ125+($E127+$E128)*CQ14</f>
        <v>0</v>
      </c>
      <c r="CR129" s="57" t="n">
        <f aca="false">CR125+($E127+$E128)*CR14</f>
        <v>0</v>
      </c>
      <c r="CS129" s="57" t="n">
        <f aca="false">CS125+($E127+$E128)*CS14</f>
        <v>0</v>
      </c>
      <c r="CT129" s="57" t="n">
        <f aca="false">CT125+($E127+$E128)*CT14</f>
        <v>0</v>
      </c>
      <c r="CU129" s="57" t="n">
        <f aca="false">CU125+($E127+$E128)*CU14</f>
        <v>0</v>
      </c>
      <c r="CV129" s="57" t="n">
        <f aca="false">CV125+($E127+$E128)*CV14</f>
        <v>0</v>
      </c>
      <c r="CW129" s="57" t="n">
        <f aca="false">CW125+($E127+$E128)*CW14</f>
        <v>0</v>
      </c>
      <c r="CX129" s="57" t="n">
        <f aca="false">CX125+($E127+$E128)*CX14</f>
        <v>0</v>
      </c>
      <c r="CY129" s="57" t="n">
        <f aca="false">CY125+($E127+$E128)*CY14</f>
        <v>0</v>
      </c>
      <c r="CZ129" s="57" t="n">
        <f aca="false">CZ125+($E127+$E128)*CZ14</f>
        <v>0</v>
      </c>
      <c r="DA129" s="57" t="n">
        <f aca="false">DA125+($E127+$E128)*DA14</f>
        <v>0</v>
      </c>
      <c r="DB129" s="57" t="n">
        <f aca="false">DB125+($E127+$E128)*DB14</f>
        <v>0</v>
      </c>
      <c r="DC129" s="57" t="n">
        <f aca="false">DC125+($E127+$E128)*DC14</f>
        <v>0</v>
      </c>
      <c r="DD129" s="57" t="n">
        <f aca="false">DD125+($E127+$E128)*DD14</f>
        <v>0</v>
      </c>
      <c r="DE129" s="57" t="n">
        <f aca="false">DE125+($E127+$E128)*DE14</f>
        <v>0</v>
      </c>
      <c r="DF129" s="57" t="n">
        <f aca="false">DF125+($E127+$E128)*DF14</f>
        <v>0</v>
      </c>
      <c r="DG129" s="57" t="n">
        <f aca="false">DG125+($E127+$E128)*DG14</f>
        <v>0</v>
      </c>
      <c r="DH129" s="57" t="n">
        <f aca="false">DH125+($E127+$E128)*DH14</f>
        <v>0</v>
      </c>
      <c r="DI129" s="57" t="n">
        <f aca="false">DI125+($E127+$E128)*DI14</f>
        <v>0</v>
      </c>
      <c r="DJ129" s="57" t="n">
        <f aca="false">DJ125+($E127+$E128)*DJ14</f>
        <v>0</v>
      </c>
      <c r="DK129" s="57" t="n">
        <f aca="false">DK125+($E127+$E128)*DK14</f>
        <v>0</v>
      </c>
      <c r="DL129" s="57" t="n">
        <f aca="false">DL125+($E127+$E128)*DL14</f>
        <v>0</v>
      </c>
      <c r="DM129" s="57" t="n">
        <f aca="false">DM125+($E127+$E128)*DM14</f>
        <v>0</v>
      </c>
      <c r="DN129" s="57" t="n">
        <f aca="false">DN125+($E127+$E128)*DN14</f>
        <v>0</v>
      </c>
      <c r="DO129" s="57" t="n">
        <f aca="false">DO125+($E127+$E128)*DO14</f>
        <v>0</v>
      </c>
      <c r="DP129" s="57" t="n">
        <f aca="false">DP125+($E127+$E128)*DP14</f>
        <v>0</v>
      </c>
      <c r="DQ129" s="57" t="n">
        <f aca="false">DQ125+($E127+$E128)*DQ14</f>
        <v>0</v>
      </c>
      <c r="DR129" s="57" t="n">
        <f aca="false">DR125+($E127+$E128)*DR14</f>
        <v>0</v>
      </c>
      <c r="DS129" s="57" t="n">
        <f aca="false">DS125+($E127+$E128)*DS14</f>
        <v>0</v>
      </c>
      <c r="DT129" s="57" t="n">
        <f aca="false">DT125+($E127+$E128)*DT14</f>
        <v>0</v>
      </c>
      <c r="DU129" s="57" t="n">
        <f aca="false">DU125+($E127+$E128)*DU14</f>
        <v>0</v>
      </c>
      <c r="DV129" s="57" t="n">
        <f aca="false">DV125+($E127+$E128)*DV14</f>
        <v>0</v>
      </c>
      <c r="DW129" s="57" t="n">
        <f aca="false">DW125+($E127+$E128)*DW14</f>
        <v>0</v>
      </c>
      <c r="DX129" s="57" t="n">
        <f aca="false">DX125+($E127+$E128)*DX14</f>
        <v>0</v>
      </c>
      <c r="DY129" s="57" t="n">
        <f aca="false">DY125+($E127+$E128)*DY14</f>
        <v>0</v>
      </c>
      <c r="DZ129" s="57" t="n">
        <f aca="false">DZ125+($E127+$E128)*DZ14</f>
        <v>0</v>
      </c>
      <c r="EA129" s="57" t="n">
        <f aca="false">EA125+($E127+$E128)*EA14</f>
        <v>0</v>
      </c>
      <c r="EB129" s="57" t="n">
        <f aca="false">EB125+($E127+$E128)*EB14</f>
        <v>0</v>
      </c>
      <c r="EC129" s="57" t="n">
        <f aca="false">EC125+($E127+$E128)*EC14</f>
        <v>0</v>
      </c>
      <c r="ED129" s="57" t="n">
        <f aca="false">ED125+($E127+$E128)*ED14</f>
        <v>0</v>
      </c>
      <c r="EE129" s="57" t="n">
        <f aca="false">EE125+($E127+$E128)*EE14</f>
        <v>0</v>
      </c>
      <c r="EF129" s="57" t="n">
        <f aca="false">EF125+($E127+$E128)*EF14</f>
        <v>0</v>
      </c>
      <c r="EG129" s="57" t="n">
        <f aca="false">EG125+($E127+$E128)*EG14</f>
        <v>0</v>
      </c>
      <c r="EH129" s="57" t="n">
        <f aca="false">EH125+($E127+$E128)*EH14</f>
        <v>0</v>
      </c>
      <c r="EI129" s="57" t="n">
        <f aca="false">EI125+($E127+$E128)*EI14</f>
        <v>0</v>
      </c>
      <c r="EJ129" s="57" t="n">
        <f aca="false">EJ125+($E127+$E128)*EJ14</f>
        <v>0</v>
      </c>
      <c r="EK129" s="57" t="n">
        <f aca="false">EK125+($E127+$E128)*EK14</f>
        <v>0</v>
      </c>
      <c r="EL129" s="57" t="n">
        <f aca="false">EL125+($E127+$E128)*EL14</f>
        <v>0</v>
      </c>
      <c r="EM129" s="57" t="n">
        <f aca="false">EM125+($E127+$E128)*EM14</f>
        <v>0</v>
      </c>
      <c r="EN129" s="57" t="n">
        <f aca="false">EN125+($E127+$E128)*EN14</f>
        <v>0</v>
      </c>
      <c r="EO129" s="57" t="n">
        <f aca="false">EO125+($E127+$E128)*EO14</f>
        <v>0</v>
      </c>
    </row>
    <row r="130" customFormat="false" ht="15" hidden="false" customHeight="false" outlineLevel="0" collapsed="false">
      <c r="C130" s="26" t="s">
        <v>84</v>
      </c>
      <c r="D130" s="12" t="s">
        <v>27</v>
      </c>
      <c r="E130" s="34" t="n">
        <f aca="false">XIRR($J129:$EO129,$J$4:$EO$4)</f>
        <v>0.624343544593479</v>
      </c>
    </row>
    <row r="131" customFormat="false" ht="15" hidden="false" customHeight="false" outlineLevel="0" collapsed="false">
      <c r="C131" s="26" t="s">
        <v>85</v>
      </c>
      <c r="D131" s="12" t="s">
        <v>13</v>
      </c>
      <c r="E131" s="60" t="n">
        <f aca="false">($E127+$E128)/-$I125</f>
        <v>2.68350091902412</v>
      </c>
    </row>
    <row r="132" customFormat="false" ht="15" hidden="false" customHeight="false" outlineLevel="0" collapsed="false">
      <c r="C132" s="26" t="s">
        <v>86</v>
      </c>
      <c r="D132" s="12" t="s">
        <v>33</v>
      </c>
      <c r="E132" s="57" t="n">
        <f aca="false">XNPV(In_Discount_Rate,$J129:$EO129,$J$4:$EO$4)</f>
        <v>28473.3902277952</v>
      </c>
    </row>
    <row r="134" customFormat="false" ht="15" hidden="false" customHeight="false" outlineLevel="0" collapsed="false">
      <c r="A134" s="10" t="s">
        <v>13</v>
      </c>
      <c r="B134" s="10"/>
      <c r="C134" s="10" t="s">
        <v>461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462</v>
      </c>
      <c r="D135" s="12" t="s">
        <v>33</v>
      </c>
      <c r="I135" s="48" t="n">
        <f aca="false">SUM(J135:EO135)</f>
        <v>174792.369458992</v>
      </c>
      <c r="J135" s="48" t="n">
        <f aca="false">J59+J66+J79+J58+J109</f>
        <v>-4662.80993807469</v>
      </c>
      <c r="K135" s="48" t="n">
        <f aca="false">K59+K66+K79+K58+K109</f>
        <v>-706.535577057768</v>
      </c>
      <c r="L135" s="48" t="n">
        <f aca="false">L59+L66+L79+L58+L109</f>
        <v>-104.360496659404</v>
      </c>
      <c r="M135" s="48" t="n">
        <f aca="false">M59+M66+M79+M58+M109</f>
        <v>-105.507315304013</v>
      </c>
      <c r="N135" s="48" t="n">
        <f aca="false">N59+N66+N79+N58+N109</f>
        <v>-105.507315304013</v>
      </c>
      <c r="O135" s="48" t="n">
        <f aca="false">O59+O66+O79+O58+O109</f>
        <v>-104.360496659404</v>
      </c>
      <c r="P135" s="48" t="n">
        <f aca="false">P59+P66+P79+P58+P109</f>
        <v>-104.360496659404</v>
      </c>
      <c r="Q135" s="48" t="n">
        <f aca="false">Q59+Q66+Q79+Q58+Q109</f>
        <v>-105.507315304013</v>
      </c>
      <c r="R135" s="48" t="n">
        <f aca="false">R59+R66+R79+R58+R109</f>
        <v>-8916.06358736149</v>
      </c>
      <c r="S135" s="48" t="n">
        <f aca="false">S59+S66+S79+S58+S109</f>
        <v>-16878.0757869733</v>
      </c>
      <c r="T135" s="48" t="n">
        <f aca="false">T59+T66+T79+T58+T109</f>
        <v>-8820.17766558042</v>
      </c>
      <c r="U135" s="48" t="n">
        <f aca="false">U59+U66+U79+U58+U109</f>
        <v>-8917.10269487251</v>
      </c>
      <c r="V135" s="48" t="n">
        <f aca="false">V59+V66+V79+V58+V109</f>
        <v>-8917.10269487251</v>
      </c>
      <c r="W135" s="48" t="n">
        <f aca="false">W59+W66+W79+W58+W109</f>
        <v>-8724.29456746106</v>
      </c>
      <c r="X135" s="48" t="n">
        <f aca="false">X59+X66+X79+X58+X109</f>
        <v>-8821.23117376619</v>
      </c>
      <c r="Y135" s="48" t="n">
        <f aca="false">Y59+Y66+Y79+Y58+Y109</f>
        <v>-11418.1677800713</v>
      </c>
      <c r="Z135" s="48" t="n">
        <f aca="false">Z59+Z66+Z79+Z58+Z109</f>
        <v>2199.97155376639</v>
      </c>
      <c r="AA135" s="48" t="n">
        <f aca="false">AA59+AA66+AA79+AA58+AA109</f>
        <v>2166.44626483507</v>
      </c>
      <c r="AB135" s="48" t="n">
        <f aca="false">AB59+AB66+AB79+AB58+AB109</f>
        <v>2189.78500596732</v>
      </c>
      <c r="AC135" s="48" t="n">
        <f aca="false">AC59+AC66+AC79+AC58+AC109</f>
        <v>2213.11136789303</v>
      </c>
      <c r="AD135" s="48" t="n">
        <f aca="false">AD59+AD66+AD79+AD58+AD109</f>
        <v>2205.11594942411</v>
      </c>
      <c r="AE135" s="48" t="n">
        <f aca="false">AE59+AE66+AE79+AE58+AE109</f>
        <v>2195.01847289786</v>
      </c>
      <c r="AF135" s="48" t="n">
        <f aca="false">AF59+AF66+AF79+AF58+AF109</f>
        <v>2194.67810133411</v>
      </c>
      <c r="AG135" s="48" t="n">
        <f aca="false">AG59+AG66+AG79+AG58+AG109</f>
        <v>2218.05442830006</v>
      </c>
      <c r="AH135" s="48" t="n">
        <f aca="false">AH59+AH66+AH79+AH58+AH109</f>
        <v>2209.99162990574</v>
      </c>
      <c r="AI135" s="48" t="n">
        <f aca="false">AI59+AI66+AI79+AI58+AI109</f>
        <v>2175.87689937385</v>
      </c>
      <c r="AJ135" s="48" t="n">
        <f aca="false">AJ59+AJ66+AJ79+AJ58+AJ109</f>
        <v>2230.9767227675</v>
      </c>
      <c r="AK135" s="48" t="n">
        <f aca="false">AK59+AK66+AK79+AK58+AK109</f>
        <v>2254.736645175</v>
      </c>
      <c r="AL135" s="48" t="n">
        <f aca="false">AL59+AL66+AL79+AL58+AL109</f>
        <v>2229.40687992886</v>
      </c>
      <c r="AM135" s="48" t="n">
        <f aca="false">AM59+AM66+AM79+AM58+AM109</f>
        <v>2194.38734619942</v>
      </c>
      <c r="AN135" s="48" t="n">
        <f aca="false">AN59+AN66+AN79+AN58+AN109</f>
        <v>2217.27168718874</v>
      </c>
      <c r="AO135" s="48" t="n">
        <f aca="false">AO59+AO66+AO79+AO58+AO109</f>
        <v>2240.13002791394</v>
      </c>
      <c r="AP135" s="48" t="n">
        <f aca="false">AP59+AP66+AP79+AP58+AP109</f>
        <v>2231.88952096333</v>
      </c>
      <c r="AQ135" s="48" t="n">
        <f aca="false">AQ59+AQ66+AQ79+AQ58+AQ109</f>
        <v>2196.5602497026</v>
      </c>
      <c r="AR135" s="48" t="n">
        <f aca="false">AR59+AR66+AR79+AR58+AR109</f>
        <v>2219.46278953207</v>
      </c>
      <c r="AS135" s="48" t="n">
        <f aca="false">AS59+AS66+AS79+AS58+AS109</f>
        <v>2242.33880467244</v>
      </c>
      <c r="AT135" s="48" t="n">
        <f aca="false">AT59+AT66+AT79+AT58+AT109</f>
        <v>2234.00962780953</v>
      </c>
      <c r="AU135" s="48" t="n">
        <f aca="false">AU59+AU66+AU79+AU58+AU109</f>
        <v>2222.11946901875</v>
      </c>
      <c r="AV135" s="48" t="n">
        <f aca="false">AV59+AV66+AV79+AV58+AV109</f>
        <v>2221.26584530698</v>
      </c>
      <c r="AW135" s="48" t="n">
        <f aca="false">AW59+AW66+AW79+AW58+AW109</f>
        <v>2244.15527130486</v>
      </c>
      <c r="AX135" s="48" t="n">
        <f aca="false">AX59+AX66+AX79+AX58+AX109</f>
        <v>2235.73521534831</v>
      </c>
      <c r="AY135" s="48" t="n">
        <f aca="false">AY59+AY66+AY79+AY58+AY109</f>
        <v>2199.77339431054</v>
      </c>
      <c r="AZ135" s="48" t="n">
        <f aca="false">AZ59+AZ66+AZ79+AZ58+AZ109</f>
        <v>2222.69983825145</v>
      </c>
      <c r="BA135" s="48" t="n">
        <f aca="false">BA59+BA66+BA79+BA58+BA109</f>
        <v>2245.59864589789</v>
      </c>
      <c r="BB135" s="48" t="n">
        <f aca="false">BB59+BB66+BB79+BB58+BB109</f>
        <v>2237.08582111377</v>
      </c>
      <c r="BC135" s="48" t="n">
        <f aca="false">BC59+BC66+BC79+BC58+BC109</f>
        <v>2200.80115375255</v>
      </c>
      <c r="BD135" s="48" t="n">
        <f aca="false">BD59+BD66+BD79+BD58+BD109</f>
        <v>2223.73317591665</v>
      </c>
      <c r="BE135" s="48" t="n">
        <f aca="false">BE59+BE66+BE79+BE58+BE109</f>
        <v>2246.63697510228</v>
      </c>
      <c r="BF135" s="48" t="n">
        <f aca="false">BF59+BF66+BF79+BF58+BF109</f>
        <v>2238.02921116083</v>
      </c>
      <c r="BG135" s="48" t="n">
        <f aca="false">BG59+BG66+BG79+BG58+BG109</f>
        <v>2201.41709158658</v>
      </c>
      <c r="BH135" s="48" t="n">
        <f aca="false">BH59+BH66+BH79+BH58+BH109</f>
        <v>2224.35015095692</v>
      </c>
      <c r="BI135" s="48" t="n">
        <f aca="false">BI59+BI66+BI79+BI58+BI109</f>
        <v>2247.25437801376</v>
      </c>
      <c r="BJ135" s="48" t="n">
        <f aca="false">BJ59+BJ66+BJ79+BJ58+BJ109</f>
        <v>2238.54941580744</v>
      </c>
      <c r="BK135" s="48" t="n">
        <f aca="false">BK59+BK66+BK79+BK58+BK109</f>
        <v>2225.56187056989</v>
      </c>
      <c r="BL135" s="48" t="n">
        <f aca="false">BL59+BL66+BL79+BL58+BL109</f>
        <v>2224.51711959357</v>
      </c>
      <c r="BM135" s="48" t="n">
        <f aca="false">BM59+BM66+BM79+BM58+BM109</f>
        <v>2247.41682639454</v>
      </c>
      <c r="BN135" s="48" t="n">
        <f aca="false">BN59+BN66+BN79+BN58+BN109</f>
        <v>2238.61210698111</v>
      </c>
      <c r="BO135" s="48" t="n">
        <f aca="false">BO59+BO66+BO79+BO58+BO109</f>
        <v>2201.33054175998</v>
      </c>
      <c r="BP135" s="48" t="n">
        <f aca="false">BP59+BP66+BP79+BP58+BP109</f>
        <v>2224.25111844468</v>
      </c>
      <c r="BQ135" s="48" t="n">
        <f aca="false">BQ59+BQ66+BQ79+BQ58+BQ109</f>
        <v>2247.141569476</v>
      </c>
      <c r="BR135" s="48" t="n">
        <f aca="false">BR59+BR66+BR79+BR58+BR109</f>
        <v>2238.23484056638</v>
      </c>
      <c r="BS135" s="48" t="n">
        <f aca="false">BS59+BS66+BS79+BS58+BS109</f>
        <v>2200.61121155592</v>
      </c>
      <c r="BT135" s="48" t="n">
        <f aca="false">BT59+BT66+BT79+BT58+BT109</f>
        <v>2223.5180921454</v>
      </c>
      <c r="BU135" s="48" t="n">
        <f aca="false">BU59+BU66+BU79+BU58+BU109</f>
        <v>2246.39416321366</v>
      </c>
      <c r="BV135" s="48" t="n">
        <f aca="false">BV59+BV66+BV79+BV58+BV109</f>
        <v>2237.38287324308</v>
      </c>
      <c r="BW135" s="48" t="n">
        <f aca="false">BW59+BW66+BW79+BW58+BW109</f>
        <v>2199.41203428686</v>
      </c>
      <c r="BX135" s="48" t="n">
        <f aca="false">BX59+BX66+BX79+BX58+BX109</f>
        <v>2222.2999210127</v>
      </c>
      <c r="BY135" s="48" t="n">
        <f aca="false">BY59+BY66+BY79+BY58+BY109</f>
        <v>2245.15628721272</v>
      </c>
      <c r="BZ135" s="48" t="n">
        <f aca="false">BZ59+BZ66+BZ79+BZ58+BZ109</f>
        <v>2236.03777802727</v>
      </c>
      <c r="CA135" s="48" t="n">
        <f aca="false">CA59+CA66+CA79+CA58+CA109</f>
        <v>2221.83259942293</v>
      </c>
      <c r="CB135" s="48" t="n">
        <f aca="false">CB59+CB66+CB79+CB58+CB109</f>
        <v>2220.56033780525</v>
      </c>
      <c r="CC135" s="48" t="n">
        <f aca="false">CC59+CC66+CC79+CC58+CC109</f>
        <v>2243.39126016481</v>
      </c>
      <c r="CD135" s="48" t="n">
        <f aca="false">CD59+CD66+CD79+CD58+CD109</f>
        <v>2234.16255372145</v>
      </c>
      <c r="CE135" s="48" t="n">
        <f aca="false">CE59+CE66+CE79+CE58+CE109</f>
        <v>2195.48104599111</v>
      </c>
      <c r="CF135" s="48" t="n">
        <f aca="false">CF59+CF66+CF79+CF58+CF109</f>
        <v>2218.31400302981</v>
      </c>
      <c r="CG135" s="48" t="n">
        <f aca="false">CG59+CG66+CG79+CG58+CG109</f>
        <v>2241.11392852659</v>
      </c>
      <c r="CH135" s="48" t="n">
        <f aca="false">CH59+CH66+CH79+CH58+CH109</f>
        <v>2231.772336607</v>
      </c>
      <c r="CI135" s="48" t="n">
        <f aca="false">CI59+CI66+CI79+CI58+CI109</f>
        <v>2192.72725594433</v>
      </c>
      <c r="CJ135" s="48" t="n">
        <f aca="false">CJ59+CJ66+CJ79+CJ58+CJ109</f>
        <v>2215.52404289543</v>
      </c>
      <c r="CK135" s="48" t="n">
        <f aca="false">CK59+CK66+CK79+CK58+CK109</f>
        <v>2238.28699798862</v>
      </c>
      <c r="CL135" s="48" t="n">
        <f aca="false">CL59+CL66+CL79+CL58+CL109</f>
        <v>2228.82951128661</v>
      </c>
      <c r="CM135" s="48" t="n">
        <f aca="false">CM59+CM66+CM79+CM58+CM109</f>
        <v>2189.41508099488</v>
      </c>
      <c r="CN135" s="48" t="n">
        <f aca="false">CN59+CN66+CN79+CN58+CN109</f>
        <v>2212.16952439918</v>
      </c>
      <c r="CO135" s="48" t="n">
        <f aca="false">CO59+CO66+CO79+CO58+CO109</f>
        <v>2234.88930309101</v>
      </c>
      <c r="CP135" s="48" t="n">
        <f aca="false">CP59+CP66+CP79+CP58+CP109</f>
        <v>2225.3127842527</v>
      </c>
      <c r="CQ135" s="48" t="n">
        <f aca="false">CQ59+CQ66+CQ79+CQ58+CQ109</f>
        <v>2209.75439943163</v>
      </c>
      <c r="CR135" s="48" t="n">
        <f aca="false">CR59+CR66+CR79+CR58+CR109</f>
        <v>2208.21117385002</v>
      </c>
      <c r="CS135" s="48" t="n">
        <f aca="false">CS59+CS66+CS79+CS58+CS109</f>
        <v>2230.88112209078</v>
      </c>
      <c r="CT135" s="48" t="n">
        <f aca="false">CT59+CT66+CT79+CT58+CT109</f>
        <v>2221.18209041389</v>
      </c>
      <c r="CU135" s="48" t="n">
        <f aca="false">CU59+CU66+CU79+CU58+CU109</f>
        <v>2182.62100274973</v>
      </c>
      <c r="CV135" s="48" t="n">
        <f aca="false">CV59+CV66+CV79+CV58+CV109</f>
        <v>2206.87234722473</v>
      </c>
      <c r="CW135" s="48" t="n">
        <f aca="false">CW59+CW66+CW79+CW58+CW109</f>
        <v>2231.12369169973</v>
      </c>
      <c r="CX135" s="48" t="n">
        <f aca="false">CX59+CX66+CX79+CX58+CX109</f>
        <v>2222.97352763624</v>
      </c>
      <c r="CY135" s="48" t="n">
        <f aca="false">CY59+CY66+CY79+CY58+CY109</f>
        <v>2184.10279833034</v>
      </c>
      <c r="CZ135" s="48" t="n">
        <f aca="false">CZ59+CZ66+CZ79+CZ58+CZ109</f>
        <v>2208.37060720067</v>
      </c>
      <c r="DA135" s="48" t="n">
        <f aca="false">DA59+DA66+DA79+DA58+DA109</f>
        <v>2232.63841607101</v>
      </c>
      <c r="DB135" s="48" t="n">
        <f aca="false">DB59+DB66+DB79+DB58+DB109</f>
        <v>2122.88750313241</v>
      </c>
      <c r="DC135" s="48" t="n">
        <f aca="false">DC59+DC66+DC79+DC58+DC109</f>
        <v>2085.91177487943</v>
      </c>
      <c r="DD135" s="48" t="n">
        <f aca="false">DD59+DD66+DD79+DD58+DD109</f>
        <v>2109.08857237809</v>
      </c>
      <c r="DE135" s="48" t="n">
        <f aca="false">DE59+DE66+DE79+DE58+DE109</f>
        <v>2132.26536987675</v>
      </c>
      <c r="DF135" s="48" t="n">
        <f aca="false">DF59+DF66+DF79+DF58+DF109</f>
        <v>2124.01795089271</v>
      </c>
      <c r="DG135" s="48" t="n">
        <f aca="false">DG59+DG66+DG79+DG58+DG109</f>
        <v>2109.91236154365</v>
      </c>
      <c r="DH135" s="48" t="n">
        <f aca="false">DH59+DH66+DH79+DH58+DH109</f>
        <v>2109.91236154365</v>
      </c>
      <c r="DI135" s="48" t="n">
        <f aca="false">DI59+DI66+DI79+DI58+DI109</f>
        <v>2133.09821167051</v>
      </c>
      <c r="DJ135" s="48" t="n">
        <f aca="false">DJ59+DJ66+DJ79+DJ58+DJ109</f>
        <v>2124.80202858923</v>
      </c>
      <c r="DK135" s="48" t="n">
        <f aca="false">DK59+DK66+DK79+DK58+DK109</f>
        <v>2087.19177731218</v>
      </c>
      <c r="DL135" s="48" t="n">
        <f aca="false">DL59+DL66+DL79+DL58+DL109</f>
        <v>2110.3827970601</v>
      </c>
      <c r="DM135" s="48" t="n">
        <f aca="false">DM59+DM66+DM79+DM58+DM109</f>
        <v>2133.57381680801</v>
      </c>
      <c r="DN135" s="48" t="n">
        <f aca="false">DN59+DN66+DN79+DN58+DN109</f>
        <v>2125.22878470017</v>
      </c>
      <c r="DO135" s="48" t="n">
        <f aca="false">DO59+DO66+DO79+DO58+DO109</f>
        <v>2087.29657604582</v>
      </c>
      <c r="DP135" s="48" t="n">
        <f aca="false">DP59+DP66+DP79+DP58+DP109</f>
        <v>2110.4887602241</v>
      </c>
      <c r="DQ135" s="48" t="n">
        <f aca="false">DQ59+DQ66+DQ79+DQ58+DQ109</f>
        <v>2133.68094440239</v>
      </c>
      <c r="DR135" s="48" t="n">
        <f aca="false">DR59+DR66+DR79+DR58+DR109</f>
        <v>2125.28698314533</v>
      </c>
      <c r="DS135" s="48" t="n">
        <f aca="false">DS59+DS66+DS79+DS58+DS109</f>
        <v>2087.02962566063</v>
      </c>
      <c r="DT135" s="48" t="n">
        <f aca="false">DT59+DT66+DT79+DT58+DT109</f>
        <v>2110.21884372353</v>
      </c>
      <c r="DU135" s="48" t="n">
        <f aca="false">DU59+DU66+DU79+DU58+DU109</f>
        <v>2133.40806178642</v>
      </c>
      <c r="DV135" s="48" t="n">
        <f aca="false">DV59+DV66+DV79+DV58+DV109</f>
        <v>2124.96509621661</v>
      </c>
      <c r="DW135" s="48" t="n">
        <f aca="false">DW59+DW66+DW79+DW58+DW109</f>
        <v>2109.56134446918</v>
      </c>
      <c r="DX135" s="48" t="n">
        <f aca="false">DX59+DX66+DX79+DX58+DX109</f>
        <v>2109.56134446918</v>
      </c>
      <c r="DY135" s="48" t="n">
        <f aca="false">DY59+DY66+DY79+DY58+DY109</f>
        <v>2132.74333726555</v>
      </c>
      <c r="DZ135" s="48" t="n">
        <f aca="false">DZ59+DZ66+DZ79+DZ58+DZ109</f>
        <v>2124.25129733469</v>
      </c>
      <c r="EA135" s="48" t="n">
        <f aca="false">EA59+EA66+EA79+EA58+EA109</f>
        <v>2085.33387980802</v>
      </c>
      <c r="EB135" s="48" t="n">
        <f aca="false">EB59+EB66+EB79+EB58+EB109</f>
        <v>2108.50425625033</v>
      </c>
      <c r="EC135" s="48" t="n">
        <f aca="false">EC59+EC66+EC79+EC58+EC109</f>
        <v>2131.67463269264</v>
      </c>
      <c r="ED135" s="48" t="n">
        <f aca="false">ED59+ED66+ED79+ED58+ED109</f>
        <v>2123.13345362752</v>
      </c>
      <c r="EE135" s="48" t="n">
        <f aca="false">EE59+EE66+EE79+EE58+EE109</f>
        <v>2083.88102855902</v>
      </c>
      <c r="EF135" s="48" t="n">
        <f aca="false">EF59+EF66+EF79+EF58+EF109</f>
        <v>2107.03526220968</v>
      </c>
      <c r="EG135" s="48" t="n">
        <f aca="false">EG59+EG66+EG79+EG58+EG109</f>
        <v>2130.18949586034</v>
      </c>
      <c r="EH135" s="48" t="n">
        <f aca="false">EH59+EH66+EH79+EH58+EH109</f>
        <v>2121.59911832654</v>
      </c>
      <c r="EI135" s="48" t="n">
        <f aca="false">EI59+EI66+EI79+EI58+EI109</f>
        <v>2082.00830156043</v>
      </c>
      <c r="EJ135" s="48" t="n">
        <f aca="false">EJ59+EJ66+EJ79+EJ58+EJ109</f>
        <v>2105.14172713332</v>
      </c>
      <c r="EK135" s="48" t="n">
        <f aca="false">EK59+EK66+EK79+EK58+EK109</f>
        <v>2128.27515270622</v>
      </c>
      <c r="EL135" s="48" t="n">
        <f aca="false">EL59+EL66+EL79+EL58+EL109</f>
        <v>2119.63552297573</v>
      </c>
      <c r="EM135" s="48" t="n">
        <f aca="false">EM59+EM66+EM79+EM58+EM109</f>
        <v>2102.81068955117</v>
      </c>
      <c r="EN135" s="48" t="n">
        <f aca="false">EN59+EN66+EN79+EN58+EN109</f>
        <v>2102.81068955117</v>
      </c>
      <c r="EO135" s="48" t="n">
        <f aca="false">EO59+EO66+EO79+EO58+EO109</f>
        <v>2125.91849932646</v>
      </c>
    </row>
    <row r="136" customFormat="false" ht="15" hidden="false" customHeight="false" outlineLevel="0" collapsed="false">
      <c r="C136" s="26" t="s">
        <v>91</v>
      </c>
      <c r="D136" s="12" t="s">
        <v>27</v>
      </c>
      <c r="E136" s="34" t="n">
        <f aca="false">XIRR($J135:$EO135,$J$4:$EO$4)</f>
        <v>0.087034916708748</v>
      </c>
    </row>
    <row r="137" customFormat="false" ht="15" hidden="false" customHeight="false" outlineLevel="0" collapsed="false">
      <c r="C137" s="26" t="s">
        <v>463</v>
      </c>
      <c r="D137" s="12" t="s">
        <v>33</v>
      </c>
      <c r="I137" s="57" t="n">
        <f aca="false">SUM(J137:EO137)</f>
        <v>134539.527402984</v>
      </c>
      <c r="J137" s="57" t="n">
        <f aca="false">J59+J66+J92+J96+J97+J79+J90+J98+J58+J109</f>
        <v>-4662.80993807469</v>
      </c>
      <c r="K137" s="57" t="n">
        <f aca="false">K59+K66+K92+K96+K97+K79+K90+K98+K58+K109</f>
        <v>-706.535577057768</v>
      </c>
      <c r="L137" s="57" t="n">
        <f aca="false">L59+L66+L92+L96+L97+L79+L90+L98+L58+L109</f>
        <v>-104.360496659404</v>
      </c>
      <c r="M137" s="57" t="n">
        <f aca="false">M59+M66+M92+M96+M97+M79+M90+M98+M58+M109</f>
        <v>-105.507315304013</v>
      </c>
      <c r="N137" s="57" t="n">
        <f aca="false">N59+N66+N92+N96+N97+N79+N90+N98+N58+N109</f>
        <v>-105.507315304013</v>
      </c>
      <c r="O137" s="57" t="n">
        <f aca="false">O59+O66+O92+O96+O97+O79+O90+O98+O58+O109</f>
        <v>-104.360496659404</v>
      </c>
      <c r="P137" s="57" t="n">
        <f aca="false">P59+P66+P92+P96+P97+P79+P90+P98+P58+P109</f>
        <v>-104.360496659404</v>
      </c>
      <c r="Q137" s="57" t="n">
        <f aca="false">Q59+Q66+Q92+Q96+Q97+Q79+Q90+Q98+Q58+Q109</f>
        <v>-105.507315304013</v>
      </c>
      <c r="R137" s="57" t="n">
        <f aca="false">R59+R66+R92+R96+R97+R79+R90+R98+R58+R109</f>
        <v>-3174.08808923102</v>
      </c>
      <c r="S137" s="57" t="n">
        <f aca="false">S59+S66+S92+S96+S97+S79+S90+S98+S58+S109</f>
        <v>-3562.95255606014</v>
      </c>
      <c r="T137" s="57" t="n">
        <f aca="false">T59+T66+T92+T96+T97+T79+T90+T98+T58+T109</f>
        <v>-1923.29083222332</v>
      </c>
      <c r="U137" s="57" t="n">
        <f aca="false">U59+U66+U92+U96+U97+U79+U90+U98+U58+U109</f>
        <v>-1928.55573265071</v>
      </c>
      <c r="V137" s="57" t="n">
        <f aca="false">V59+V66+V92+V96+V97+V79+V90+V98+V58+V109</f>
        <v>-1912.51117158484</v>
      </c>
      <c r="W137" s="57" t="n">
        <f aca="false">W59+W66+W92+W96+W97+W79+W90+W98+W58+W109</f>
        <v>-1856.28100668043</v>
      </c>
      <c r="X137" s="57" t="n">
        <f aca="false">X59+X66+X92+X96+X97+X79+X90+X98+X58+X109</f>
        <v>-1861.38119109401</v>
      </c>
      <c r="Y137" s="57" t="n">
        <f aca="false">Y59+Y66+Y92+Y96+Y97+Y79+Y90+Y98+Y58+Y109</f>
        <v>-3783.66175605975</v>
      </c>
      <c r="Z137" s="57" t="n">
        <f aca="false">Z59+Z66+Z92+Z96+Z97+Z79+Z90+Z98+Z58+Z109</f>
        <v>782.275563501354</v>
      </c>
      <c r="AA137" s="57" t="n">
        <f aca="false">AA59+AA66+AA92+AA96+AA97+AA79+AA90+AA98+AA58+AA109</f>
        <v>770.354493774167</v>
      </c>
      <c r="AB137" s="57" t="n">
        <f aca="false">AB59+AB66+AB92+AB96+AB97+AB79+AB90+AB98+AB58+AB109</f>
        <v>778.653386020933</v>
      </c>
      <c r="AC137" s="57" t="n">
        <f aca="false">AC59+AC66+AC92+AC96+AC97+AC79+AC90+AC98+AC58+AC109</f>
        <v>786.947876414977</v>
      </c>
      <c r="AD137" s="57" t="n">
        <f aca="false">AD59+AD66+AD92+AD96+AD97+AD79+AD90+AD98+AD58+AD109</f>
        <v>784.104830341278</v>
      </c>
      <c r="AE137" s="57" t="n">
        <f aca="false">AE59+AE66+AE92+AE96+AE97+AE79+AE90+AE98+AE58+AE109</f>
        <v>780.514325215894</v>
      </c>
      <c r="AF137" s="57" t="n">
        <f aca="false">AF59+AF66+AF92+AF96+AF97+AF79+AF90+AF98+AF58+AF109</f>
        <v>780.393294397857</v>
      </c>
      <c r="AG137" s="57" t="n">
        <f aca="false">AG59+AG66+AG92+AG96+AG97+AG79+AG90+AG98+AG58+AG109</f>
        <v>788.705551580726</v>
      </c>
      <c r="AH137" s="57" t="n">
        <f aca="false">AH59+AH66+AH92+AH96+AH97+AH79+AH90+AH98+AH58+AH109</f>
        <v>785.83854625673</v>
      </c>
      <c r="AI137" s="57" t="n">
        <f aca="false">AI59+AI66+AI92+AI96+AI97+AI79+AI90+AI98+AI58+AI109</f>
        <v>773.707880292063</v>
      </c>
      <c r="AJ137" s="57" t="n">
        <f aca="false">AJ59+AJ66+AJ92+AJ96+AJ97+AJ79+AJ90+AJ98+AJ58+AJ109</f>
        <v>793.300517897004</v>
      </c>
      <c r="AK137" s="57" t="n">
        <f aca="false">AK59+AK66+AK92+AK96+AK97+AK79+AK90+AK98+AK58+AK109</f>
        <v>801.749175634545</v>
      </c>
      <c r="AL137" s="57" t="n">
        <f aca="false">AL59+AL66+AL92+AL96+AL97+AL79+AL90+AL98+AL58+AL109</f>
        <v>792.742306274313</v>
      </c>
      <c r="AM137" s="57" t="n">
        <f aca="false">AM59+AM66+AM92+AM96+AM97+AM79+AM90+AM98+AM58+AM109</f>
        <v>780.289906408154</v>
      </c>
      <c r="AN137" s="57" t="n">
        <f aca="false">AN59+AN66+AN92+AN96+AN97+AN79+AN90+AN98+AN58+AN109</f>
        <v>788.427221053063</v>
      </c>
      <c r="AO137" s="57" t="n">
        <f aca="false">AO59+AO66+AO92+AO96+AO97+AO79+AO90+AO98+AO58+AO109</f>
        <v>796.555290409674</v>
      </c>
      <c r="AP137" s="57" t="n">
        <f aca="false">AP59+AP66+AP92+AP96+AP97+AP79+AP90+AP98+AP58+AP109</f>
        <v>793.625094695452</v>
      </c>
      <c r="AQ137" s="57" t="n">
        <f aca="false">AQ59+AQ66+AQ92+AQ96+AQ97+AQ79+AQ90+AQ98+AQ58+AQ109</f>
        <v>781.062556995275</v>
      </c>
      <c r="AR137" s="57" t="n">
        <f aca="false">AR59+AR66+AR92+AR96+AR97+AR79+AR90+AR98+AR58+AR109</f>
        <v>789.206342863826</v>
      </c>
      <c r="AS137" s="57" t="n">
        <f aca="false">AS59+AS66+AS92+AS96+AS97+AS79+AS90+AS98+AS58+AS109</f>
        <v>797.340696966737</v>
      </c>
      <c r="AT137" s="57" t="n">
        <f aca="false">AT59+AT66+AT92+AT96+AT97+AT79+AT90+AT98+AT58+AT109</f>
        <v>794.378971615007</v>
      </c>
      <c r="AU137" s="57" t="n">
        <f aca="false">AU59+AU66+AU92+AU96+AU97+AU79+AU90+AU98+AU58+AU109</f>
        <v>790.15101664341</v>
      </c>
      <c r="AV137" s="57" t="n">
        <f aca="false">AV59+AV66+AV92+AV96+AV97+AV79+AV90+AV98+AV58+AV109</f>
        <v>789.847481368625</v>
      </c>
      <c r="AW137" s="57" t="n">
        <f aca="false">AW59+AW66+AW92+AW96+AW97+AW79+AW90+AW98+AW58+AW109</f>
        <v>797.98660416324</v>
      </c>
      <c r="AX137" s="57" t="n">
        <f aca="false">AX59+AX66+AX92+AX96+AX97+AX79+AX90+AX98+AX58+AX109</f>
        <v>794.992563623577</v>
      </c>
      <c r="AY137" s="57" t="n">
        <f aca="false">AY59+AY66+AY92+AY96+AY97+AY79+AY90+AY98+AY58+AY109</f>
        <v>782.205101090868</v>
      </c>
      <c r="AZ137" s="57" t="n">
        <f aca="false">AZ59+AZ66+AZ92+AZ96+AZ97+AZ79+AZ90+AZ98+AZ58+AZ109</f>
        <v>790.357386888511</v>
      </c>
      <c r="BA137" s="57" t="n">
        <f aca="false">BA59+BA66+BA92+BA96+BA97+BA79+BA90+BA98+BA58+BA109</f>
        <v>798.499845650986</v>
      </c>
      <c r="BB137" s="57" t="n">
        <f aca="false">BB59+BB66+BB92+BB96+BB97+BB79+BB90+BB98+BB58+BB109</f>
        <v>795.472817963485</v>
      </c>
      <c r="BC137" s="57" t="n">
        <f aca="false">BC59+BC66+BC92+BC96+BC97+BC79+BC90+BC98+BC58+BC109</f>
        <v>782.570556314765</v>
      </c>
      <c r="BD137" s="57" t="n">
        <f aca="false">BD59+BD66+BD92+BD96+BD97+BD79+BD90+BD98+BD58+BD109</f>
        <v>790.724825641538</v>
      </c>
      <c r="BE137" s="57" t="n">
        <f aca="false">BE59+BE66+BE92+BE96+BE97+BE79+BE90+BE98+BE58+BE109</f>
        <v>798.869059317466</v>
      </c>
      <c r="BF137" s="57" t="n">
        <f aca="false">BF59+BF66+BF92+BF96+BF97+BF79+BF90+BF98+BF58+BF109</f>
        <v>795.808272746722</v>
      </c>
      <c r="BG137" s="57" t="n">
        <f aca="false">BG59+BG66+BG92+BG96+BG97+BG79+BG90+BG98+BG58+BG109</f>
        <v>782.789574199508</v>
      </c>
      <c r="BH137" s="57" t="n">
        <f aca="false">BH59+BH66+BH92+BH96+BH97+BH79+BH90+BH98+BH58+BH109</f>
        <v>790.94421234063</v>
      </c>
      <c r="BI137" s="57" t="n">
        <f aca="false">BI59+BI66+BI92+BI96+BI97+BI79+BI90+BI98+BI58+BI109</f>
        <v>799.088598160874</v>
      </c>
      <c r="BJ137" s="57" t="n">
        <f aca="false">BJ59+BJ66+BJ92+BJ96+BJ97+BJ79+BJ90+BJ98+BJ58+BJ109</f>
        <v>795.993249403492</v>
      </c>
      <c r="BK137" s="57" t="n">
        <f aca="false">BK59+BK66+BK92+BK96+BK97+BK79+BK90+BK98+BK58+BK109</f>
        <v>791.37508093134</v>
      </c>
      <c r="BL137" s="57" t="n">
        <f aca="false">BL59+BL66+BL92+BL96+BL97+BL79+BL90+BL98+BL58+BL109</f>
        <v>791.003583782953</v>
      </c>
      <c r="BM137" s="57" t="n">
        <f aca="false">BM59+BM66+BM92+BM96+BM97+BM79+BM90+BM98+BM58+BM109</f>
        <v>799.146362270716</v>
      </c>
      <c r="BN137" s="57" t="n">
        <f aca="false">BN59+BN66+BN92+BN96+BN97+BN79+BN90+BN98+BN58+BN109</f>
        <v>796.015541406755</v>
      </c>
      <c r="BO137" s="57" t="n">
        <f aca="false">BO59+BO66+BO92+BO96+BO97+BO79+BO90+BO98+BO58+BO109</f>
        <v>782.758798431287</v>
      </c>
      <c r="BP137" s="57" t="n">
        <f aca="false">BP59+BP66+BP92+BP96+BP97+BP79+BP90+BP98+BP58+BP109</f>
        <v>790.908997924118</v>
      </c>
      <c r="BQ137" s="57" t="n">
        <f aca="false">BQ59+BQ66+BQ92+BQ96+BQ97+BQ79+BQ90+BQ98+BQ58+BQ109</f>
        <v>799.048485204584</v>
      </c>
      <c r="BR137" s="57" t="n">
        <f aca="false">BR59+BR66+BR92+BR96+BR97+BR79+BR90+BR98+BR58+BR109</f>
        <v>795.881391355184</v>
      </c>
      <c r="BS137" s="57" t="n">
        <f aca="false">BS59+BS66+BS92+BS96+BS97+BS79+BS90+BS98+BS58+BS109</f>
        <v>782.503015832646</v>
      </c>
      <c r="BT137" s="57" t="n">
        <f aca="false">BT59+BT66+BT92+BT96+BT97+BT79+BT90+BT98+BT58+BT109</f>
        <v>790.648345207679</v>
      </c>
      <c r="BU137" s="57" t="n">
        <f aca="false">BU59+BU66+BU92+BU96+BU97+BU79+BU90+BU98+BU58+BU109</f>
        <v>798.782719197613</v>
      </c>
      <c r="BV137" s="57" t="n">
        <f aca="false">BV59+BV66+BV92+BV96+BV97+BV79+BV90+BV98+BV58+BV109</f>
        <v>795.578445066159</v>
      </c>
      <c r="BW137" s="57" t="n">
        <f aca="false">BW59+BW66+BW92+BW96+BW97+BW79+BW90+BW98+BW58+BW109</f>
        <v>782.076607103611</v>
      </c>
      <c r="BX137" s="57" t="n">
        <f aca="false">BX59+BX66+BX92+BX96+BX97+BX79+BX90+BX98+BX58+BX109</f>
        <v>790.215182557051</v>
      </c>
      <c r="BY137" s="57" t="n">
        <f aca="false">BY59+BY66+BY92+BY96+BY97+BY79+BY90+BY98+BY58+BY109</f>
        <v>798.342549803249</v>
      </c>
      <c r="BZ137" s="57" t="n">
        <f aca="false">BZ59+BZ66+BZ92+BZ96+BZ97+BZ79+BZ90+BZ98+BZ58+BZ109</f>
        <v>795.100150191674</v>
      </c>
      <c r="CA137" s="57" t="n">
        <f aca="false">CA59+CA66+CA92+CA96+CA97+CA79+CA90+CA98+CA58+CA109</f>
        <v>790.049010290167</v>
      </c>
      <c r="CB137" s="57" t="n">
        <f aca="false">CB59+CB66+CB92+CB96+CB97+CB79+CB90+CB98+CB58+CB109</f>
        <v>789.596613907018</v>
      </c>
      <c r="CC137" s="57" t="n">
        <f aca="false">CC59+CC66+CC92+CC96+CC97+CC79+CC90+CC98+CC58+CC109</f>
        <v>797.714933720492</v>
      </c>
      <c r="CD137" s="57" t="n">
        <f aca="false">CD59+CD66+CD92+CD96+CD97+CD79+CD90+CD98+CD58+CD109</f>
        <v>794.433349683161</v>
      </c>
      <c r="CE137" s="57" t="n">
        <f aca="false">CE59+CE66+CE92+CE96+CE97+CE79+CE90+CE98+CE58+CE109</f>
        <v>780.678808991449</v>
      </c>
      <c r="CF137" s="57" t="n">
        <f aca="false">CF59+CF66+CF92+CF96+CF97+CF79+CF90+CF98+CF58+CF109</f>
        <v>788.797852305089</v>
      </c>
      <c r="CG137" s="57" t="n">
        <f aca="false">CG59+CG66+CG92+CG96+CG97+CG79+CG90+CG98+CG58+CG109</f>
        <v>796.905150117739</v>
      </c>
      <c r="CH137" s="57" t="n">
        <f aca="false">CH59+CH66+CH92+CH96+CH97+CH79+CH90+CH98+CH58+CH109</f>
        <v>793.583425766157</v>
      </c>
      <c r="CI137" s="57" t="n">
        <f aca="false">CI59+CI66+CI92+CI96+CI97+CI79+CI90+CI98+CI58+CI109</f>
        <v>779.699604211696</v>
      </c>
      <c r="CJ137" s="57" t="n">
        <f aca="false">CJ59+CJ66+CJ92+CJ96+CJ97+CJ79+CJ90+CJ98+CJ58+CJ109</f>
        <v>787.805786006471</v>
      </c>
      <c r="CK137" s="57" t="n">
        <f aca="false">CK59+CK66+CK92+CK96+CK97+CK79+CK90+CK98+CK58+CK109</f>
        <v>795.899937720373</v>
      </c>
      <c r="CL137" s="57" t="n">
        <f aca="false">CL59+CL66+CL92+CL96+CL97+CL79+CL90+CL98+CL58+CL109</f>
        <v>792.537002992206</v>
      </c>
      <c r="CM137" s="57" t="n">
        <f aca="false">CM59+CM66+CM92+CM96+CM97+CM79+CM90+CM98+CM58+CM109</f>
        <v>778.521846471764</v>
      </c>
      <c r="CN137" s="57" t="n">
        <f aca="false">CN59+CN66+CN92+CN96+CN97+CN79+CN90+CN98+CN58+CN109</f>
        <v>786.612971561894</v>
      </c>
      <c r="CO137" s="57" t="n">
        <f aca="false">CO59+CO66+CO92+CO96+CO97+CO79+CO90+CO98+CO58+CO109</f>
        <v>794.691770421062</v>
      </c>
      <c r="CP137" s="57" t="n">
        <f aca="false">CP59+CP66+CP92+CP96+CP97+CP79+CP90+CP98+CP58+CP109</f>
        <v>791.286509722218</v>
      </c>
      <c r="CQ137" s="57" t="n">
        <f aca="false">CQ59+CQ66+CQ92+CQ96+CQ97+CQ79+CQ90+CQ98+CQ58+CQ109</f>
        <v>785.754190800991</v>
      </c>
      <c r="CR137" s="57" t="n">
        <f aca="false">CR59+CR66+CR92+CR96+CR97+CR79+CR90+CR98+CR58+CR109</f>
        <v>785.205443859523</v>
      </c>
      <c r="CS137" s="57" t="n">
        <f aca="false">CS59+CS66+CS92+CS96+CS97+CS79+CS90+CS98+CS58+CS109</f>
        <v>2210.96251405273</v>
      </c>
      <c r="CT137" s="57" t="n">
        <f aca="false">CT59+CT66+CT92+CT96+CT97+CT79+CT90+CT98+CT58+CT109</f>
        <v>2221.18209041389</v>
      </c>
      <c r="CU137" s="57" t="n">
        <f aca="false">CU59+CU66+CU92+CU96+CU97+CU79+CU90+CU98+CU58+CU109</f>
        <v>2182.62100274973</v>
      </c>
      <c r="CV137" s="57" t="n">
        <f aca="false">CV59+CV66+CV92+CV96+CV97+CV79+CV90+CV98+CV58+CV109</f>
        <v>2206.87234722473</v>
      </c>
      <c r="CW137" s="57" t="n">
        <f aca="false">CW59+CW66+CW92+CW96+CW97+CW79+CW90+CW98+CW58+CW109</f>
        <v>2231.12369169973</v>
      </c>
      <c r="CX137" s="57" t="n">
        <f aca="false">CX59+CX66+CX92+CX96+CX97+CX79+CX90+CX98+CX58+CX109</f>
        <v>2222.97352763624</v>
      </c>
      <c r="CY137" s="57" t="n">
        <f aca="false">CY59+CY66+CY92+CY96+CY97+CY79+CY90+CY98+CY58+CY109</f>
        <v>2184.10279833034</v>
      </c>
      <c r="CZ137" s="57" t="n">
        <f aca="false">CZ59+CZ66+CZ92+CZ96+CZ97+CZ79+CZ90+CZ98+CZ58+CZ109</f>
        <v>2208.37060720067</v>
      </c>
      <c r="DA137" s="57" t="n">
        <f aca="false">DA59+DA66+DA92+DA96+DA97+DA79+DA90+DA98+DA58+DA109</f>
        <v>2232.63841607101</v>
      </c>
      <c r="DB137" s="57" t="n">
        <f aca="false">DB59+DB66+DB92+DB96+DB97+DB79+DB90+DB98+DB58+DB109</f>
        <v>2122.88750313241</v>
      </c>
      <c r="DC137" s="57" t="n">
        <f aca="false">DC59+DC66+DC92+DC96+DC97+DC79+DC90+DC98+DC58+DC109</f>
        <v>2085.91177487943</v>
      </c>
      <c r="DD137" s="57" t="n">
        <f aca="false">DD59+DD66+DD92+DD96+DD97+DD79+DD90+DD98+DD58+DD109</f>
        <v>2109.08857237809</v>
      </c>
      <c r="DE137" s="57" t="n">
        <f aca="false">DE59+DE66+DE92+DE96+DE97+DE79+DE90+DE98+DE58+DE109</f>
        <v>2132.26536987675</v>
      </c>
      <c r="DF137" s="57" t="n">
        <f aca="false">DF59+DF66+DF92+DF96+DF97+DF79+DF90+DF98+DF58+DF109</f>
        <v>2124.01795089271</v>
      </c>
      <c r="DG137" s="57" t="n">
        <f aca="false">DG59+DG66+DG92+DG96+DG97+DG79+DG90+DG98+DG58+DG109</f>
        <v>2109.91236154365</v>
      </c>
      <c r="DH137" s="57" t="n">
        <f aca="false">DH59+DH66+DH92+DH96+DH97+DH79+DH90+DH98+DH58+DH109</f>
        <v>2109.91236154365</v>
      </c>
      <c r="DI137" s="57" t="n">
        <f aca="false">DI59+DI66+DI92+DI96+DI97+DI79+DI90+DI98+DI58+DI109</f>
        <v>2133.09821167051</v>
      </c>
      <c r="DJ137" s="57" t="n">
        <f aca="false">DJ59+DJ66+DJ92+DJ96+DJ97+DJ79+DJ90+DJ98+DJ58+DJ109</f>
        <v>2124.80202858923</v>
      </c>
      <c r="DK137" s="57" t="n">
        <f aca="false">DK59+DK66+DK92+DK96+DK97+DK79+DK90+DK98+DK58+DK109</f>
        <v>2087.19177731218</v>
      </c>
      <c r="DL137" s="57" t="n">
        <f aca="false">DL59+DL66+DL92+DL96+DL97+DL79+DL90+DL98+DL58+DL109</f>
        <v>2110.3827970601</v>
      </c>
      <c r="DM137" s="57" t="n">
        <f aca="false">DM59+DM66+DM92+DM96+DM97+DM79+DM90+DM98+DM58+DM109</f>
        <v>2133.57381680801</v>
      </c>
      <c r="DN137" s="57" t="n">
        <f aca="false">DN59+DN66+DN92+DN96+DN97+DN79+DN90+DN98+DN58+DN109</f>
        <v>2125.22878470017</v>
      </c>
      <c r="DO137" s="57" t="n">
        <f aca="false">DO59+DO66+DO92+DO96+DO97+DO79+DO90+DO98+DO58+DO109</f>
        <v>2087.29657604582</v>
      </c>
      <c r="DP137" s="57" t="n">
        <f aca="false">DP59+DP66+DP92+DP96+DP97+DP79+DP90+DP98+DP58+DP109</f>
        <v>2110.4887602241</v>
      </c>
      <c r="DQ137" s="57" t="n">
        <f aca="false">DQ59+DQ66+DQ92+DQ96+DQ97+DQ79+DQ90+DQ98+DQ58+DQ109</f>
        <v>2133.68094440239</v>
      </c>
      <c r="DR137" s="57" t="n">
        <f aca="false">DR59+DR66+DR92+DR96+DR97+DR79+DR90+DR98+DR58+DR109</f>
        <v>2125.28698314533</v>
      </c>
      <c r="DS137" s="57" t="n">
        <f aca="false">DS59+DS66+DS92+DS96+DS97+DS79+DS90+DS98+DS58+DS109</f>
        <v>2087.02962566063</v>
      </c>
      <c r="DT137" s="57" t="n">
        <f aca="false">DT59+DT66+DT92+DT96+DT97+DT79+DT90+DT98+DT58+DT109</f>
        <v>2110.21884372353</v>
      </c>
      <c r="DU137" s="57" t="n">
        <f aca="false">DU59+DU66+DU92+DU96+DU97+DU79+DU90+DU98+DU58+DU109</f>
        <v>2133.40806178642</v>
      </c>
      <c r="DV137" s="57" t="n">
        <f aca="false">DV59+DV66+DV92+DV96+DV97+DV79+DV90+DV98+DV58+DV109</f>
        <v>2124.96509621661</v>
      </c>
      <c r="DW137" s="57" t="n">
        <f aca="false">DW59+DW66+DW92+DW96+DW97+DW79+DW90+DW98+DW58+DW109</f>
        <v>2109.56134446918</v>
      </c>
      <c r="DX137" s="57" t="n">
        <f aca="false">DX59+DX66+DX92+DX96+DX97+DX79+DX90+DX98+DX58+DX109</f>
        <v>2109.56134446918</v>
      </c>
      <c r="DY137" s="57" t="n">
        <f aca="false">DY59+DY66+DY92+DY96+DY97+DY79+DY90+DY98+DY58+DY109</f>
        <v>2132.74333726555</v>
      </c>
      <c r="DZ137" s="57" t="n">
        <f aca="false">DZ59+DZ66+DZ92+DZ96+DZ97+DZ79+DZ90+DZ98+DZ58+DZ109</f>
        <v>2124.25129733469</v>
      </c>
      <c r="EA137" s="57" t="n">
        <f aca="false">EA59+EA66+EA92+EA96+EA97+EA79+EA90+EA98+EA58+EA109</f>
        <v>2085.33387980802</v>
      </c>
      <c r="EB137" s="57" t="n">
        <f aca="false">EB59+EB66+EB92+EB96+EB97+EB79+EB90+EB98+EB58+EB109</f>
        <v>2108.50425625033</v>
      </c>
      <c r="EC137" s="57" t="n">
        <f aca="false">EC59+EC66+EC92+EC96+EC97+EC79+EC90+EC98+EC58+EC109</f>
        <v>2131.67463269264</v>
      </c>
      <c r="ED137" s="57" t="n">
        <f aca="false">ED59+ED66+ED92+ED96+ED97+ED79+ED90+ED98+ED58+ED109</f>
        <v>2123.13345362752</v>
      </c>
      <c r="EE137" s="57" t="n">
        <f aca="false">EE59+EE66+EE92+EE96+EE97+EE79+EE90+EE98+EE58+EE109</f>
        <v>2083.88102855902</v>
      </c>
      <c r="EF137" s="57" t="n">
        <f aca="false">EF59+EF66+EF92+EF96+EF97+EF79+EF90+EF98+EF58+EF109</f>
        <v>2107.03526220968</v>
      </c>
      <c r="EG137" s="57" t="n">
        <f aca="false">EG59+EG66+EG92+EG96+EG97+EG79+EG90+EG98+EG58+EG109</f>
        <v>2130.18949586034</v>
      </c>
      <c r="EH137" s="57" t="n">
        <f aca="false">EH59+EH66+EH92+EH96+EH97+EH79+EH90+EH98+EH58+EH109</f>
        <v>2121.59911832654</v>
      </c>
      <c r="EI137" s="57" t="n">
        <f aca="false">EI59+EI66+EI92+EI96+EI97+EI79+EI90+EI98+EI58+EI109</f>
        <v>2082.00830156043</v>
      </c>
      <c r="EJ137" s="57" t="n">
        <f aca="false">EJ59+EJ66+EJ92+EJ96+EJ97+EJ79+EJ90+EJ98+EJ58+EJ109</f>
        <v>2105.14172713332</v>
      </c>
      <c r="EK137" s="57" t="n">
        <f aca="false">EK59+EK66+EK92+EK96+EK97+EK79+EK90+EK98+EK58+EK109</f>
        <v>2128.27515270622</v>
      </c>
      <c r="EL137" s="57" t="n">
        <f aca="false">EL59+EL66+EL92+EL96+EL97+EL79+EL90+EL98+EL58+EL109</f>
        <v>2119.63552297573</v>
      </c>
      <c r="EM137" s="57" t="n">
        <f aca="false">EM59+EM66+EM92+EM96+EM97+EM79+EM90+EM98+EM58+EM109</f>
        <v>2102.81068955117</v>
      </c>
      <c r="EN137" s="57" t="n">
        <f aca="false">EN59+EN66+EN92+EN96+EN97+EN79+EN90+EN98+EN58+EN109</f>
        <v>2102.81068955117</v>
      </c>
      <c r="EO137" s="57" t="n">
        <f aca="false">EO59+EO66+EO92+EO96+EO97+EO79+EO90+EO98+EO58+EO109</f>
        <v>2125.91849932646</v>
      </c>
    </row>
    <row r="138" customFormat="false" ht="15" hidden="false" customHeight="false" outlineLevel="0" collapsed="false">
      <c r="C138" s="26" t="s">
        <v>88</v>
      </c>
      <c r="D138" s="12" t="s">
        <v>27</v>
      </c>
      <c r="E138" s="34" t="n">
        <f aca="false">XIRR($J137:$EO137,$J$4:$EO$4)</f>
        <v>0.119964137616349</v>
      </c>
    </row>
    <row r="139" customFormat="false" ht="15" hidden="false" customHeight="false" outlineLevel="0" collapsed="false">
      <c r="C139" s="26" t="s">
        <v>89</v>
      </c>
      <c r="D139" s="12" t="s">
        <v>13</v>
      </c>
      <c r="E139" s="60" t="n">
        <f aca="false">SUMIF($J137:$EO137,"&gt;0")/-SUMIF($J137:$EO137,"&lt;0")</f>
        <v>6.17426460476343</v>
      </c>
    </row>
    <row r="140" customFormat="false" ht="15" hidden="false" customHeight="false" outlineLevel="0" collapsed="false">
      <c r="C140" s="26" t="s">
        <v>90</v>
      </c>
      <c r="D140" s="12" t="s">
        <v>33</v>
      </c>
      <c r="E140" s="57" t="n">
        <f aca="false">XNPV(In_Discount_Rate,$J137:$EO137,$J$4:$EO$4)</f>
        <v>13479.1979280703</v>
      </c>
    </row>
    <row r="142" customFormat="false" ht="15" hidden="false" customHeight="false" outlineLevel="0" collapsed="false">
      <c r="C142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363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364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365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366</v>
      </c>
      <c r="D5" s="12" t="s">
        <v>176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367</v>
      </c>
      <c r="D6" s="12" t="s">
        <v>368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369</v>
      </c>
      <c r="D7" s="12" t="s">
        <v>370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371</v>
      </c>
      <c r="D8" s="12" t="s">
        <v>140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373</v>
      </c>
      <c r="D12" s="12" t="s">
        <v>368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374</v>
      </c>
      <c r="D13" s="12" t="s">
        <v>368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290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375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376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377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378</v>
      </c>
      <c r="D19" s="12" t="s">
        <v>368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379</v>
      </c>
      <c r="D20" s="12" t="s">
        <v>140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380</v>
      </c>
      <c r="D21" s="12" t="s">
        <v>368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381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382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383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384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385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386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387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388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389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390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391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392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393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394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395</v>
      </c>
      <c r="D38" s="12" t="s">
        <v>43</v>
      </c>
      <c r="E38" s="50" t="n">
        <f aca="false">INDEX(Dash_EU_Turbine,1,$A$1)</f>
        <v>0</v>
      </c>
      <c r="F38" s="33" t="n">
        <f aca="false">$E38*Osz9a_Pts*Osz9_W</f>
        <v>0</v>
      </c>
    </row>
    <row r="39" customFormat="false" ht="15" hidden="false" customHeight="false" outlineLevel="0" collapsed="false">
      <c r="C39" s="1" t="s">
        <v>396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47.5</v>
      </c>
    </row>
    <row r="41" customFormat="false" ht="15" hidden="false" customHeight="false" outlineLevel="0" collapsed="false">
      <c r="C41" s="1" t="s">
        <v>397</v>
      </c>
      <c r="D41" s="12" t="s">
        <v>140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398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212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399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400</v>
      </c>
      <c r="D47" s="12" t="s">
        <v>260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401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402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403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404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405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406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407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408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409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410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411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412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413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414</v>
      </c>
      <c r="D62" s="12" t="s">
        <v>19</v>
      </c>
      <c r="E62" s="48" t="n">
        <f aca="false">IF($E38=1,In_Turbine,In_Turbine_CN)</f>
        <v>500</v>
      </c>
    </row>
    <row r="63" customFormat="false" ht="15" hidden="false" customHeight="false" outlineLevel="0" collapsed="false">
      <c r="C63" s="1" t="s">
        <v>415</v>
      </c>
      <c r="D63" s="12" t="s">
        <v>33</v>
      </c>
      <c r="E63" s="48" t="n">
        <f aca="false">IF($E38=1,In_Substation,In_Substation_CN)</f>
        <v>10800</v>
      </c>
    </row>
    <row r="64" customFormat="false" ht="15" hidden="false" customHeight="false" outlineLevel="0" collapsed="false">
      <c r="C64" s="1" t="s">
        <v>416</v>
      </c>
      <c r="D64" s="12" t="s">
        <v>33</v>
      </c>
      <c r="E64" s="48" t="n">
        <f aca="false">(($E62+In_Other_Wind)*$F24+$E63)*(1+In_Capex_Contingency)+In_BESS_Capex*$F25</f>
        <v>63116.25</v>
      </c>
      <c r="I64" s="48" t="n">
        <f aca="false">SUM(J64:EO64)</f>
        <v>-63116.25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-7954.37671232877</v>
      </c>
      <c r="S64" s="48" t="n">
        <f aca="false">-$E64*S12</f>
        <v>-7781.45547945206</v>
      </c>
      <c r="T64" s="48" t="n">
        <f aca="false">-$E64*T12</f>
        <v>-7867.91609589041</v>
      </c>
      <c r="U64" s="48" t="n">
        <f aca="false">-$E64*U12</f>
        <v>-7954.37671232877</v>
      </c>
      <c r="V64" s="48" t="n">
        <f aca="false">-$E64*V12</f>
        <v>-7954.37671232877</v>
      </c>
      <c r="W64" s="48" t="n">
        <f aca="false">-$E64*W12</f>
        <v>-7781.45547945206</v>
      </c>
      <c r="X64" s="48" t="n">
        <f aca="false">-$E64*X12</f>
        <v>-7867.91609589041</v>
      </c>
      <c r="Y64" s="48" t="n">
        <f aca="false">-$E64*Y12</f>
        <v>-7954.37671232877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417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418</v>
      </c>
      <c r="D66" s="12" t="s">
        <v>33</v>
      </c>
      <c r="E66" s="57" t="n">
        <f aca="false">SUMPRODUCT($J66:$EO66/$J21:$EO21)*$E21</f>
        <v>-77232.4978192406</v>
      </c>
      <c r="I66" s="57" t="n">
        <f aca="false">SUM(J66:EO66)</f>
        <v>-73771.0731506849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-7954.37671232877</v>
      </c>
      <c r="S66" s="57" t="n">
        <f aca="false">S64+S54+S65</f>
        <v>-15936.278630137</v>
      </c>
      <c r="T66" s="57" t="n">
        <f aca="false">T64+T54+T65</f>
        <v>-7867.91609589041</v>
      </c>
      <c r="U66" s="57" t="n">
        <f aca="false">U64+U54+U65</f>
        <v>-7954.37671232877</v>
      </c>
      <c r="V66" s="57" t="n">
        <f aca="false">V64+V54+V65</f>
        <v>-7954.37671232877</v>
      </c>
      <c r="W66" s="57" t="n">
        <f aca="false">W64+W54+W65</f>
        <v>-7781.45547945206</v>
      </c>
      <c r="X66" s="57" t="n">
        <f aca="false">X64+X54+X65</f>
        <v>-7867.91609589041</v>
      </c>
      <c r="Y66" s="57" t="n">
        <f aca="false">Y64+Y54+Y65</f>
        <v>-10454.3767123288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290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419</v>
      </c>
      <c r="D69" s="12" t="s">
        <v>368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420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421</v>
      </c>
      <c r="D71" s="12" t="s">
        <v>70</v>
      </c>
      <c r="E71" s="48" t="n">
        <f aca="false">SUMIF($J$7:$EO$7,YEAR(In_COD)+1,$J71:$EO71)</f>
        <v>131891.49288</v>
      </c>
      <c r="I71" s="48" t="n">
        <f aca="false">SUM(J71:EO71)</f>
        <v>3794983.6793788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33269.04</v>
      </c>
      <c r="AA71" s="48" t="n">
        <f aca="false">$F24*In_P50_Hours*(1-In_Curtailment)*(1-$E27)*(1-In_Degradation)^(AA20-1)*AA15*AA$6</f>
        <v>32545.8</v>
      </c>
      <c r="AB71" s="48" t="n">
        <f aca="false">$F24*In_P50_Hours*(1-In_Curtailment)*(1-$E27)*(1-In_Degradation)^(AB20-1)*AB15*AB$6</f>
        <v>32907.42</v>
      </c>
      <c r="AC71" s="48" t="n">
        <f aca="false">$F24*In_P50_Hours*(1-In_Curtailment)*(1-$E27)*(1-In_Degradation)^(AC20-1)*AC15*AC$6</f>
        <v>33269.04</v>
      </c>
      <c r="AD71" s="48" t="n">
        <f aca="false">$F24*In_P50_Hours*(1-In_Curtailment)*(1-$E27)*(1-In_Degradation)^(AD20-1)*AD15*AD$6</f>
        <v>33169.23288</v>
      </c>
      <c r="AE71" s="48" t="n">
        <f aca="false">$F24*In_P50_Hours*(1-In_Curtailment)*(1-$E27)*(1-In_Degradation)^(AE20-1)*AE15*AE$6</f>
        <v>32808.69774</v>
      </c>
      <c r="AF71" s="48" t="n">
        <f aca="false">$F24*In_P50_Hours*(1-In_Curtailment)*(1-$E27)*(1-In_Degradation)^(AF20-1)*AF15*AF$6</f>
        <v>32808.69774</v>
      </c>
      <c r="AG71" s="48" t="n">
        <f aca="false">$F24*In_P50_Hours*(1-In_Curtailment)*(1-$E27)*(1-In_Degradation)^(AG20-1)*AG15*AG$6</f>
        <v>33169.23288</v>
      </c>
      <c r="AH71" s="48" t="n">
        <f aca="false">$F24*In_P50_Hours*(1-In_Curtailment)*(1-$E27)*(1-In_Degradation)^(AH20-1)*AH15*AH$6</f>
        <v>33069.72518136</v>
      </c>
      <c r="AI71" s="48" t="n">
        <f aca="false">$F24*In_P50_Hours*(1-In_Curtailment)*(1-$E27)*(1-In_Degradation)^(AI20-1)*AI15*AI$6</f>
        <v>32350.8181122</v>
      </c>
      <c r="AJ71" s="48" t="n">
        <f aca="false">$F24*In_P50_Hours*(1-In_Curtailment)*(1-$E27)*(1-In_Degradation)^(AJ20-1)*AJ15*AJ$6</f>
        <v>32710.27164678</v>
      </c>
      <c r="AK71" s="48" t="n">
        <f aca="false">$F24*In_P50_Hours*(1-In_Curtailment)*(1-$E27)*(1-In_Degradation)^(AK20-1)*AK15*AK$6</f>
        <v>33069.72518136</v>
      </c>
      <c r="AL71" s="48" t="n">
        <f aca="false">$F24*In_P50_Hours*(1-In_Curtailment)*(1-$E27)*(1-In_Degradation)^(AL20-1)*AL15*AL$6</f>
        <v>32970.5160058159</v>
      </c>
      <c r="AM71" s="48" t="n">
        <f aca="false">$F24*In_P50_Hours*(1-In_Curtailment)*(1-$E27)*(1-In_Degradation)^(AM20-1)*AM15*AM$6</f>
        <v>32253.7656578634</v>
      </c>
      <c r="AN71" s="48" t="n">
        <f aca="false">$F24*In_P50_Hours*(1-In_Curtailment)*(1-$E27)*(1-In_Degradation)^(AN20-1)*AN15*AN$6</f>
        <v>32612.1408318397</v>
      </c>
      <c r="AO71" s="48" t="n">
        <f aca="false">$F24*In_P50_Hours*(1-In_Curtailment)*(1-$E27)*(1-In_Degradation)^(AO20-1)*AO15*AO$6</f>
        <v>32970.5160058159</v>
      </c>
      <c r="AP71" s="48" t="n">
        <f aca="false">$F24*In_P50_Hours*(1-In_Curtailment)*(1-$E27)*(1-In_Degradation)^(AP20-1)*AP15*AP$6</f>
        <v>32871.6044577985</v>
      </c>
      <c r="AQ71" s="48" t="n">
        <f aca="false">$F24*In_P50_Hours*(1-In_Curtailment)*(1-$E27)*(1-In_Degradation)^(AQ20-1)*AQ15*AQ$6</f>
        <v>32157.0043608898</v>
      </c>
      <c r="AR71" s="48" t="n">
        <f aca="false">$F24*In_P50_Hours*(1-In_Curtailment)*(1-$E27)*(1-In_Degradation)^(AR20-1)*AR15*AR$6</f>
        <v>32514.3044093442</v>
      </c>
      <c r="AS71" s="48" t="n">
        <f aca="false">$F24*In_P50_Hours*(1-In_Curtailment)*(1-$E27)*(1-In_Degradation)^(AS20-1)*AS15*AS$6</f>
        <v>32871.6044577985</v>
      </c>
      <c r="AT71" s="48" t="n">
        <f aca="false">$F24*In_P50_Hours*(1-In_Curtailment)*(1-$E27)*(1-In_Degradation)^(AT20-1)*AT15*AT$6</f>
        <v>32772.9896444251</v>
      </c>
      <c r="AU71" s="48" t="n">
        <f aca="false">$F24*In_P50_Hours*(1-In_Curtailment)*(1-$E27)*(1-In_Degradation)^(AU20-1)*AU15*AU$6</f>
        <v>32416.7614961161</v>
      </c>
      <c r="AV71" s="48" t="n">
        <f aca="false">$F24*In_P50_Hours*(1-In_Curtailment)*(1-$E27)*(1-In_Degradation)^(AV20-1)*AV15*AV$6</f>
        <v>32416.7614961161</v>
      </c>
      <c r="AW71" s="48" t="n">
        <f aca="false">$F24*In_P50_Hours*(1-In_Curtailment)*(1-$E27)*(1-In_Degradation)^(AW20-1)*AW15*AW$6</f>
        <v>32772.9896444251</v>
      </c>
      <c r="AX71" s="48" t="n">
        <f aca="false">$F24*In_P50_Hours*(1-In_Curtailment)*(1-$E27)*(1-In_Degradation)^(AX20-1)*AX15*AX$6</f>
        <v>32674.6706754918</v>
      </c>
      <c r="AY71" s="48" t="n">
        <f aca="false">$F24*In_P50_Hours*(1-In_Curtailment)*(1-$E27)*(1-In_Degradation)^(AY20-1)*AY15*AY$6</f>
        <v>31964.3517477637</v>
      </c>
      <c r="AZ71" s="48" t="n">
        <f aca="false">$F24*In_P50_Hours*(1-In_Curtailment)*(1-$E27)*(1-In_Degradation)^(AZ20-1)*AZ15*AZ$6</f>
        <v>32319.5112116278</v>
      </c>
      <c r="BA71" s="48" t="n">
        <f aca="false">$F24*In_P50_Hours*(1-In_Curtailment)*(1-$E27)*(1-In_Degradation)^(BA20-1)*BA15*BA$6</f>
        <v>32674.6706754918</v>
      </c>
      <c r="BB71" s="48" t="n">
        <f aca="false">$F24*In_P50_Hours*(1-In_Curtailment)*(1-$E27)*(1-In_Degradation)^(BB20-1)*BB15*BB$6</f>
        <v>32576.6466634653</v>
      </c>
      <c r="BC71" s="48" t="n">
        <f aca="false">$F24*In_P50_Hours*(1-In_Curtailment)*(1-$E27)*(1-In_Degradation)^(BC20-1)*BC15*BC$6</f>
        <v>31868.4586925204</v>
      </c>
      <c r="BD71" s="48" t="n">
        <f aca="false">$F24*In_P50_Hours*(1-In_Curtailment)*(1-$E27)*(1-In_Degradation)^(BD20-1)*BD15*BD$6</f>
        <v>32222.5526779929</v>
      </c>
      <c r="BE71" s="48" t="n">
        <f aca="false">$F24*In_P50_Hours*(1-In_Curtailment)*(1-$E27)*(1-In_Degradation)^(BE20-1)*BE15*BE$6</f>
        <v>32576.6466634653</v>
      </c>
      <c r="BF71" s="48" t="n">
        <f aca="false">$F24*In_P50_Hours*(1-In_Curtailment)*(1-$E27)*(1-In_Degradation)^(BF20-1)*BF15*BF$6</f>
        <v>32478.9167234749</v>
      </c>
      <c r="BG71" s="48" t="n">
        <f aca="false">$F24*In_P50_Hours*(1-In_Curtailment)*(1-$E27)*(1-In_Degradation)^(BG20-1)*BG15*BG$6</f>
        <v>31772.8533164429</v>
      </c>
      <c r="BH71" s="48" t="n">
        <f aca="false">$F24*In_P50_Hours*(1-In_Curtailment)*(1-$E27)*(1-In_Degradation)^(BH20-1)*BH15*BH$6</f>
        <v>32125.8850199589</v>
      </c>
      <c r="BI71" s="48" t="n">
        <f aca="false">$F24*In_P50_Hours*(1-In_Curtailment)*(1-$E27)*(1-In_Degradation)^(BI20-1)*BI15*BI$6</f>
        <v>32478.9167234749</v>
      </c>
      <c r="BJ71" s="48" t="n">
        <f aca="false">$F24*In_P50_Hours*(1-In_Curtailment)*(1-$E27)*(1-In_Degradation)^(BJ20-1)*BJ15*BJ$6</f>
        <v>32381.4799733045</v>
      </c>
      <c r="BK71" s="48" t="n">
        <f aca="false">$F24*In_P50_Hours*(1-In_Curtailment)*(1-$E27)*(1-In_Degradation)^(BK20-1)*BK15*BK$6</f>
        <v>32029.507364899</v>
      </c>
      <c r="BL71" s="48" t="n">
        <f aca="false">$F24*In_P50_Hours*(1-In_Curtailment)*(1-$E27)*(1-In_Degradation)^(BL20-1)*BL15*BL$6</f>
        <v>32029.507364899</v>
      </c>
      <c r="BM71" s="48" t="n">
        <f aca="false">$F24*In_P50_Hours*(1-In_Curtailment)*(1-$E27)*(1-In_Degradation)^(BM20-1)*BM15*BM$6</f>
        <v>32381.4799733045</v>
      </c>
      <c r="BN71" s="48" t="n">
        <f aca="false">$F24*In_P50_Hours*(1-In_Curtailment)*(1-$E27)*(1-In_Degradation)^(BN20-1)*BN15*BN$6</f>
        <v>32284.3355333846</v>
      </c>
      <c r="BO71" s="48" t="n">
        <f aca="false">$F24*In_P50_Hours*(1-In_Curtailment)*(1-$E27)*(1-In_Degradation)^(BO20-1)*BO15*BO$6</f>
        <v>31582.5021522241</v>
      </c>
      <c r="BP71" s="48" t="n">
        <f aca="false">$F24*In_P50_Hours*(1-In_Curtailment)*(1-$E27)*(1-In_Degradation)^(BP20-1)*BP15*BP$6</f>
        <v>31933.4188428043</v>
      </c>
      <c r="BQ71" s="48" t="n">
        <f aca="false">$F24*In_P50_Hours*(1-In_Curtailment)*(1-$E27)*(1-In_Degradation)^(BQ20-1)*BQ15*BQ$6</f>
        <v>32284.3355333846</v>
      </c>
      <c r="BR71" s="48" t="n">
        <f aca="false">$F24*In_P50_Hours*(1-In_Curtailment)*(1-$E27)*(1-In_Degradation)^(BR20-1)*BR15*BR$6</f>
        <v>32187.4825267845</v>
      </c>
      <c r="BS71" s="48" t="n">
        <f aca="false">$F24*In_P50_Hours*(1-In_Curtailment)*(1-$E27)*(1-In_Degradation)^(BS20-1)*BS15*BS$6</f>
        <v>31487.7546457674</v>
      </c>
      <c r="BT71" s="48" t="n">
        <f aca="false">$F24*In_P50_Hours*(1-In_Curtailment)*(1-$E27)*(1-In_Degradation)^(BT20-1)*BT15*BT$6</f>
        <v>31837.6185862759</v>
      </c>
      <c r="BU71" s="48" t="n">
        <f aca="false">$F24*In_P50_Hours*(1-In_Curtailment)*(1-$E27)*(1-In_Degradation)^(BU20-1)*BU15*BU$6</f>
        <v>32187.4825267845</v>
      </c>
      <c r="BV71" s="48" t="n">
        <f aca="false">$F24*In_P50_Hours*(1-In_Curtailment)*(1-$E27)*(1-In_Degradation)^(BV20-1)*BV15*BV$6</f>
        <v>32090.9200792041</v>
      </c>
      <c r="BW71" s="48" t="n">
        <f aca="false">$F24*In_P50_Hours*(1-In_Curtailment)*(1-$E27)*(1-In_Degradation)^(BW20-1)*BW15*BW$6</f>
        <v>31393.2913818301</v>
      </c>
      <c r="BX71" s="48" t="n">
        <f aca="false">$F24*In_P50_Hours*(1-In_Curtailment)*(1-$E27)*(1-In_Degradation)^(BX20-1)*BX15*BX$6</f>
        <v>31742.1057305171</v>
      </c>
      <c r="BY71" s="48" t="n">
        <f aca="false">$F24*In_P50_Hours*(1-In_Curtailment)*(1-$E27)*(1-In_Degradation)^(BY20-1)*BY15*BY$6</f>
        <v>32090.9200792041</v>
      </c>
      <c r="BZ71" s="48" t="n">
        <f aca="false">$F24*In_P50_Hours*(1-In_Curtailment)*(1-$E27)*(1-In_Degradation)^(BZ20-1)*BZ15*BZ$6</f>
        <v>31994.6473189665</v>
      </c>
      <c r="CA71" s="48" t="n">
        <f aca="false">$F24*In_P50_Hours*(1-In_Curtailment)*(1-$E27)*(1-In_Degradation)^(CA20-1)*CA15*CA$6</f>
        <v>31646.8794133255</v>
      </c>
      <c r="CB71" s="48" t="n">
        <f aca="false">$F24*In_P50_Hours*(1-In_Curtailment)*(1-$E27)*(1-In_Degradation)^(CB20-1)*CB15*CB$6</f>
        <v>31646.8794133255</v>
      </c>
      <c r="CC71" s="48" t="n">
        <f aca="false">$F24*In_P50_Hours*(1-In_Curtailment)*(1-$E27)*(1-In_Degradation)^(CC20-1)*CC15*CC$6</f>
        <v>31994.6473189665</v>
      </c>
      <c r="CD71" s="48" t="n">
        <f aca="false">$F24*In_P50_Hours*(1-In_Curtailment)*(1-$E27)*(1-In_Degradation)^(CD20-1)*CD15*CD$6</f>
        <v>31898.6633770096</v>
      </c>
      <c r="CE71" s="48" t="n">
        <f aca="false">$F24*In_P50_Hours*(1-In_Curtailment)*(1-$E27)*(1-In_Degradation)^(CE20-1)*CE15*CE$6</f>
        <v>31205.2141731616</v>
      </c>
      <c r="CF71" s="48" t="n">
        <f aca="false">$F24*In_P50_Hours*(1-In_Curtailment)*(1-$E27)*(1-In_Degradation)^(CF20-1)*CF15*CF$6</f>
        <v>31551.9387750856</v>
      </c>
      <c r="CG71" s="48" t="n">
        <f aca="false">$F24*In_P50_Hours*(1-In_Curtailment)*(1-$E27)*(1-In_Degradation)^(CG20-1)*CG15*CG$6</f>
        <v>31898.6633770096</v>
      </c>
      <c r="CH71" s="48" t="n">
        <f aca="false">$F24*In_P50_Hours*(1-In_Curtailment)*(1-$E27)*(1-In_Degradation)^(CH20-1)*CH15*CH$6</f>
        <v>31802.9673868786</v>
      </c>
      <c r="CI71" s="48" t="n">
        <f aca="false">$F24*In_P50_Hours*(1-In_Curtailment)*(1-$E27)*(1-In_Degradation)^(CI20-1)*CI15*CI$6</f>
        <v>31111.5985306421</v>
      </c>
      <c r="CJ71" s="48" t="n">
        <f aca="false">$F24*In_P50_Hours*(1-In_Curtailment)*(1-$E27)*(1-In_Degradation)^(CJ20-1)*CJ15*CJ$6</f>
        <v>31457.2829587603</v>
      </c>
      <c r="CK71" s="48" t="n">
        <f aca="false">$F24*In_P50_Hours*(1-In_Curtailment)*(1-$E27)*(1-In_Degradation)^(CK20-1)*CK15*CK$6</f>
        <v>31802.9673868786</v>
      </c>
      <c r="CL71" s="48" t="n">
        <f aca="false">$F24*In_P50_Hours*(1-In_Curtailment)*(1-$E27)*(1-In_Degradation)^(CL20-1)*CL15*CL$6</f>
        <v>31707.5584847179</v>
      </c>
      <c r="CM71" s="48" t="n">
        <f aca="false">$F24*In_P50_Hours*(1-In_Curtailment)*(1-$E27)*(1-In_Degradation)^(CM20-1)*CM15*CM$6</f>
        <v>31018.2637350501</v>
      </c>
      <c r="CN71" s="48" t="n">
        <f aca="false">$F24*In_P50_Hours*(1-In_Curtailment)*(1-$E27)*(1-In_Degradation)^(CN20-1)*CN15*CN$6</f>
        <v>31362.911109884</v>
      </c>
      <c r="CO71" s="48" t="n">
        <f aca="false">$F24*In_P50_Hours*(1-In_Curtailment)*(1-$E27)*(1-In_Degradation)^(CO20-1)*CO15*CO$6</f>
        <v>31707.5584847179</v>
      </c>
      <c r="CP71" s="48" t="n">
        <f aca="false">$F24*In_P50_Hours*(1-In_Curtailment)*(1-$E27)*(1-In_Degradation)^(CP20-1)*CP15*CP$6</f>
        <v>31612.4358092638</v>
      </c>
      <c r="CQ71" s="48" t="n">
        <f aca="false">$F24*In_P50_Hours*(1-In_Curtailment)*(1-$E27)*(1-In_Degradation)^(CQ20-1)*CQ15*CQ$6</f>
        <v>31268.8223765544</v>
      </c>
      <c r="CR71" s="48" t="n">
        <f aca="false">$F24*In_P50_Hours*(1-In_Curtailment)*(1-$E27)*(1-In_Degradation)^(CR20-1)*CR15*CR$6</f>
        <v>31268.8223765544</v>
      </c>
      <c r="CS71" s="48" t="n">
        <f aca="false">$F24*In_P50_Hours*(1-In_Curtailment)*(1-$E27)*(1-In_Degradation)^(CS20-1)*CS15*CS$6</f>
        <v>31612.4358092638</v>
      </c>
      <c r="CT71" s="48" t="n">
        <f aca="false">$F24*In_P50_Hours*(1-In_Curtailment)*(1-$E27)*(1-In_Degradation)^(CT20-1)*CT15*CT$6</f>
        <v>31517.598501836</v>
      </c>
      <c r="CU71" s="48" t="n">
        <f aca="false">$F24*In_P50_Hours*(1-In_Curtailment)*(1-$E27)*(1-In_Degradation)^(CU20-1)*CU15*CU$6</f>
        <v>30832.4333170135</v>
      </c>
      <c r="CV71" s="48" t="n">
        <f aca="false">$F24*In_P50_Hours*(1-In_Curtailment)*(1-$E27)*(1-In_Degradation)^(CV20-1)*CV15*CV$6</f>
        <v>31175.0159094247</v>
      </c>
      <c r="CW71" s="48" t="n">
        <f aca="false">$F24*In_P50_Hours*(1-In_Curtailment)*(1-$E27)*(1-In_Degradation)^(CW20-1)*CW15*CW$6</f>
        <v>31517.598501836</v>
      </c>
      <c r="CX71" s="48" t="n">
        <f aca="false">$F24*In_P50_Hours*(1-In_Curtailment)*(1-$E27)*(1-In_Degradation)^(CX20-1)*CX15*CX$6</f>
        <v>31423.0457063305</v>
      </c>
      <c r="CY71" s="48" t="n">
        <f aca="false">$F24*In_P50_Hours*(1-In_Curtailment)*(1-$E27)*(1-In_Degradation)^(CY20-1)*CY15*CY$6</f>
        <v>30739.9360170624</v>
      </c>
      <c r="CZ71" s="48" t="n">
        <f aca="false">$F24*In_P50_Hours*(1-In_Curtailment)*(1-$E27)*(1-In_Degradation)^(CZ20-1)*CZ15*CZ$6</f>
        <v>31081.4908616964</v>
      </c>
      <c r="DA71" s="48" t="n">
        <f aca="false">$F24*In_P50_Hours*(1-In_Curtailment)*(1-$E27)*(1-In_Degradation)^(DA20-1)*DA15*DA$6</f>
        <v>31423.0457063305</v>
      </c>
      <c r="DB71" s="48" t="n">
        <f aca="false">$F24*In_P50_Hours*(1-In_Curtailment)*(1-$E27)*(1-In_Degradation)^(DB20-1)*DB15*DB$6</f>
        <v>31328.7765692115</v>
      </c>
      <c r="DC71" s="48" t="n">
        <f aca="false">$F24*In_P50_Hours*(1-In_Curtailment)*(1-$E27)*(1-In_Degradation)^(DC20-1)*DC15*DC$6</f>
        <v>30647.7162090112</v>
      </c>
      <c r="DD71" s="48" t="n">
        <f aca="false">$F24*In_P50_Hours*(1-In_Curtailment)*(1-$E27)*(1-In_Degradation)^(DD20-1)*DD15*DD$6</f>
        <v>30988.2463891114</v>
      </c>
      <c r="DE71" s="48" t="n">
        <f aca="false">$F24*In_P50_Hours*(1-In_Curtailment)*(1-$E27)*(1-In_Degradation)^(DE20-1)*DE15*DE$6</f>
        <v>31328.7765692115</v>
      </c>
      <c r="DF71" s="48" t="n">
        <f aca="false">$F24*In_P50_Hours*(1-In_Curtailment)*(1-$E27)*(1-In_Degradation)^(DF20-1)*DF15*DF$6</f>
        <v>31234.7902395038</v>
      </c>
      <c r="DG71" s="48" t="n">
        <f aca="false">$F24*In_P50_Hours*(1-In_Curtailment)*(1-$E27)*(1-In_Degradation)^(DG20-1)*DG15*DG$6</f>
        <v>30895.281649944</v>
      </c>
      <c r="DH71" s="48" t="n">
        <f aca="false">$F24*In_P50_Hours*(1-In_Curtailment)*(1-$E27)*(1-In_Degradation)^(DH20-1)*DH15*DH$6</f>
        <v>30895.281649944</v>
      </c>
      <c r="DI71" s="48" t="n">
        <f aca="false">$F24*In_P50_Hours*(1-In_Curtailment)*(1-$E27)*(1-In_Degradation)^(DI20-1)*DI15*DI$6</f>
        <v>31234.7902395038</v>
      </c>
      <c r="DJ71" s="48" t="n">
        <f aca="false">$F24*In_P50_Hours*(1-In_Curtailment)*(1-$E27)*(1-In_Degradation)^(DJ20-1)*DJ15*DJ$6</f>
        <v>31141.0858687853</v>
      </c>
      <c r="DK71" s="48" t="n">
        <f aca="false">$F24*In_P50_Hours*(1-In_Curtailment)*(1-$E27)*(1-In_Degradation)^(DK20-1)*DK15*DK$6</f>
        <v>30464.105741203</v>
      </c>
      <c r="DL71" s="48" t="n">
        <f aca="false">$F24*In_P50_Hours*(1-In_Curtailment)*(1-$E27)*(1-In_Degradation)^(DL20-1)*DL15*DL$6</f>
        <v>30802.5958049942</v>
      </c>
      <c r="DM71" s="48" t="n">
        <f aca="false">$F24*In_P50_Hours*(1-In_Curtailment)*(1-$E27)*(1-In_Degradation)^(DM20-1)*DM15*DM$6</f>
        <v>31141.0858687853</v>
      </c>
      <c r="DN71" s="48" t="n">
        <f aca="false">$F24*In_P50_Hours*(1-In_Curtailment)*(1-$E27)*(1-In_Degradation)^(DN20-1)*DN15*DN$6</f>
        <v>31047.662611179</v>
      </c>
      <c r="DO71" s="48" t="n">
        <f aca="false">$F24*In_P50_Hours*(1-In_Curtailment)*(1-$E27)*(1-In_Degradation)^(DO20-1)*DO15*DO$6</f>
        <v>30372.7134239794</v>
      </c>
      <c r="DP71" s="48" t="n">
        <f aca="false">$F24*In_P50_Hours*(1-In_Curtailment)*(1-$E27)*(1-In_Degradation)^(DP20-1)*DP15*DP$6</f>
        <v>30710.1880175792</v>
      </c>
      <c r="DQ71" s="48" t="n">
        <f aca="false">$F24*In_P50_Hours*(1-In_Curtailment)*(1-$E27)*(1-In_Degradation)^(DQ20-1)*DQ15*DQ$6</f>
        <v>31047.662611179</v>
      </c>
      <c r="DR71" s="48" t="n">
        <f aca="false">$F24*In_P50_Hours*(1-In_Curtailment)*(1-$E27)*(1-In_Degradation)^(DR20-1)*DR15*DR$6</f>
        <v>30954.5196233454</v>
      </c>
      <c r="DS71" s="48" t="n">
        <f aca="false">$F24*In_P50_Hours*(1-In_Curtailment)*(1-$E27)*(1-In_Degradation)^(DS20-1)*DS15*DS$6</f>
        <v>30281.5952837075</v>
      </c>
      <c r="DT71" s="48" t="n">
        <f aca="false">$F24*In_P50_Hours*(1-In_Curtailment)*(1-$E27)*(1-In_Degradation)^(DT20-1)*DT15*DT$6</f>
        <v>30618.0574535265</v>
      </c>
      <c r="DU71" s="48" t="n">
        <f aca="false">$F24*In_P50_Hours*(1-In_Curtailment)*(1-$E27)*(1-In_Degradation)^(DU20-1)*DU15*DU$6</f>
        <v>30954.5196233454</v>
      </c>
      <c r="DV71" s="48" t="n">
        <f aca="false">$F24*In_P50_Hours*(1-In_Curtailment)*(1-$E27)*(1-In_Degradation)^(DV20-1)*DV15*DV$6</f>
        <v>30861.6560644754</v>
      </c>
      <c r="DW71" s="48" t="n">
        <f aca="false">$F24*In_P50_Hours*(1-In_Curtailment)*(1-$E27)*(1-In_Degradation)^(DW20-1)*DW15*DW$6</f>
        <v>30526.2032811659</v>
      </c>
      <c r="DX71" s="48" t="n">
        <f aca="false">$F24*In_P50_Hours*(1-In_Curtailment)*(1-$E27)*(1-In_Degradation)^(DX20-1)*DX15*DX$6</f>
        <v>30526.2032811659</v>
      </c>
      <c r="DY71" s="48" t="n">
        <f aca="false">$F24*In_P50_Hours*(1-In_Curtailment)*(1-$E27)*(1-In_Degradation)^(DY20-1)*DY15*DY$6</f>
        <v>30861.6560644754</v>
      </c>
      <c r="DZ71" s="48" t="n">
        <f aca="false">$F24*In_P50_Hours*(1-In_Curtailment)*(1-$E27)*(1-In_Degradation)^(DZ20-1)*DZ15*DZ$6</f>
        <v>30769.071096282</v>
      </c>
      <c r="EA71" s="48" t="n">
        <f aca="false">$F24*In_P50_Hours*(1-In_Curtailment)*(1-$E27)*(1-In_Degradation)^(EA20-1)*EA15*EA$6</f>
        <v>30100.1782463628</v>
      </c>
      <c r="EB71" s="48" t="n">
        <f aca="false">$F24*In_P50_Hours*(1-In_Curtailment)*(1-$E27)*(1-In_Degradation)^(EB20-1)*EB15*EB$6</f>
        <v>30434.6246713224</v>
      </c>
      <c r="EC71" s="48" t="n">
        <f aca="false">$F24*In_P50_Hours*(1-In_Curtailment)*(1-$E27)*(1-In_Degradation)^(EC20-1)*EC15*EC$6</f>
        <v>30769.071096282</v>
      </c>
      <c r="ED71" s="48" t="n">
        <f aca="false">$F24*In_P50_Hours*(1-In_Curtailment)*(1-$E27)*(1-In_Degradation)^(ED20-1)*ED15*ED$6</f>
        <v>30676.7638829931</v>
      </c>
      <c r="EE71" s="48" t="n">
        <f aca="false">$F24*In_P50_Hours*(1-In_Curtailment)*(1-$E27)*(1-In_Degradation)^(EE20-1)*EE15*EE$6</f>
        <v>30009.8777116237</v>
      </c>
      <c r="EF71" s="48" t="n">
        <f aca="false">$F24*In_P50_Hours*(1-In_Curtailment)*(1-$E27)*(1-In_Degradation)^(EF20-1)*EF15*EF$6</f>
        <v>30343.3207973084</v>
      </c>
      <c r="EG71" s="48" t="n">
        <f aca="false">$F24*In_P50_Hours*(1-In_Curtailment)*(1-$E27)*(1-In_Degradation)^(EG20-1)*EG15*EG$6</f>
        <v>30676.7638829931</v>
      </c>
      <c r="EH71" s="48" t="n">
        <f aca="false">$F24*In_P50_Hours*(1-In_Curtailment)*(1-$E27)*(1-In_Degradation)^(EH20-1)*EH15*EH$6</f>
        <v>30584.7335913441</v>
      </c>
      <c r="EI71" s="48" t="n">
        <f aca="false">$F24*In_P50_Hours*(1-In_Curtailment)*(1-$E27)*(1-In_Degradation)^(EI20-1)*EI15*EI$6</f>
        <v>29919.8480784888</v>
      </c>
      <c r="EJ71" s="48" t="n">
        <f aca="false">$F24*In_P50_Hours*(1-In_Curtailment)*(1-$E27)*(1-In_Degradation)^(EJ20-1)*EJ15*EJ$6</f>
        <v>30252.2908349165</v>
      </c>
      <c r="EK71" s="48" t="n">
        <f aca="false">$F24*In_P50_Hours*(1-In_Curtailment)*(1-$E27)*(1-In_Degradation)^(EK20-1)*EK15*EK$6</f>
        <v>30584.7335913441</v>
      </c>
      <c r="EL71" s="48" t="n">
        <f aca="false">$F24*In_P50_Hours*(1-In_Curtailment)*(1-$E27)*(1-In_Degradation)^(EL20-1)*EL15*EL$6</f>
        <v>30492.9793905701</v>
      </c>
      <c r="EM71" s="48" t="n">
        <f aca="false">$F24*In_P50_Hours*(1-In_Curtailment)*(1-$E27)*(1-In_Degradation)^(EM20-1)*EM15*EM$6</f>
        <v>30161.5339624117</v>
      </c>
      <c r="EN71" s="48" t="n">
        <f aca="false">$F24*In_P50_Hours*(1-In_Curtailment)*(1-$E27)*(1-In_Degradation)^(EN20-1)*EN15*EN$6</f>
        <v>30161.5339624117</v>
      </c>
      <c r="EO71" s="48" t="n">
        <f aca="false">$F24*In_P50_Hours*(1-In_Curtailment)*(1-$E27)*(1-In_Degradation)^(EO20-1)*EO15*EO$6</f>
        <v>30492.9793905701</v>
      </c>
    </row>
    <row r="72" customFormat="false" ht="15" hidden="false" customHeight="false" outlineLevel="0" collapsed="false">
      <c r="C72" s="1" t="s">
        <v>422</v>
      </c>
      <c r="D72" s="12" t="s">
        <v>33</v>
      </c>
      <c r="E72" s="48" t="n">
        <f aca="false">SUMIF($J$7:$EO$7,YEAR(In_COD)+1,$J72:$EO72)</f>
        <v>11988.936702792</v>
      </c>
      <c r="I72" s="48" t="n">
        <f aca="false">SUM(J72:EO72)</f>
        <v>398096.796528086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2994.2136</v>
      </c>
      <c r="AA72" s="48" t="n">
        <f aca="false">AA71*AA70/Thousand</f>
        <v>2958.41322</v>
      </c>
      <c r="AB72" s="48" t="n">
        <f aca="false">AB71*AB70/Thousand</f>
        <v>2991.284478</v>
      </c>
      <c r="AC72" s="48" t="n">
        <f aca="false">AC71*AC70/Thousand</f>
        <v>3024.155736</v>
      </c>
      <c r="AD72" s="48" t="n">
        <f aca="false">AD71*AD70/Thousand</f>
        <v>3015.083268792</v>
      </c>
      <c r="AE72" s="48" t="n">
        <f aca="false">AE71*AE70/Thousand</f>
        <v>3012.13373081166</v>
      </c>
      <c r="AF72" s="48" t="n">
        <f aca="false">AF71*AF70/Thousand</f>
        <v>3012.13373081166</v>
      </c>
      <c r="AG72" s="48" t="n">
        <f aca="false">AG71*AG70/Thousand</f>
        <v>3045.23410147992</v>
      </c>
      <c r="AH72" s="48" t="n">
        <f aca="false">AH71*AH70/Thousand</f>
        <v>3036.09839917548</v>
      </c>
      <c r="AI72" s="48" t="n">
        <f aca="false">AI71*AI70/Thousand</f>
        <v>2999.7972226636</v>
      </c>
      <c r="AJ72" s="48" t="n">
        <f aca="false">AJ71*AJ70/Thousand</f>
        <v>3033.12830291542</v>
      </c>
      <c r="AK72" s="48" t="n">
        <f aca="false">AK71*AK70/Thousand</f>
        <v>3066.45938316724</v>
      </c>
      <c r="AL72" s="48" t="n">
        <f aca="false">AL71*AL70/Thousand</f>
        <v>3057.26000501774</v>
      </c>
      <c r="AM72" s="48" t="n">
        <f aca="false">AM71*AM70/Thousand</f>
        <v>3020.70580930557</v>
      </c>
      <c r="AN72" s="48" t="n">
        <f aca="false">AN71*AN70/Thousand</f>
        <v>3054.26920718674</v>
      </c>
      <c r="AO72" s="48" t="n">
        <f aca="false">AO71*AO70/Thousand</f>
        <v>3087.83260506791</v>
      </c>
      <c r="AP72" s="48" t="n">
        <f aca="false">AP71*AP70/Thousand</f>
        <v>3078.56910725271</v>
      </c>
      <c r="AQ72" s="48" t="n">
        <f aca="false">AQ71*AQ70/Thousand</f>
        <v>3041.76012879643</v>
      </c>
      <c r="AR72" s="48" t="n">
        <f aca="false">AR71*AR70/Thousand</f>
        <v>3075.55746356083</v>
      </c>
      <c r="AS72" s="48" t="n">
        <f aca="false">AS71*AS70/Thousand</f>
        <v>3109.35479832524</v>
      </c>
      <c r="AT72" s="48" t="n">
        <f aca="false">AT71*AT70/Thousand</f>
        <v>3100.02673393026</v>
      </c>
      <c r="AU72" s="48" t="n">
        <f aca="false">AU71*AU70/Thousand</f>
        <v>3096.99409908185</v>
      </c>
      <c r="AV72" s="48" t="n">
        <f aca="false">AV71*AV70/Thousand</f>
        <v>3096.99409908185</v>
      </c>
      <c r="AW72" s="48" t="n">
        <f aca="false">AW71*AW70/Thousand</f>
        <v>3131.02700126956</v>
      </c>
      <c r="AX72" s="48" t="n">
        <f aca="false">AX71*AX70/Thousand</f>
        <v>3121.63392026575</v>
      </c>
      <c r="AY72" s="48" t="n">
        <f aca="false">AY71*AY70/Thousand</f>
        <v>3084.31003643649</v>
      </c>
      <c r="AZ72" s="48" t="n">
        <f aca="false">AZ71*AZ70/Thousand</f>
        <v>3118.58014795245</v>
      </c>
      <c r="BA72" s="48" t="n">
        <f aca="false">BA71*BA70/Thousand</f>
        <v>3152.85025946841</v>
      </c>
      <c r="BB72" s="48" t="n">
        <f aca="false">BB71*BB70/Thousand</f>
        <v>3143.39170869001</v>
      </c>
      <c r="BC72" s="48" t="n">
        <f aca="false">BC71*BC70/Thousand</f>
        <v>3105.80767739045</v>
      </c>
      <c r="BD72" s="48" t="n">
        <f aca="false">BD71*BD70/Thousand</f>
        <v>3140.31665158368</v>
      </c>
      <c r="BE72" s="48" t="n">
        <f aca="false">BE71*BE70/Thousand</f>
        <v>3174.82562577691</v>
      </c>
      <c r="BF72" s="48" t="n">
        <f aca="false">BF71*BF70/Thousand</f>
        <v>3165.30114889958</v>
      </c>
      <c r="BG72" s="48" t="n">
        <f aca="false">BG71*BG70/Thousand</f>
        <v>3127.45515690186</v>
      </c>
      <c r="BH72" s="48" t="n">
        <f aca="false">BH71*BH70/Thousand</f>
        <v>3162.20465864522</v>
      </c>
      <c r="BI72" s="48" t="n">
        <f aca="false">BI71*BI70/Thousand</f>
        <v>3196.95416038857</v>
      </c>
      <c r="BJ72" s="48" t="n">
        <f aca="false">BJ71*BJ70/Thousand</f>
        <v>3187.36329790741</v>
      </c>
      <c r="BK72" s="48" t="n">
        <f aca="false">BK71*BK70/Thousand</f>
        <v>3184.24522511597</v>
      </c>
      <c r="BL72" s="48" t="n">
        <f aca="false">BL71*BL70/Thousand</f>
        <v>3184.24522511597</v>
      </c>
      <c r="BM72" s="48" t="n">
        <f aca="false">BM71*BM70/Thousand</f>
        <v>3219.23693088648</v>
      </c>
      <c r="BN72" s="48" t="n">
        <f aca="false">BN71*BN70/Thousand</f>
        <v>3209.57922009382</v>
      </c>
      <c r="BO72" s="48" t="n">
        <f aca="false">BO71*BO70/Thousand</f>
        <v>3171.20381637531</v>
      </c>
      <c r="BP72" s="48" t="n">
        <f aca="false">BP71*BP70/Thousand</f>
        <v>3206.43941433503</v>
      </c>
      <c r="BQ72" s="48" t="n">
        <f aca="false">BQ71*BQ70/Thousand</f>
        <v>3241.67501229476</v>
      </c>
      <c r="BR72" s="48" t="n">
        <f aca="false">BR71*BR70/Thousand</f>
        <v>3231.94998725787</v>
      </c>
      <c r="BS72" s="48" t="n">
        <f aca="false">BS71*BS70/Thousand</f>
        <v>3193.30710697544</v>
      </c>
      <c r="BT72" s="48" t="n">
        <f aca="false">BT71*BT70/Thousand</f>
        <v>3228.78829705295</v>
      </c>
      <c r="BU72" s="48" t="n">
        <f aca="false">BU71*BU70/Thousand</f>
        <v>3264.26948713045</v>
      </c>
      <c r="BV72" s="48" t="n">
        <f aca="false">BV71*BV70/Thousand</f>
        <v>3254.47667866906</v>
      </c>
      <c r="BW72" s="48" t="n">
        <f aca="false">BW71*BW70/Thousand</f>
        <v>3215.56445751106</v>
      </c>
      <c r="BX72" s="48" t="n">
        <f aca="false">BX71*BX70/Thousand</f>
        <v>3251.29295148341</v>
      </c>
      <c r="BY72" s="48" t="n">
        <f aca="false">BY71*BY70/Thousand</f>
        <v>3287.02144545575</v>
      </c>
      <c r="BZ72" s="48" t="n">
        <f aca="false">BZ71*BZ70/Thousand</f>
        <v>3277.16038111938</v>
      </c>
      <c r="CA72" s="48" t="n">
        <f aca="false">CA71*CA70/Thousand</f>
        <v>3273.95446335525</v>
      </c>
      <c r="CB72" s="48" t="n">
        <f aca="false">CB71*CB70/Thousand</f>
        <v>3273.95446335525</v>
      </c>
      <c r="CC72" s="48" t="n">
        <f aca="false">CC71*CC70/Thousand</f>
        <v>3309.93198493058</v>
      </c>
      <c r="CD72" s="48" t="n">
        <f aca="false">CD71*CD70/Thousand</f>
        <v>3300.00218897579</v>
      </c>
      <c r="CE72" s="48" t="n">
        <f aca="false">CE71*CE70/Thousand</f>
        <v>3260.54564106412</v>
      </c>
      <c r="CF72" s="48" t="n">
        <f aca="false">CF71*CF70/Thousand</f>
        <v>3296.77392596483</v>
      </c>
      <c r="CG72" s="48" t="n">
        <f aca="false">CG71*CG70/Thousand</f>
        <v>3333.00221086555</v>
      </c>
      <c r="CH72" s="48" t="n">
        <f aca="false">CH71*CH70/Thousand</f>
        <v>3323.00320423295</v>
      </c>
      <c r="CI72" s="48" t="n">
        <f aca="false">CI71*CI70/Thousand</f>
        <v>3283.27164418234</v>
      </c>
      <c r="CJ72" s="48" t="n">
        <f aca="false">CJ71*CJ70/Thousand</f>
        <v>3319.75244022881</v>
      </c>
      <c r="CK72" s="48" t="n">
        <f aca="false">CK71*CK70/Thousand</f>
        <v>3356.23323627528</v>
      </c>
      <c r="CL72" s="48" t="n">
        <f aca="false">CL71*CL70/Thousand</f>
        <v>3346.16453656645</v>
      </c>
      <c r="CM72" s="48" t="n">
        <f aca="false">CM71*CM70/Thousand</f>
        <v>3306.15604754229</v>
      </c>
      <c r="CN72" s="48" t="n">
        <f aca="false">CN71*CN70/Thousand</f>
        <v>3342.8911147372</v>
      </c>
      <c r="CO72" s="48" t="n">
        <f aca="false">CO71*CO70/Thousand</f>
        <v>3379.62618193212</v>
      </c>
      <c r="CP72" s="48" t="n">
        <f aca="false">CP71*CP70/Thousand</f>
        <v>3369.48730338632</v>
      </c>
      <c r="CQ72" s="48" t="n">
        <f aca="false">CQ71*CQ70/Thousand</f>
        <v>3366.19106580692</v>
      </c>
      <c r="CR72" s="48" t="n">
        <f aca="false">CR71*CR70/Thousand</f>
        <v>3366.19106580692</v>
      </c>
      <c r="CS72" s="48" t="n">
        <f aca="false">CS71*CS70/Thousand</f>
        <v>3403.18217642018</v>
      </c>
      <c r="CT72" s="48" t="n">
        <f aca="false">CT71*CT70/Thousand</f>
        <v>3392.97262989092</v>
      </c>
      <c r="CU72" s="48" t="n">
        <f aca="false">CU71*CU70/Thousand</f>
        <v>3352.40447888136</v>
      </c>
      <c r="CV72" s="48" t="n">
        <f aca="false">CV71*CV70/Thousand</f>
        <v>3389.65341753559</v>
      </c>
      <c r="CW72" s="48" t="n">
        <f aca="false">CW71*CW70/Thousand</f>
        <v>3426.90235618983</v>
      </c>
      <c r="CX72" s="48" t="n">
        <f aca="false">CX71*CX70/Thousand</f>
        <v>3416.62164912126</v>
      </c>
      <c r="CY72" s="48" t="n">
        <f aca="false">CY71*CY70/Thousand</f>
        <v>3375.77073809916</v>
      </c>
      <c r="CZ72" s="48" t="n">
        <f aca="false">CZ71*CZ70/Thousand</f>
        <v>3413.27930185582</v>
      </c>
      <c r="DA72" s="48" t="n">
        <f aca="false">DA71*DA70/Thousand</f>
        <v>3450.78786561248</v>
      </c>
      <c r="DB72" s="48" t="n">
        <f aca="false">DB71*DB70/Thousand</f>
        <v>3440.43550201564</v>
      </c>
      <c r="DC72" s="48" t="n">
        <f aca="false">DC71*DC70/Thousand</f>
        <v>3399.29986014371</v>
      </c>
      <c r="DD72" s="48" t="n">
        <f aca="false">DD71*DD70/Thousand</f>
        <v>3437.06985858975</v>
      </c>
      <c r="DE72" s="48" t="n">
        <f aca="false">DE71*DE70/Thousand</f>
        <v>3474.83985703579</v>
      </c>
      <c r="DF72" s="48" t="n">
        <f aca="false">DF71*DF70/Thousand</f>
        <v>3464.41533746469</v>
      </c>
      <c r="DG72" s="48" t="n">
        <f aca="false">DG71*DG70/Thousand</f>
        <v>3461.02623550412</v>
      </c>
      <c r="DH72" s="48" t="n">
        <f aca="false">DH71*DH70/Thousand</f>
        <v>3461.02623550412</v>
      </c>
      <c r="DI72" s="48" t="n">
        <f aca="false">DI71*DI70/Thousand</f>
        <v>3499.05949083933</v>
      </c>
      <c r="DJ72" s="48" t="n">
        <f aca="false">DJ71*DJ70/Thousand</f>
        <v>3488.56231236681</v>
      </c>
      <c r="DK72" s="48" t="n">
        <f aca="false">DK71*DK70/Thousand</f>
        <v>3446.85124124069</v>
      </c>
      <c r="DL72" s="48" t="n">
        <f aca="false">DL71*DL70/Thousand</f>
        <v>3485.14958836559</v>
      </c>
      <c r="DM72" s="48" t="n">
        <f aca="false">DM71*DM70/Thousand</f>
        <v>3523.44793549048</v>
      </c>
      <c r="DN72" s="48" t="n">
        <f aca="false">DN71*DN70/Thousand</f>
        <v>3512.87759168401</v>
      </c>
      <c r="DO72" s="48" t="n">
        <f aca="false">DO71*DO70/Thousand</f>
        <v>3470.87579439214</v>
      </c>
      <c r="DP72" s="48" t="n">
        <f aca="false">DP71*DP70/Thousand</f>
        <v>3509.4410809965</v>
      </c>
      <c r="DQ72" s="48" t="n">
        <f aca="false">DQ71*DQ70/Thousand</f>
        <v>3548.00636760085</v>
      </c>
      <c r="DR72" s="48" t="n">
        <f aca="false">DR71*DR70/Thousand</f>
        <v>3537.36234849805</v>
      </c>
      <c r="DS72" s="48" t="n">
        <f aca="false">DS71*DS70/Thousand</f>
        <v>3495.06779867905</v>
      </c>
      <c r="DT72" s="48" t="n">
        <f aca="false">DT71*DT70/Thousand</f>
        <v>3533.90188533104</v>
      </c>
      <c r="DU72" s="48" t="n">
        <f aca="false">DU71*DU70/Thousand</f>
        <v>3572.73597198303</v>
      </c>
      <c r="DV72" s="48" t="n">
        <f aca="false">DV71*DV70/Thousand</f>
        <v>3562.01776406708</v>
      </c>
      <c r="DW72" s="48" t="n">
        <f aca="false">DW71*DW70/Thousand</f>
        <v>3558.5331814718</v>
      </c>
      <c r="DX72" s="48" t="n">
        <f aca="false">DX71*DX70/Thousand</f>
        <v>3558.5331814718</v>
      </c>
      <c r="DY72" s="48" t="n">
        <f aca="false">DY71*DY70/Thousand</f>
        <v>3597.63794170775</v>
      </c>
      <c r="DZ72" s="48" t="n">
        <f aca="false">DZ71*DZ70/Thousand</f>
        <v>3586.84502788263</v>
      </c>
      <c r="EA72" s="48" t="n">
        <f aca="false">EA71*EA70/Thousand</f>
        <v>3543.95883733186</v>
      </c>
      <c r="EB72" s="48" t="n">
        <f aca="false">EB71*EB70/Thousand</f>
        <v>3583.33615774666</v>
      </c>
      <c r="EC72" s="48" t="n">
        <f aca="false">EC71*EC70/Thousand</f>
        <v>3622.71347816146</v>
      </c>
      <c r="ED72" s="48" t="n">
        <f aca="false">ED71*ED70/Thousand</f>
        <v>3611.84533772697</v>
      </c>
      <c r="EE72" s="48" t="n">
        <f aca="false">EE71*EE70/Thousand</f>
        <v>3568.66023042806</v>
      </c>
      <c r="EF72" s="48" t="n">
        <f aca="false">EF71*EF70/Thousand</f>
        <v>3608.31201076615</v>
      </c>
      <c r="EG72" s="48" t="n">
        <f aca="false">EG71*EG70/Thousand</f>
        <v>3647.96379110424</v>
      </c>
      <c r="EH72" s="48" t="n">
        <f aca="false">EH71*EH70/Thousand</f>
        <v>3637.01989973093</v>
      </c>
      <c r="EI72" s="48" t="n">
        <f aca="false">EI71*EI70/Thousand</f>
        <v>3593.53379223414</v>
      </c>
      <c r="EJ72" s="48" t="n">
        <f aca="false">EJ71*EJ70/Thousand</f>
        <v>3633.46194548119</v>
      </c>
      <c r="EK72" s="48" t="n">
        <f aca="false">EK71*EK70/Thousand</f>
        <v>3673.39009872824</v>
      </c>
      <c r="EL72" s="48" t="n">
        <f aca="false">EL71*EL70/Thousand</f>
        <v>3662.36992843205</v>
      </c>
      <c r="EM72" s="48" t="n">
        <f aca="false">EM71*EM70/Thousand</f>
        <v>3658.78717524119</v>
      </c>
      <c r="EN72" s="48" t="n">
        <f aca="false">EN71*EN70/Thousand</f>
        <v>3658.78717524119</v>
      </c>
      <c r="EO72" s="48" t="n">
        <f aca="false">EO71*EO70/Thousand</f>
        <v>3698.99362771637</v>
      </c>
    </row>
    <row r="73" customFormat="false" ht="15" hidden="false" customHeight="false" outlineLevel="0" collapsed="false">
      <c r="C73" s="1" t="s">
        <v>423</v>
      </c>
      <c r="D73" s="12" t="s">
        <v>33</v>
      </c>
      <c r="I73" s="48" t="n">
        <f aca="false">SUM(J73:EO73)</f>
        <v>-28132.3883354309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-166.3452</v>
      </c>
      <c r="AA73" s="48" t="n">
        <f aca="false">-In_Var_Opex*AA71*AA69/Thousand</f>
        <v>-166.797225</v>
      </c>
      <c r="AB73" s="48" t="n">
        <f aca="false">-In_Var_Opex*AB71*AB69/Thousand</f>
        <v>-168.6505275</v>
      </c>
      <c r="AC73" s="48" t="n">
        <f aca="false">-In_Var_Opex*AC71*AC69/Thousand</f>
        <v>-170.50383</v>
      </c>
      <c r="AD73" s="48" t="n">
        <f aca="false">-In_Var_Opex*AD71*AD69/Thousand</f>
        <v>-169.99231851</v>
      </c>
      <c r="AE73" s="48" t="n">
        <f aca="false">-In_Var_Opex*AE71*AE69/Thousand</f>
        <v>-172.348190315438</v>
      </c>
      <c r="AF73" s="48" t="n">
        <f aca="false">-In_Var_Opex*AF71*AF69/Thousand</f>
        <v>-172.348190315438</v>
      </c>
      <c r="AG73" s="48" t="n">
        <f aca="false">-In_Var_Opex*AG71*AG69/Thousand</f>
        <v>-174.24212647275</v>
      </c>
      <c r="AH73" s="48" t="n">
        <f aca="false">-In_Var_Opex*AH71*AH69/Thousand</f>
        <v>-173.719400093332</v>
      </c>
      <c r="AI73" s="48" t="n">
        <f aca="false">-In_Var_Opex*AI71*AI69/Thousand</f>
        <v>-174.191463680542</v>
      </c>
      <c r="AJ73" s="48" t="n">
        <f aca="false">-In_Var_Opex*AJ71*AJ69/Thousand</f>
        <v>-176.126924388103</v>
      </c>
      <c r="AK73" s="48" t="n">
        <f aca="false">-In_Var_Opex*AK71*AK69/Thousand</f>
        <v>-178.062385095665</v>
      </c>
      <c r="AL73" s="48" t="n">
        <f aca="false">-In_Var_Opex*AL71*AL69/Thousand</f>
        <v>-177.528197940378</v>
      </c>
      <c r="AM73" s="48" t="n">
        <f aca="false">-In_Var_Opex*AM71*AM69/Thousand</f>
        <v>-178.010611521738</v>
      </c>
      <c r="AN73" s="48" t="n">
        <f aca="false">-In_Var_Opex*AN71*AN69/Thousand</f>
        <v>-179.988507205313</v>
      </c>
      <c r="AO73" s="48" t="n">
        <f aca="false">-In_Var_Opex*AO71*AO69/Thousand</f>
        <v>-181.966402888888</v>
      </c>
      <c r="AP73" s="48" t="n">
        <f aca="false">-In_Var_Opex*AP71*AP69/Thousand</f>
        <v>-181.420503680221</v>
      </c>
      <c r="AQ73" s="48" t="n">
        <f aca="false">-In_Var_Opex*AQ71*AQ69/Thousand</f>
        <v>-181.913494179352</v>
      </c>
      <c r="AR73" s="48" t="n">
        <f aca="false">-In_Var_Opex*AR71*AR69/Thousand</f>
        <v>-183.934755225789</v>
      </c>
      <c r="AS73" s="48" t="n">
        <f aca="false">-In_Var_Opex*AS71*AS69/Thousand</f>
        <v>-185.956016272226</v>
      </c>
      <c r="AT73" s="48" t="n">
        <f aca="false">-In_Var_Opex*AT71*AT69/Thousand</f>
        <v>-185.39814822341</v>
      </c>
      <c r="AU73" s="48" t="n">
        <f aca="false">-In_Var_Opex*AU71*AU69/Thousand</f>
        <v>-187.967524734115</v>
      </c>
      <c r="AV73" s="48" t="n">
        <f aca="false">-In_Var_Opex*AV71*AV69/Thousand</f>
        <v>-187.967524734115</v>
      </c>
      <c r="AW73" s="48" t="n">
        <f aca="false">-In_Var_Opex*AW71*AW69/Thousand</f>
        <v>-190.033101928995</v>
      </c>
      <c r="AX73" s="48" t="n">
        <f aca="false">-In_Var_Opex*AX71*AX69/Thousand</f>
        <v>-189.463002623208</v>
      </c>
      <c r="AY73" s="48" t="n">
        <f aca="false">-In_Var_Opex*AY71*AY69/Thousand</f>
        <v>-189.977847739032</v>
      </c>
      <c r="AZ73" s="48" t="n">
        <f aca="false">-In_Var_Opex*AZ71*AZ69/Thousand</f>
        <v>-192.08871271391</v>
      </c>
      <c r="BA73" s="48" t="n">
        <f aca="false">-In_Var_Opex*BA71*BA69/Thousand</f>
        <v>-194.199577688788</v>
      </c>
      <c r="BB73" s="48" t="n">
        <f aca="false">-In_Var_Opex*BB71*BB69/Thousand</f>
        <v>-193.616978955722</v>
      </c>
      <c r="BC73" s="48" t="n">
        <f aca="false">-In_Var_Opex*BC71*BC69/Thousand</f>
        <v>-194.14311205071</v>
      </c>
      <c r="BD73" s="48" t="n">
        <f aca="false">-In_Var_Opex*BD71*BD69/Thousand</f>
        <v>-196.300257740162</v>
      </c>
      <c r="BE73" s="48" t="n">
        <f aca="false">-In_Var_Opex*BE71*BE69/Thousand</f>
        <v>-198.457403429615</v>
      </c>
      <c r="BF73" s="48" t="n">
        <f aca="false">-In_Var_Opex*BF71*BF69/Thousand</f>
        <v>-197.862031219326</v>
      </c>
      <c r="BG73" s="48" t="n">
        <f aca="false">-In_Var_Opex*BG71*BG69/Thousand</f>
        <v>-198.399699782422</v>
      </c>
      <c r="BH73" s="48" t="n">
        <f aca="false">-In_Var_Opex*BH71*BH69/Thousand</f>
        <v>-200.604140891115</v>
      </c>
      <c r="BI73" s="48" t="n">
        <f aca="false">-In_Var_Opex*BI71*BI69/Thousand</f>
        <v>-202.808581999809</v>
      </c>
      <c r="BJ73" s="48" t="n">
        <f aca="false">-In_Var_Opex*BJ71*BJ69/Thousand</f>
        <v>-202.20015625381</v>
      </c>
      <c r="BK73" s="48" t="n">
        <f aca="false">-In_Var_Opex*BK71*BK69/Thousand</f>
        <v>-205.002386680153</v>
      </c>
      <c r="BL73" s="48" t="n">
        <f aca="false">-In_Var_Opex*BL71*BL69/Thousand</f>
        <v>-205.002386680153</v>
      </c>
      <c r="BM73" s="48" t="n">
        <f aca="false">-In_Var_Opex*BM71*BM69/Thousand</f>
        <v>-207.255160160155</v>
      </c>
      <c r="BN73" s="48" t="n">
        <f aca="false">-In_Var_Opex*BN71*BN69/Thousand</f>
        <v>-206.633394679674</v>
      </c>
      <c r="BO73" s="48" t="n">
        <f aca="false">-In_Var_Opex*BO71*BO69/Thousand</f>
        <v>-207.194898469565</v>
      </c>
      <c r="BP73" s="48" t="n">
        <f aca="false">-In_Var_Opex*BP71*BP69/Thousand</f>
        <v>-209.497064008115</v>
      </c>
      <c r="BQ73" s="48" t="n">
        <f aca="false">-In_Var_Opex*BQ71*BQ69/Thousand</f>
        <v>-211.799229546666</v>
      </c>
      <c r="BR73" s="48" t="n">
        <f aca="false">-In_Var_Opex*BR71*BR69/Thousand</f>
        <v>-211.163831858026</v>
      </c>
      <c r="BS73" s="48" t="n">
        <f aca="false">-In_Var_Opex*BS71*BS69/Thousand</f>
        <v>-211.73764661851</v>
      </c>
      <c r="BT73" s="48" t="n">
        <f aca="false">-In_Var_Opex*BT71*BT69/Thousand</f>
        <v>-214.090287136493</v>
      </c>
      <c r="BU73" s="48" t="n">
        <f aca="false">-In_Var_Opex*BU71*BU69/Thousand</f>
        <v>-216.442927654477</v>
      </c>
      <c r="BV73" s="48" t="n">
        <f aca="false">-In_Var_Opex*BV71*BV69/Thousand</f>
        <v>-215.793598871513</v>
      </c>
      <c r="BW73" s="48" t="n">
        <f aca="false">-In_Var_Opex*BW71*BW69/Thousand</f>
        <v>-216.379994520621</v>
      </c>
      <c r="BX73" s="48" t="n">
        <f aca="false">-In_Var_Opex*BX71*BX69/Thousand</f>
        <v>-218.784216681961</v>
      </c>
      <c r="BY73" s="48" t="n">
        <f aca="false">-In_Var_Opex*BY71*BY69/Thousand</f>
        <v>-221.188438843301</v>
      </c>
      <c r="BZ73" s="48" t="n">
        <f aca="false">-In_Var_Opex*BZ71*BZ69/Thousand</f>
        <v>-220.524873526771</v>
      </c>
      <c r="CA73" s="48" t="n">
        <f aca="false">-In_Var_Opex*CA71*CA69/Thousand</f>
        <v>-223.581060632713</v>
      </c>
      <c r="CB73" s="48" t="n">
        <f aca="false">-In_Var_Opex*CB71*CB69/Thousand</f>
        <v>-223.581060632713</v>
      </c>
      <c r="CC73" s="48" t="n">
        <f aca="false">-In_Var_Opex*CC71*CC69/Thousand</f>
        <v>-226.037995364941</v>
      </c>
      <c r="CD73" s="48" t="n">
        <f aca="false">-In_Var_Opex*CD71*CD69/Thousand</f>
        <v>-225.359881378846</v>
      </c>
      <c r="CE73" s="48" t="n">
        <f aca="false">-In_Var_Opex*CE71*CE69/Thousand</f>
        <v>-225.972272360853</v>
      </c>
      <c r="CF73" s="48" t="n">
        <f aca="false">-In_Var_Opex*CF71*CF69/Thousand</f>
        <v>-228.483075387085</v>
      </c>
      <c r="CG73" s="48" t="n">
        <f aca="false">-In_Var_Opex*CG71*CG69/Thousand</f>
        <v>-230.993878413317</v>
      </c>
      <c r="CH73" s="48" t="n">
        <f aca="false">-In_Var_Opex*CH71*CH69/Thousand</f>
        <v>-230.300896778077</v>
      </c>
      <c r="CI73" s="48" t="n">
        <f aca="false">-In_Var_Opex*CI71*CI69/Thousand</f>
        <v>-230.926714432365</v>
      </c>
      <c r="CJ73" s="48" t="n">
        <f aca="false">-In_Var_Opex*CJ71*CJ69/Thousand</f>
        <v>-233.492566814947</v>
      </c>
      <c r="CK73" s="48" t="n">
        <f aca="false">-In_Var_Opex*CK71*CK69/Thousand</f>
        <v>-236.058419197529</v>
      </c>
      <c r="CL73" s="48" t="n">
        <f aca="false">-In_Var_Opex*CL71*CL69/Thousand</f>
        <v>-235.350243939936</v>
      </c>
      <c r="CM73" s="48" t="n">
        <f aca="false">-In_Var_Opex*CM71*CM69/Thousand</f>
        <v>-235.989782646295</v>
      </c>
      <c r="CN73" s="48" t="n">
        <f aca="false">-In_Var_Opex*CN71*CN69/Thousand</f>
        <v>-238.611891342365</v>
      </c>
      <c r="CO73" s="48" t="n">
        <f aca="false">-In_Var_Opex*CO71*CO69/Thousand</f>
        <v>-241.234000038435</v>
      </c>
      <c r="CP73" s="48" t="n">
        <f aca="false">-In_Var_Opex*CP71*CP69/Thousand</f>
        <v>-240.510298038319</v>
      </c>
      <c r="CQ73" s="48" t="n">
        <f aca="false">-In_Var_Opex*CQ71*CQ69/Thousand</f>
        <v>-243.843457060046</v>
      </c>
      <c r="CR73" s="48" t="n">
        <f aca="false">-In_Var_Opex*CR71*CR69/Thousand</f>
        <v>-243.843457060046</v>
      </c>
      <c r="CS73" s="48" t="n">
        <f aca="false">-In_Var_Opex*CS71*CS69/Thousand</f>
        <v>-246.523055489277</v>
      </c>
      <c r="CT73" s="48" t="n">
        <f aca="false">-In_Var_Opex*CT71*CT69/Thousand</f>
        <v>-245.783486322809</v>
      </c>
      <c r="CU73" s="48" t="n">
        <f aca="false">-In_Var_Opex*CU71*CU69/Thousand</f>
        <v>-246.451376231295</v>
      </c>
      <c r="CV73" s="48" t="n">
        <f aca="false">-In_Var_Opex*CV71*CV69/Thousand</f>
        <v>-249.189724856088</v>
      </c>
      <c r="CW73" s="48" t="n">
        <f aca="false">-In_Var_Opex*CW71*CW69/Thousand</f>
        <v>-251.92807348088</v>
      </c>
      <c r="CX73" s="48" t="n">
        <f aca="false">-In_Var_Opex*CX71*CX69/Thousand</f>
        <v>-251.172289260437</v>
      </c>
      <c r="CY73" s="48" t="n">
        <f aca="false">-In_Var_Opex*CY71*CY69/Thousand</f>
        <v>-251.854822655166</v>
      </c>
      <c r="CZ73" s="48" t="n">
        <f aca="false">-In_Var_Opex*CZ71*CZ69/Thousand</f>
        <v>-254.653209573557</v>
      </c>
      <c r="DA73" s="48" t="n">
        <f aca="false">-In_Var_Opex*DA71*DA69/Thousand</f>
        <v>-257.451596491948</v>
      </c>
      <c r="DB73" s="48" t="n">
        <f aca="false">-In_Var_Opex*DB71*DB69/Thousand</f>
        <v>-256.679241702472</v>
      </c>
      <c r="DC73" s="48" t="n">
        <f aca="false">-In_Var_Opex*DC71*DC69/Thousand</f>
        <v>-257.376739641881</v>
      </c>
      <c r="DD73" s="48" t="n">
        <f aca="false">-In_Var_Opex*DD71*DD69/Thousand</f>
        <v>-260.236481193457</v>
      </c>
      <c r="DE73" s="48" t="n">
        <f aca="false">-In_Var_Opex*DE71*DE69/Thousand</f>
        <v>-263.096222745034</v>
      </c>
      <c r="DF73" s="48" t="n">
        <f aca="false">-In_Var_Opex*DF71*DF69/Thousand</f>
        <v>-262.306934076799</v>
      </c>
      <c r="DG73" s="48" t="n">
        <f aca="false">-In_Var_Opex*DG71*DG69/Thousand</f>
        <v>-265.942166043624</v>
      </c>
      <c r="DH73" s="48" t="n">
        <f aca="false">-In_Var_Opex*DH71*DH69/Thousand</f>
        <v>-265.942166043624</v>
      </c>
      <c r="DI73" s="48" t="n">
        <f aca="false">-In_Var_Opex*DI71*DI69/Thousand</f>
        <v>-268.864607428719</v>
      </c>
      <c r="DJ73" s="48" t="n">
        <f aca="false">-In_Var_Opex*DJ71*DJ69/Thousand</f>
        <v>-268.058013606433</v>
      </c>
      <c r="DK73" s="48" t="n">
        <f aca="false">-In_Var_Opex*DK71*DK69/Thousand</f>
        <v>-268.786432121667</v>
      </c>
      <c r="DL73" s="48" t="n">
        <f aca="false">-In_Var_Opex*DL71*DL69/Thousand</f>
        <v>-271.77294803413</v>
      </c>
      <c r="DM73" s="48" t="n">
        <f aca="false">-In_Var_Opex*DM71*DM69/Thousand</f>
        <v>-274.759463946593</v>
      </c>
      <c r="DN73" s="48" t="n">
        <f aca="false">-In_Var_Opex*DN71*DN69/Thousand</f>
        <v>-273.935185554754</v>
      </c>
      <c r="DO73" s="48" t="n">
        <f aca="false">-In_Var_Opex*DO71*DO69/Thousand</f>
        <v>-274.679574645935</v>
      </c>
      <c r="DP73" s="48" t="n">
        <f aca="false">-In_Var_Opex*DP71*DP69/Thousand</f>
        <v>-277.731569919779</v>
      </c>
      <c r="DQ73" s="48" t="n">
        <f aca="false">-In_Var_Opex*DQ71*DQ69/Thousand</f>
        <v>-280.783565193622</v>
      </c>
      <c r="DR73" s="48" t="n">
        <f aca="false">-In_Var_Opex*DR71*DR69/Thousand</f>
        <v>-279.941214498041</v>
      </c>
      <c r="DS73" s="48" t="n">
        <f aca="false">-In_Var_Opex*DS71*DS69/Thousand</f>
        <v>-280.701924320047</v>
      </c>
      <c r="DT73" s="48" t="n">
        <f aca="false">-In_Var_Opex*DT71*DT69/Thousand</f>
        <v>-283.82083459027</v>
      </c>
      <c r="DU73" s="48" t="n">
        <f aca="false">-In_Var_Opex*DU71*DU69/Thousand</f>
        <v>-286.939744860493</v>
      </c>
      <c r="DV73" s="48" t="n">
        <f aca="false">-In_Var_Opex*DV71*DV69/Thousand</f>
        <v>-286.078925625911</v>
      </c>
      <c r="DW73" s="48" t="n">
        <f aca="false">-In_Var_Opex*DW71*DW69/Thousand</f>
        <v>-290.043606388661</v>
      </c>
      <c r="DX73" s="48" t="n">
        <f aca="false">-In_Var_Opex*DX71*DX69/Thousand</f>
        <v>-290.043606388661</v>
      </c>
      <c r="DY73" s="48" t="n">
        <f aca="false">-In_Var_Opex*DY71*DY69/Thousand</f>
        <v>-293.230898766559</v>
      </c>
      <c r="DZ73" s="48" t="n">
        <f aca="false">-In_Var_Opex*DZ71*DZ69/Thousand</f>
        <v>-292.351206070259</v>
      </c>
      <c r="EA73" s="48" t="n">
        <f aca="false">-In_Var_Opex*EA71*EA69/Thousand</f>
        <v>-293.14563869545</v>
      </c>
      <c r="EB73" s="48" t="n">
        <f aca="false">-In_Var_Opex*EB71*EB69/Thousand</f>
        <v>-296.402812458733</v>
      </c>
      <c r="EC73" s="48" t="n">
        <f aca="false">-In_Var_Opex*EC71*EC69/Thousand</f>
        <v>-299.659986222016</v>
      </c>
      <c r="ED73" s="48" t="n">
        <f aca="false">-In_Var_Opex*ED71*ED69/Thousand</f>
        <v>-298.76100626335</v>
      </c>
      <c r="EE73" s="48" t="n">
        <f aca="false">-In_Var_Opex*EE71*EE69/Thousand</f>
        <v>-299.572856823848</v>
      </c>
      <c r="EF73" s="48" t="n">
        <f aca="false">-In_Var_Opex*EF71*EF69/Thousand</f>
        <v>-302.90144412189</v>
      </c>
      <c r="EG73" s="48" t="n">
        <f aca="false">-In_Var_Opex*EG71*EG69/Thousand</f>
        <v>-306.230031419933</v>
      </c>
      <c r="EH73" s="48" t="n">
        <f aca="false">-In_Var_Opex*EH71*EH69/Thousand</f>
        <v>-305.311341325673</v>
      </c>
      <c r="EI73" s="48" t="n">
        <f aca="false">-In_Var_Opex*EI71*EI69/Thousand</f>
        <v>-306.140991709711</v>
      </c>
      <c r="EJ73" s="48" t="n">
        <f aca="false">-In_Var_Opex*EJ71*EJ69/Thousand</f>
        <v>-309.542558284263</v>
      </c>
      <c r="EK73" s="48" t="n">
        <f aca="false">-In_Var_Opex*EK71*EK69/Thousand</f>
        <v>-312.944124858815</v>
      </c>
      <c r="EL73" s="48" t="n">
        <f aca="false">-In_Var_Opex*EL71*EL69/Thousand</f>
        <v>-312.005292484239</v>
      </c>
      <c r="EM73" s="48" t="n">
        <f aca="false">-In_Var_Opex*EM71*EM69/Thousand</f>
        <v>-316.329278874645</v>
      </c>
      <c r="EN73" s="48" t="n">
        <f aca="false">-In_Var_Opex*EN71*EN69/Thousand</f>
        <v>-316.329278874645</v>
      </c>
      <c r="EO73" s="48" t="n">
        <f aca="false">-In_Var_Opex*EO71*EO69/Thousand</f>
        <v>-319.805424796345</v>
      </c>
    </row>
    <row r="74" customFormat="false" ht="15" hidden="false" customHeight="false" outlineLevel="0" collapsed="false">
      <c r="C74" s="1" t="s">
        <v>424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425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426</v>
      </c>
      <c r="D76" s="12" t="s">
        <v>33</v>
      </c>
      <c r="I76" s="48" t="n">
        <f aca="false">SUM(J76:EO76)</f>
        <v>-9554.32311667406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-71.8611264</v>
      </c>
      <c r="AA76" s="48" t="n">
        <f aca="false">-AA72*(In_MEKH+In_HIPA+In_Innovation)</f>
        <v>-71.00191728</v>
      </c>
      <c r="AB76" s="48" t="n">
        <f aca="false">-AB72*(In_MEKH+In_HIPA+In_Innovation)</f>
        <v>-71.790827472</v>
      </c>
      <c r="AC76" s="48" t="n">
        <f aca="false">-AC72*(In_MEKH+In_HIPA+In_Innovation)</f>
        <v>-72.579737664</v>
      </c>
      <c r="AD76" s="48" t="n">
        <f aca="false">-AD72*(In_MEKH+In_HIPA+In_Innovation)</f>
        <v>-72.361998451008</v>
      </c>
      <c r="AE76" s="48" t="n">
        <f aca="false">-AE72*(In_MEKH+In_HIPA+In_Innovation)</f>
        <v>-72.2912095394799</v>
      </c>
      <c r="AF76" s="48" t="n">
        <f aca="false">-AF72*(In_MEKH+In_HIPA+In_Innovation)</f>
        <v>-72.2912095394799</v>
      </c>
      <c r="AG76" s="48" t="n">
        <f aca="false">-AG72*(In_MEKH+In_HIPA+In_Innovation)</f>
        <v>-73.0856184355181</v>
      </c>
      <c r="AH76" s="48" t="n">
        <f aca="false">-AH72*(In_MEKH+In_HIPA+In_Innovation)</f>
        <v>-72.8663615802116</v>
      </c>
      <c r="AI76" s="48" t="n">
        <f aca="false">-AI72*(In_MEKH+In_HIPA+In_Innovation)</f>
        <v>-71.9951333439264</v>
      </c>
      <c r="AJ76" s="48" t="n">
        <f aca="false">-AJ72*(In_MEKH+In_HIPA+In_Innovation)</f>
        <v>-72.7950792699701</v>
      </c>
      <c r="AK76" s="48" t="n">
        <f aca="false">-AK72*(In_MEKH+In_HIPA+In_Innovation)</f>
        <v>-73.5950251960137</v>
      </c>
      <c r="AL76" s="48" t="n">
        <f aca="false">-AL72*(In_MEKH+In_HIPA+In_Innovation)</f>
        <v>-73.3742401204257</v>
      </c>
      <c r="AM76" s="48" t="n">
        <f aca="false">-AM72*(In_MEKH+In_HIPA+In_Innovation)</f>
        <v>-72.4969394233336</v>
      </c>
      <c r="AN76" s="48" t="n">
        <f aca="false">-AN72*(In_MEKH+In_HIPA+In_Innovation)</f>
        <v>-73.3024609724817</v>
      </c>
      <c r="AO76" s="48" t="n">
        <f aca="false">-AO72*(In_MEKH+In_HIPA+In_Innovation)</f>
        <v>-74.1079825216299</v>
      </c>
      <c r="AP76" s="48" t="n">
        <f aca="false">-AP72*(In_MEKH+In_HIPA+In_Innovation)</f>
        <v>-73.885658574065</v>
      </c>
      <c r="AQ76" s="48" t="n">
        <f aca="false">-AQ72*(In_MEKH+In_HIPA+In_Innovation)</f>
        <v>-73.0022430911142</v>
      </c>
      <c r="AR76" s="48" t="n">
        <f aca="false">-AR72*(In_MEKH+In_HIPA+In_Innovation)</f>
        <v>-73.81337912546</v>
      </c>
      <c r="AS76" s="48" t="n">
        <f aca="false">-AS72*(In_MEKH+In_HIPA+In_Innovation)</f>
        <v>-74.6245151598057</v>
      </c>
      <c r="AT76" s="48" t="n">
        <f aca="false">-AT72*(In_MEKH+In_HIPA+In_Innovation)</f>
        <v>-74.4006416143263</v>
      </c>
      <c r="AU76" s="48" t="n">
        <f aca="false">-AU72*(In_MEKH+In_HIPA+In_Innovation)</f>
        <v>-74.3278583779644</v>
      </c>
      <c r="AV76" s="48" t="n">
        <f aca="false">-AV72*(In_MEKH+In_HIPA+In_Innovation)</f>
        <v>-74.3278583779644</v>
      </c>
      <c r="AW76" s="48" t="n">
        <f aca="false">-AW72*(In_MEKH+In_HIPA+In_Innovation)</f>
        <v>-75.1446480304695</v>
      </c>
      <c r="AX76" s="48" t="n">
        <f aca="false">-AX72*(In_MEKH+In_HIPA+In_Innovation)</f>
        <v>-74.9192140863781</v>
      </c>
      <c r="AY76" s="48" t="n">
        <f aca="false">-AY72*(In_MEKH+In_HIPA+In_Innovation)</f>
        <v>-74.0234408744757</v>
      </c>
      <c r="AZ76" s="48" t="n">
        <f aca="false">-AZ72*(In_MEKH+In_HIPA+In_Innovation)</f>
        <v>-74.8459235508588</v>
      </c>
      <c r="BA76" s="48" t="n">
        <f aca="false">-BA72*(In_MEKH+In_HIPA+In_Innovation)</f>
        <v>-75.6684062272419</v>
      </c>
      <c r="BB76" s="48" t="n">
        <f aca="false">-BB72*(In_MEKH+In_HIPA+In_Innovation)</f>
        <v>-75.4414010085602</v>
      </c>
      <c r="BC76" s="48" t="n">
        <f aca="false">-BC72*(In_MEKH+In_HIPA+In_Innovation)</f>
        <v>-74.5393842573708</v>
      </c>
      <c r="BD76" s="48" t="n">
        <f aca="false">-BD72*(In_MEKH+In_HIPA+In_Innovation)</f>
        <v>-75.3675996380083</v>
      </c>
      <c r="BE76" s="48" t="n">
        <f aca="false">-BE72*(In_MEKH+In_HIPA+In_Innovation)</f>
        <v>-76.1958150186458</v>
      </c>
      <c r="BF76" s="48" t="n">
        <f aca="false">-BF72*(In_MEKH+In_HIPA+In_Innovation)</f>
        <v>-75.9672275735898</v>
      </c>
      <c r="BG76" s="48" t="n">
        <f aca="false">-BG72*(In_MEKH+In_HIPA+In_Innovation)</f>
        <v>-75.0589237656447</v>
      </c>
      <c r="BH76" s="48" t="n">
        <f aca="false">-BH72*(In_MEKH+In_HIPA+In_Innovation)</f>
        <v>-75.8929118074852</v>
      </c>
      <c r="BI76" s="48" t="n">
        <f aca="false">-BI72*(In_MEKH+In_HIPA+In_Innovation)</f>
        <v>-76.7268998493257</v>
      </c>
      <c r="BJ76" s="48" t="n">
        <f aca="false">-BJ72*(In_MEKH+In_HIPA+In_Innovation)</f>
        <v>-76.4967191497777</v>
      </c>
      <c r="BK76" s="48" t="n">
        <f aca="false">-BK72*(In_MEKH+In_HIPA+In_Innovation)</f>
        <v>-76.4218854027834</v>
      </c>
      <c r="BL76" s="48" t="n">
        <f aca="false">-BL72*(In_MEKH+In_HIPA+In_Innovation)</f>
        <v>-76.4218854027834</v>
      </c>
      <c r="BM76" s="48" t="n">
        <f aca="false">-BM72*(In_MEKH+In_HIPA+In_Innovation)</f>
        <v>-77.2616863412755</v>
      </c>
      <c r="BN76" s="48" t="n">
        <f aca="false">-BN72*(In_MEKH+In_HIPA+In_Innovation)</f>
        <v>-77.0299012822517</v>
      </c>
      <c r="BO76" s="48" t="n">
        <f aca="false">-BO72*(In_MEKH+In_HIPA+In_Innovation)</f>
        <v>-76.1088915930074</v>
      </c>
      <c r="BP76" s="48" t="n">
        <f aca="false">-BP72*(In_MEKH+In_HIPA+In_Innovation)</f>
        <v>-76.9545459440408</v>
      </c>
      <c r="BQ76" s="48" t="n">
        <f aca="false">-BQ72*(In_MEKH+In_HIPA+In_Innovation)</f>
        <v>-77.8002002950742</v>
      </c>
      <c r="BR76" s="48" t="n">
        <f aca="false">-BR72*(In_MEKH+In_HIPA+In_Innovation)</f>
        <v>-77.566799694189</v>
      </c>
      <c r="BS76" s="48" t="n">
        <f aca="false">-BS72*(In_MEKH+In_HIPA+In_Innovation)</f>
        <v>-76.6393705674106</v>
      </c>
      <c r="BT76" s="48" t="n">
        <f aca="false">-BT72*(In_MEKH+In_HIPA+In_Innovation)</f>
        <v>-77.4909191292708</v>
      </c>
      <c r="BU76" s="48" t="n">
        <f aca="false">-BU72*(In_MEKH+In_HIPA+In_Innovation)</f>
        <v>-78.3424676911309</v>
      </c>
      <c r="BV76" s="48" t="n">
        <f aca="false">-BV72*(In_MEKH+In_HIPA+In_Innovation)</f>
        <v>-78.1074402880575</v>
      </c>
      <c r="BW76" s="48" t="n">
        <f aca="false">-BW72*(In_MEKH+In_HIPA+In_Innovation)</f>
        <v>-77.1735469802655</v>
      </c>
      <c r="BX76" s="48" t="n">
        <f aca="false">-BX72*(In_MEKH+In_HIPA+In_Innovation)</f>
        <v>-78.0310308356018</v>
      </c>
      <c r="BY76" s="48" t="n">
        <f aca="false">-BY72*(In_MEKH+In_HIPA+In_Innovation)</f>
        <v>-78.888514690938</v>
      </c>
      <c r="BZ76" s="48" t="n">
        <f aca="false">-BZ72*(In_MEKH+In_HIPA+In_Innovation)</f>
        <v>-78.6518491468652</v>
      </c>
      <c r="CA76" s="48" t="n">
        <f aca="false">-CA72*(In_MEKH+In_HIPA+In_Innovation)</f>
        <v>-78.5749071205259</v>
      </c>
      <c r="CB76" s="48" t="n">
        <f aca="false">-CB72*(In_MEKH+In_HIPA+In_Innovation)</f>
        <v>-78.5749071205259</v>
      </c>
      <c r="CC76" s="48" t="n">
        <f aca="false">-CC72*(In_MEKH+In_HIPA+In_Innovation)</f>
        <v>-79.4383676383339</v>
      </c>
      <c r="CD76" s="48" t="n">
        <f aca="false">-CD72*(In_MEKH+In_HIPA+In_Innovation)</f>
        <v>-79.2000525354189</v>
      </c>
      <c r="CE76" s="48" t="n">
        <f aca="false">-CE72*(In_MEKH+In_HIPA+In_Innovation)</f>
        <v>-78.2530953855389</v>
      </c>
      <c r="CF76" s="48" t="n">
        <f aca="false">-CF72*(In_MEKH+In_HIPA+In_Innovation)</f>
        <v>-79.122574223156</v>
      </c>
      <c r="CG76" s="48" t="n">
        <f aca="false">-CG72*(In_MEKH+In_HIPA+In_Innovation)</f>
        <v>-79.9920530607731</v>
      </c>
      <c r="CH76" s="48" t="n">
        <f aca="false">-CH72*(In_MEKH+In_HIPA+In_Innovation)</f>
        <v>-79.7520769015908</v>
      </c>
      <c r="CI76" s="48" t="n">
        <f aca="false">-CI72*(In_MEKH+In_HIPA+In_Innovation)</f>
        <v>-78.7985194603761</v>
      </c>
      <c r="CJ76" s="48" t="n">
        <f aca="false">-CJ72*(In_MEKH+In_HIPA+In_Innovation)</f>
        <v>-79.6740585654914</v>
      </c>
      <c r="CK76" s="48" t="n">
        <f aca="false">-CK72*(In_MEKH+In_HIPA+In_Innovation)</f>
        <v>-80.5495976706067</v>
      </c>
      <c r="CL76" s="48" t="n">
        <f aca="false">-CL72*(In_MEKH+In_HIPA+In_Innovation)</f>
        <v>-80.3079488775948</v>
      </c>
      <c r="CM76" s="48" t="n">
        <f aca="false">-CM72*(In_MEKH+In_HIPA+In_Innovation)</f>
        <v>-79.3477451410149</v>
      </c>
      <c r="CN76" s="48" t="n">
        <f aca="false">-CN72*(In_MEKH+In_HIPA+In_Innovation)</f>
        <v>-80.2293867536928</v>
      </c>
      <c r="CO76" s="48" t="n">
        <f aca="false">-CO72*(In_MEKH+In_HIPA+In_Innovation)</f>
        <v>-81.1110283663708</v>
      </c>
      <c r="CP76" s="48" t="n">
        <f aca="false">-CP72*(In_MEKH+In_HIPA+In_Innovation)</f>
        <v>-80.8676952812717</v>
      </c>
      <c r="CQ76" s="48" t="n">
        <f aca="false">-CQ72*(In_MEKH+In_HIPA+In_Innovation)</f>
        <v>-80.7885855793661</v>
      </c>
      <c r="CR76" s="48" t="n">
        <f aca="false">-CR72*(In_MEKH+In_HIPA+In_Innovation)</f>
        <v>-80.7885855793661</v>
      </c>
      <c r="CS76" s="48" t="n">
        <f aca="false">-CS72*(In_MEKH+In_HIPA+In_Innovation)</f>
        <v>-81.6763722340844</v>
      </c>
      <c r="CT76" s="48" t="n">
        <f aca="false">-CT72*(In_MEKH+In_HIPA+In_Innovation)</f>
        <v>-81.4313431173821</v>
      </c>
      <c r="CU76" s="48" t="n">
        <f aca="false">-CU72*(In_MEKH+In_HIPA+In_Innovation)</f>
        <v>-80.4577074931526</v>
      </c>
      <c r="CV76" s="48" t="n">
        <f aca="false">-CV72*(In_MEKH+In_HIPA+In_Innovation)</f>
        <v>-81.3516820208543</v>
      </c>
      <c r="CW76" s="48" t="n">
        <f aca="false">-CW72*(In_MEKH+In_HIPA+In_Innovation)</f>
        <v>-82.245656548556</v>
      </c>
      <c r="CX76" s="48" t="n">
        <f aca="false">-CX72*(In_MEKH+In_HIPA+In_Innovation)</f>
        <v>-81.9989195789103</v>
      </c>
      <c r="CY76" s="48" t="n">
        <f aca="false">-CY72*(In_MEKH+In_HIPA+In_Innovation)</f>
        <v>-81.0184977143799</v>
      </c>
      <c r="CZ76" s="48" t="n">
        <f aca="false">-CZ72*(In_MEKH+In_HIPA+In_Innovation)</f>
        <v>-81.9187032445396</v>
      </c>
      <c r="DA76" s="48" t="n">
        <f aca="false">-DA72*(In_MEKH+In_HIPA+In_Innovation)</f>
        <v>-82.8189087746994</v>
      </c>
      <c r="DB76" s="48" t="n">
        <f aca="false">-DB72*(In_MEKH+In_HIPA+In_Innovation)</f>
        <v>-82.5704520483753</v>
      </c>
      <c r="DC76" s="48" t="n">
        <f aca="false">-DC72*(In_MEKH+In_HIPA+In_Innovation)</f>
        <v>-81.5831966434491</v>
      </c>
      <c r="DD76" s="48" t="n">
        <f aca="false">-DD72*(In_MEKH+In_HIPA+In_Innovation)</f>
        <v>-82.4896766061541</v>
      </c>
      <c r="DE76" s="48" t="n">
        <f aca="false">-DE72*(In_MEKH+In_HIPA+In_Innovation)</f>
        <v>-83.3961565688591</v>
      </c>
      <c r="DF76" s="48" t="n">
        <f aca="false">-DF72*(In_MEKH+In_HIPA+In_Innovation)</f>
        <v>-83.1459680991525</v>
      </c>
      <c r="DG76" s="48" t="n">
        <f aca="false">-DG72*(In_MEKH+In_HIPA+In_Innovation)</f>
        <v>-83.0646296520989</v>
      </c>
      <c r="DH76" s="48" t="n">
        <f aca="false">-DH72*(In_MEKH+In_HIPA+In_Innovation)</f>
        <v>-83.0646296520989</v>
      </c>
      <c r="DI76" s="48" t="n">
        <f aca="false">-DI72*(In_MEKH+In_HIPA+In_Innovation)</f>
        <v>-83.977427780144</v>
      </c>
      <c r="DJ76" s="48" t="n">
        <f aca="false">-DJ72*(In_MEKH+In_HIPA+In_Innovation)</f>
        <v>-83.7254954968036</v>
      </c>
      <c r="DK76" s="48" t="n">
        <f aca="false">-DK72*(In_MEKH+In_HIPA+In_Innovation)</f>
        <v>-82.7244297897766</v>
      </c>
      <c r="DL76" s="48" t="n">
        <f aca="false">-DL72*(In_MEKH+In_HIPA+In_Innovation)</f>
        <v>-83.6435901207741</v>
      </c>
      <c r="DM76" s="48" t="n">
        <f aca="false">-DM72*(In_MEKH+In_HIPA+In_Innovation)</f>
        <v>-84.5627504517716</v>
      </c>
      <c r="DN76" s="48" t="n">
        <f aca="false">-DN72*(In_MEKH+In_HIPA+In_Innovation)</f>
        <v>-84.3090622004163</v>
      </c>
      <c r="DO76" s="48" t="n">
        <f aca="false">-DO72*(In_MEKH+In_HIPA+In_Innovation)</f>
        <v>-83.3010190654113</v>
      </c>
      <c r="DP76" s="48" t="n">
        <f aca="false">-DP72*(In_MEKH+In_HIPA+In_Innovation)</f>
        <v>-84.2265859439159</v>
      </c>
      <c r="DQ76" s="48" t="n">
        <f aca="false">-DQ72*(In_MEKH+In_HIPA+In_Innovation)</f>
        <v>-85.1521528224205</v>
      </c>
      <c r="DR76" s="48" t="n">
        <f aca="false">-DR72*(In_MEKH+In_HIPA+In_Innovation)</f>
        <v>-84.8966963639532</v>
      </c>
      <c r="DS76" s="48" t="n">
        <f aca="false">-DS72*(In_MEKH+In_HIPA+In_Innovation)</f>
        <v>-83.8816271682972</v>
      </c>
      <c r="DT76" s="48" t="n">
        <f aca="false">-DT72*(In_MEKH+In_HIPA+In_Innovation)</f>
        <v>-84.813645247945</v>
      </c>
      <c r="DU76" s="48" t="n">
        <f aca="false">-DU72*(In_MEKH+In_HIPA+In_Innovation)</f>
        <v>-85.7456633275927</v>
      </c>
      <c r="DV76" s="48" t="n">
        <f aca="false">-DV72*(In_MEKH+In_HIPA+In_Innovation)</f>
        <v>-85.48842633761</v>
      </c>
      <c r="DW76" s="48" t="n">
        <f aca="false">-DW72*(In_MEKH+In_HIPA+In_Innovation)</f>
        <v>-85.4047963553232</v>
      </c>
      <c r="DX76" s="48" t="n">
        <f aca="false">-DX72*(In_MEKH+In_HIPA+In_Innovation)</f>
        <v>-85.4047963553232</v>
      </c>
      <c r="DY76" s="48" t="n">
        <f aca="false">-DY72*(In_MEKH+In_HIPA+In_Innovation)</f>
        <v>-86.3433106009861</v>
      </c>
      <c r="DZ76" s="48" t="n">
        <f aca="false">-DZ72*(In_MEKH+In_HIPA+In_Innovation)</f>
        <v>-86.0842806691831</v>
      </c>
      <c r="EA76" s="48" t="n">
        <f aca="false">-EA72*(In_MEKH+In_HIPA+In_Innovation)</f>
        <v>-85.0550120959646</v>
      </c>
      <c r="EB76" s="48" t="n">
        <f aca="false">-EB72*(In_MEKH+In_HIPA+In_Innovation)</f>
        <v>-86.0000677859198</v>
      </c>
      <c r="EC76" s="48" t="n">
        <f aca="false">-EC72*(In_MEKH+In_HIPA+In_Innovation)</f>
        <v>-86.9451234758749</v>
      </c>
      <c r="ED76" s="48" t="n">
        <f aca="false">-ED72*(In_MEKH+In_HIPA+In_Innovation)</f>
        <v>-86.6842881054473</v>
      </c>
      <c r="EE76" s="48" t="n">
        <f aca="false">-EE72*(In_MEKH+In_HIPA+In_Innovation)</f>
        <v>-85.6478455302735</v>
      </c>
      <c r="EF76" s="48" t="n">
        <f aca="false">-EF72*(In_MEKH+In_HIPA+In_Innovation)</f>
        <v>-86.5994882583876</v>
      </c>
      <c r="EG76" s="48" t="n">
        <f aca="false">-EG72*(In_MEKH+In_HIPA+In_Innovation)</f>
        <v>-87.5511309865018</v>
      </c>
      <c r="EH76" s="48" t="n">
        <f aca="false">-EH72*(In_MEKH+In_HIPA+In_Innovation)</f>
        <v>-87.2884775935423</v>
      </c>
      <c r="EI76" s="48" t="n">
        <f aca="false">-EI72*(In_MEKH+In_HIPA+In_Innovation)</f>
        <v>-86.2448110136195</v>
      </c>
      <c r="EJ76" s="48" t="n">
        <f aca="false">-EJ72*(In_MEKH+In_HIPA+In_Innovation)</f>
        <v>-87.2030866915486</v>
      </c>
      <c r="EK76" s="48" t="n">
        <f aca="false">-EK72*(In_MEKH+In_HIPA+In_Innovation)</f>
        <v>-88.1613623694777</v>
      </c>
      <c r="EL76" s="48" t="n">
        <f aca="false">-EL72*(In_MEKH+In_HIPA+In_Innovation)</f>
        <v>-87.8968782823693</v>
      </c>
      <c r="EM76" s="48" t="n">
        <f aca="false">-EM72*(In_MEKH+In_HIPA+In_Innovation)</f>
        <v>-87.8108922057887</v>
      </c>
      <c r="EN76" s="48" t="n">
        <f aca="false">-EN72*(In_MEKH+In_HIPA+In_Innovation)</f>
        <v>-87.8108922057887</v>
      </c>
      <c r="EO76" s="48" t="n">
        <f aca="false">-EO72*(In_MEKH+In_HIPA+In_Innovation)</f>
        <v>-88.775847065193</v>
      </c>
    </row>
    <row r="77" customFormat="false" ht="15" hidden="false" customHeight="false" outlineLevel="0" collapsed="false">
      <c r="C77" s="1" t="s">
        <v>307</v>
      </c>
      <c r="D77" s="12" t="s">
        <v>33</v>
      </c>
      <c r="I77" s="48" t="n">
        <f aca="false">SUM(J77:EO77)</f>
        <v>-4855.44410223627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-27.6861487621918</v>
      </c>
      <c r="AA77" s="48" t="n">
        <f aca="false">In_Opex_Contingency*(AA73+AA74+AA75-AA72*In_MEKH)</f>
        <v>-27.759186020589</v>
      </c>
      <c r="AB77" s="48" t="n">
        <f aca="false">In_Opex_Contingency*(AB73+AB74+AB75-AB72*In_MEKH)</f>
        <v>-28.0676214208178</v>
      </c>
      <c r="AC77" s="48" t="n">
        <f aca="false">In_Opex_Contingency*(AC73+AC74+AC75-AC72*In_MEKH)</f>
        <v>-28.3760568210466</v>
      </c>
      <c r="AD77" s="48" t="n">
        <f aca="false">In_Opex_Contingency*(AD73+AD74+AD75-AD72*In_MEKH)</f>
        <v>-28.3500276231862</v>
      </c>
      <c r="AE77" s="48" t="n">
        <f aca="false">In_Opex_Contingency*(AE73+AE74+AE75-AE72*In_MEKH)</f>
        <v>-28.7406852947782</v>
      </c>
      <c r="AF77" s="48" t="n">
        <f aca="false">In_Opex_Contingency*(AF73+AF74+AF75-AF72*In_MEKH)</f>
        <v>-28.7406852947782</v>
      </c>
      <c r="AG77" s="48" t="n">
        <f aca="false">In_Opex_Contingency*(AG73+AG74+AG75-AG72*In_MEKH)</f>
        <v>-29.0565170013142</v>
      </c>
      <c r="AH77" s="48" t="n">
        <f aca="false">In_Opex_Contingency*(AH73+AH74+AH75-AH72*In_MEKH)</f>
        <v>-29.0299238972281</v>
      </c>
      <c r="AI77" s="48" t="n">
        <f aca="false">In_Opex_Contingency*(AI73+AI74+AI75-AI72*In_MEKH)</f>
        <v>-29.1065819877973</v>
      </c>
      <c r="AJ77" s="48" t="n">
        <f aca="false">In_Opex_Contingency*(AJ73+AJ74+AJ75-AJ72*In_MEKH)</f>
        <v>-29.4299884543283</v>
      </c>
      <c r="AK77" s="48" t="n">
        <f aca="false">In_Opex_Contingency*(AK73+AK74+AK75-AK72*In_MEKH)</f>
        <v>-29.7533949208594</v>
      </c>
      <c r="AL77" s="48" t="n">
        <f aca="false">In_Opex_Contingency*(AL73+AL74+AL75-AL72*In_MEKH)</f>
        <v>-29.7262255941876</v>
      </c>
      <c r="AM77" s="48" t="n">
        <f aca="false">In_Opex_Contingency*(AM73+AM74+AM75-AM72*In_MEKH)</f>
        <v>-29.8047602827551</v>
      </c>
      <c r="AN77" s="48" t="n">
        <f aca="false">In_Opex_Contingency*(AN73+AN74+AN75-AN72*In_MEKH)</f>
        <v>-30.1359242858968</v>
      </c>
      <c r="AO77" s="48" t="n">
        <f aca="false">In_Opex_Contingency*(AO73+AO74+AO75-AO72*In_MEKH)</f>
        <v>-30.4670882890385</v>
      </c>
      <c r="AP77" s="48" t="n">
        <f aca="false">In_Opex_Contingency*(AP73+AP74+AP75-AP72*In_MEKH)</f>
        <v>-30.4393301537144</v>
      </c>
      <c r="AQ77" s="48" t="n">
        <f aca="false">In_Opex_Contingency*(AQ73+AQ74+AQ75-AQ72*In_MEKH)</f>
        <v>-30.5197869920154</v>
      </c>
      <c r="AR77" s="48" t="n">
        <f aca="false">In_Opex_Contingency*(AR73+AR74+AR75-AR72*In_MEKH)</f>
        <v>-30.8588957363711</v>
      </c>
      <c r="AS77" s="48" t="n">
        <f aca="false">In_Opex_Contingency*(AS73+AS74+AS75-AS72*In_MEKH)</f>
        <v>-31.1980044807269</v>
      </c>
      <c r="AT77" s="48" t="n">
        <f aca="false">In_Opex_Contingency*(AT73+AT74+AT75-AT72*In_MEKH)</f>
        <v>-31.1696446750663</v>
      </c>
      <c r="AU77" s="48" t="n">
        <f aca="false">In_Opex_Contingency*(AU73+AU74+AU75-AU72*In_MEKH)</f>
        <v>-31.599315546111</v>
      </c>
      <c r="AV77" s="48" t="n">
        <f aca="false">In_Opex_Contingency*(AV73+AV74+AV75-AV72*In_MEKH)</f>
        <v>-31.599315546111</v>
      </c>
      <c r="AW77" s="48" t="n">
        <f aca="false">In_Opex_Contingency*(AW73+AW74+AW75-AW72*In_MEKH)</f>
        <v>-31.9465607718925</v>
      </c>
      <c r="AX77" s="48" t="n">
        <f aca="false">In_Opex_Contingency*(AX73+AX74+AX75-AX72*In_MEKH)</f>
        <v>-31.9175861525529</v>
      </c>
      <c r="AY77" s="48" t="n">
        <f aca="false">In_Opex_Contingency*(AY73+AY74+AY75-AY72*In_MEKH)</f>
        <v>-32.0020283943847</v>
      </c>
      <c r="AZ77" s="48" t="n">
        <f aca="false">In_Opex_Contingency*(AZ73+AZ74+AZ75-AZ72*In_MEKH)</f>
        <v>-32.3576064876556</v>
      </c>
      <c r="BA77" s="48" t="n">
        <f aca="false">In_Opex_Contingency*(BA73+BA74+BA75-BA72*In_MEKH)</f>
        <v>-32.7131845809266</v>
      </c>
      <c r="BB77" s="48" t="n">
        <f aca="false">In_Opex_Contingency*(BB73+BB74+BB75-BB72*In_MEKH)</f>
        <v>-32.6835817167343</v>
      </c>
      <c r="BC77" s="48" t="n">
        <f aca="false">In_Opex_Contingency*(BC73+BC74+BC75-BC72*In_MEKH)</f>
        <v>-32.7700895046566</v>
      </c>
      <c r="BD77" s="48" t="n">
        <f aca="false">In_Opex_Contingency*(BD73+BD74+BD75-BD72*In_MEKH)</f>
        <v>-33.1342016102639</v>
      </c>
      <c r="BE77" s="48" t="n">
        <f aca="false">In_Opex_Contingency*(BE73+BE74+BE75-BE72*In_MEKH)</f>
        <v>-33.4983137158712</v>
      </c>
      <c r="BF77" s="48" t="n">
        <f aca="false">In_Opex_Contingency*(BF73+BF74+BF75-BF72*In_MEKH)</f>
        <v>-33.4680688815128</v>
      </c>
      <c r="BG77" s="48" t="n">
        <f aca="false">In_Opex_Contingency*(BG73+BG74+BG75-BG72*In_MEKH)</f>
        <v>-33.556692353174</v>
      </c>
      <c r="BH77" s="48" t="n">
        <f aca="false">In_Opex_Contingency*(BH73+BH74+BH75-BH72*In_MEKH)</f>
        <v>-33.9295444904315</v>
      </c>
      <c r="BI77" s="48" t="n">
        <f aca="false">In_Opex_Contingency*(BI73+BI74+BI75-BI72*In_MEKH)</f>
        <v>-34.302396627689</v>
      </c>
      <c r="BJ77" s="48" t="n">
        <f aca="false">In_Opex_Contingency*(BJ73+BJ74+BJ75-BJ72*In_MEKH)</f>
        <v>-34.271495797265</v>
      </c>
      <c r="BK77" s="48" t="n">
        <f aca="false">In_Opex_Contingency*(BK73+BK74+BK75-BK72*In_MEKH)</f>
        <v>-34.7440894885305</v>
      </c>
      <c r="BL77" s="48" t="n">
        <f aca="false">In_Opex_Contingency*(BL73+BL74+BL75-BL72*In_MEKH)</f>
        <v>-34.7440894885305</v>
      </c>
      <c r="BM77" s="48" t="n">
        <f aca="false">In_Opex_Contingency*(BM73+BM74+BM75-BM72*In_MEKH)</f>
        <v>-35.1258926697232</v>
      </c>
      <c r="BN77" s="48" t="n">
        <f aca="false">In_Opex_Contingency*(BN73+BN74+BN75-BN72*In_MEKH)</f>
        <v>-35.0943215101595</v>
      </c>
      <c r="BO77" s="48" t="n">
        <f aca="false">In_Opex_Contingency*(BO73+BO74+BO75-BO72*In_MEKH)</f>
        <v>-35.1873316599441</v>
      </c>
      <c r="BP77" s="48" t="n">
        <f aca="false">In_Opex_Contingency*(BP73+BP74+BP75-BP72*In_MEKH)</f>
        <v>-35.5783020117213</v>
      </c>
      <c r="BQ77" s="48" t="n">
        <f aca="false">In_Opex_Contingency*(BQ73+BQ74+BQ75-BQ72*In_MEKH)</f>
        <v>-35.9692723634984</v>
      </c>
      <c r="BR77" s="48" t="n">
        <f aca="false">In_Opex_Contingency*(BR73+BR74+BR75-BR72*In_MEKH)</f>
        <v>-35.9370162278146</v>
      </c>
      <c r="BS77" s="48" t="n">
        <f aca="false">In_Opex_Contingency*(BS73+BS74+BS75-BS72*In_MEKH)</f>
        <v>-36.0322998955625</v>
      </c>
      <c r="BT77" s="48" t="n">
        <f aca="false">In_Opex_Contingency*(BT73+BT74+BT75-BT72*In_MEKH)</f>
        <v>-36.432658783291</v>
      </c>
      <c r="BU77" s="48" t="n">
        <f aca="false">In_Opex_Contingency*(BU73+BU74+BU75-BU72*In_MEKH)</f>
        <v>-36.8330176710195</v>
      </c>
      <c r="BV77" s="48" t="n">
        <f aca="false">In_Opex_Contingency*(BV73+BV74+BV75-BV72*In_MEKH)</f>
        <v>-36.8000615914482</v>
      </c>
      <c r="BW77" s="48" t="n">
        <f aca="false">In_Opex_Contingency*(BW73+BW74+BW75-BW72*In_MEKH)</f>
        <v>-36.897673963427</v>
      </c>
      <c r="BX77" s="48" t="n">
        <f aca="false">In_Opex_Contingency*(BX73+BX74+BX75-BX72*In_MEKH)</f>
        <v>-37.3076481185762</v>
      </c>
      <c r="BY77" s="48" t="n">
        <f aca="false">In_Opex_Contingency*(BY73+BY74+BY75-BY72*In_MEKH)</f>
        <v>-37.7176222737254</v>
      </c>
      <c r="BZ77" s="48" t="n">
        <f aca="false">In_Opex_Contingency*(BZ73+BZ74+BZ75-BZ72*In_MEKH)</f>
        <v>-37.6839509546821</v>
      </c>
      <c r="CA77" s="48" t="n">
        <f aca="false">In_Opex_Contingency*(CA73+CA74+CA75-CA72*In_MEKH)</f>
        <v>-38.20377020763</v>
      </c>
      <c r="CB77" s="48" t="n">
        <f aca="false">In_Opex_Contingency*(CB73+CB74+CB75-CB72*In_MEKH)</f>
        <v>-38.20377020763</v>
      </c>
      <c r="CC77" s="48" t="n">
        <f aca="false">In_Opex_Contingency*(CC73+CC74+CC75-CC72*In_MEKH)</f>
        <v>-38.6235918582633</v>
      </c>
      <c r="CD77" s="48" t="n">
        <f aca="false">In_Opex_Contingency*(CD73+CD74+CD75-CD72*In_MEKH)</f>
        <v>-38.5891896691609</v>
      </c>
      <c r="CE77" s="48" t="n">
        <f aca="false">In_Opex_Contingency*(CE73+CE74+CE75-CE72*In_MEKH)</f>
        <v>-38.6916304003514</v>
      </c>
      <c r="CF77" s="48" t="n">
        <f aca="false">In_Opex_Contingency*(CF73+CF74+CF75-CF72*In_MEKH)</f>
        <v>-39.1215374047998</v>
      </c>
      <c r="CG77" s="48" t="n">
        <f aca="false">In_Opex_Contingency*(CG73+CG74+CG75-CG72*In_MEKH)</f>
        <v>-39.5514444092481</v>
      </c>
      <c r="CH77" s="48" t="n">
        <f aca="false">In_Opex_Contingency*(CH73+CH74+CH75-CH72*In_MEKH)</f>
        <v>-39.5162953771545</v>
      </c>
      <c r="CI77" s="48" t="n">
        <f aca="false">In_Opex_Contingency*(CI73+CI74+CI75-CI72*In_MEKH)</f>
        <v>-39.6212385415893</v>
      </c>
      <c r="CJ77" s="48" t="n">
        <f aca="false">In_Opex_Contingency*(CJ73+CJ74+CJ75-CJ72*In_MEKH)</f>
        <v>-40.0614745253848</v>
      </c>
      <c r="CK77" s="48" t="n">
        <f aca="false">In_Opex_Contingency*(CK73+CK74+CK75-CK72*In_MEKH)</f>
        <v>-40.5017105091802</v>
      </c>
      <c r="CL77" s="48" t="n">
        <f aca="false">In_Opex_Contingency*(CL73+CL74+CL75-CL72*In_MEKH)</f>
        <v>-40.4657983113151</v>
      </c>
      <c r="CM77" s="48" t="n">
        <f aca="false">In_Opex_Contingency*(CM73+CM74+CM75-CM72*In_MEKH)</f>
        <v>-40.5733046533978</v>
      </c>
      <c r="CN77" s="48" t="n">
        <f aca="false">In_Opex_Contingency*(CN73+CN74+CN75-CN72*In_MEKH)</f>
        <v>-41.0241191495467</v>
      </c>
      <c r="CO77" s="48" t="n">
        <f aca="false">In_Opex_Contingency*(CO73+CO74+CO75-CO72*In_MEKH)</f>
        <v>-41.4749336456956</v>
      </c>
      <c r="CP77" s="48" t="n">
        <f aca="false">In_Opex_Contingency*(CP73+CP74+CP75-CP72*In_MEKH)</f>
        <v>-41.4382416017625</v>
      </c>
      <c r="CQ77" s="48" t="n">
        <f aca="false">In_Opex_Contingency*(CQ73+CQ74+CQ75-CQ72*In_MEKH)</f>
        <v>-42.0100219336516</v>
      </c>
      <c r="CR77" s="48" t="n">
        <f aca="false">In_Opex_Contingency*(CR73+CR74+CR75-CR72*In_MEKH)</f>
        <v>-42.0100219336516</v>
      </c>
      <c r="CS77" s="48" t="n">
        <f aca="false">In_Opex_Contingency*(CS73+CS74+CS75-CS72*In_MEKH)</f>
        <v>-42.471670526329</v>
      </c>
      <c r="CT77" s="48" t="n">
        <f aca="false">In_Opex_Contingency*(CT73+CT74+CT75-CT72*In_MEKH)</f>
        <v>-42.4341815906792</v>
      </c>
      <c r="CU77" s="48" t="n">
        <f aca="false">In_Opex_Contingency*(CU73+CU74+CU75-CU72*In_MEKH)</f>
        <v>-42.5470024574743</v>
      </c>
      <c r="CV77" s="48" t="n">
        <f aca="false">In_Opex_Contingency*(CV73+CV74+CV75-CV72*In_MEKH)</f>
        <v>-43.019746929224</v>
      </c>
      <c r="CW77" s="48" t="n">
        <f aca="false">In_Opex_Contingency*(CW73+CW74+CW75-CW72*In_MEKH)</f>
        <v>-43.4924914009738</v>
      </c>
      <c r="CX77" s="48" t="n">
        <f aca="false">In_Opex_Contingency*(CX73+CX74+CX75-CX72*In_MEKH)</f>
        <v>-43.4541881545982</v>
      </c>
      <c r="CY77" s="48" t="n">
        <f aca="false">In_Opex_Contingency*(CY73+CY74+CY75-CY72*In_MEKH)</f>
        <v>-43.5697634271779</v>
      </c>
      <c r="CZ77" s="48" t="n">
        <f aca="false">In_Opex_Contingency*(CZ73+CZ74+CZ75-CZ72*In_MEKH)</f>
        <v>-44.0538719097021</v>
      </c>
      <c r="DA77" s="48" t="n">
        <f aca="false">In_Opex_Contingency*(DA73+DA74+DA75-DA72*In_MEKH)</f>
        <v>-44.5379803922263</v>
      </c>
      <c r="DB77" s="48" t="n">
        <f aca="false">In_Opex_Contingency*(DB73+DB74+DB75-DB72*In_MEKH)</f>
        <v>-44.4988450345726</v>
      </c>
      <c r="DC77" s="48" t="n">
        <f aca="false">In_Opex_Contingency*(DC73+DC74+DC75-DC72*In_MEKH)</f>
        <v>-44.6172415765537</v>
      </c>
      <c r="DD77" s="48" t="n">
        <f aca="false">In_Opex_Contingency*(DD73+DD74+DD75-DD72*In_MEKH)</f>
        <v>-45.1129887051821</v>
      </c>
      <c r="DE77" s="48" t="n">
        <f aca="false">In_Opex_Contingency*(DE73+DE74+DE75-DE72*In_MEKH)</f>
        <v>-45.6087358338105</v>
      </c>
      <c r="DF77" s="48" t="n">
        <f aca="false">In_Opex_Contingency*(DF73+DF74+DF75-DF72*In_MEKH)</f>
        <v>-45.5687501744202</v>
      </c>
      <c r="DG77" s="48" t="n">
        <f aca="false">In_Opex_Contingency*(DG73+DG74+DG75-DG72*In_MEKH)</f>
        <v>-46.1977035453506</v>
      </c>
      <c r="DH77" s="48" t="n">
        <f aca="false">In_Opex_Contingency*(DH73+DH74+DH75-DH72*In_MEKH)</f>
        <v>-46.1977035453506</v>
      </c>
      <c r="DI77" s="48" t="n">
        <f aca="false">In_Opex_Contingency*(DI73+DI74+DI75-DI72*In_MEKH)</f>
        <v>-46.7053706172776</v>
      </c>
      <c r="DJ77" s="48" t="n">
        <f aca="false">In_Opex_Contingency*(DJ73+DJ74+DJ75-DJ72*In_MEKH)</f>
        <v>-46.6645160672396</v>
      </c>
      <c r="DK77" s="48" t="n">
        <f aca="false">In_Opex_Contingency*(DK73+DK74+DK75-DK72*In_MEKH)</f>
        <v>-46.7887622744214</v>
      </c>
      <c r="DL77" s="48" t="n">
        <f aca="false">In_Opex_Contingency*(DL73+DL74+DL75-DL72*In_MEKH)</f>
        <v>-47.3086374108039</v>
      </c>
      <c r="DM77" s="48" t="n">
        <f aca="false">In_Opex_Contingency*(DM73+DM74+DM75-DM72*In_MEKH)</f>
        <v>-47.8285125471863</v>
      </c>
      <c r="DN77" s="48" t="n">
        <f aca="false">In_Opex_Contingency*(DN73+DN74+DN75-DN72*In_MEKH)</f>
        <v>-47.786770110404</v>
      </c>
      <c r="DO77" s="48" t="n">
        <f aca="false">In_Opex_Contingency*(DO73+DO74+DO75-DO72*In_MEKH)</f>
        <v>-47.9140480809492</v>
      </c>
      <c r="DP77" s="48" t="n">
        <f aca="false">In_Opex_Contingency*(DP73+DP74+DP75-DP72*In_MEKH)</f>
        <v>-48.4464263929598</v>
      </c>
      <c r="DQ77" s="48" t="n">
        <f aca="false">In_Opex_Contingency*(DQ73+DQ74+DQ75-DQ72*In_MEKH)</f>
        <v>-48.9788047049703</v>
      </c>
      <c r="DR77" s="48" t="n">
        <f aca="false">In_Opex_Contingency*(DR73+DR74+DR75-DR72*In_MEKH)</f>
        <v>-48.9361549692362</v>
      </c>
      <c r="DS77" s="48" t="n">
        <f aca="false">In_Opex_Contingency*(DS73+DS74+DS75-DS72*In_MEKH)</f>
        <v>-49.0665383038425</v>
      </c>
      <c r="DT77" s="48" t="n">
        <f aca="false">In_Opex_Contingency*(DT73+DT74+DT75-DT72*In_MEKH)</f>
        <v>-49.6117220627741</v>
      </c>
      <c r="DU77" s="48" t="n">
        <f aca="false">In_Opex_Contingency*(DU73+DU74+DU75-DU72*In_MEKH)</f>
        <v>-50.1569058217057</v>
      </c>
      <c r="DV77" s="48" t="n">
        <f aca="false">In_Opex_Contingency*(DV73+DV74+DV75-DV72*In_MEKH)</f>
        <v>-50.1133289495808</v>
      </c>
      <c r="DW77" s="48" t="n">
        <f aca="false">In_Opex_Contingency*(DW73+DW74+DW75-DW72*In_MEKH)</f>
        <v>-50.8051918484756</v>
      </c>
      <c r="DX77" s="48" t="n">
        <f aca="false">In_Opex_Contingency*(DX73+DX74+DX75-DX72*In_MEKH)</f>
        <v>-50.8051918484756</v>
      </c>
      <c r="DY77" s="48" t="n">
        <f aca="false">In_Opex_Contingency*(DY73+DY74+DY75-DY72*In_MEKH)</f>
        <v>-51.3634906599973</v>
      </c>
      <c r="DZ77" s="48" t="n">
        <f aca="false">In_Opex_Contingency*(DZ73+DZ74+DZ75-DZ72*In_MEKH)</f>
        <v>-51.318966379491</v>
      </c>
      <c r="EA77" s="48" t="n">
        <f aca="false">In_Opex_Contingency*(EA73+EA74+EA75-EA72*In_MEKH)</f>
        <v>-51.4557884398768</v>
      </c>
      <c r="EB77" s="48" t="n">
        <f aca="false">In_Opex_Contingency*(EB73+EB74+EB75-EB72*In_MEKH)</f>
        <v>-52.0275194225421</v>
      </c>
      <c r="EC77" s="48" t="n">
        <f aca="false">In_Opex_Contingency*(EC73+EC74+EC75-EC72*In_MEKH)</f>
        <v>-52.5992504052074</v>
      </c>
      <c r="ED77" s="48" t="n">
        <f aca="false">In_Opex_Contingency*(ED73+ED74+ED75-ED72*In_MEKH)</f>
        <v>-52.5537580002524</v>
      </c>
      <c r="EE77" s="48" t="n">
        <f aca="false">In_Opex_Contingency*(EE73+EE74+EE75-EE72*In_MEKH)</f>
        <v>-52.6939171300324</v>
      </c>
      <c r="EF77" s="48" t="n">
        <f aca="false">In_Opex_Contingency*(EF73+EF74+EF75-EF72*In_MEKH)</f>
        <v>-53.2794050981439</v>
      </c>
      <c r="EG77" s="48" t="n">
        <f aca="false">In_Opex_Contingency*(EG73+EG74+EG75-EG72*In_MEKH)</f>
        <v>-53.8648930662554</v>
      </c>
      <c r="EH77" s="48" t="n">
        <f aca="false">In_Opex_Contingency*(EH73+EH74+EH75-EH72*In_MEKH)</f>
        <v>-53.8184113669737</v>
      </c>
      <c r="EI77" s="48" t="n">
        <f aca="false">In_Opex_Contingency*(EI73+EI74+EI75-EI72*In_MEKH)</f>
        <v>-53.9619885843489</v>
      </c>
      <c r="EJ77" s="48" t="n">
        <f aca="false">In_Opex_Contingency*(EJ73+EJ74+EJ75-EJ72*In_MEKH)</f>
        <v>-54.5615662352861</v>
      </c>
      <c r="EK77" s="48" t="n">
        <f aca="false">In_Opex_Contingency*(EK73+EK74+EK75-EK72*In_MEKH)</f>
        <v>-55.1611438862233</v>
      </c>
      <c r="EL77" s="48" t="n">
        <f aca="false">In_Opex_Contingency*(EL73+EL74+EL75-EL72*In_MEKH)</f>
        <v>-55.1136512589796</v>
      </c>
      <c r="EM77" s="48" t="n">
        <f aca="false">In_Opex_Contingency*(EM73+EM74+EM75-EM72*In_MEKH)</f>
        <v>-55.8747376568881</v>
      </c>
      <c r="EN77" s="48" t="n">
        <f aca="false">In_Opex_Contingency*(EN73+EN74+EN75-EN72*In_MEKH)</f>
        <v>-55.8747376568881</v>
      </c>
      <c r="EO77" s="48" t="n">
        <f aca="false">In_Opex_Contingency*(EO73+EO74+EO75-EO72*In_MEKH)</f>
        <v>-56.4887457630078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-11384.9510381364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-99.8071200000001</v>
      </c>
      <c r="AA78" s="48" t="n">
        <f aca="false">-$E32*AA71/Thousand</f>
        <v>-97.6374</v>
      </c>
      <c r="AB78" s="48" t="n">
        <f aca="false">-$E32*AB71/Thousand</f>
        <v>-98.72226</v>
      </c>
      <c r="AC78" s="48" t="n">
        <f aca="false">-$E32*AC71/Thousand</f>
        <v>-99.8071200000001</v>
      </c>
      <c r="AD78" s="48" t="n">
        <f aca="false">-$E32*AD71/Thousand</f>
        <v>-99.50769864</v>
      </c>
      <c r="AE78" s="48" t="n">
        <f aca="false">-$E32*AE71/Thousand</f>
        <v>-98.42609322</v>
      </c>
      <c r="AF78" s="48" t="n">
        <f aca="false">-$E32*AF71/Thousand</f>
        <v>-98.42609322</v>
      </c>
      <c r="AG78" s="48" t="n">
        <f aca="false">-$E32*AG71/Thousand</f>
        <v>-99.50769864</v>
      </c>
      <c r="AH78" s="48" t="n">
        <f aca="false">-$E32*AH71/Thousand</f>
        <v>-99.2091755440801</v>
      </c>
      <c r="AI78" s="48" t="n">
        <f aca="false">-$E32*AI71/Thousand</f>
        <v>-97.0524543366001</v>
      </c>
      <c r="AJ78" s="48" t="n">
        <f aca="false">-$E32*AJ71/Thousand</f>
        <v>-98.13081494034</v>
      </c>
      <c r="AK78" s="48" t="n">
        <f aca="false">-$E32*AK71/Thousand</f>
        <v>-99.2091755440801</v>
      </c>
      <c r="AL78" s="48" t="n">
        <f aca="false">-$E32*AL71/Thousand</f>
        <v>-98.9115480174478</v>
      </c>
      <c r="AM78" s="48" t="n">
        <f aca="false">-$E32*AM71/Thousand</f>
        <v>-96.7612969735902</v>
      </c>
      <c r="AN78" s="48" t="n">
        <f aca="false">-$E32*AN71/Thousand</f>
        <v>-97.836422495519</v>
      </c>
      <c r="AO78" s="48" t="n">
        <f aca="false">-$E32*AO71/Thousand</f>
        <v>-98.9115480174478</v>
      </c>
      <c r="AP78" s="48" t="n">
        <f aca="false">-$E32*AP71/Thousand</f>
        <v>-98.6148133733955</v>
      </c>
      <c r="AQ78" s="48" t="n">
        <f aca="false">-$E32*AQ71/Thousand</f>
        <v>-96.4710130826695</v>
      </c>
      <c r="AR78" s="48" t="n">
        <f aca="false">-$E32*AR71/Thousand</f>
        <v>-97.5429132280325</v>
      </c>
      <c r="AS78" s="48" t="n">
        <f aca="false">-$E32*AS71/Thousand</f>
        <v>-98.6148133733955</v>
      </c>
      <c r="AT78" s="48" t="n">
        <f aca="false">-$E32*AT71/Thousand</f>
        <v>-98.3189689332753</v>
      </c>
      <c r="AU78" s="48" t="n">
        <f aca="false">-$E32*AU71/Thousand</f>
        <v>-97.2502844883484</v>
      </c>
      <c r="AV78" s="48" t="n">
        <f aca="false">-$E32*AV71/Thousand</f>
        <v>-97.2502844883484</v>
      </c>
      <c r="AW78" s="48" t="n">
        <f aca="false">-$E32*AW71/Thousand</f>
        <v>-98.3189689332753</v>
      </c>
      <c r="AX78" s="48" t="n">
        <f aca="false">-$E32*AX71/Thousand</f>
        <v>-98.0240120264755</v>
      </c>
      <c r="AY78" s="48" t="n">
        <f aca="false">-$E32*AY71/Thousand</f>
        <v>-95.8930552432912</v>
      </c>
      <c r="AZ78" s="48" t="n">
        <f aca="false">-$E32*AZ71/Thousand</f>
        <v>-96.9585336348833</v>
      </c>
      <c r="BA78" s="48" t="n">
        <f aca="false">-$E32*BA71/Thousand</f>
        <v>-98.0240120264755</v>
      </c>
      <c r="BB78" s="48" t="n">
        <f aca="false">-$E32*BB71/Thousand</f>
        <v>-97.729939990396</v>
      </c>
      <c r="BC78" s="48" t="n">
        <f aca="false">-$E32*BC71/Thousand</f>
        <v>-95.6053760775613</v>
      </c>
      <c r="BD78" s="48" t="n">
        <f aca="false">-$E32*BD71/Thousand</f>
        <v>-96.6676580339787</v>
      </c>
      <c r="BE78" s="48" t="n">
        <f aca="false">-$E32*BE71/Thousand</f>
        <v>-97.729939990396</v>
      </c>
      <c r="BF78" s="48" t="n">
        <f aca="false">-$E32*BF71/Thousand</f>
        <v>-97.4367501704248</v>
      </c>
      <c r="BG78" s="48" t="n">
        <f aca="false">-$E32*BG71/Thousand</f>
        <v>-95.3185599493286</v>
      </c>
      <c r="BH78" s="48" t="n">
        <f aca="false">-$E32*BH71/Thousand</f>
        <v>-96.3776550598767</v>
      </c>
      <c r="BI78" s="48" t="n">
        <f aca="false">-$E32*BI71/Thousand</f>
        <v>-97.4367501704248</v>
      </c>
      <c r="BJ78" s="48" t="n">
        <f aca="false">-$E32*BJ71/Thousand</f>
        <v>-97.1444399199135</v>
      </c>
      <c r="BK78" s="48" t="n">
        <f aca="false">-$E32*BK71/Thousand</f>
        <v>-96.0885220946971</v>
      </c>
      <c r="BL78" s="48" t="n">
        <f aca="false">-$E32*BL71/Thousand</f>
        <v>-96.0885220946971</v>
      </c>
      <c r="BM78" s="48" t="n">
        <f aca="false">-$E32*BM71/Thousand</f>
        <v>-97.1444399199135</v>
      </c>
      <c r="BN78" s="48" t="n">
        <f aca="false">-$E32*BN71/Thousand</f>
        <v>-96.8530066001538</v>
      </c>
      <c r="BO78" s="48" t="n">
        <f aca="false">-$E32*BO71/Thousand</f>
        <v>-94.7475064566722</v>
      </c>
      <c r="BP78" s="48" t="n">
        <f aca="false">-$E32*BP71/Thousand</f>
        <v>-95.800256528413</v>
      </c>
      <c r="BQ78" s="48" t="n">
        <f aca="false">-$E32*BQ71/Thousand</f>
        <v>-96.8530066001538</v>
      </c>
      <c r="BR78" s="48" t="n">
        <f aca="false">-$E32*BR71/Thousand</f>
        <v>-96.5624475803534</v>
      </c>
      <c r="BS78" s="48" t="n">
        <f aca="false">-$E32*BS71/Thousand</f>
        <v>-94.4632639373022</v>
      </c>
      <c r="BT78" s="48" t="n">
        <f aca="false">-$E32*BT71/Thousand</f>
        <v>-95.5128557588278</v>
      </c>
      <c r="BU78" s="48" t="n">
        <f aca="false">-$E32*BU71/Thousand</f>
        <v>-96.5624475803534</v>
      </c>
      <c r="BV78" s="48" t="n">
        <f aca="false">-$E32*BV71/Thousand</f>
        <v>-96.2727602376123</v>
      </c>
      <c r="BW78" s="48" t="n">
        <f aca="false">-$E32*BW71/Thousand</f>
        <v>-94.1798741454903</v>
      </c>
      <c r="BX78" s="48" t="n">
        <f aca="false">-$E32*BX71/Thousand</f>
        <v>-95.2263171915513</v>
      </c>
      <c r="BY78" s="48" t="n">
        <f aca="false">-$E32*BY71/Thousand</f>
        <v>-96.2727602376123</v>
      </c>
      <c r="BZ78" s="48" t="n">
        <f aca="false">-$E32*BZ71/Thousand</f>
        <v>-95.9839419568994</v>
      </c>
      <c r="CA78" s="48" t="n">
        <f aca="false">-$E32*CA71/Thousand</f>
        <v>-94.9406382399766</v>
      </c>
      <c r="CB78" s="48" t="n">
        <f aca="false">-$E32*CB71/Thousand</f>
        <v>-94.9406382399766</v>
      </c>
      <c r="CC78" s="48" t="n">
        <f aca="false">-$E32*CC71/Thousand</f>
        <v>-95.9839419568994</v>
      </c>
      <c r="CD78" s="48" t="n">
        <f aca="false">-$E32*CD71/Thousand</f>
        <v>-95.6959901310288</v>
      </c>
      <c r="CE78" s="48" t="n">
        <f aca="false">-$E32*CE71/Thousand</f>
        <v>-93.6156425194847</v>
      </c>
      <c r="CF78" s="48" t="n">
        <f aca="false">-$E32*CF71/Thousand</f>
        <v>-94.6558163252567</v>
      </c>
      <c r="CG78" s="48" t="n">
        <f aca="false">-$E32*CG71/Thousand</f>
        <v>-95.6959901310288</v>
      </c>
      <c r="CH78" s="48" t="n">
        <f aca="false">-$E32*CH71/Thousand</f>
        <v>-95.4089021606357</v>
      </c>
      <c r="CI78" s="48" t="n">
        <f aca="false">-$E32*CI71/Thousand</f>
        <v>-93.3347955919262</v>
      </c>
      <c r="CJ78" s="48" t="n">
        <f aca="false">-$E32*CJ71/Thousand</f>
        <v>-94.371848876281</v>
      </c>
      <c r="CK78" s="48" t="n">
        <f aca="false">-$E32*CK71/Thousand</f>
        <v>-95.4089021606357</v>
      </c>
      <c r="CL78" s="48" t="n">
        <f aca="false">-$E32*CL71/Thousand</f>
        <v>-95.1226754541538</v>
      </c>
      <c r="CM78" s="48" t="n">
        <f aca="false">-$E32*CM71/Thousand</f>
        <v>-93.0547912051504</v>
      </c>
      <c r="CN78" s="48" t="n">
        <f aca="false">-$E32*CN71/Thousand</f>
        <v>-94.0887333296521</v>
      </c>
      <c r="CO78" s="48" t="n">
        <f aca="false">-$E32*CO71/Thousand</f>
        <v>-95.1226754541538</v>
      </c>
      <c r="CP78" s="48" t="n">
        <f aca="false">-$E32*CP71/Thousand</f>
        <v>-94.8373074277913</v>
      </c>
      <c r="CQ78" s="48" t="n">
        <f aca="false">-$E32*CQ71/Thousand</f>
        <v>-93.8064671296631</v>
      </c>
      <c r="CR78" s="48" t="n">
        <f aca="false">-$E32*CR71/Thousand</f>
        <v>-93.8064671296631</v>
      </c>
      <c r="CS78" s="48" t="n">
        <f aca="false">-$E32*CS71/Thousand</f>
        <v>-94.8373074277913</v>
      </c>
      <c r="CT78" s="48" t="n">
        <f aca="false">-$E32*CT71/Thousand</f>
        <v>-94.5527955055079</v>
      </c>
      <c r="CU78" s="48" t="n">
        <f aca="false">-$E32*CU71/Thousand</f>
        <v>-92.4972999510404</v>
      </c>
      <c r="CV78" s="48" t="n">
        <f aca="false">-$E32*CV71/Thousand</f>
        <v>-93.5250477282741</v>
      </c>
      <c r="CW78" s="48" t="n">
        <f aca="false">-$E32*CW71/Thousand</f>
        <v>-94.5527955055079</v>
      </c>
      <c r="CX78" s="48" t="n">
        <f aca="false">-$E32*CX71/Thousand</f>
        <v>-94.2691371189914</v>
      </c>
      <c r="CY78" s="48" t="n">
        <f aca="false">-$E32*CY71/Thousand</f>
        <v>-92.2198080511872</v>
      </c>
      <c r="CZ78" s="48" t="n">
        <f aca="false">-$E32*CZ71/Thousand</f>
        <v>-93.2444725850893</v>
      </c>
      <c r="DA78" s="48" t="n">
        <f aca="false">-$E32*DA71/Thousand</f>
        <v>-94.2691371189914</v>
      </c>
      <c r="DB78" s="48" t="n">
        <f aca="false">-$E32*DB71/Thousand</f>
        <v>-93.9863297076344</v>
      </c>
      <c r="DC78" s="48" t="n">
        <f aca="false">-$E32*DC71/Thousand</f>
        <v>-91.9431486270337</v>
      </c>
      <c r="DD78" s="48" t="n">
        <f aca="false">-$E32*DD71/Thousand</f>
        <v>-92.9647391673341</v>
      </c>
      <c r="DE78" s="48" t="n">
        <f aca="false">-$E32*DE71/Thousand</f>
        <v>-93.9863297076344</v>
      </c>
      <c r="DF78" s="48" t="n">
        <f aca="false">-$E32*DF71/Thousand</f>
        <v>-93.7043707185115</v>
      </c>
      <c r="DG78" s="48" t="n">
        <f aca="false">-$E32*DG71/Thousand</f>
        <v>-92.6858449498321</v>
      </c>
      <c r="DH78" s="48" t="n">
        <f aca="false">-$E32*DH71/Thousand</f>
        <v>-92.6858449498321</v>
      </c>
      <c r="DI78" s="48" t="n">
        <f aca="false">-$E32*DI71/Thousand</f>
        <v>-93.7043707185115</v>
      </c>
      <c r="DJ78" s="48" t="n">
        <f aca="false">-$E32*DJ71/Thousand</f>
        <v>-93.423257606356</v>
      </c>
      <c r="DK78" s="48" t="n">
        <f aca="false">-$E32*DK71/Thousand</f>
        <v>-91.3923172236091</v>
      </c>
      <c r="DL78" s="48" t="n">
        <f aca="false">-$E32*DL71/Thousand</f>
        <v>-92.4077874149825</v>
      </c>
      <c r="DM78" s="48" t="n">
        <f aca="false">-$E32*DM71/Thousand</f>
        <v>-93.423257606356</v>
      </c>
      <c r="DN78" s="48" t="n">
        <f aca="false">-$E32*DN71/Thousand</f>
        <v>-93.1429878335369</v>
      </c>
      <c r="DO78" s="48" t="n">
        <f aca="false">-$E32*DO71/Thousand</f>
        <v>-91.1181402719383</v>
      </c>
      <c r="DP78" s="48" t="n">
        <f aca="false">-$E32*DP71/Thousand</f>
        <v>-92.1305640527376</v>
      </c>
      <c r="DQ78" s="48" t="n">
        <f aca="false">-$E32*DQ71/Thousand</f>
        <v>-93.1429878335369</v>
      </c>
      <c r="DR78" s="48" t="n">
        <f aca="false">-$E32*DR71/Thousand</f>
        <v>-92.8635588700363</v>
      </c>
      <c r="DS78" s="48" t="n">
        <f aca="false">-$E32*DS71/Thousand</f>
        <v>-90.8447858511225</v>
      </c>
      <c r="DT78" s="48" t="n">
        <f aca="false">-$E32*DT71/Thousand</f>
        <v>-91.8541723605794</v>
      </c>
      <c r="DU78" s="48" t="n">
        <f aca="false">-$E32*DU71/Thousand</f>
        <v>-92.8635588700363</v>
      </c>
      <c r="DV78" s="48" t="n">
        <f aca="false">-$E32*DV71/Thousand</f>
        <v>-92.5849681934262</v>
      </c>
      <c r="DW78" s="48" t="n">
        <f aca="false">-$E32*DW71/Thousand</f>
        <v>-91.5786098434977</v>
      </c>
      <c r="DX78" s="48" t="n">
        <f aca="false">-$E32*DX71/Thousand</f>
        <v>-91.5786098434977</v>
      </c>
      <c r="DY78" s="48" t="n">
        <f aca="false">-$E32*DY71/Thousand</f>
        <v>-92.5849681934262</v>
      </c>
      <c r="DZ78" s="48" t="n">
        <f aca="false">-$E32*DZ71/Thousand</f>
        <v>-92.3072132888459</v>
      </c>
      <c r="EA78" s="48" t="n">
        <f aca="false">-$E32*EA71/Thousand</f>
        <v>-90.3005347390884</v>
      </c>
      <c r="EB78" s="48" t="n">
        <f aca="false">-$E32*EB71/Thousand</f>
        <v>-91.3038740139672</v>
      </c>
      <c r="EC78" s="48" t="n">
        <f aca="false">-$E32*EC71/Thousand</f>
        <v>-92.3072132888459</v>
      </c>
      <c r="ED78" s="48" t="n">
        <f aca="false">-$E32*ED71/Thousand</f>
        <v>-92.0302916489794</v>
      </c>
      <c r="EE78" s="48" t="n">
        <f aca="false">-$E32*EE71/Thousand</f>
        <v>-90.0296331348711</v>
      </c>
      <c r="EF78" s="48" t="n">
        <f aca="false">-$E32*EF71/Thousand</f>
        <v>-91.0299623919253</v>
      </c>
      <c r="EG78" s="48" t="n">
        <f aca="false">-$E32*EG71/Thousand</f>
        <v>-92.0302916489794</v>
      </c>
      <c r="EH78" s="48" t="n">
        <f aca="false">-$E32*EH71/Thousand</f>
        <v>-91.7542007740324</v>
      </c>
      <c r="EI78" s="48" t="n">
        <f aca="false">-$E32*EI71/Thousand</f>
        <v>-89.7595442354665</v>
      </c>
      <c r="EJ78" s="48" t="n">
        <f aca="false">-$E32*EJ71/Thousand</f>
        <v>-90.7568725047495</v>
      </c>
      <c r="EK78" s="48" t="n">
        <f aca="false">-$E32*EK71/Thousand</f>
        <v>-91.7542007740324</v>
      </c>
      <c r="EL78" s="48" t="n">
        <f aca="false">-$E32*EL71/Thousand</f>
        <v>-91.4789381717104</v>
      </c>
      <c r="EM78" s="48" t="n">
        <f aca="false">-$E32*EM71/Thousand</f>
        <v>-90.4846018872352</v>
      </c>
      <c r="EN78" s="48" t="n">
        <f aca="false">-$E32*EN71/Thousand</f>
        <v>-90.4846018872352</v>
      </c>
      <c r="EO78" s="48" t="n">
        <f aca="false">-$E32*EO71/Thousand</f>
        <v>-91.4789381717104</v>
      </c>
    </row>
    <row r="79" customFormat="false" ht="15" hidden="false" customHeight="false" outlineLevel="0" collapsed="false">
      <c r="C79" s="26" t="s">
        <v>427</v>
      </c>
      <c r="D79" s="12" t="s">
        <v>33</v>
      </c>
      <c r="E79" s="57" t="n">
        <f aca="false">SUMIF($J$7:$EO$7,YEAR(In_COD)+1,$J79:$EO79)</f>
        <v>8953.90595038936</v>
      </c>
      <c r="I79" s="57" t="n">
        <f aca="false">SUM(J79:EO79)</f>
        <v>275591.293022842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2244.13044319397</v>
      </c>
      <c r="AA79" s="57" t="n">
        <f aca="false">SUM(AA72:AA78)</f>
        <v>2209.78940950763</v>
      </c>
      <c r="AB79" s="57" t="n">
        <f aca="false">SUM(AB72:AB78)</f>
        <v>2234.34262516883</v>
      </c>
      <c r="AC79" s="57" t="n">
        <f aca="false">SUM(AC72:AC78)</f>
        <v>2258.89584083002</v>
      </c>
      <c r="AD79" s="57" t="n">
        <f aca="false">SUM(AD72:AD78)</f>
        <v>2250.87807488288</v>
      </c>
      <c r="AE79" s="57" t="n">
        <f aca="false">SUM(AE72:AE78)</f>
        <v>2240.87417059265</v>
      </c>
      <c r="AF79" s="57" t="n">
        <f aca="false">SUM(AF72:AF78)</f>
        <v>2240.87417059265</v>
      </c>
      <c r="AG79" s="57" t="n">
        <f aca="false">SUM(AG72:AG78)</f>
        <v>2265.49916147828</v>
      </c>
      <c r="AH79" s="57" t="n">
        <f aca="false">SUM(AH72:AH78)</f>
        <v>2257.43055860857</v>
      </c>
      <c r="AI79" s="57" t="n">
        <f aca="false">SUM(AI72:AI78)</f>
        <v>2222.511210462</v>
      </c>
      <c r="AJ79" s="57" t="n">
        <f aca="false">SUM(AJ72:AJ78)</f>
        <v>2247.20577946713</v>
      </c>
      <c r="AK79" s="57" t="n">
        <f aca="false">SUM(AK72:AK78)</f>
        <v>2271.90034847226</v>
      </c>
      <c r="AL79" s="57" t="n">
        <f aca="false">SUM(AL72:AL78)</f>
        <v>2263.78073940694</v>
      </c>
      <c r="AM79" s="57" t="n">
        <f aca="false">SUM(AM72:AM78)</f>
        <v>2228.56831278009</v>
      </c>
      <c r="AN79" s="57" t="n">
        <f aca="false">SUM(AN72:AN78)</f>
        <v>2253.33018292209</v>
      </c>
      <c r="AO79" s="57" t="n">
        <f aca="false">SUM(AO72:AO78)</f>
        <v>2278.09205306409</v>
      </c>
      <c r="AP79" s="57" t="n">
        <f aca="false">SUM(AP72:AP78)</f>
        <v>2269.9212711845</v>
      </c>
      <c r="AQ79" s="57" t="n">
        <f aca="false">SUM(AQ72:AQ78)</f>
        <v>2234.41310591912</v>
      </c>
      <c r="AR79" s="57" t="n">
        <f aca="false">SUM(AR72:AR78)</f>
        <v>2259.23991820711</v>
      </c>
      <c r="AS79" s="57" t="n">
        <f aca="false">SUM(AS72:AS78)</f>
        <v>2284.0667304951</v>
      </c>
      <c r="AT79" s="57" t="n">
        <f aca="false">SUM(AT72:AT78)</f>
        <v>2275.8446119402</v>
      </c>
      <c r="AU79" s="57" t="n">
        <f aca="false">SUM(AU72:AU78)</f>
        <v>2264.92732384629</v>
      </c>
      <c r="AV79" s="57" t="n">
        <f aca="false">SUM(AV72:AV78)</f>
        <v>2264.92732384629</v>
      </c>
      <c r="AW79" s="57" t="n">
        <f aca="false">SUM(AW72:AW78)</f>
        <v>2289.81663509735</v>
      </c>
      <c r="AX79" s="57" t="n">
        <f aca="false">SUM(AX72:AX78)</f>
        <v>2281.54301886956</v>
      </c>
      <c r="AY79" s="57" t="n">
        <f aca="false">SUM(AY72:AY78)</f>
        <v>2245.43525407308</v>
      </c>
      <c r="AZ79" s="57" t="n">
        <f aca="false">SUM(AZ72:AZ78)</f>
        <v>2270.38453467389</v>
      </c>
      <c r="BA79" s="57" t="n">
        <f aca="false">SUM(BA72:BA78)</f>
        <v>2295.33381527471</v>
      </c>
      <c r="BB79" s="57" t="n">
        <f aca="false">SUM(BB72:BB78)</f>
        <v>2287.00854334832</v>
      </c>
      <c r="BC79" s="57" t="n">
        <f aca="false">SUM(BC72:BC78)</f>
        <v>2250.59684513512</v>
      </c>
      <c r="BD79" s="57" t="n">
        <f aca="false">SUM(BD72:BD78)</f>
        <v>2275.60347674773</v>
      </c>
      <c r="BE79" s="57" t="n">
        <f aca="false">SUM(BE72:BE78)</f>
        <v>2300.61010836035</v>
      </c>
      <c r="BF79" s="57" t="n">
        <f aca="false">SUM(BF72:BF78)</f>
        <v>2292.23302579269</v>
      </c>
      <c r="BG79" s="57" t="n">
        <f aca="false">SUM(BG72:BG78)</f>
        <v>2255.51458892714</v>
      </c>
      <c r="BH79" s="57" t="n">
        <f aca="false">SUM(BH72:BH78)</f>
        <v>2280.57586213744</v>
      </c>
      <c r="BI79" s="57" t="n">
        <f aca="false">SUM(BI72:BI78)</f>
        <v>2305.63713534774</v>
      </c>
      <c r="BJ79" s="57" t="n">
        <f aca="false">SUM(BJ72:BJ78)</f>
        <v>2297.20809039306</v>
      </c>
      <c r="BK79" s="57" t="n">
        <f aca="false">SUM(BK72:BK78)</f>
        <v>2285.29318358447</v>
      </c>
      <c r="BL79" s="57" t="n">
        <f aca="false">SUM(BL72:BL78)</f>
        <v>2285.29318358447</v>
      </c>
      <c r="BM79" s="57" t="n">
        <f aca="false">SUM(BM72:BM78)</f>
        <v>2310.40629549199</v>
      </c>
      <c r="BN79" s="57" t="n">
        <f aca="false">SUM(BN72:BN78)</f>
        <v>2301.92513971816</v>
      </c>
      <c r="BO79" s="57" t="n">
        <f aca="false">SUM(BO72:BO78)</f>
        <v>2264.58465728318</v>
      </c>
      <c r="BP79" s="57" t="n">
        <f aca="false">SUM(BP72:BP78)</f>
        <v>2289.74670903077</v>
      </c>
      <c r="BQ79" s="57" t="n">
        <f aca="false">SUM(BQ72:BQ78)</f>
        <v>2314.90876077836</v>
      </c>
      <c r="BR79" s="57" t="n">
        <f aca="false">SUM(BR72:BR78)</f>
        <v>2306.37534918648</v>
      </c>
      <c r="BS79" s="57" t="n">
        <f aca="false">SUM(BS72:BS78)</f>
        <v>2268.71948177089</v>
      </c>
      <c r="BT79" s="57" t="n">
        <f aca="false">SUM(BT72:BT78)</f>
        <v>2293.92747601279</v>
      </c>
      <c r="BU79" s="57" t="n">
        <f aca="false">SUM(BU72:BU78)</f>
        <v>2319.13547025469</v>
      </c>
      <c r="BV79" s="57" t="n">
        <f aca="false">SUM(BV72:BV78)</f>
        <v>2310.54966140165</v>
      </c>
      <c r="BW79" s="57" t="n">
        <f aca="false">SUM(BW72:BW78)</f>
        <v>2272.57544761085</v>
      </c>
      <c r="BX79" s="57" t="n">
        <f aca="false">SUM(BX72:BX78)</f>
        <v>2297.82628591764</v>
      </c>
      <c r="BY79" s="57" t="n">
        <f aca="false">SUM(BY72:BY78)</f>
        <v>2323.07712422442</v>
      </c>
      <c r="BZ79" s="57" t="n">
        <f aca="false">SUM(BZ72:BZ78)</f>
        <v>2314.43878034841</v>
      </c>
      <c r="CA79" s="57" t="n">
        <f aca="false">SUM(CA72:CA78)</f>
        <v>2301.43369809787</v>
      </c>
      <c r="CB79" s="57" t="n">
        <f aca="false">SUM(CB72:CB78)</f>
        <v>2301.43369809787</v>
      </c>
      <c r="CC79" s="57" t="n">
        <f aca="false">SUM(CC72:CC78)</f>
        <v>2326.72417829675</v>
      </c>
      <c r="CD79" s="57" t="n">
        <f aca="false">SUM(CD72:CD78)</f>
        <v>2318.03316544594</v>
      </c>
      <c r="CE79" s="57" t="n">
        <f aca="false">SUM(CE72:CE78)</f>
        <v>2279.41321039278</v>
      </c>
      <c r="CF79" s="57" t="n">
        <f aca="false">SUM(CF72:CF78)</f>
        <v>2304.74002384159</v>
      </c>
      <c r="CG79" s="57" t="n">
        <f aca="false">SUM(CG72:CG78)</f>
        <v>2330.0668372904</v>
      </c>
      <c r="CH79" s="57" t="n">
        <f aca="false">SUM(CH72:CH78)</f>
        <v>2321.32302545471</v>
      </c>
      <c r="CI79" s="57" t="n">
        <f aca="false">SUM(CI72:CI78)</f>
        <v>2282.37559140084</v>
      </c>
      <c r="CJ79" s="57" t="n">
        <f aca="false">SUM(CJ72:CJ78)</f>
        <v>2307.73532019418</v>
      </c>
      <c r="CK79" s="57" t="n">
        <f aca="false">SUM(CK72:CK78)</f>
        <v>2333.09504898753</v>
      </c>
      <c r="CL79" s="57" t="n">
        <f aca="false">SUM(CL72:CL78)</f>
        <v>2324.29831223365</v>
      </c>
      <c r="CM79" s="57" t="n">
        <f aca="false">SUM(CM72:CM78)</f>
        <v>2285.02026952231</v>
      </c>
      <c r="CN79" s="57" t="n">
        <f aca="false">SUM(CN72:CN78)</f>
        <v>2310.40938362811</v>
      </c>
      <c r="CO79" s="57" t="n">
        <f aca="false">SUM(CO72:CO78)</f>
        <v>2335.79849773392</v>
      </c>
      <c r="CP79" s="57" t="n">
        <f aca="false">SUM(CP72:CP78)</f>
        <v>2326.94871434363</v>
      </c>
      <c r="CQ79" s="57" t="n">
        <f aca="false">SUM(CQ72:CQ78)</f>
        <v>2312.75174355702</v>
      </c>
      <c r="CR79" s="57" t="n">
        <f aca="false">SUM(CR72:CR78)</f>
        <v>2312.75174355702</v>
      </c>
      <c r="CS79" s="57" t="n">
        <f aca="false">SUM(CS72:CS78)</f>
        <v>2338.16659788182</v>
      </c>
      <c r="CT79" s="57" t="n">
        <f aca="false">SUM(CT72:CT78)</f>
        <v>2329.26365049366</v>
      </c>
      <c r="CU79" s="57" t="n">
        <f aca="false">SUM(CU72:CU78)</f>
        <v>2289.31482430908</v>
      </c>
      <c r="CV79" s="57" t="n">
        <f aca="false">SUM(CV72:CV78)</f>
        <v>2314.7516556903</v>
      </c>
      <c r="CW79" s="57" t="n">
        <f aca="false">SUM(CW72:CW78)</f>
        <v>2340.18848707151</v>
      </c>
      <c r="CX79" s="57" t="n">
        <f aca="false">SUM(CX72:CX78)</f>
        <v>2331.23226282592</v>
      </c>
      <c r="CY79" s="57" t="n">
        <f aca="false">SUM(CY72:CY78)</f>
        <v>2290.94317110096</v>
      </c>
      <c r="CZ79" s="57" t="n">
        <f aca="false">SUM(CZ72:CZ78)</f>
        <v>2316.3980952243</v>
      </c>
      <c r="DA79" s="57" t="n">
        <f aca="false">SUM(DA72:DA78)</f>
        <v>2341.85301934765</v>
      </c>
      <c r="DB79" s="57" t="n">
        <f aca="false">SUM(DB72:DB78)</f>
        <v>2332.84341003562</v>
      </c>
      <c r="DC79" s="57" t="n">
        <f aca="false">SUM(DC72:DC78)</f>
        <v>2292.21074162574</v>
      </c>
      <c r="DD79" s="57" t="n">
        <f aca="false">SUM(DD72:DD78)</f>
        <v>2317.67974986603</v>
      </c>
      <c r="DE79" s="57" t="n">
        <f aca="false">SUM(DE72:DE78)</f>
        <v>2343.14875810632</v>
      </c>
      <c r="DF79" s="57" t="n">
        <f aca="false">SUM(DF72:DF78)</f>
        <v>2334.08566032166</v>
      </c>
      <c r="DG79" s="57" t="n">
        <f aca="false">SUM(DG72:DG78)</f>
        <v>2318.58501268533</v>
      </c>
      <c r="DH79" s="57" t="n">
        <f aca="false">SUM(DH72:DH78)</f>
        <v>2318.58501268533</v>
      </c>
      <c r="DI79" s="57" t="n">
        <f aca="false">SUM(DI72:DI78)</f>
        <v>2344.06396886869</v>
      </c>
      <c r="DJ79" s="57" t="n">
        <f aca="false">SUM(DJ72:DJ78)</f>
        <v>2334.94728416399</v>
      </c>
      <c r="DK79" s="57" t="n">
        <f aca="false">SUM(DK72:DK78)</f>
        <v>2293.6173377057</v>
      </c>
      <c r="DL79" s="57" t="n">
        <f aca="false">SUM(DL72:DL78)</f>
        <v>2319.10197479131</v>
      </c>
      <c r="DM79" s="57" t="n">
        <f aca="false">SUM(DM72:DM78)</f>
        <v>2344.58661187693</v>
      </c>
      <c r="DN79" s="57" t="n">
        <f aca="false">SUM(DN72:DN78)</f>
        <v>2335.41624692326</v>
      </c>
      <c r="DO79" s="57" t="n">
        <f aca="false">SUM(DO72:DO78)</f>
        <v>2293.73250114925</v>
      </c>
      <c r="DP79" s="57" t="n">
        <f aca="false">SUM(DP72:DP78)</f>
        <v>2319.21841782868</v>
      </c>
      <c r="DQ79" s="57" t="n">
        <f aca="false">SUM(DQ72:DQ78)</f>
        <v>2344.70433450812</v>
      </c>
      <c r="DR79" s="57" t="n">
        <f aca="false">SUM(DR72:DR78)</f>
        <v>2335.4802012586</v>
      </c>
      <c r="DS79" s="57" t="n">
        <f aca="false">SUM(DS72:DS78)</f>
        <v>2293.43914907762</v>
      </c>
      <c r="DT79" s="57" t="n">
        <f aca="false">SUM(DT72:DT78)</f>
        <v>2318.92180628959</v>
      </c>
      <c r="DU79" s="57" t="n">
        <f aca="false">SUM(DU72:DU78)</f>
        <v>2344.40446350157</v>
      </c>
      <c r="DV79" s="57" t="n">
        <f aca="false">SUM(DV72:DV78)</f>
        <v>2335.12647935892</v>
      </c>
      <c r="DW79" s="57" t="n">
        <f aca="false">SUM(DW72:DW78)</f>
        <v>2318.19927963646</v>
      </c>
      <c r="DX79" s="57" t="n">
        <f aca="false">SUM(DX72:DX78)</f>
        <v>2318.19927963646</v>
      </c>
      <c r="DY79" s="57" t="n">
        <f aca="false">SUM(DY72:DY78)</f>
        <v>2343.67399699511</v>
      </c>
      <c r="DZ79" s="57" t="n">
        <f aca="false">SUM(DZ72:DZ78)</f>
        <v>2334.34208498317</v>
      </c>
      <c r="EA79" s="57" t="n">
        <f aca="false">SUM(EA72:EA78)</f>
        <v>2291.57569209672</v>
      </c>
      <c r="EB79" s="57" t="n">
        <f aca="false">SUM(EB72:EB78)</f>
        <v>2317.03764423113</v>
      </c>
      <c r="EC79" s="57" t="n">
        <f aca="false">SUM(EC72:EC78)</f>
        <v>2342.49959636554</v>
      </c>
      <c r="ED79" s="57" t="n">
        <f aca="false">SUM(ED72:ED78)</f>
        <v>2333.11368530497</v>
      </c>
      <c r="EE79" s="57" t="n">
        <f aca="false">SUM(EE72:EE78)</f>
        <v>2289.97915226266</v>
      </c>
      <c r="EF79" s="57" t="n">
        <f aca="false">SUM(EF72:EF78)</f>
        <v>2315.42336506558</v>
      </c>
      <c r="EG79" s="57" t="n">
        <f aca="false">SUM(EG72:EG78)</f>
        <v>2340.8675778685</v>
      </c>
      <c r="EH79" s="57" t="n">
        <f aca="false">SUM(EH72:EH78)</f>
        <v>2331.42760255664</v>
      </c>
      <c r="EI79" s="57" t="n">
        <f aca="false">SUM(EI72:EI78)</f>
        <v>2287.92121050597</v>
      </c>
      <c r="EJ79" s="57" t="n">
        <f aca="false">SUM(EJ72:EJ78)</f>
        <v>2313.34255728937</v>
      </c>
      <c r="EK79" s="57" t="n">
        <f aca="false">SUM(EK72:EK78)</f>
        <v>2338.76390407277</v>
      </c>
      <c r="EL79" s="57" t="n">
        <f aca="false">SUM(EL72:EL78)</f>
        <v>2329.26980546783</v>
      </c>
      <c r="EM79" s="57" t="n">
        <f aca="false">SUM(EM72:EM78)</f>
        <v>2310.78097752876</v>
      </c>
      <c r="EN79" s="57" t="n">
        <f aca="false">SUM(EN72:EN78)</f>
        <v>2310.78097752876</v>
      </c>
      <c r="EO79" s="57" t="n">
        <f aca="false">SUM(EO72:EO78)</f>
        <v>2336.17417508402</v>
      </c>
    </row>
    <row r="81" customFormat="false" ht="15" hidden="false" customHeight="false" outlineLevel="0" collapsed="false">
      <c r="A81" s="10" t="s">
        <v>13</v>
      </c>
      <c r="B81" s="10"/>
      <c r="C81" s="10" t="s">
        <v>428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429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-22.6172831616123</v>
      </c>
      <c r="AA82" s="58" t="n">
        <v>-22.3730825417474</v>
      </c>
      <c r="AB82" s="58" t="n">
        <v>-23.2087574299925</v>
      </c>
      <c r="AC82" s="58" t="n">
        <v>-24.0544002369768</v>
      </c>
      <c r="AD82" s="58" t="n">
        <v>-23.9657242487403</v>
      </c>
      <c r="AE82" s="58" t="n">
        <v>-24.310044745625</v>
      </c>
      <c r="AF82" s="58" t="n">
        <v>-24.5837558755467</v>
      </c>
      <c r="AG82" s="58" t="n">
        <v>-25.4476473154954</v>
      </c>
      <c r="AH82" s="58" t="n">
        <v>-35.2756669612934</v>
      </c>
      <c r="AI82" s="58" t="n">
        <v>-50.2576395996417</v>
      </c>
      <c r="AJ82" s="58" t="n">
        <v>-54.9714341751857</v>
      </c>
      <c r="AK82" s="58" t="n">
        <v>-56.7717087463564</v>
      </c>
      <c r="AL82" s="58" t="n">
        <v>-56.6491982547203</v>
      </c>
      <c r="AM82" s="58" t="n">
        <v>-56.1108292433558</v>
      </c>
      <c r="AN82" s="58" t="n">
        <v>-57.9282020157119</v>
      </c>
      <c r="AO82" s="58" t="n">
        <v>-59.7664526795042</v>
      </c>
      <c r="AP82" s="58" t="n">
        <v>-59.6716717329715</v>
      </c>
      <c r="AQ82" s="58" t="n">
        <v>-59.1393794660536</v>
      </c>
      <c r="AR82" s="58" t="n">
        <v>-60.9955227112449</v>
      </c>
      <c r="AS82" s="58" t="n">
        <v>-62.8729706985562</v>
      </c>
      <c r="AT82" s="58" t="n">
        <v>-62.8073539187372</v>
      </c>
      <c r="AU82" s="58" t="n">
        <v>-63.5126199765652</v>
      </c>
      <c r="AV82" s="58" t="n">
        <v>-64.1923515446194</v>
      </c>
      <c r="AW82" s="58" t="n">
        <v>-66.110440529719</v>
      </c>
      <c r="AX82" s="58" t="n">
        <v>-66.0756555128262</v>
      </c>
      <c r="AY82" s="58" t="n">
        <v>-65.5594208823942</v>
      </c>
      <c r="AZ82" s="58" t="n">
        <v>-67.4971237036488</v>
      </c>
      <c r="BA82" s="58" t="n">
        <v>-69.4570368684321</v>
      </c>
      <c r="BB82" s="58" t="n">
        <v>-69.4544957072103</v>
      </c>
      <c r="BC82" s="58" t="n">
        <v>-68.9482121159823</v>
      </c>
      <c r="BD82" s="58" t="n">
        <v>-70.9286646343683</v>
      </c>
      <c r="BE82" s="58" t="n">
        <v>-72.9318058722273</v>
      </c>
      <c r="BF82" s="58" t="n">
        <v>-72.9631523116605</v>
      </c>
      <c r="BG82" s="58" t="n">
        <v>-72.4682446492574</v>
      </c>
      <c r="BH82" s="58" t="n">
        <v>-74.4928988756887</v>
      </c>
      <c r="BI82" s="58" t="n">
        <v>-76.5407389662192</v>
      </c>
      <c r="BJ82" s="58" t="n">
        <v>-76.6076929683877</v>
      </c>
      <c r="BK82" s="58" t="n">
        <v>-77.3760592197533</v>
      </c>
      <c r="BL82" s="58" t="n">
        <v>-78.2099684644801</v>
      </c>
      <c r="BM82" s="58" t="n">
        <v>-80.3042143934461</v>
      </c>
      <c r="BN82" s="58" t="n">
        <v>-80.4087437038644</v>
      </c>
      <c r="BO82" s="58" t="n">
        <v>-79.9413297813951</v>
      </c>
      <c r="BP82" s="58" t="n">
        <v>-82.0591961728217</v>
      </c>
      <c r="BQ82" s="58" t="n">
        <v>-84.2013046219964</v>
      </c>
      <c r="BR82" s="58" t="n">
        <v>-84.3451326965431</v>
      </c>
      <c r="BS82" s="58" t="n">
        <v>-83.8938324840264</v>
      </c>
      <c r="BT82" s="58" t="n">
        <v>-86.0606947502649</v>
      </c>
      <c r="BU82" s="58" t="n">
        <v>-88.2523580547399</v>
      </c>
      <c r="BV82" s="58" t="n">
        <v>-88.4374560479914</v>
      </c>
      <c r="BW82" s="58" t="n">
        <v>-88.0040104695386</v>
      </c>
      <c r="BX82" s="58" t="n">
        <v>-90.2216195493536</v>
      </c>
      <c r="BY82" s="58" t="n">
        <v>-92.4646111891767</v>
      </c>
      <c r="BZ82" s="58" t="n">
        <v>-92.693041851156</v>
      </c>
      <c r="CA82" s="58" t="n">
        <v>-93.5456433268027</v>
      </c>
      <c r="CB82" s="58" t="n">
        <v>-94.5634973224672</v>
      </c>
      <c r="CC82" s="58" t="n">
        <v>-96.8598430663603</v>
      </c>
      <c r="CD82" s="58" t="n">
        <v>-97.1339341780243</v>
      </c>
      <c r="CE82" s="58" t="n">
        <v>-96.7419507554369</v>
      </c>
      <c r="CF82" s="58" t="n">
        <v>-99.0668199965584</v>
      </c>
      <c r="CG82" s="58" t="n">
        <v>-101.418308812681</v>
      </c>
      <c r="CH82" s="58" t="n">
        <v>-101.740158527286</v>
      </c>
      <c r="CI82" s="58" t="n">
        <v>-101.371810179535</v>
      </c>
      <c r="CJ82" s="58" t="n">
        <v>-103.753208849554</v>
      </c>
      <c r="CK82" s="58" t="n">
        <v>-106.161882896171</v>
      </c>
      <c r="CL82" s="58" t="n">
        <v>-106.533855833868</v>
      </c>
      <c r="CM82" s="58" t="n">
        <v>-106.19126509137</v>
      </c>
      <c r="CN82" s="58" t="n">
        <v>-108.63130667306</v>
      </c>
      <c r="CO82" s="58" t="n">
        <v>-111.099306527937</v>
      </c>
      <c r="CP82" s="58" t="n">
        <v>-111.523877432601</v>
      </c>
      <c r="CQ82" s="58" t="n">
        <v>-112.486830406037</v>
      </c>
      <c r="CR82" s="58" t="n">
        <v>-113.724265855232</v>
      </c>
      <c r="CS82" s="58" t="n">
        <v>-116.254003294925</v>
      </c>
      <c r="CT82" s="58" t="n">
        <v>-116.733932150773</v>
      </c>
      <c r="CU82" s="58" t="n">
        <v>-115.158098585327</v>
      </c>
      <c r="CV82" s="58" t="n">
        <v>-116.437633014053</v>
      </c>
      <c r="CW82" s="58" t="n">
        <v>-117.717167442779</v>
      </c>
      <c r="CX82" s="58" t="n">
        <v>-116.911107260676</v>
      </c>
      <c r="CY82" s="58" t="n">
        <v>-115.304649796596</v>
      </c>
      <c r="CZ82" s="58" t="n">
        <v>-116.585812572114</v>
      </c>
      <c r="DA82" s="58" t="n">
        <v>-117.866975347631</v>
      </c>
      <c r="DB82" s="58" t="n">
        <v>-209.955906903205</v>
      </c>
      <c r="DC82" s="58" t="n">
        <v>-206.298966746317</v>
      </c>
      <c r="DD82" s="58" t="n">
        <v>-208.591177487943</v>
      </c>
      <c r="DE82" s="58" t="n">
        <v>-210.883388229568</v>
      </c>
      <c r="DF82" s="58" t="n">
        <v>-210.067709428949</v>
      </c>
      <c r="DG82" s="58" t="n">
        <v>-208.67265114168</v>
      </c>
      <c r="DH82" s="58" t="n">
        <v>-208.67265114168</v>
      </c>
      <c r="DI82" s="58" t="n">
        <v>-210.965757198182</v>
      </c>
      <c r="DJ82" s="58" t="n">
        <v>-210.145255574759</v>
      </c>
      <c r="DK82" s="58" t="n">
        <v>-206.425560393512</v>
      </c>
      <c r="DL82" s="58" t="n">
        <v>-208.719177731218</v>
      </c>
      <c r="DM82" s="58" t="n">
        <v>-211.012795068924</v>
      </c>
      <c r="DN82" s="58" t="n">
        <v>-210.187462223093</v>
      </c>
      <c r="DO82" s="58" t="n">
        <v>-206.435925103432</v>
      </c>
      <c r="DP82" s="58" t="n">
        <v>-208.729657604581</v>
      </c>
      <c r="DQ82" s="58" t="n">
        <v>-211.02339010573</v>
      </c>
      <c r="DR82" s="58" t="n">
        <v>-210.193218113274</v>
      </c>
      <c r="DS82" s="58" t="n">
        <v>-206.409523416985</v>
      </c>
      <c r="DT82" s="58" t="n">
        <v>-208.702962566063</v>
      </c>
      <c r="DU82" s="58" t="n">
        <v>-210.996401715141</v>
      </c>
      <c r="DV82" s="58" t="n">
        <v>-210.161383142302</v>
      </c>
      <c r="DW82" s="58" t="n">
        <v>-208.637935167281</v>
      </c>
      <c r="DX82" s="58" t="n">
        <v>-208.637935167281</v>
      </c>
      <c r="DY82" s="58" t="n">
        <v>-210.930659729559</v>
      </c>
      <c r="DZ82" s="58" t="n">
        <v>-210.090787648485</v>
      </c>
      <c r="EA82" s="58" t="n">
        <v>-206.241812288705</v>
      </c>
      <c r="EB82" s="58" t="n">
        <v>-208.533387980802</v>
      </c>
      <c r="EC82" s="58" t="n">
        <v>-210.824963672898</v>
      </c>
      <c r="ED82" s="58" t="n">
        <v>-209.980231677447</v>
      </c>
      <c r="EE82" s="58" t="n">
        <v>-206.098123703639</v>
      </c>
      <c r="EF82" s="58" t="n">
        <v>-208.388102855902</v>
      </c>
      <c r="EG82" s="58" t="n">
        <v>-210.678082008165</v>
      </c>
      <c r="EH82" s="58" t="n">
        <v>-209.828484230097</v>
      </c>
      <c r="EI82" s="58" t="n">
        <v>-205.912908945537</v>
      </c>
      <c r="EJ82" s="58" t="n">
        <v>-208.200830156043</v>
      </c>
      <c r="EK82" s="58" t="n">
        <v>-210.488751366549</v>
      </c>
      <c r="EL82" s="58" t="n">
        <v>-209.634282492105</v>
      </c>
      <c r="EM82" s="58" t="n">
        <v>-207.970287977588</v>
      </c>
      <c r="EN82" s="58" t="n">
        <v>-207.970287977588</v>
      </c>
      <c r="EO82" s="58" t="n">
        <v>-210.255675757562</v>
      </c>
    </row>
    <row r="83" customFormat="false" ht="15" hidden="false" customHeight="false" outlineLevel="0" collapsed="false">
      <c r="C83" s="1" t="s">
        <v>430</v>
      </c>
      <c r="D83" s="12" t="s">
        <v>33</v>
      </c>
      <c r="I83" s="48" t="n">
        <f aca="false">SUM(J83:EO83)</f>
        <v>260926.350842571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2187.99332516653</v>
      </c>
      <c r="AA83" s="48" t="n">
        <f aca="false">(AA79+AA55+AA82)*(AA$4&gt;In_COD)</f>
        <v>2154.62518416236</v>
      </c>
      <c r="AB83" s="48" t="n">
        <f aca="false">(AB79+AB55+AB82)*(AB$4&gt;In_COD)</f>
        <v>2177.97837890416</v>
      </c>
      <c r="AC83" s="48" t="n">
        <f aca="false">(AC79+AC55+AC82)*(AC$4&gt;In_COD)</f>
        <v>2201.32160572722</v>
      </c>
      <c r="AD83" s="48" t="n">
        <f aca="false">(AD79+AD55+AD82)*(AD$4&gt;In_COD)</f>
        <v>2193.39251576831</v>
      </c>
      <c r="AE83" s="48" t="n">
        <f aca="false">(AE79+AE55+AE82)*(AE$4&gt;In_COD)</f>
        <v>2183.40863701235</v>
      </c>
      <c r="AF83" s="48" t="n">
        <f aca="false">(AF79+AF55+AF82)*(AF$4&gt;In_COD)</f>
        <v>2183.13492588243</v>
      </c>
      <c r="AG83" s="48" t="n">
        <f aca="false">(AG79+AG55+AG82)*(AG$4&gt;In_COD)</f>
        <v>2206.53167929696</v>
      </c>
      <c r="AH83" s="48" t="n">
        <f aca="false">(AH79+AH55+AH82)*(AH$4&gt;In_COD)</f>
        <v>2188.63505678145</v>
      </c>
      <c r="AI83" s="48" t="n">
        <f aca="false">(AI79+AI55+AI82)*(AI$4&gt;In_COD)</f>
        <v>2139.46242805883</v>
      </c>
      <c r="AJ83" s="48" t="n">
        <f aca="false">(AJ79+AJ55+AJ82)*(AJ$4&gt;In_COD)</f>
        <v>2192.23434529194</v>
      </c>
      <c r="AK83" s="48" t="n">
        <f aca="false">(AK79+AK55+AK82)*(AK$4&gt;In_COD)</f>
        <v>2215.12863972591</v>
      </c>
      <c r="AL83" s="48" t="n">
        <f aca="false">(AL79+AL55+AL82)*(AL$4&gt;In_COD)</f>
        <v>2207.13154115222</v>
      </c>
      <c r="AM83" s="48" t="n">
        <f aca="false">(AM79+AM55+AM82)*(AM$4&gt;In_COD)</f>
        <v>2172.45748353674</v>
      </c>
      <c r="AN83" s="48" t="n">
        <f aca="false">(AN79+AN55+AN82)*(AN$4&gt;In_COD)</f>
        <v>2195.40198090638</v>
      </c>
      <c r="AO83" s="48" t="n">
        <f aca="false">(AO79+AO55+AO82)*(AO$4&gt;In_COD)</f>
        <v>2218.32560038459</v>
      </c>
      <c r="AP83" s="48" t="n">
        <f aca="false">(AP79+AP55+AP82)*(AP$4&gt;In_COD)</f>
        <v>2210.24959945153</v>
      </c>
      <c r="AQ83" s="48" t="n">
        <f aca="false">(AQ79+AQ55+AQ82)*(AQ$4&gt;In_COD)</f>
        <v>2175.27372645306</v>
      </c>
      <c r="AR83" s="48" t="n">
        <f aca="false">(AR79+AR55+AR82)*(AR$4&gt;In_COD)</f>
        <v>2198.24439549586</v>
      </c>
      <c r="AS83" s="48" t="n">
        <f aca="false">(AS79+AS55+AS82)*(AS$4&gt;In_COD)</f>
        <v>2221.19375979654</v>
      </c>
      <c r="AT83" s="48" t="n">
        <f aca="false">(AT79+AT55+AT82)*(AT$4&gt;In_COD)</f>
        <v>2213.03725802146</v>
      </c>
      <c r="AU83" s="48" t="n">
        <f aca="false">(AU79+AU55+AU82)*(AU$4&gt;In_COD)</f>
        <v>2201.41470386972</v>
      </c>
      <c r="AV83" s="48" t="n">
        <f aca="false">(AV79+AV55+AV82)*(AV$4&gt;In_COD)</f>
        <v>2200.73497230167</v>
      </c>
      <c r="AW83" s="48" t="n">
        <f aca="false">(AW79+AW55+AW82)*(AW$4&gt;In_COD)</f>
        <v>2223.70619456763</v>
      </c>
      <c r="AX83" s="48" t="n">
        <f aca="false">(AX79+AX55+AX82)*(AX$4&gt;In_COD)</f>
        <v>2215.46736335673</v>
      </c>
      <c r="AY83" s="48" t="n">
        <f aca="false">(AY79+AY55+AY82)*(AY$4&gt;In_COD)</f>
        <v>2179.87583319069</v>
      </c>
      <c r="AZ83" s="48" t="n">
        <f aca="false">(AZ79+AZ55+AZ82)*(AZ$4&gt;In_COD)</f>
        <v>2202.88741097024</v>
      </c>
      <c r="BA83" s="48" t="n">
        <f aca="false">(BA79+BA55+BA82)*(BA$4&gt;In_COD)</f>
        <v>2225.87677840627</v>
      </c>
      <c r="BB83" s="48" t="n">
        <f aca="false">(BB79+BB55+BB82)*(BB$4&gt;In_COD)</f>
        <v>2217.55404764111</v>
      </c>
      <c r="BC83" s="48" t="n">
        <f aca="false">(BC79+BC55+BC82)*(BC$4&gt;In_COD)</f>
        <v>2181.64863301914</v>
      </c>
      <c r="BD83" s="48" t="n">
        <f aca="false">(BD79+BD55+BD82)*(BD$4&gt;In_COD)</f>
        <v>2204.67481211337</v>
      </c>
      <c r="BE83" s="48" t="n">
        <f aca="false">(BE79+BE55+BE82)*(BE$4&gt;In_COD)</f>
        <v>2227.67830248812</v>
      </c>
      <c r="BF83" s="48" t="n">
        <f aca="false">(BF79+BF55+BF82)*(BF$4&gt;In_COD)</f>
        <v>2219.26987348103</v>
      </c>
      <c r="BG83" s="48" t="n">
        <f aca="false">(BG79+BG55+BG82)*(BG$4&gt;In_COD)</f>
        <v>2183.04634427788</v>
      </c>
      <c r="BH83" s="48" t="n">
        <f aca="false">(BH79+BH55+BH82)*(BH$4&gt;In_COD)</f>
        <v>2206.08296326175</v>
      </c>
      <c r="BI83" s="48" t="n">
        <f aca="false">(BI79+BI55+BI82)*(BI$4&gt;In_COD)</f>
        <v>2229.09639638152</v>
      </c>
      <c r="BJ83" s="48" t="n">
        <f aca="false">(BJ79+BJ55+BJ82)*(BJ$4&gt;In_COD)</f>
        <v>2220.60039742467</v>
      </c>
      <c r="BK83" s="48" t="n">
        <f aca="false">(BK79+BK55+BK82)*(BK$4&gt;In_COD)</f>
        <v>2207.91712436472</v>
      </c>
      <c r="BL83" s="48" t="n">
        <f aca="false">(BL79+BL55+BL82)*(BL$4&gt;In_COD)</f>
        <v>2207.08321511999</v>
      </c>
      <c r="BM83" s="48" t="n">
        <f aca="false">(BM79+BM55+BM82)*(BM$4&gt;In_COD)</f>
        <v>2230.10208109854</v>
      </c>
      <c r="BN83" s="48" t="n">
        <f aca="false">(BN79+BN55+BN82)*(BN$4&gt;In_COD)</f>
        <v>2221.51639601429</v>
      </c>
      <c r="BO83" s="48" t="n">
        <f aca="false">(BO79+BO55+BO82)*(BO$4&gt;In_COD)</f>
        <v>2184.64332750178</v>
      </c>
      <c r="BP83" s="48" t="n">
        <f aca="false">(BP79+BP55+BP82)*(BP$4&gt;In_COD)</f>
        <v>2207.68751285795</v>
      </c>
      <c r="BQ83" s="48" t="n">
        <f aca="false">(BQ79+BQ55+BQ82)*(BQ$4&gt;In_COD)</f>
        <v>2230.70745615636</v>
      </c>
      <c r="BR83" s="48" t="n">
        <f aca="false">(BR79+BR55+BR82)*(BR$4&gt;In_COD)</f>
        <v>2222.03021648994</v>
      </c>
      <c r="BS83" s="48" t="n">
        <f aca="false">(BS79+BS55+BS82)*(BS$4&gt;In_COD)</f>
        <v>2184.82564928687</v>
      </c>
      <c r="BT83" s="48" t="n">
        <f aca="false">(BT79+BT55+BT82)*(BT$4&gt;In_COD)</f>
        <v>2207.86678126253</v>
      </c>
      <c r="BU83" s="48" t="n">
        <f aca="false">(BU79+BU55+BU82)*(BU$4&gt;In_COD)</f>
        <v>2230.88311219995</v>
      </c>
      <c r="BV83" s="48" t="n">
        <f aca="false">(BV79+BV55+BV82)*(BV$4&gt;In_COD)</f>
        <v>2222.11220535366</v>
      </c>
      <c r="BW83" s="48" t="n">
        <f aca="false">(BW79+BW55+BW82)*(BW$4&gt;In_COD)</f>
        <v>2184.57143714131</v>
      </c>
      <c r="BX83" s="48" t="n">
        <f aca="false">(BX79+BX55+BX82)*(BX$4&gt;In_COD)</f>
        <v>2207.60466636828</v>
      </c>
      <c r="BY83" s="48" t="n">
        <f aca="false">(BY79+BY55+BY82)*(BY$4&gt;In_COD)</f>
        <v>2230.61251303525</v>
      </c>
      <c r="BZ83" s="48" t="n">
        <f aca="false">(BZ79+BZ55+BZ82)*(BZ$4&gt;In_COD)</f>
        <v>2221.74573849726</v>
      </c>
      <c r="CA83" s="48" t="n">
        <f aca="false">(CA79+CA55+CA82)*(CA$4&gt;In_COD)</f>
        <v>2207.88805477107</v>
      </c>
      <c r="CB83" s="48" t="n">
        <f aca="false">(CB79+CB55+CB82)*(CB$4&gt;In_COD)</f>
        <v>2206.8702007754</v>
      </c>
      <c r="CC83" s="48" t="n">
        <f aca="false">(CC79+CC55+CC82)*(CC$4&gt;In_COD)</f>
        <v>2229.86433523039</v>
      </c>
      <c r="CD83" s="48" t="n">
        <f aca="false">(CD79+CD55+CD82)*(CD$4&gt;In_COD)</f>
        <v>2220.89923126791</v>
      </c>
      <c r="CE83" s="48" t="n">
        <f aca="false">(CE79+CE55+CE82)*(CE$4&gt;In_COD)</f>
        <v>2182.67125963734</v>
      </c>
      <c r="CF83" s="48" t="n">
        <f aca="false">(CF79+CF55+CF82)*(CF$4&gt;In_COD)</f>
        <v>2205.67320384503</v>
      </c>
      <c r="CG83" s="48" t="n">
        <f aca="false">(CG79+CG55+CG82)*(CG$4&gt;In_COD)</f>
        <v>2228.64852847772</v>
      </c>
      <c r="CH83" s="48" t="n">
        <f aca="false">(CH79+CH55+CH82)*(CH$4&gt;In_COD)</f>
        <v>2219.58286692742</v>
      </c>
      <c r="CI83" s="48" t="n">
        <f aca="false">(CI79+CI55+CI82)*(CI$4&gt;In_COD)</f>
        <v>2181.00378122131</v>
      </c>
      <c r="CJ83" s="48" t="n">
        <f aca="false">(CJ79+CJ55+CJ82)*(CJ$4&gt;In_COD)</f>
        <v>2203.98211134463</v>
      </c>
      <c r="CK83" s="48" t="n">
        <f aca="false">(CK79+CK55+CK82)*(CK$4&gt;In_COD)</f>
        <v>2226.93316609136</v>
      </c>
      <c r="CL83" s="48" t="n">
        <f aca="false">(CL79+CL55+CL82)*(CL$4&gt;In_COD)</f>
        <v>2217.76445639978</v>
      </c>
      <c r="CM83" s="48" t="n">
        <f aca="false">(CM79+CM55+CM82)*(CM$4&gt;In_COD)</f>
        <v>2178.82900443094</v>
      </c>
      <c r="CN83" s="48" t="n">
        <f aca="false">(CN79+CN55+CN82)*(CN$4&gt;In_COD)</f>
        <v>2201.77807695505</v>
      </c>
      <c r="CO83" s="48" t="n">
        <f aca="false">(CO79+CO55+CO82)*(CO$4&gt;In_COD)</f>
        <v>2224.69919120598</v>
      </c>
      <c r="CP83" s="48" t="n">
        <f aca="false">(CP79+CP55+CP82)*(CP$4&gt;In_COD)</f>
        <v>2215.42483691103</v>
      </c>
      <c r="CQ83" s="48" t="n">
        <f aca="false">(CQ79+CQ55+CQ82)*(CQ$4&gt;In_COD)</f>
        <v>2200.26491315098</v>
      </c>
      <c r="CR83" s="48" t="n">
        <f aca="false">(CR79+CR55+CR82)*(CR$4&gt;In_COD)</f>
        <v>2199.02747770178</v>
      </c>
      <c r="CS83" s="48" t="n">
        <f aca="false">(CS79+CS55+CS82)*(CS$4&gt;In_COD)</f>
        <v>2221.91259458689</v>
      </c>
      <c r="CT83" s="48" t="n">
        <f aca="false">(CT79+CT55+CT82)*(CT$4&gt;In_COD)</f>
        <v>2212.52971834289</v>
      </c>
      <c r="CU83" s="48" t="n">
        <f aca="false">(CU79+CU55+CU82)*(CU$4&gt;In_COD)</f>
        <v>2174.15672572376</v>
      </c>
      <c r="CV83" s="48" t="n">
        <f aca="false">(CV79+CV55+CV82)*(CV$4&gt;In_COD)</f>
        <v>2198.31402267624</v>
      </c>
      <c r="CW83" s="48" t="n">
        <f aca="false">(CW79+CW55+CW82)*(CW$4&gt;In_COD)</f>
        <v>2222.47131962873</v>
      </c>
      <c r="CX83" s="48" t="n">
        <f aca="false">(CX79+CX55+CX82)*(CX$4&gt;In_COD)</f>
        <v>2214.32115556524</v>
      </c>
      <c r="CY83" s="48" t="n">
        <f aca="false">(CY79+CY55+CY82)*(CY$4&gt;In_COD)</f>
        <v>2175.63852130436</v>
      </c>
      <c r="CZ83" s="48" t="n">
        <f aca="false">(CZ79+CZ55+CZ82)*(CZ$4&gt;In_COD)</f>
        <v>2199.81228265219</v>
      </c>
      <c r="DA83" s="48" t="n">
        <f aca="false">(DA79+DA55+DA82)*(DA$4&gt;In_COD)</f>
        <v>2223.98604400001</v>
      </c>
      <c r="DB83" s="48" t="n">
        <f aca="false">(DB79+DB55+DB82)*(DB$4&gt;In_COD)</f>
        <v>2122.88750313241</v>
      </c>
      <c r="DC83" s="48" t="n">
        <f aca="false">(DC79+DC55+DC82)*(DC$4&gt;In_COD)</f>
        <v>2085.91177487943</v>
      </c>
      <c r="DD83" s="48" t="n">
        <f aca="false">(DD79+DD55+DD82)*(DD$4&gt;In_COD)</f>
        <v>2109.08857237809</v>
      </c>
      <c r="DE83" s="48" t="n">
        <f aca="false">(DE79+DE55+DE82)*(DE$4&gt;In_COD)</f>
        <v>2132.26536987675</v>
      </c>
      <c r="DF83" s="48" t="n">
        <f aca="false">(DF79+DF55+DF82)*(DF$4&gt;In_COD)</f>
        <v>2124.01795089272</v>
      </c>
      <c r="DG83" s="48" t="n">
        <f aca="false">(DG79+DG55+DG82)*(DG$4&gt;In_COD)</f>
        <v>2109.91236154365</v>
      </c>
      <c r="DH83" s="48" t="n">
        <f aca="false">(DH79+DH55+DH82)*(DH$4&gt;In_COD)</f>
        <v>2109.91236154365</v>
      </c>
      <c r="DI83" s="48" t="n">
        <f aca="false">(DI79+DI55+DI82)*(DI$4&gt;In_COD)</f>
        <v>2133.09821167051</v>
      </c>
      <c r="DJ83" s="48" t="n">
        <f aca="false">(DJ79+DJ55+DJ82)*(DJ$4&gt;In_COD)</f>
        <v>2124.80202858923</v>
      </c>
      <c r="DK83" s="48" t="n">
        <f aca="false">(DK79+DK55+DK82)*(DK$4&gt;In_COD)</f>
        <v>2087.19177731218</v>
      </c>
      <c r="DL83" s="48" t="n">
        <f aca="false">(DL79+DL55+DL82)*(DL$4&gt;In_COD)</f>
        <v>2110.3827970601</v>
      </c>
      <c r="DM83" s="48" t="n">
        <f aca="false">(DM79+DM55+DM82)*(DM$4&gt;In_COD)</f>
        <v>2133.57381680801</v>
      </c>
      <c r="DN83" s="48" t="n">
        <f aca="false">(DN79+DN55+DN82)*(DN$4&gt;In_COD)</f>
        <v>2125.22878470017</v>
      </c>
      <c r="DO83" s="48" t="n">
        <f aca="false">(DO79+DO55+DO82)*(DO$4&gt;In_COD)</f>
        <v>2087.29657604581</v>
      </c>
      <c r="DP83" s="48" t="n">
        <f aca="false">(DP79+DP55+DP82)*(DP$4&gt;In_COD)</f>
        <v>2110.4887602241</v>
      </c>
      <c r="DQ83" s="48" t="n">
        <f aca="false">(DQ79+DQ55+DQ82)*(DQ$4&gt;In_COD)</f>
        <v>2133.68094440239</v>
      </c>
      <c r="DR83" s="48" t="n">
        <f aca="false">(DR79+DR55+DR82)*(DR$4&gt;In_COD)</f>
        <v>2125.28698314533</v>
      </c>
      <c r="DS83" s="48" t="n">
        <f aca="false">(DS79+DS55+DS82)*(DS$4&gt;In_COD)</f>
        <v>2087.02962566063</v>
      </c>
      <c r="DT83" s="48" t="n">
        <f aca="false">(DT79+DT55+DT82)*(DT$4&gt;In_COD)</f>
        <v>2110.21884372353</v>
      </c>
      <c r="DU83" s="48" t="n">
        <f aca="false">(DU79+DU55+DU82)*(DU$4&gt;In_COD)</f>
        <v>2133.40806178642</v>
      </c>
      <c r="DV83" s="48" t="n">
        <f aca="false">(DV79+DV55+DV82)*(DV$4&gt;In_COD)</f>
        <v>2124.96509621661</v>
      </c>
      <c r="DW83" s="48" t="n">
        <f aca="false">(DW79+DW55+DW82)*(DW$4&gt;In_COD)</f>
        <v>2109.56134446918</v>
      </c>
      <c r="DX83" s="48" t="n">
        <f aca="false">(DX79+DX55+DX82)*(DX$4&gt;In_COD)</f>
        <v>2109.56134446918</v>
      </c>
      <c r="DY83" s="48" t="n">
        <f aca="false">(DY79+DY55+DY82)*(DY$4&gt;In_COD)</f>
        <v>2132.74333726555</v>
      </c>
      <c r="DZ83" s="48" t="n">
        <f aca="false">(DZ79+DZ55+DZ82)*(DZ$4&gt;In_COD)</f>
        <v>2124.25129733469</v>
      </c>
      <c r="EA83" s="48" t="n">
        <f aca="false">(EA79+EA55+EA82)*(EA$4&gt;In_COD)</f>
        <v>2085.33387980802</v>
      </c>
      <c r="EB83" s="48" t="n">
        <f aca="false">(EB79+EB55+EB82)*(EB$4&gt;In_COD)</f>
        <v>2108.50425625033</v>
      </c>
      <c r="EC83" s="48" t="n">
        <f aca="false">(EC79+EC55+EC82)*(EC$4&gt;In_COD)</f>
        <v>2131.67463269264</v>
      </c>
      <c r="ED83" s="48" t="n">
        <f aca="false">(ED79+ED55+ED82)*(ED$4&gt;In_COD)</f>
        <v>2123.13345362752</v>
      </c>
      <c r="EE83" s="48" t="n">
        <f aca="false">(EE79+EE55+EE82)*(EE$4&gt;In_COD)</f>
        <v>2083.88102855902</v>
      </c>
      <c r="EF83" s="48" t="n">
        <f aca="false">(EF79+EF55+EF82)*(EF$4&gt;In_COD)</f>
        <v>2107.03526220968</v>
      </c>
      <c r="EG83" s="48" t="n">
        <f aca="false">(EG79+EG55+EG82)*(EG$4&gt;In_COD)</f>
        <v>2130.18949586034</v>
      </c>
      <c r="EH83" s="48" t="n">
        <f aca="false">(EH79+EH55+EH82)*(EH$4&gt;In_COD)</f>
        <v>2121.59911832654</v>
      </c>
      <c r="EI83" s="48" t="n">
        <f aca="false">(EI79+EI55+EI82)*(EI$4&gt;In_COD)</f>
        <v>2082.00830156043</v>
      </c>
      <c r="EJ83" s="48" t="n">
        <f aca="false">(EJ79+EJ55+EJ82)*(EJ$4&gt;In_COD)</f>
        <v>2105.14172713332</v>
      </c>
      <c r="EK83" s="48" t="n">
        <f aca="false">(EK79+EK55+EK82)*(EK$4&gt;In_COD)</f>
        <v>2128.27515270622</v>
      </c>
      <c r="EL83" s="48" t="n">
        <f aca="false">(EL79+EL55+EL82)*(EL$4&gt;In_COD)</f>
        <v>2119.63552297573</v>
      </c>
      <c r="EM83" s="48" t="n">
        <f aca="false">(EM79+EM55+EM82)*(EM$4&gt;In_COD)</f>
        <v>2102.81068955117</v>
      </c>
      <c r="EN83" s="48" t="n">
        <f aca="false">(EN79+EN55+EN82)*(EN$4&gt;In_COD)</f>
        <v>2102.81068955117</v>
      </c>
      <c r="EO83" s="48" t="n">
        <f aca="false">(EO79+EO55+EO82)*(EO$4&gt;In_COD)</f>
        <v>2125.91849932646</v>
      </c>
    </row>
    <row r="84" customFormat="false" ht="15" hidden="false" customHeight="false" outlineLevel="0" collapsed="false">
      <c r="C84" s="1" t="s">
        <v>431</v>
      </c>
      <c r="D84" s="12" t="s">
        <v>33</v>
      </c>
      <c r="E84" s="48" t="n">
        <f aca="false">SUMPRODUCT($J84:$EO84/$J21:$EO21)*$E21</f>
        <v>86813.3267405873</v>
      </c>
      <c r="I84" s="48" t="n">
        <f aca="false">SUM(J84:EO84)</f>
        <v>132292.003181174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1823.32777097211</v>
      </c>
      <c r="AA84" s="48" t="n">
        <f aca="false">AA83/In_DSCR*AA17</f>
        <v>1795.52098680196</v>
      </c>
      <c r="AB84" s="48" t="n">
        <f aca="false">AB83/In_DSCR*AB17</f>
        <v>1814.98198242013</v>
      </c>
      <c r="AC84" s="48" t="n">
        <f aca="false">AC83/In_DSCR*AC17</f>
        <v>1834.43467143935</v>
      </c>
      <c r="AD84" s="48" t="n">
        <f aca="false">AD83/In_DSCR*AD17</f>
        <v>1827.82709647359</v>
      </c>
      <c r="AE84" s="48" t="n">
        <f aca="false">AE83/In_DSCR*AE17</f>
        <v>1819.50719751029</v>
      </c>
      <c r="AF84" s="48" t="n">
        <f aca="false">AF83/In_DSCR*AF17</f>
        <v>1819.27910490202</v>
      </c>
      <c r="AG84" s="48" t="n">
        <f aca="false">AG83/In_DSCR*AG17</f>
        <v>1838.77639941413</v>
      </c>
      <c r="AH84" s="48" t="n">
        <f aca="false">AH83/In_DSCR*AH17</f>
        <v>1823.86254731788</v>
      </c>
      <c r="AI84" s="48" t="n">
        <f aca="false">AI83/In_DSCR*AI17</f>
        <v>1782.88535671569</v>
      </c>
      <c r="AJ84" s="48" t="n">
        <f aca="false">AJ83/In_DSCR*AJ17</f>
        <v>1826.86195440995</v>
      </c>
      <c r="AK84" s="48" t="n">
        <f aca="false">AK83/In_DSCR*AK17</f>
        <v>1845.94053310492</v>
      </c>
      <c r="AL84" s="48" t="n">
        <f aca="false">AL83/In_DSCR*AL17</f>
        <v>1839.27628429352</v>
      </c>
      <c r="AM84" s="48" t="n">
        <f aca="false">AM83/In_DSCR*AM17</f>
        <v>1810.38123628061</v>
      </c>
      <c r="AN84" s="48" t="n">
        <f aca="false">AN83/In_DSCR*AN17</f>
        <v>1829.50165075532</v>
      </c>
      <c r="AO84" s="48" t="n">
        <f aca="false">AO83/In_DSCR*AO17</f>
        <v>1848.60466698716</v>
      </c>
      <c r="AP84" s="48" t="n">
        <f aca="false">AP83/In_DSCR*AP17</f>
        <v>1841.87466620961</v>
      </c>
      <c r="AQ84" s="48" t="n">
        <f aca="false">AQ83/In_DSCR*AQ17</f>
        <v>1812.72810537755</v>
      </c>
      <c r="AR84" s="48" t="n">
        <f aca="false">AR83/In_DSCR*AR17</f>
        <v>1831.87032957988</v>
      </c>
      <c r="AS84" s="48" t="n">
        <f aca="false">AS83/In_DSCR*AS17</f>
        <v>1850.99479983045</v>
      </c>
      <c r="AT84" s="48" t="n">
        <f aca="false">AT83/In_DSCR*AT17</f>
        <v>1844.19771501788</v>
      </c>
      <c r="AU84" s="48" t="n">
        <f aca="false">AU83/In_DSCR*AU17</f>
        <v>1834.51225322477</v>
      </c>
      <c r="AV84" s="48" t="n">
        <f aca="false">AV83/In_DSCR*AV17</f>
        <v>1833.94581025139</v>
      </c>
      <c r="AW84" s="48" t="n">
        <f aca="false">AW83/In_DSCR*AW17</f>
        <v>1853.08849547302</v>
      </c>
      <c r="AX84" s="48" t="n">
        <f aca="false">AX83/In_DSCR*AX17</f>
        <v>1846.22280279727</v>
      </c>
      <c r="AY84" s="48" t="n">
        <f aca="false">AY83/In_DSCR*AY17</f>
        <v>1816.56319432557</v>
      </c>
      <c r="AZ84" s="48" t="n">
        <f aca="false">AZ83/In_DSCR*AZ17</f>
        <v>1835.73950914187</v>
      </c>
      <c r="BA84" s="48" t="n">
        <f aca="false">BA83/In_DSCR*BA17</f>
        <v>1854.89731533856</v>
      </c>
      <c r="BB84" s="48" t="n">
        <f aca="false">BB83/In_DSCR*BB17</f>
        <v>1847.96170636759</v>
      </c>
      <c r="BC84" s="48" t="n">
        <f aca="false">BC83/In_DSCR*BC17</f>
        <v>1818.04052751595</v>
      </c>
      <c r="BD84" s="48" t="n">
        <f aca="false">BD83/In_DSCR*BD17</f>
        <v>1837.22901009447</v>
      </c>
      <c r="BE84" s="48" t="n">
        <f aca="false">BE83/In_DSCR*BE17</f>
        <v>1856.39858540677</v>
      </c>
      <c r="BF84" s="48" t="n">
        <f aca="false">BF83/In_DSCR*BF17</f>
        <v>1849.39156123419</v>
      </c>
      <c r="BG84" s="48" t="n">
        <f aca="false">BG83/In_DSCR*BG17</f>
        <v>1819.20528689823</v>
      </c>
      <c r="BH84" s="48" t="n">
        <f aca="false">BH83/In_DSCR*BH17</f>
        <v>1838.40246938479</v>
      </c>
      <c r="BI84" s="48" t="n">
        <f aca="false">BI83/In_DSCR*BI17</f>
        <v>1857.58033031793</v>
      </c>
      <c r="BJ84" s="48" t="n">
        <f aca="false">BJ83/In_DSCR*BJ17</f>
        <v>1850.50033118722</v>
      </c>
      <c r="BK84" s="48" t="n">
        <f aca="false">BK83/In_DSCR*BK17</f>
        <v>1839.9309369706</v>
      </c>
      <c r="BL84" s="48" t="n">
        <f aca="false">BL83/In_DSCR*BL17</f>
        <v>1839.23601259999</v>
      </c>
      <c r="BM84" s="48" t="n">
        <f aca="false">BM83/In_DSCR*BM17</f>
        <v>1858.41840091545</v>
      </c>
      <c r="BN84" s="48" t="n">
        <f aca="false">BN83/In_DSCR*BN17</f>
        <v>1851.26366334525</v>
      </c>
      <c r="BO84" s="48" t="n">
        <f aca="false">BO83/In_DSCR*BO17</f>
        <v>1820.53610625148</v>
      </c>
      <c r="BP84" s="48" t="n">
        <f aca="false">BP83/In_DSCR*BP17</f>
        <v>1839.73959404829</v>
      </c>
      <c r="BQ84" s="48" t="n">
        <f aca="false">BQ83/In_DSCR*BQ17</f>
        <v>1858.9228801303</v>
      </c>
      <c r="BR84" s="48" t="n">
        <f aca="false">BR83/In_DSCR*BR17</f>
        <v>1851.69184707495</v>
      </c>
      <c r="BS84" s="48" t="n">
        <f aca="false">BS83/In_DSCR*BS17</f>
        <v>1820.68804107239</v>
      </c>
      <c r="BT84" s="48" t="n">
        <f aca="false">BT83/In_DSCR*BT17</f>
        <v>1839.88898438544</v>
      </c>
      <c r="BU84" s="48" t="n">
        <f aca="false">BU83/In_DSCR*BU17</f>
        <v>1859.06926016663</v>
      </c>
      <c r="BV84" s="48" t="n">
        <f aca="false">BV83/In_DSCR*BV17</f>
        <v>1851.76017112805</v>
      </c>
      <c r="BW84" s="48" t="n">
        <f aca="false">BW83/In_DSCR*BW17</f>
        <v>1820.47619761776</v>
      </c>
      <c r="BX84" s="48" t="n">
        <f aca="false">BX83/In_DSCR*BX17</f>
        <v>1839.6705553069</v>
      </c>
      <c r="BY84" s="48" t="n">
        <f aca="false">BY83/In_DSCR*BY17</f>
        <v>1858.84376086271</v>
      </c>
      <c r="BZ84" s="48" t="n">
        <f aca="false">BZ83/In_DSCR*BZ17</f>
        <v>1851.45478208105</v>
      </c>
      <c r="CA84" s="48" t="n">
        <f aca="false">CA83/In_DSCR*CA17</f>
        <v>1839.90671230922</v>
      </c>
      <c r="CB84" s="48" t="n">
        <f aca="false">CB83/In_DSCR*CB17</f>
        <v>1839.05850064617</v>
      </c>
      <c r="CC84" s="48" t="n">
        <f aca="false">CC83/In_DSCR*CC17</f>
        <v>1858.22027935865</v>
      </c>
      <c r="CD84" s="48" t="n">
        <f aca="false">CD83/In_DSCR*CD17</f>
        <v>1850.74935938993</v>
      </c>
      <c r="CE84" s="48" t="n">
        <f aca="false">CE83/In_DSCR*CE17</f>
        <v>1818.89271636445</v>
      </c>
      <c r="CF84" s="48" t="n">
        <f aca="false">CF83/In_DSCR*CF17</f>
        <v>1838.06100320419</v>
      </c>
      <c r="CG84" s="48" t="n">
        <f aca="false">CG83/In_DSCR*CG17</f>
        <v>1857.20710706476</v>
      </c>
      <c r="CH84" s="48" t="n">
        <f aca="false">CH83/In_DSCR*CH17</f>
        <v>1849.65238910619</v>
      </c>
      <c r="CI84" s="48" t="n">
        <f aca="false">CI83/In_DSCR*CI17</f>
        <v>1817.50315101776</v>
      </c>
      <c r="CJ84" s="48" t="n">
        <f aca="false">CJ83/In_DSCR*CJ17</f>
        <v>1836.65175945386</v>
      </c>
      <c r="CK84" s="48" t="n">
        <f aca="false">CK83/In_DSCR*CK17</f>
        <v>1855.77763840946</v>
      </c>
      <c r="CL84" s="48" t="n">
        <f aca="false">CL83/In_DSCR*CL17</f>
        <v>1848.13704699982</v>
      </c>
      <c r="CM84" s="48" t="n">
        <f aca="false">CM83/In_DSCR*CM17</f>
        <v>1815.69083702578</v>
      </c>
      <c r="CN84" s="48" t="n">
        <f aca="false">CN83/In_DSCR*CN17</f>
        <v>1834.81506412921</v>
      </c>
      <c r="CO84" s="48" t="n">
        <f aca="false">CO83/In_DSCR*CO17</f>
        <v>1853.91599267165</v>
      </c>
      <c r="CP84" s="48" t="n">
        <f aca="false">CP83/In_DSCR*CP17</f>
        <v>1846.18736409252</v>
      </c>
      <c r="CQ84" s="48" t="n">
        <f aca="false">CQ83/In_DSCR*CQ17</f>
        <v>1833.55409429248</v>
      </c>
      <c r="CR84" s="48" t="n">
        <f aca="false">CR83/In_DSCR*CR17</f>
        <v>1832.52289808482</v>
      </c>
      <c r="CS84" s="48" t="n">
        <f aca="false">CS83/In_DSCR*CS17</f>
        <v>1851.59382882241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1" t="s">
        <v>432</v>
      </c>
      <c r="D85" s="12" t="s">
        <v>27</v>
      </c>
      <c r="E85" s="49" t="n">
        <f aca="false">IF($E38=1,In_Gearing,In_Gearing_CN)</f>
        <v>0.7</v>
      </c>
    </row>
    <row r="86" customFormat="false" ht="15" hidden="false" customHeight="false" outlineLevel="0" collapsed="false">
      <c r="C86" s="26" t="s">
        <v>433</v>
      </c>
      <c r="D86" s="12" t="s">
        <v>27</v>
      </c>
      <c r="E86" s="34" t="n">
        <f aca="false">MIN($E85,$E84/-$E66)</f>
        <v>0.7</v>
      </c>
      <c r="F86" s="34" t="n">
        <f aca="false">$E86*-$E66/$E84</f>
        <v>0.622747111569827</v>
      </c>
    </row>
    <row r="88" customFormat="false" ht="15" hidden="false" customHeight="false" outlineLevel="0" collapsed="false">
      <c r="A88" s="10" t="s">
        <v>13</v>
      </c>
      <c r="B88" s="10"/>
      <c r="C88" s="10" t="s">
        <v>317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customFormat="false" ht="15" hidden="false" customHeight="false" outlineLevel="0" collapsed="false">
      <c r="C89" s="1" t="s">
        <v>434</v>
      </c>
      <c r="D89" s="12" t="s">
        <v>33</v>
      </c>
      <c r="I89" s="48" t="n">
        <f aca="false">SUM(J89:EO89)</f>
        <v>-28321.7143913946</v>
      </c>
      <c r="J89" s="48" t="n">
        <f aca="false">-I95*$F21*(J$4&gt;In_COD)</f>
        <v>-0</v>
      </c>
      <c r="K89" s="48" t="n">
        <f aca="false">-J95*$F21*(K$4&gt;In_COD)</f>
        <v>-0</v>
      </c>
      <c r="L89" s="48" t="n">
        <f aca="false">-K95*$F21*(L$4&gt;In_COD)</f>
        <v>-0</v>
      </c>
      <c r="M89" s="48" t="n">
        <f aca="false">-L95*$F21*(M$4&gt;In_COD)</f>
        <v>-0</v>
      </c>
      <c r="N89" s="48" t="n">
        <f aca="false">-M95*$F21*(N$4&gt;In_COD)</f>
        <v>-0</v>
      </c>
      <c r="O89" s="48" t="n">
        <f aca="false">-N95*$F21*(O$4&gt;In_COD)</f>
        <v>-0</v>
      </c>
      <c r="P89" s="48" t="n">
        <f aca="false">-O95*$F21*(P$4&gt;In_COD)</f>
        <v>-0</v>
      </c>
      <c r="Q89" s="48" t="n">
        <f aca="false">-P95*$F21*(Q$4&gt;In_COD)</f>
        <v>-0</v>
      </c>
      <c r="R89" s="48" t="n">
        <f aca="false">-Q95*$F21*(R$4&gt;In_COD)</f>
        <v>-0</v>
      </c>
      <c r="S89" s="48" t="n">
        <f aca="false">-R95*$F21*(S$4&gt;In_COD)</f>
        <v>-0</v>
      </c>
      <c r="T89" s="48" t="n">
        <f aca="false">-S95*$F21*(T$4&gt;In_COD)</f>
        <v>-0</v>
      </c>
      <c r="U89" s="48" t="n">
        <f aca="false">-T95*$F21*(U$4&gt;In_COD)</f>
        <v>-0</v>
      </c>
      <c r="V89" s="48" t="n">
        <f aca="false">-U95*$F21*(V$4&gt;In_COD)</f>
        <v>-0</v>
      </c>
      <c r="W89" s="48" t="n">
        <f aca="false">-V95*$F21*(W$4&gt;In_COD)</f>
        <v>-0</v>
      </c>
      <c r="X89" s="48" t="n">
        <f aca="false">-W95*$F21*(X$4&gt;In_COD)</f>
        <v>-0</v>
      </c>
      <c r="Y89" s="48" t="n">
        <f aca="false">-X95*$F21*(Y$4&gt;In_COD)</f>
        <v>-0</v>
      </c>
      <c r="Z89" s="48" t="n">
        <f aca="false">-Y95*$F21*(Z$4&gt;In_COD)</f>
        <v>-675.784355918355</v>
      </c>
      <c r="AA89" s="48" t="n">
        <f aca="false">-Z95*$F21*(AA$4&gt;In_COD)</f>
        <v>-670.038259082111</v>
      </c>
      <c r="AB89" s="48" t="n">
        <f aca="false">-AA95*$F21*(AB$4&gt;In_COD)</f>
        <v>-664.436793466963</v>
      </c>
      <c r="AC89" s="48" t="n">
        <f aca="false">-AB95*$F21*(AC$4&gt;In_COD)</f>
        <v>-658.613818546507</v>
      </c>
      <c r="AD89" s="48" t="n">
        <f aca="false">-AC95*$F21*(AD$4&gt;In_COD)</f>
        <v>-652.566630115808</v>
      </c>
      <c r="AE89" s="48" t="n">
        <f aca="false">-AD95*$F21*(AE$4&gt;In_COD)</f>
        <v>-646.495287432531</v>
      </c>
      <c r="AF89" s="48" t="n">
        <f aca="false">-AE95*$F21*(AF$4&gt;In_COD)</f>
        <v>-640.412817878812</v>
      </c>
      <c r="AG89" s="48" t="n">
        <f aca="false">-AF95*$F21*(AG$4&gt;In_COD)</f>
        <v>-634.256093005834</v>
      </c>
      <c r="AH89" s="48" t="n">
        <f aca="false">-AG95*$F21*(AH$4&gt;In_COD)</f>
        <v>-627.870635523933</v>
      </c>
      <c r="AI89" s="48" t="n">
        <f aca="false">-AH95*$F21*(AI$4&gt;In_COD)</f>
        <v>-621.52145430245</v>
      </c>
      <c r="AJ89" s="48" t="n">
        <f aca="false">-AI95*$F21*(AJ$4&gt;In_COD)</f>
        <v>-615.411888654295</v>
      </c>
      <c r="AK89" s="48" t="n">
        <f aca="false">-AJ95*$F21*(AK$4&gt;In_COD)</f>
        <v>-608.883624695653</v>
      </c>
      <c r="AL89" s="48" t="n">
        <f aca="false">-AK95*$F21*(AL$4&gt;In_COD)</f>
        <v>-602.12524331534</v>
      </c>
      <c r="AM89" s="48" t="n">
        <f aca="false">-AL95*$F21*(AM$4&gt;In_COD)</f>
        <v>-595.334258938998</v>
      </c>
      <c r="AN89" s="48" t="n">
        <f aca="false">-AM95*$F21*(AN$4&gt;In_COD)</f>
        <v>-588.683316104061</v>
      </c>
      <c r="AO89" s="48" t="n">
        <f aca="false">-AN95*$F21*(AO$4&gt;In_COD)</f>
        <v>-581.80039669761</v>
      </c>
      <c r="AP89" s="48" t="n">
        <f aca="false">-AO95*$F21*(AP$4&gt;In_COD)</f>
        <v>-574.682736446321</v>
      </c>
      <c r="AQ89" s="48" t="n">
        <f aca="false">-AP95*$F21*(AQ$4&gt;In_COD)</f>
        <v>-567.528494048704</v>
      </c>
      <c r="AR89" s="48" t="n">
        <f aca="false">-AQ95*$F21*(AR$4&gt;In_COD)</f>
        <v>-560.511710328246</v>
      </c>
      <c r="AS89" s="48" t="n">
        <f aca="false">-AR95*$F21*(AS$4&gt;In_COD)</f>
        <v>-553.258207250895</v>
      </c>
      <c r="AT89" s="48" t="n">
        <f aca="false">-AS95*$F21*(AT$4&gt;In_COD)</f>
        <v>-545.765164027467</v>
      </c>
      <c r="AU89" s="48" t="n">
        <f aca="false">-AT95*$F21*(AU$4&gt;In_COD)</f>
        <v>-538.231368575422</v>
      </c>
      <c r="AV89" s="48" t="n">
        <f aca="false">-AU95*$F21*(AV$4&gt;In_COD)</f>
        <v>-530.678795597175</v>
      </c>
      <c r="AW89" s="48" t="n">
        <f aca="false">-AV95*$F21*(AW$4&gt;In_COD)</f>
        <v>-523.036224840769</v>
      </c>
      <c r="AX89" s="48" t="n">
        <f aca="false">-AW95*$F21*(AX$4&gt;In_COD)</f>
        <v>-515.14910880079</v>
      </c>
      <c r="AY89" s="48" t="n">
        <f aca="false">-AX95*$F21*(AY$4&gt;In_COD)</f>
        <v>-507.216848688845</v>
      </c>
      <c r="AZ89" s="48" t="n">
        <f aca="false">-AY95*$F21*(AZ$4&gt;In_COD)</f>
        <v>-499.416315769327</v>
      </c>
      <c r="BA89" s="48" t="n">
        <f aca="false">-AZ95*$F21*(BA$4&gt;In_COD)</f>
        <v>-491.369001255035</v>
      </c>
      <c r="BB89" s="48" t="n">
        <f aca="false">-BA95*$F21*(BB$4&gt;In_COD)</f>
        <v>-483.071964453401</v>
      </c>
      <c r="BC89" s="48" t="n">
        <f aca="false">-BB95*$F21*(BC$4&gt;In_COD)</f>
        <v>-474.725203822418</v>
      </c>
      <c r="BD89" s="48" t="n">
        <f aca="false">-BC95*$F21*(BD$4&gt;In_COD)</f>
        <v>-466.507025279855</v>
      </c>
      <c r="BE89" s="48" t="n">
        <f aca="false">-BD95*$F21*(BE$4&gt;In_COD)</f>
        <v>-458.036749854245</v>
      </c>
      <c r="BF89" s="48" t="n">
        <f aca="false">-BE95*$F21*(BF$4&gt;In_COD)</f>
        <v>-449.311373515119</v>
      </c>
      <c r="BG89" s="48" t="n">
        <f aca="false">-BF95*$F21*(BG$4&gt;In_COD)</f>
        <v>-440.531475022555</v>
      </c>
      <c r="BH89" s="48" t="n">
        <f aca="false">-BG95*$F21*(BH$4&gt;In_COD)</f>
        <v>-431.876807988232</v>
      </c>
      <c r="BI89" s="48" t="n">
        <f aca="false">-BH95*$F21*(BI$4&gt;In_COD)</f>
        <v>-422.964520241682</v>
      </c>
      <c r="BJ89" s="48" t="n">
        <f aca="false">-BI95*$F21*(BJ$4&gt;In_COD)</f>
        <v>-413.791541929523</v>
      </c>
      <c r="BK89" s="48" t="n">
        <f aca="false">-BJ95*$F21*(BK$4&gt;In_COD)</f>
        <v>-404.559014501069</v>
      </c>
      <c r="BL89" s="48" t="n">
        <f aca="false">-BK95*$F21*(BL$4&gt;In_COD)</f>
        <v>-395.293356226252</v>
      </c>
      <c r="BM89" s="48" t="n">
        <f aca="false">-BL95*$F21*(BM$4&gt;In_COD)</f>
        <v>-385.917286749807</v>
      </c>
      <c r="BN89" s="48" t="n">
        <f aca="false">-BM95*$F21*(BN$4&gt;In_COD)</f>
        <v>-376.274694193451</v>
      </c>
      <c r="BO89" s="48" t="n">
        <f aca="false">-BN95*$F21*(BO$4&gt;In_COD)</f>
        <v>-366.567264132088</v>
      </c>
      <c r="BP89" s="48" t="n">
        <f aca="false">-BO95*$F21*(BP$4&gt;In_COD)</f>
        <v>-356.977684912781</v>
      </c>
      <c r="BQ89" s="48" t="n">
        <f aca="false">-BP95*$F21*(BQ$4&gt;In_COD)</f>
        <v>-347.118749496263</v>
      </c>
      <c r="BR89" s="48" t="n">
        <f aca="false">-BQ95*$F21*(BR$4&gt;In_COD)</f>
        <v>-336.987248187063</v>
      </c>
      <c r="BS89" s="48" t="n">
        <f aca="false">-BR95*$F21*(BS$4&gt;In_COD)</f>
        <v>-326.78539192336</v>
      </c>
      <c r="BT89" s="48" t="n">
        <f aca="false">-BS95*$F21*(BT$4&gt;In_COD)</f>
        <v>-316.697356589308</v>
      </c>
      <c r="BU89" s="48" t="n">
        <f aca="false">-BT95*$F21*(BU$4&gt;In_COD)</f>
        <v>-306.333754163734</v>
      </c>
      <c r="BV89" s="48" t="n">
        <f aca="false">-BU95*$F21*(BV$4&gt;In_COD)</f>
        <v>-295.691300941068</v>
      </c>
      <c r="BW89" s="48" t="n">
        <f aca="false">-BV95*$F21*(BW$4&gt;In_COD)</f>
        <v>-284.972713479206</v>
      </c>
      <c r="BX89" s="48" t="n">
        <f aca="false">-BW95*$F21*(BX$4&gt;In_COD)</f>
        <v>-274.363668725845</v>
      </c>
      <c r="BY89" s="48" t="n">
        <f aca="false">-BX95*$F21*(BY$4&gt;In_COD)</f>
        <v>-263.47259552795</v>
      </c>
      <c r="BZ89" s="48" t="n">
        <f aca="false">-BY95*$F21*(BZ$4&gt;In_COD)</f>
        <v>-252.296133185339</v>
      </c>
      <c r="CA89" s="48" t="n">
        <f aca="false">-BZ95*$F21*(CA$4&gt;In_COD)</f>
        <v>-241.037483378367</v>
      </c>
      <c r="CB89" s="48" t="n">
        <f aca="false">-CA95*$F21*(CB$4&gt;In_COD)</f>
        <v>-229.72799453749</v>
      </c>
      <c r="CC89" s="48" t="n">
        <f aca="false">-CB95*$F21*(CC$4&gt;In_COD)</f>
        <v>-218.283739853142</v>
      </c>
      <c r="CD89" s="48" t="n">
        <f aca="false">-CC95*$F21*(CD$4&gt;In_COD)</f>
        <v>-206.547270205918</v>
      </c>
      <c r="CE89" s="48" t="n">
        <f aca="false">-CD95*$F21*(CE$4&gt;In_COD)</f>
        <v>-194.722250860995</v>
      </c>
      <c r="CF89" s="48" t="n">
        <f aca="false">-CE95*$F21*(CF$4&gt;In_COD)</f>
        <v>-182.997401679615</v>
      </c>
      <c r="CG89" s="48" t="n">
        <f aca="false">-CF95*$F21*(CG$4&gt;In_COD)</f>
        <v>-170.976779442678</v>
      </c>
      <c r="CH89" s="48" t="n">
        <f aca="false">-CG95*$F21*(CH$4&gt;In_COD)</f>
        <v>-158.656859666818</v>
      </c>
      <c r="CI89" s="48" t="n">
        <f aca="false">-CH95*$F21*(CI$4&gt;In_COD)</f>
        <v>-146.241749378601</v>
      </c>
      <c r="CJ89" s="48" t="n">
        <f aca="false">-CI95*$F21*(CJ$4&gt;In_COD)</f>
        <v>-133.921710776267</v>
      </c>
      <c r="CK89" s="48" t="n">
        <f aca="false">-CJ95*$F21*(CK$4&gt;In_COD)</f>
        <v>-121.298612433976</v>
      </c>
      <c r="CL89" s="48" t="n">
        <f aca="false">-CK95*$F21*(CL$4&gt;In_COD)</f>
        <v>-108.368843038959</v>
      </c>
      <c r="CM89" s="48" t="n">
        <f aca="false">-CL95*$F21*(CM$4&gt;In_COD)</f>
        <v>-95.3369284793915</v>
      </c>
      <c r="CN89" s="48" t="n">
        <f aca="false">-CM95*$F21*(CN$4&gt;In_COD)</f>
        <v>-82.3946872821138</v>
      </c>
      <c r="CO89" s="48" t="n">
        <f aca="false">-CN95*$F21*(CO$4&gt;In_COD)</f>
        <v>-69.1417986049993</v>
      </c>
      <c r="CP89" s="48" t="n">
        <f aca="false">-CO95*$F21*(CP$4&gt;In_COD)</f>
        <v>-55.5745607184445</v>
      </c>
      <c r="CQ89" s="48" t="n">
        <f aca="false">-CP95*$F21*(CQ$4&gt;In_COD)</f>
        <v>-41.8978946223584</v>
      </c>
      <c r="CR89" s="48" t="n">
        <f aca="false">-CQ95*$F21*(CR$4&gt;In_COD)</f>
        <v>-28.148611853542</v>
      </c>
      <c r="CS89" s="48" t="n">
        <f aca="false">-CR95*$F21*(CS$4&gt;In_COD)</f>
        <v>-14.2354902308626</v>
      </c>
      <c r="CT89" s="48" t="n">
        <f aca="false">-CS95*$F21*(CT$4&gt;In_COD)</f>
        <v>-2.48121523327427E-012</v>
      </c>
      <c r="CU89" s="48" t="n">
        <f aca="false">-CT95*$F21*(CU$4&gt;In_COD)</f>
        <v>-2.5122304236902E-012</v>
      </c>
      <c r="CV89" s="48" t="n">
        <f aca="false">-CU95*$F21*(CV$4&gt;In_COD)</f>
        <v>-2.54363330398633E-012</v>
      </c>
      <c r="CW89" s="48" t="n">
        <f aca="false">-CV95*$F21*(CW$4&gt;In_COD)</f>
        <v>-2.57542872028616E-012</v>
      </c>
      <c r="CX89" s="48" t="n">
        <f aca="false">-CW95*$F21*(CX$4&gt;In_COD)</f>
        <v>-2.60762157928973E-012</v>
      </c>
      <c r="CY89" s="48" t="n">
        <f aca="false">-CX95*$F21*(CY$4&gt;In_COD)</f>
        <v>-2.64021684903085E-012</v>
      </c>
      <c r="CZ89" s="48" t="n">
        <f aca="false">-CY95*$F21*(CZ$4&gt;In_COD)</f>
        <v>-2.67321955964374E-012</v>
      </c>
      <c r="DA89" s="48" t="n">
        <f aca="false">-CZ95*$F21*(DA$4&gt;In_COD)</f>
        <v>-2.70663480413929E-012</v>
      </c>
      <c r="DB89" s="48" t="n">
        <f aca="false">-DA95*$F21*(DB$4&gt;In_COD)</f>
        <v>-2.74046773919103E-012</v>
      </c>
      <c r="DC89" s="48" t="n">
        <f aca="false">-DB95*$F21*(DC$4&gt;In_COD)</f>
        <v>-2.77472358593092E-012</v>
      </c>
      <c r="DD89" s="48" t="n">
        <f aca="false">-DC95*$F21*(DD$4&gt;In_COD)</f>
        <v>-2.80940763075505E-012</v>
      </c>
      <c r="DE89" s="48" t="n">
        <f aca="false">-DD95*$F21*(DE$4&gt;In_COD)</f>
        <v>-2.84452522613949E-012</v>
      </c>
      <c r="DF89" s="48" t="n">
        <f aca="false">-DE95*$F21*(DF$4&gt;In_COD)</f>
        <v>-2.88008179146623E-012</v>
      </c>
      <c r="DG89" s="48" t="n">
        <f aca="false">-DF95*$F21*(DG$4&gt;In_COD)</f>
        <v>-2.91608281385956E-012</v>
      </c>
      <c r="DH89" s="48" t="n">
        <f aca="false">-DG95*$F21*(DH$4&gt;In_COD)</f>
        <v>-2.95253384903281E-012</v>
      </c>
      <c r="DI89" s="48" t="n">
        <f aca="false">-DH95*$F21*(DI$4&gt;In_COD)</f>
        <v>-2.98944052214572E-012</v>
      </c>
      <c r="DJ89" s="48" t="n">
        <f aca="false">-DI95*$F21*(DJ$4&gt;In_COD)</f>
        <v>-3.02680852867254E-012</v>
      </c>
      <c r="DK89" s="48" t="n">
        <f aca="false">-DJ95*$F21*(DK$4&gt;In_COD)</f>
        <v>-3.06464363528094E-012</v>
      </c>
      <c r="DL89" s="48" t="n">
        <f aca="false">-DK95*$F21*(DL$4&gt;In_COD)</f>
        <v>-3.10295168072196E-012</v>
      </c>
      <c r="DM89" s="48" t="n">
        <f aca="false">-DL95*$F21*(DM$4&gt;In_COD)</f>
        <v>-3.14173857673098E-012</v>
      </c>
      <c r="DN89" s="48" t="n">
        <f aca="false">-DM95*$F21*(DN$4&gt;In_COD)</f>
        <v>-3.18101030894012E-012</v>
      </c>
      <c r="DO89" s="48" t="n">
        <f aca="false">-DN95*$F21*(DO$4&gt;In_COD)</f>
        <v>-3.22077293780187E-012</v>
      </c>
      <c r="DP89" s="48" t="n">
        <f aca="false">-DO95*$F21*(DP$4&gt;In_COD)</f>
        <v>-3.26103259952439E-012</v>
      </c>
      <c r="DQ89" s="48" t="n">
        <f aca="false">-DP95*$F21*(DQ$4&gt;In_COD)</f>
        <v>-3.30179550701845E-012</v>
      </c>
      <c r="DR89" s="48" t="n">
        <f aca="false">-DQ95*$F21*(DR$4&gt;In_COD)</f>
        <v>-3.34306795085618E-012</v>
      </c>
      <c r="DS89" s="48" t="n">
        <f aca="false">-DR95*$F21*(DS$4&gt;In_COD)</f>
        <v>-3.38485630024188E-012</v>
      </c>
      <c r="DT89" s="48" t="n">
        <f aca="false">-DS95*$F21*(DT$4&gt;In_COD)</f>
        <v>-3.4271670039949E-012</v>
      </c>
      <c r="DU89" s="48" t="n">
        <f aca="false">-DT95*$F21*(DU$4&gt;In_COD)</f>
        <v>-3.47000659154484E-012</v>
      </c>
      <c r="DV89" s="48" t="n">
        <f aca="false">-DU95*$F21*(DV$4&gt;In_COD)</f>
        <v>-3.51338167393915E-012</v>
      </c>
      <c r="DW89" s="48" t="n">
        <f aca="false">-DV95*$F21*(DW$4&gt;In_COD)</f>
        <v>-3.55729894486339E-012</v>
      </c>
      <c r="DX89" s="48" t="n">
        <f aca="false">-DW95*$F21*(DX$4&gt;In_COD)</f>
        <v>-3.60176518167418E-012</v>
      </c>
      <c r="DY89" s="48" t="n">
        <f aca="false">-DX95*$F21*(DY$4&gt;In_COD)</f>
        <v>-3.64678724644511E-012</v>
      </c>
      <c r="DZ89" s="48" t="n">
        <f aca="false">-DY95*$F21*(DZ$4&gt;In_COD)</f>
        <v>-3.69237208702567E-012</v>
      </c>
      <c r="EA89" s="48" t="n">
        <f aca="false">-DZ95*$F21*(EA$4&gt;In_COD)</f>
        <v>-3.73852673811349E-012</v>
      </c>
      <c r="EB89" s="48" t="n">
        <f aca="false">-EA95*$F21*(EB$4&gt;In_COD)</f>
        <v>-3.78525832233991E-012</v>
      </c>
      <c r="EC89" s="48" t="n">
        <f aca="false">-EB95*$F21*(EC$4&gt;In_COD)</f>
        <v>-3.83257405136916E-012</v>
      </c>
      <c r="ED89" s="48" t="n">
        <f aca="false">-EC95*$F21*(ED$4&gt;In_COD)</f>
        <v>-3.88048122701128E-012</v>
      </c>
      <c r="EE89" s="48" t="n">
        <f aca="false">-ED95*$F21*(EE$4&gt;In_COD)</f>
        <v>-3.92898724234892E-012</v>
      </c>
      <c r="EF89" s="48" t="n">
        <f aca="false">-EE95*$F21*(EF$4&gt;In_COD)</f>
        <v>-3.97809958287828E-012</v>
      </c>
      <c r="EG89" s="48" t="n">
        <f aca="false">-EF95*$F21*(EG$4&gt;In_COD)</f>
        <v>-4.02782582766426E-012</v>
      </c>
      <c r="EH89" s="48" t="n">
        <f aca="false">-EG95*$F21*(EH$4&gt;In_COD)</f>
        <v>-4.07817365051006E-012</v>
      </c>
      <c r="EI89" s="48" t="n">
        <f aca="false">-EH95*$F21*(EI$4&gt;In_COD)</f>
        <v>-4.12915082114144E-012</v>
      </c>
      <c r="EJ89" s="48" t="n">
        <f aca="false">-EI95*$F21*(EJ$4&gt;In_COD)</f>
        <v>-4.1807652064057E-012</v>
      </c>
      <c r="EK89" s="48" t="n">
        <f aca="false">-EJ95*$F21*(EK$4&gt;In_COD)</f>
        <v>-4.23302477148577E-012</v>
      </c>
      <c r="EL89" s="48" t="n">
        <f aca="false">-EK95*$F21*(EL$4&gt;In_COD)</f>
        <v>-4.28593758112935E-012</v>
      </c>
      <c r="EM89" s="48" t="n">
        <f aca="false">-EL95*$F21*(EM$4&gt;In_COD)</f>
        <v>-4.33951180089346E-012</v>
      </c>
      <c r="EN89" s="48" t="n">
        <f aca="false">-EM95*$F21*(EN$4&gt;In_COD)</f>
        <v>-4.39375569840463E-012</v>
      </c>
      <c r="EO89" s="48" t="n">
        <f aca="false">-EN95*$F21*(EO$4&gt;In_COD)</f>
        <v>-4.44867764463469E-012</v>
      </c>
    </row>
    <row r="90" customFormat="false" ht="15" hidden="false" customHeight="false" outlineLevel="0" collapsed="false">
      <c r="C90" s="1" t="s">
        <v>435</v>
      </c>
      <c r="D90" s="12" t="s">
        <v>33</v>
      </c>
      <c r="I90" s="48" t="n">
        <f aca="false">SUM(J90:EO90)</f>
        <v>-82384.4628648626</v>
      </c>
      <c r="J90" s="48" t="n">
        <f aca="false">-J84*$F86</f>
        <v>0</v>
      </c>
      <c r="K90" s="48" t="n">
        <f aca="false">-K84*$F86</f>
        <v>0</v>
      </c>
      <c r="L90" s="48" t="n">
        <f aca="false">-L84*$F86</f>
        <v>0</v>
      </c>
      <c r="M90" s="48" t="n">
        <f aca="false">-M84*$F86</f>
        <v>0</v>
      </c>
      <c r="N90" s="48" t="n">
        <f aca="false">-N84*$F86</f>
        <v>0</v>
      </c>
      <c r="O90" s="48" t="n">
        <f aca="false">-O84*$F86</f>
        <v>0</v>
      </c>
      <c r="P90" s="48" t="n">
        <f aca="false">-P84*$F86</f>
        <v>0</v>
      </c>
      <c r="Q90" s="48" t="n">
        <f aca="false">-Q84*$F86</f>
        <v>0</v>
      </c>
      <c r="R90" s="48" t="n">
        <f aca="false">-R84*$F86</f>
        <v>0</v>
      </c>
      <c r="S90" s="48" t="n">
        <f aca="false">-S84*$F86</f>
        <v>0</v>
      </c>
      <c r="T90" s="48" t="n">
        <f aca="false">-T84*$F86</f>
        <v>0</v>
      </c>
      <c r="U90" s="48" t="n">
        <f aca="false">-U84*$F86</f>
        <v>0</v>
      </c>
      <c r="V90" s="48" t="n">
        <f aca="false">-V84*$F86</f>
        <v>0</v>
      </c>
      <c r="W90" s="48" t="n">
        <f aca="false">-W84*$F86</f>
        <v>0</v>
      </c>
      <c r="X90" s="48" t="n">
        <f aca="false">-X84*$F86</f>
        <v>0</v>
      </c>
      <c r="Y90" s="48" t="n">
        <f aca="false">-Y84*$F86</f>
        <v>0</v>
      </c>
      <c r="Z90" s="48" t="n">
        <f aca="false">-Z84*$F86</f>
        <v>-1135.47210281793</v>
      </c>
      <c r="AA90" s="48" t="n">
        <f aca="false">-AA84*$F86</f>
        <v>-1118.15550829393</v>
      </c>
      <c r="AB90" s="48" t="n">
        <f aca="false">-AB84*$F86</f>
        <v>-1130.27478710342</v>
      </c>
      <c r="AC90" s="48" t="n">
        <f aca="false">-AC84*$F86</f>
        <v>-1142.3888930024</v>
      </c>
      <c r="AD90" s="48" t="n">
        <f aca="false">-AD84*$F86</f>
        <v>-1138.27404477799</v>
      </c>
      <c r="AE90" s="48" t="n">
        <f aca="false">-AE84*$F86</f>
        <v>-1133.09285173004</v>
      </c>
      <c r="AF90" s="48" t="n">
        <f aca="false">-AF84*$F86</f>
        <v>-1132.95080771707</v>
      </c>
      <c r="AG90" s="48" t="n">
        <f aca="false">-AG84*$F86</f>
        <v>-1145.09269155792</v>
      </c>
      <c r="AH90" s="48" t="n">
        <f aca="false">-AH84*$F86</f>
        <v>-1135.8051332426</v>
      </c>
      <c r="AI90" s="48" t="n">
        <f aca="false">-AI84*$F86</f>
        <v>-1110.28670615484</v>
      </c>
      <c r="AJ90" s="48" t="n">
        <f aca="false">-AJ84*$F86</f>
        <v>-1137.67300534561</v>
      </c>
      <c r="AK90" s="48" t="n">
        <f aca="false">-AK84*$F86</f>
        <v>-1149.55413512076</v>
      </c>
      <c r="AL90" s="48" t="n">
        <f aca="false">-AL84*$F86</f>
        <v>-1145.40399342267</v>
      </c>
      <c r="AM90" s="48" t="n">
        <f aca="false">-AM84*$F86</f>
        <v>-1127.40968573396</v>
      </c>
      <c r="AN90" s="48" t="n">
        <f aca="false">-AN84*$F86</f>
        <v>-1139.3168686201</v>
      </c>
      <c r="AO90" s="48" t="n">
        <f aca="false">-AO84*$F86</f>
        <v>-1151.21321680075</v>
      </c>
      <c r="AP90" s="48" t="n">
        <f aca="false">-AP84*$F86</f>
        <v>-1147.02212825567</v>
      </c>
      <c r="AQ90" s="48" t="n">
        <f aca="false">-AQ84*$F86</f>
        <v>-1128.87119168532</v>
      </c>
      <c r="AR90" s="48" t="n">
        <f aca="false">-AR84*$F86</f>
        <v>-1140.79195651634</v>
      </c>
      <c r="AS90" s="48" t="n">
        <f aca="false">-AS84*$F86</f>
        <v>-1152.70166512518</v>
      </c>
      <c r="AT90" s="48" t="n">
        <f aca="false">-AT84*$F86</f>
        <v>-1148.46880019106</v>
      </c>
      <c r="AU90" s="48" t="n">
        <f aca="false">-AU84*$F86</f>
        <v>-1142.43720683518</v>
      </c>
      <c r="AV90" s="48" t="n">
        <f aca="false">-AV84*$F86</f>
        <v>-1142.08445610964</v>
      </c>
      <c r="AW90" s="48" t="n">
        <f aca="false">-AW84*$F86</f>
        <v>-1154.0055080391</v>
      </c>
      <c r="AX90" s="48" t="n">
        <f aca="false">-AX84*$F86</f>
        <v>-1149.72991775635</v>
      </c>
      <c r="AY90" s="48" t="n">
        <f aca="false">-AY84*$F86</f>
        <v>-1131.25948225031</v>
      </c>
      <c r="AZ90" s="48" t="n">
        <f aca="false">-AZ84*$F86</f>
        <v>-1143.20147691271</v>
      </c>
      <c r="BA90" s="48" t="n">
        <f aca="false">-BA84*$F86</f>
        <v>-1155.13194538572</v>
      </c>
      <c r="BB90" s="48" t="n">
        <f aca="false">-BB84*$F86</f>
        <v>-1150.81281493207</v>
      </c>
      <c r="BC90" s="48" t="n">
        <f aca="false">-BC84*$F86</f>
        <v>-1132.17948722744</v>
      </c>
      <c r="BD90" s="48" t="n">
        <f aca="false">-BD84*$F86</f>
        <v>-1144.12905932863</v>
      </c>
      <c r="BE90" s="48" t="n">
        <f aca="false">-BE84*$F86</f>
        <v>-1156.06685698438</v>
      </c>
      <c r="BF90" s="48" t="n">
        <f aca="false">-BF84*$F86</f>
        <v>-1151.70325292021</v>
      </c>
      <c r="BG90" s="48" t="n">
        <f aca="false">-BG84*$F86</f>
        <v>-1132.90483776843</v>
      </c>
      <c r="BH90" s="48" t="n">
        <f aca="false">-BH84*$F86</f>
        <v>-1144.85982771222</v>
      </c>
      <c r="BI90" s="48" t="n">
        <f aca="false">-BI84*$F86</f>
        <v>-1156.80278521442</v>
      </c>
      <c r="BJ90" s="48" t="n">
        <f aca="false">-BJ84*$F86</f>
        <v>-1152.39373620585</v>
      </c>
      <c r="BK90" s="48" t="n">
        <f aca="false">-BK84*$F86</f>
        <v>-1145.8116764864</v>
      </c>
      <c r="BL90" s="48" t="n">
        <f aca="false">-BL84*$F86</f>
        <v>-1145.37891434185</v>
      </c>
      <c r="BM90" s="48" t="n">
        <f aca="false">-BM84*$F86</f>
        <v>-1157.32469125832</v>
      </c>
      <c r="BN90" s="48" t="n">
        <f aca="false">-BN84*$F86</f>
        <v>-1152.86909910243</v>
      </c>
      <c r="BO90" s="48" t="n">
        <f aca="false">-BO84*$F86</f>
        <v>-1133.73360167669</v>
      </c>
      <c r="BP90" s="48" t="n">
        <f aca="false">-BP84*$F86</f>
        <v>-1145.69251823422</v>
      </c>
      <c r="BQ90" s="48" t="n">
        <f aca="false">-BQ84*$F86</f>
        <v>-1157.63885423221</v>
      </c>
      <c r="BR90" s="48" t="n">
        <f aca="false">-BR84*$F86</f>
        <v>-1153.13574928332</v>
      </c>
      <c r="BS90" s="48" t="n">
        <f aca="false">-BS84*$F86</f>
        <v>-1133.82821864756</v>
      </c>
      <c r="BT90" s="48" t="n">
        <f aca="false">-BT84*$F86</f>
        <v>-1145.78555063517</v>
      </c>
      <c r="BU90" s="48" t="n">
        <f aca="false">-BU84*$F86</f>
        <v>-1157.73001197702</v>
      </c>
      <c r="BV90" s="48" t="n">
        <f aca="false">-BV84*$F86</f>
        <v>-1153.17829789004</v>
      </c>
      <c r="BW90" s="48" t="n">
        <f aca="false">-BW84*$F86</f>
        <v>-1133.69629374808</v>
      </c>
      <c r="BX90" s="48" t="n">
        <f aca="false">-BX84*$F86</f>
        <v>-1145.64952455743</v>
      </c>
      <c r="BY90" s="48" t="n">
        <f aca="false">-BY84*$F86</f>
        <v>-1157.58958293684</v>
      </c>
      <c r="BZ90" s="48" t="n">
        <f aca="false">-BZ84*$F86</f>
        <v>-1152.98811774312</v>
      </c>
      <c r="CA90" s="48" t="n">
        <f aca="false">-CA84*$F86</f>
        <v>-1145.7965906485</v>
      </c>
      <c r="CB90" s="48" t="n">
        <f aca="false">-CB84*$F86</f>
        <v>-1145.26836928534</v>
      </c>
      <c r="CC90" s="48" t="n">
        <f aca="false">-CC84*$F86</f>
        <v>-1157.20131163108</v>
      </c>
      <c r="CD90" s="48" t="n">
        <f aca="false">-CD84*$F86</f>
        <v>-1152.54881779979</v>
      </c>
      <c r="CE90" s="48" t="n">
        <f aca="false">-CE84*$F86</f>
        <v>-1132.71018537136</v>
      </c>
      <c r="CF90" s="48" t="n">
        <f aca="false">-CF84*$F86</f>
        <v>-1144.64718063455</v>
      </c>
      <c r="CG90" s="48" t="n">
        <f aca="false">-CG84*$F86</f>
        <v>-1156.57036151154</v>
      </c>
      <c r="CH90" s="48" t="n">
        <f aca="false">-CH84*$F86</f>
        <v>-1151.86568272411</v>
      </c>
      <c r="CI90" s="48" t="n">
        <f aca="false">-CI84*$F86</f>
        <v>-1131.84483756537</v>
      </c>
      <c r="CJ90" s="48" t="n">
        <f aca="false">-CJ84*$F86</f>
        <v>-1143.76957815953</v>
      </c>
      <c r="CK90" s="48" t="n">
        <f aca="false">-CK84*$F86</f>
        <v>-1155.68016403537</v>
      </c>
      <c r="CL90" s="48" t="n">
        <f aca="false">-CL84*$F86</f>
        <v>-1150.92200780433</v>
      </c>
      <c r="CM90" s="48" t="n">
        <f aca="false">-CM84*$F86</f>
        <v>-1130.71622426161</v>
      </c>
      <c r="CN90" s="48" t="n">
        <f aca="false">-CN84*$F86</f>
        <v>-1142.62578145127</v>
      </c>
      <c r="CO90" s="48" t="n">
        <f aca="false">-CO84*$F86</f>
        <v>-1154.52082952938</v>
      </c>
      <c r="CP90" s="48" t="n">
        <f aca="false">-CP84*$F86</f>
        <v>-1149.70784840533</v>
      </c>
      <c r="CQ90" s="48" t="n">
        <f aca="false">-CQ84*$F86</f>
        <v>-1141.84051612767</v>
      </c>
      <c r="CR90" s="48" t="n">
        <f aca="false">-CR84*$F86</f>
        <v>-1141.19834166789</v>
      </c>
      <c r="CS90" s="48" t="n">
        <f aca="false">-CS84*$F86</f>
        <v>-1153.07470869967</v>
      </c>
      <c r="CT90" s="48" t="n">
        <f aca="false">-CT84*$F86</f>
        <v>-0</v>
      </c>
      <c r="CU90" s="48" t="n">
        <f aca="false">-CU84*$F86</f>
        <v>-0</v>
      </c>
      <c r="CV90" s="48" t="n">
        <f aca="false">-CV84*$F86</f>
        <v>-0</v>
      </c>
      <c r="CW90" s="48" t="n">
        <f aca="false">-CW84*$F86</f>
        <v>-0</v>
      </c>
      <c r="CX90" s="48" t="n">
        <f aca="false">-CX84*$F86</f>
        <v>-0</v>
      </c>
      <c r="CY90" s="48" t="n">
        <f aca="false">-CY84*$F86</f>
        <v>-0</v>
      </c>
      <c r="CZ90" s="48" t="n">
        <f aca="false">-CZ84*$F86</f>
        <v>-0</v>
      </c>
      <c r="DA90" s="48" t="n">
        <f aca="false">-DA84*$F86</f>
        <v>-0</v>
      </c>
      <c r="DB90" s="48" t="n">
        <f aca="false">-DB84*$F86</f>
        <v>-0</v>
      </c>
      <c r="DC90" s="48" t="n">
        <f aca="false">-DC84*$F86</f>
        <v>-0</v>
      </c>
      <c r="DD90" s="48" t="n">
        <f aca="false">-DD84*$F86</f>
        <v>-0</v>
      </c>
      <c r="DE90" s="48" t="n">
        <f aca="false">-DE84*$F86</f>
        <v>-0</v>
      </c>
      <c r="DF90" s="48" t="n">
        <f aca="false">-DF84*$F86</f>
        <v>-0</v>
      </c>
      <c r="DG90" s="48" t="n">
        <f aca="false">-DG84*$F86</f>
        <v>-0</v>
      </c>
      <c r="DH90" s="48" t="n">
        <f aca="false">-DH84*$F86</f>
        <v>-0</v>
      </c>
      <c r="DI90" s="48" t="n">
        <f aca="false">-DI84*$F86</f>
        <v>-0</v>
      </c>
      <c r="DJ90" s="48" t="n">
        <f aca="false">-DJ84*$F86</f>
        <v>-0</v>
      </c>
      <c r="DK90" s="48" t="n">
        <f aca="false">-DK84*$F86</f>
        <v>-0</v>
      </c>
      <c r="DL90" s="48" t="n">
        <f aca="false">-DL84*$F86</f>
        <v>-0</v>
      </c>
      <c r="DM90" s="48" t="n">
        <f aca="false">-DM84*$F86</f>
        <v>-0</v>
      </c>
      <c r="DN90" s="48" t="n">
        <f aca="false">-DN84*$F86</f>
        <v>-0</v>
      </c>
      <c r="DO90" s="48" t="n">
        <f aca="false">-DO84*$F86</f>
        <v>-0</v>
      </c>
      <c r="DP90" s="48" t="n">
        <f aca="false">-DP84*$F86</f>
        <v>-0</v>
      </c>
      <c r="DQ90" s="48" t="n">
        <f aca="false">-DQ84*$F86</f>
        <v>-0</v>
      </c>
      <c r="DR90" s="48" t="n">
        <f aca="false">-DR84*$F86</f>
        <v>-0</v>
      </c>
      <c r="DS90" s="48" t="n">
        <f aca="false">-DS84*$F86</f>
        <v>-0</v>
      </c>
      <c r="DT90" s="48" t="n">
        <f aca="false">-DT84*$F86</f>
        <v>-0</v>
      </c>
      <c r="DU90" s="48" t="n">
        <f aca="false">-DU84*$F86</f>
        <v>-0</v>
      </c>
      <c r="DV90" s="48" t="n">
        <f aca="false">-DV84*$F86</f>
        <v>-0</v>
      </c>
      <c r="DW90" s="48" t="n">
        <f aca="false">-DW84*$F86</f>
        <v>-0</v>
      </c>
      <c r="DX90" s="48" t="n">
        <f aca="false">-DX84*$F86</f>
        <v>-0</v>
      </c>
      <c r="DY90" s="48" t="n">
        <f aca="false">-DY84*$F86</f>
        <v>-0</v>
      </c>
      <c r="DZ90" s="48" t="n">
        <f aca="false">-DZ84*$F86</f>
        <v>-0</v>
      </c>
      <c r="EA90" s="48" t="n">
        <f aca="false">-EA84*$F86</f>
        <v>-0</v>
      </c>
      <c r="EB90" s="48" t="n">
        <f aca="false">-EB84*$F86</f>
        <v>-0</v>
      </c>
      <c r="EC90" s="48" t="n">
        <f aca="false">-EC84*$F86</f>
        <v>-0</v>
      </c>
      <c r="ED90" s="48" t="n">
        <f aca="false">-ED84*$F86</f>
        <v>-0</v>
      </c>
      <c r="EE90" s="48" t="n">
        <f aca="false">-EE84*$F86</f>
        <v>-0</v>
      </c>
      <c r="EF90" s="48" t="n">
        <f aca="false">-EF84*$F86</f>
        <v>-0</v>
      </c>
      <c r="EG90" s="48" t="n">
        <f aca="false">-EG84*$F86</f>
        <v>-0</v>
      </c>
      <c r="EH90" s="48" t="n">
        <f aca="false">-EH84*$F86</f>
        <v>-0</v>
      </c>
      <c r="EI90" s="48" t="n">
        <f aca="false">-EI84*$F86</f>
        <v>-0</v>
      </c>
      <c r="EJ90" s="48" t="n">
        <f aca="false">-EJ84*$F86</f>
        <v>-0</v>
      </c>
      <c r="EK90" s="48" t="n">
        <f aca="false">-EK84*$F86</f>
        <v>-0</v>
      </c>
      <c r="EL90" s="48" t="n">
        <f aca="false">-EL84*$F86</f>
        <v>-0</v>
      </c>
      <c r="EM90" s="48" t="n">
        <f aca="false">-EM84*$F86</f>
        <v>-0</v>
      </c>
      <c r="EN90" s="48" t="n">
        <f aca="false">-EN84*$F86</f>
        <v>-0</v>
      </c>
      <c r="EO90" s="48" t="n">
        <f aca="false">-EO84*$F86</f>
        <v>-0</v>
      </c>
    </row>
    <row r="91" customFormat="false" ht="15" hidden="false" customHeight="false" outlineLevel="0" collapsed="false">
      <c r="C91" s="1" t="s">
        <v>436</v>
      </c>
      <c r="D91" s="12" t="s">
        <v>33</v>
      </c>
      <c r="J91" s="19" t="n">
        <f aca="false">I95</f>
        <v>0</v>
      </c>
      <c r="K91" s="19" t="n">
        <f aca="false">J95</f>
        <v>0</v>
      </c>
      <c r="L91" s="19" t="n">
        <f aca="false">K95</f>
        <v>0</v>
      </c>
      <c r="M91" s="19" t="n">
        <f aca="false">L95</f>
        <v>0</v>
      </c>
      <c r="N91" s="19" t="n">
        <f aca="false">M95</f>
        <v>0</v>
      </c>
      <c r="O91" s="19" t="n">
        <f aca="false">N95</f>
        <v>0</v>
      </c>
      <c r="P91" s="19" t="n">
        <f aca="false">O95</f>
        <v>0</v>
      </c>
      <c r="Q91" s="19" t="n">
        <f aca="false">P95</f>
        <v>0</v>
      </c>
      <c r="R91" s="19" t="n">
        <f aca="false">Q95</f>
        <v>0</v>
      </c>
      <c r="S91" s="19" t="n">
        <f aca="false">R95</f>
        <v>5568.06369863014</v>
      </c>
      <c r="T91" s="19" t="n">
        <f aca="false">S95</f>
        <v>16793.0595359589</v>
      </c>
      <c r="U91" s="19" t="n">
        <f aca="false">T95</f>
        <v>22510.5140472817</v>
      </c>
      <c r="V91" s="19" t="n">
        <f aca="false">U95</f>
        <v>28359.9591715028</v>
      </c>
      <c r="W91" s="19" t="n">
        <f aca="false">V95</f>
        <v>34282.5223597768</v>
      </c>
      <c r="X91" s="19" t="n">
        <f aca="false">W95</f>
        <v>40158.0727248904</v>
      </c>
      <c r="Y91" s="19" t="n">
        <f aca="false">X95</f>
        <v>46167.5899010748</v>
      </c>
      <c r="Z91" s="19" t="n">
        <f aca="false">Y95</f>
        <v>54062.7484734684</v>
      </c>
      <c r="AA91" s="19" t="n">
        <f aca="false">Z95</f>
        <v>53603.0607265688</v>
      </c>
      <c r="AB91" s="19" t="n">
        <f aca="false">AA95</f>
        <v>53154.943477357</v>
      </c>
      <c r="AC91" s="19" t="n">
        <f aca="false">AB95</f>
        <v>52689.1054837206</v>
      </c>
      <c r="AD91" s="19" t="n">
        <f aca="false">AC95</f>
        <v>52205.3304092647</v>
      </c>
      <c r="AE91" s="19" t="n">
        <f aca="false">AD95</f>
        <v>51719.6229946025</v>
      </c>
      <c r="AF91" s="19" t="n">
        <f aca="false">AE95</f>
        <v>51233.025430305</v>
      </c>
      <c r="AG91" s="19" t="n">
        <f aca="false">AF95</f>
        <v>50740.4874404667</v>
      </c>
      <c r="AH91" s="19" t="n">
        <f aca="false">AG95</f>
        <v>50229.6508419146</v>
      </c>
      <c r="AI91" s="19" t="n">
        <f aca="false">AH95</f>
        <v>49721.716344196</v>
      </c>
      <c r="AJ91" s="19" t="n">
        <f aca="false">AI95</f>
        <v>49232.9510923436</v>
      </c>
      <c r="AK91" s="19" t="n">
        <f aca="false">AJ95</f>
        <v>48710.6899756523</v>
      </c>
      <c r="AL91" s="19" t="n">
        <f aca="false">AK95</f>
        <v>48170.0194652272</v>
      </c>
      <c r="AM91" s="19" t="n">
        <f aca="false">AL95</f>
        <v>47626.7407151198</v>
      </c>
      <c r="AN91" s="19" t="n">
        <f aca="false">AM95</f>
        <v>47094.6652883249</v>
      </c>
      <c r="AO91" s="19" t="n">
        <f aca="false">AN95</f>
        <v>46544.0317358088</v>
      </c>
      <c r="AP91" s="19" t="n">
        <f aca="false">AO95</f>
        <v>45974.6189157057</v>
      </c>
      <c r="AQ91" s="19" t="n">
        <f aca="false">AP95</f>
        <v>45402.2795238963</v>
      </c>
      <c r="AR91" s="19" t="n">
        <f aca="false">AQ95</f>
        <v>44840.9368262597</v>
      </c>
      <c r="AS91" s="19" t="n">
        <f aca="false">AR95</f>
        <v>44260.6565800716</v>
      </c>
      <c r="AT91" s="19" t="n">
        <f aca="false">AS95</f>
        <v>43661.2131221973</v>
      </c>
      <c r="AU91" s="19" t="n">
        <f aca="false">AT95</f>
        <v>43058.5094860337</v>
      </c>
      <c r="AV91" s="19" t="n">
        <f aca="false">AU95</f>
        <v>42454.303647774</v>
      </c>
      <c r="AW91" s="19" t="n">
        <f aca="false">AV95</f>
        <v>41842.8979872615</v>
      </c>
      <c r="AX91" s="19" t="n">
        <f aca="false">AW95</f>
        <v>41211.9287040632</v>
      </c>
      <c r="AY91" s="19" t="n">
        <f aca="false">AX95</f>
        <v>40577.3478951076</v>
      </c>
      <c r="AZ91" s="19" t="n">
        <f aca="false">AY95</f>
        <v>39953.3052615461</v>
      </c>
      <c r="BA91" s="19" t="n">
        <f aca="false">AZ95</f>
        <v>39309.5201004028</v>
      </c>
      <c r="BB91" s="19" t="n">
        <f aca="false">BA95</f>
        <v>38645.7571562721</v>
      </c>
      <c r="BC91" s="19" t="n">
        <f aca="false">BB95</f>
        <v>37978.0163057934</v>
      </c>
      <c r="BD91" s="19" t="n">
        <f aca="false">BC95</f>
        <v>37320.5620223884</v>
      </c>
      <c r="BE91" s="19" t="n">
        <f aca="false">BD95</f>
        <v>36642.9399883396</v>
      </c>
      <c r="BF91" s="19" t="n">
        <f aca="false">BE95</f>
        <v>35944.9098812095</v>
      </c>
      <c r="BG91" s="19" t="n">
        <f aca="false">BF95</f>
        <v>35242.5180018044</v>
      </c>
      <c r="BH91" s="19" t="n">
        <f aca="false">BG95</f>
        <v>34550.1446390585</v>
      </c>
      <c r="BI91" s="19" t="n">
        <f aca="false">BH95</f>
        <v>33837.1616193345</v>
      </c>
      <c r="BJ91" s="19" t="n">
        <f aca="false">BI95</f>
        <v>33103.3233543618</v>
      </c>
      <c r="BK91" s="19" t="n">
        <f aca="false">BJ95</f>
        <v>32364.7211600855</v>
      </c>
      <c r="BL91" s="19" t="n">
        <f aca="false">BK95</f>
        <v>31623.4684981001</v>
      </c>
      <c r="BM91" s="19" t="n">
        <f aca="false">BL95</f>
        <v>30873.3829399845</v>
      </c>
      <c r="BN91" s="19" t="n">
        <f aca="false">BM95</f>
        <v>30101.975535476</v>
      </c>
      <c r="BO91" s="19" t="n">
        <f aca="false">BN95</f>
        <v>29325.3811305671</v>
      </c>
      <c r="BP91" s="19" t="n">
        <f aca="false">BO95</f>
        <v>28558.2147930225</v>
      </c>
      <c r="BQ91" s="19" t="n">
        <f aca="false">BP95</f>
        <v>27769.499959701</v>
      </c>
      <c r="BR91" s="19" t="n">
        <f aca="false">BQ95</f>
        <v>26958.9798549651</v>
      </c>
      <c r="BS91" s="19" t="n">
        <f aca="false">BR95</f>
        <v>26142.8313538688</v>
      </c>
      <c r="BT91" s="19" t="n">
        <f aca="false">BS95</f>
        <v>25335.7885271446</v>
      </c>
      <c r="BU91" s="19" t="n">
        <f aca="false">BT95</f>
        <v>24506.7003330987</v>
      </c>
      <c r="BV91" s="19" t="n">
        <f aca="false">BU95</f>
        <v>23655.3040752855</v>
      </c>
      <c r="BW91" s="19" t="n">
        <f aca="false">BV95</f>
        <v>22797.8170783365</v>
      </c>
      <c r="BX91" s="19" t="n">
        <f aca="false">BW95</f>
        <v>21949.0934980676</v>
      </c>
      <c r="BY91" s="19" t="n">
        <f aca="false">BX95</f>
        <v>21077.807642236</v>
      </c>
      <c r="BZ91" s="19" t="n">
        <f aca="false">BY95</f>
        <v>20183.6906548271</v>
      </c>
      <c r="CA91" s="19" t="n">
        <f aca="false">BZ95</f>
        <v>19282.9986702693</v>
      </c>
      <c r="CB91" s="19" t="n">
        <f aca="false">CA95</f>
        <v>18378.2395629992</v>
      </c>
      <c r="CC91" s="19" t="n">
        <f aca="false">CB95</f>
        <v>17462.6991882514</v>
      </c>
      <c r="CD91" s="19" t="n">
        <f aca="false">CC95</f>
        <v>16523.7816164734</v>
      </c>
      <c r="CE91" s="19" t="n">
        <f aca="false">CD95</f>
        <v>15577.7800688796</v>
      </c>
      <c r="CF91" s="19" t="n">
        <f aca="false">CE95</f>
        <v>14639.7921343692</v>
      </c>
      <c r="CG91" s="19" t="n">
        <f aca="false">CF95</f>
        <v>13678.1423554143</v>
      </c>
      <c r="CH91" s="19" t="n">
        <f aca="false">CG95</f>
        <v>12692.5487733454</v>
      </c>
      <c r="CI91" s="19" t="n">
        <f aca="false">CH95</f>
        <v>11699.3399502881</v>
      </c>
      <c r="CJ91" s="19" t="n">
        <f aca="false">CI95</f>
        <v>10713.7368621013</v>
      </c>
      <c r="CK91" s="19" t="n">
        <f aca="false">CJ95</f>
        <v>9703.88899471808</v>
      </c>
      <c r="CL91" s="19" t="n">
        <f aca="false">CK95</f>
        <v>8669.50744311669</v>
      </c>
      <c r="CM91" s="19" t="n">
        <f aca="false">CL95</f>
        <v>7626.95427835132</v>
      </c>
      <c r="CN91" s="19" t="n">
        <f aca="false">CM95</f>
        <v>6591.5749825691</v>
      </c>
      <c r="CO91" s="19" t="n">
        <f aca="false">CN95</f>
        <v>5531.34388839994</v>
      </c>
      <c r="CP91" s="19" t="n">
        <f aca="false">CO95</f>
        <v>4445.96485747556</v>
      </c>
      <c r="CQ91" s="19" t="n">
        <f aca="false">CP95</f>
        <v>3351.83156978867</v>
      </c>
      <c r="CR91" s="19" t="n">
        <f aca="false">CQ95</f>
        <v>2251.88894828336</v>
      </c>
      <c r="CS91" s="19" t="n">
        <f aca="false">CR95</f>
        <v>1138.83921846901</v>
      </c>
      <c r="CT91" s="19" t="n">
        <f aca="false">CS95</f>
        <v>1.98497218661942E-010</v>
      </c>
      <c r="CU91" s="19" t="n">
        <f aca="false">CT95</f>
        <v>2.00978433895216E-010</v>
      </c>
      <c r="CV91" s="19" t="n">
        <f aca="false">CU95</f>
        <v>2.03490664318906E-010</v>
      </c>
      <c r="CW91" s="19" t="n">
        <f aca="false">CV95</f>
        <v>2.06034297622892E-010</v>
      </c>
      <c r="CX91" s="19" t="n">
        <f aca="false">CW95</f>
        <v>2.08609726343179E-010</v>
      </c>
      <c r="CY91" s="19" t="n">
        <f aca="false">CX95</f>
        <v>2.11217347922468E-010</v>
      </c>
      <c r="CZ91" s="19" t="n">
        <f aca="false">CY95</f>
        <v>2.13857564771499E-010</v>
      </c>
      <c r="DA91" s="19" t="n">
        <f aca="false">CZ95</f>
        <v>2.16530784331143E-010</v>
      </c>
      <c r="DB91" s="19" t="n">
        <f aca="false">DA95</f>
        <v>2.19237419135282E-010</v>
      </c>
      <c r="DC91" s="19" t="n">
        <f aca="false">DB95</f>
        <v>2.21977886874473E-010</v>
      </c>
      <c r="DD91" s="19" t="n">
        <f aca="false">DC95</f>
        <v>2.24752610460404E-010</v>
      </c>
      <c r="DE91" s="19" t="n">
        <f aca="false">DD95</f>
        <v>2.27562018091159E-010</v>
      </c>
      <c r="DF91" s="19" t="n">
        <f aca="false">DE95</f>
        <v>2.30406543317299E-010</v>
      </c>
      <c r="DG91" s="19" t="n">
        <f aca="false">DF95</f>
        <v>2.33286625108765E-010</v>
      </c>
      <c r="DH91" s="19" t="n">
        <f aca="false">DG95</f>
        <v>2.36202707922624E-010</v>
      </c>
      <c r="DI91" s="19" t="n">
        <f aca="false">DH95</f>
        <v>2.39155241771657E-010</v>
      </c>
      <c r="DJ91" s="19" t="n">
        <f aca="false">DI95</f>
        <v>2.42144682293803E-010</v>
      </c>
      <c r="DK91" s="19" t="n">
        <f aca="false">DJ95</f>
        <v>2.45171490822475E-010</v>
      </c>
      <c r="DL91" s="19" t="n">
        <f aca="false">DK95</f>
        <v>2.48236134457756E-010</v>
      </c>
      <c r="DM91" s="19" t="n">
        <f aca="false">DL95</f>
        <v>2.51339086138478E-010</v>
      </c>
      <c r="DN91" s="19" t="n">
        <f aca="false">DM95</f>
        <v>2.54480824715209E-010</v>
      </c>
      <c r="DO91" s="19" t="n">
        <f aca="false">DN95</f>
        <v>2.57661835024149E-010</v>
      </c>
      <c r="DP91" s="19" t="n">
        <f aca="false">DO95</f>
        <v>2.60882607961951E-010</v>
      </c>
      <c r="DQ91" s="19" t="n">
        <f aca="false">DP95</f>
        <v>2.64143640561476E-010</v>
      </c>
      <c r="DR91" s="19" t="n">
        <f aca="false">DQ95</f>
        <v>2.67445436068494E-010</v>
      </c>
      <c r="DS91" s="19" t="n">
        <f aca="false">DR95</f>
        <v>2.7078850401935E-010</v>
      </c>
      <c r="DT91" s="19" t="n">
        <f aca="false">DS95</f>
        <v>2.74173360319592E-010</v>
      </c>
      <c r="DU91" s="19" t="n">
        <f aca="false">DT95</f>
        <v>2.77600527323587E-010</v>
      </c>
      <c r="DV91" s="19" t="n">
        <f aca="false">DU95</f>
        <v>2.81070533915132E-010</v>
      </c>
      <c r="DW91" s="19" t="n">
        <f aca="false">DV95</f>
        <v>2.84583915589071E-010</v>
      </c>
      <c r="DX91" s="19" t="n">
        <f aca="false">DW95</f>
        <v>2.88141214533934E-010</v>
      </c>
      <c r="DY91" s="19" t="n">
        <f aca="false">DX95</f>
        <v>2.91742979715609E-010</v>
      </c>
      <c r="DZ91" s="19" t="n">
        <f aca="false">DY95</f>
        <v>2.95389766962054E-010</v>
      </c>
      <c r="EA91" s="19" t="n">
        <f aca="false">DZ95</f>
        <v>2.99082139049079E-010</v>
      </c>
      <c r="EB91" s="19" t="n">
        <f aca="false">EA95</f>
        <v>3.02820665787193E-010</v>
      </c>
      <c r="EC91" s="19" t="n">
        <f aca="false">EB95</f>
        <v>3.06605924109533E-010</v>
      </c>
      <c r="ED91" s="19" t="n">
        <f aca="false">EC95</f>
        <v>3.10438498160902E-010</v>
      </c>
      <c r="EE91" s="19" t="n">
        <f aca="false">ED95</f>
        <v>3.14318979387913E-010</v>
      </c>
      <c r="EF91" s="19" t="n">
        <f aca="false">EE95</f>
        <v>3.18247966630262E-010</v>
      </c>
      <c r="EG91" s="19" t="n">
        <f aca="false">EF95</f>
        <v>3.2222606621314E-010</v>
      </c>
      <c r="EH91" s="19" t="n">
        <f aca="false">EG95</f>
        <v>3.26253892040805E-010</v>
      </c>
      <c r="EI91" s="19" t="n">
        <f aca="false">EH95</f>
        <v>3.30332065691315E-010</v>
      </c>
      <c r="EJ91" s="19" t="n">
        <f aca="false">EI95</f>
        <v>3.34461216512456E-010</v>
      </c>
      <c r="EK91" s="19" t="n">
        <f aca="false">EJ95</f>
        <v>3.38641981718862E-010</v>
      </c>
      <c r="EL91" s="19" t="n">
        <f aca="false">EK95</f>
        <v>3.42875006490348E-010</v>
      </c>
      <c r="EM91" s="19" t="n">
        <f aca="false">EL95</f>
        <v>3.47160944071477E-010</v>
      </c>
      <c r="EN91" s="19" t="n">
        <f aca="false">EM95</f>
        <v>3.5150045587237E-010</v>
      </c>
      <c r="EO91" s="19" t="n">
        <f aca="false">EN95</f>
        <v>3.55894211570775E-010</v>
      </c>
    </row>
    <row r="92" customFormat="false" ht="15" hidden="false" customHeight="false" outlineLevel="0" collapsed="false">
      <c r="C92" s="1" t="s">
        <v>437</v>
      </c>
      <c r="D92" s="12" t="s">
        <v>33</v>
      </c>
      <c r="I92" s="48" t="n">
        <f aca="false">SUM(J92:EO92)</f>
        <v>51639.7512054795</v>
      </c>
      <c r="J92" s="48" t="n">
        <f aca="false">-$E86*J66</f>
        <v>0</v>
      </c>
      <c r="K92" s="48" t="n">
        <f aca="false">-$E86*K66</f>
        <v>0</v>
      </c>
      <c r="L92" s="48" t="n">
        <f aca="false">-$E86*L66</f>
        <v>0</v>
      </c>
      <c r="M92" s="48" t="n">
        <f aca="false">-$E86*M66</f>
        <v>0</v>
      </c>
      <c r="N92" s="48" t="n">
        <f aca="false">-$E86*N66</f>
        <v>0</v>
      </c>
      <c r="O92" s="48" t="n">
        <f aca="false">-$E86*O66</f>
        <v>0</v>
      </c>
      <c r="P92" s="48" t="n">
        <f aca="false">-$E86*P66</f>
        <v>0</v>
      </c>
      <c r="Q92" s="48" t="n">
        <f aca="false">-$E86*Q66</f>
        <v>0</v>
      </c>
      <c r="R92" s="48" t="n">
        <f aca="false">-$E86*R66</f>
        <v>5568.06369863014</v>
      </c>
      <c r="S92" s="48" t="n">
        <f aca="false">-$E86*S66</f>
        <v>11155.3950410959</v>
      </c>
      <c r="T92" s="48" t="n">
        <f aca="false">-$E86*T66</f>
        <v>5507.54126712329</v>
      </c>
      <c r="U92" s="48" t="n">
        <f aca="false">-$E86*U66</f>
        <v>5568.06369863014</v>
      </c>
      <c r="V92" s="48" t="n">
        <f aca="false">-$E86*V66</f>
        <v>5568.06369863014</v>
      </c>
      <c r="W92" s="48" t="n">
        <f aca="false">-$E86*W66</f>
        <v>5447.01883561644</v>
      </c>
      <c r="X92" s="48" t="n">
        <f aca="false">-$E86*X66</f>
        <v>5507.54126712329</v>
      </c>
      <c r="Y92" s="48" t="n">
        <f aca="false">-$E86*Y66</f>
        <v>7318.06369863014</v>
      </c>
      <c r="Z92" s="48" t="n">
        <f aca="false">-$E86*Z66</f>
        <v>0</v>
      </c>
      <c r="AA92" s="48" t="n">
        <f aca="false">-$E86*AA66</f>
        <v>0</v>
      </c>
      <c r="AB92" s="48" t="n">
        <f aca="false">-$E86*AB66</f>
        <v>0</v>
      </c>
      <c r="AC92" s="48" t="n">
        <f aca="false">-$E86*AC66</f>
        <v>0</v>
      </c>
      <c r="AD92" s="48" t="n">
        <f aca="false">-$E86*AD66</f>
        <v>0</v>
      </c>
      <c r="AE92" s="48" t="n">
        <f aca="false">-$E86*AE66</f>
        <v>0</v>
      </c>
      <c r="AF92" s="48" t="n">
        <f aca="false">-$E86*AF66</f>
        <v>0</v>
      </c>
      <c r="AG92" s="48" t="n">
        <f aca="false">-$E86*AG66</f>
        <v>0</v>
      </c>
      <c r="AH92" s="48" t="n">
        <f aca="false">-$E86*AH66</f>
        <v>0</v>
      </c>
      <c r="AI92" s="48" t="n">
        <f aca="false">-$E86*AI66</f>
        <v>0</v>
      </c>
      <c r="AJ92" s="48" t="n">
        <f aca="false">-$E86*AJ66</f>
        <v>0</v>
      </c>
      <c r="AK92" s="48" t="n">
        <f aca="false">-$E86*AK66</f>
        <v>0</v>
      </c>
      <c r="AL92" s="48" t="n">
        <f aca="false">-$E86*AL66</f>
        <v>0</v>
      </c>
      <c r="AM92" s="48" t="n">
        <f aca="false">-$E86*AM66</f>
        <v>0</v>
      </c>
      <c r="AN92" s="48" t="n">
        <f aca="false">-$E86*AN66</f>
        <v>0</v>
      </c>
      <c r="AO92" s="48" t="n">
        <f aca="false">-$E86*AO66</f>
        <v>0</v>
      </c>
      <c r="AP92" s="48" t="n">
        <f aca="false">-$E86*AP66</f>
        <v>0</v>
      </c>
      <c r="AQ92" s="48" t="n">
        <f aca="false">-$E86*AQ66</f>
        <v>0</v>
      </c>
      <c r="AR92" s="48" t="n">
        <f aca="false">-$E86*AR66</f>
        <v>0</v>
      </c>
      <c r="AS92" s="48" t="n">
        <f aca="false">-$E86*AS66</f>
        <v>0</v>
      </c>
      <c r="AT92" s="48" t="n">
        <f aca="false">-$E86*AT66</f>
        <v>0</v>
      </c>
      <c r="AU92" s="48" t="n">
        <f aca="false">-$E86*AU66</f>
        <v>0</v>
      </c>
      <c r="AV92" s="48" t="n">
        <f aca="false">-$E86*AV66</f>
        <v>0</v>
      </c>
      <c r="AW92" s="48" t="n">
        <f aca="false">-$E86*AW66</f>
        <v>0</v>
      </c>
      <c r="AX92" s="48" t="n">
        <f aca="false">-$E86*AX66</f>
        <v>0</v>
      </c>
      <c r="AY92" s="48" t="n">
        <f aca="false">-$E86*AY66</f>
        <v>0</v>
      </c>
      <c r="AZ92" s="48" t="n">
        <f aca="false">-$E86*AZ66</f>
        <v>0</v>
      </c>
      <c r="BA92" s="48" t="n">
        <f aca="false">-$E86*BA66</f>
        <v>0</v>
      </c>
      <c r="BB92" s="48" t="n">
        <f aca="false">-$E86*BB66</f>
        <v>0</v>
      </c>
      <c r="BC92" s="48" t="n">
        <f aca="false">-$E86*BC66</f>
        <v>0</v>
      </c>
      <c r="BD92" s="48" t="n">
        <f aca="false">-$E86*BD66</f>
        <v>0</v>
      </c>
      <c r="BE92" s="48" t="n">
        <f aca="false">-$E86*BE66</f>
        <v>0</v>
      </c>
      <c r="BF92" s="48" t="n">
        <f aca="false">-$E86*BF66</f>
        <v>0</v>
      </c>
      <c r="BG92" s="48" t="n">
        <f aca="false">-$E86*BG66</f>
        <v>0</v>
      </c>
      <c r="BH92" s="48" t="n">
        <f aca="false">-$E86*BH66</f>
        <v>0</v>
      </c>
      <c r="BI92" s="48" t="n">
        <f aca="false">-$E86*BI66</f>
        <v>0</v>
      </c>
      <c r="BJ92" s="48" t="n">
        <f aca="false">-$E86*BJ66</f>
        <v>0</v>
      </c>
      <c r="BK92" s="48" t="n">
        <f aca="false">-$E86*BK66</f>
        <v>0</v>
      </c>
      <c r="BL92" s="48" t="n">
        <f aca="false">-$E86*BL66</f>
        <v>0</v>
      </c>
      <c r="BM92" s="48" t="n">
        <f aca="false">-$E86*BM66</f>
        <v>0</v>
      </c>
      <c r="BN92" s="48" t="n">
        <f aca="false">-$E86*BN66</f>
        <v>0</v>
      </c>
      <c r="BO92" s="48" t="n">
        <f aca="false">-$E86*BO66</f>
        <v>0</v>
      </c>
      <c r="BP92" s="48" t="n">
        <f aca="false">-$E86*BP66</f>
        <v>0</v>
      </c>
      <c r="BQ92" s="48" t="n">
        <f aca="false">-$E86*BQ66</f>
        <v>0</v>
      </c>
      <c r="BR92" s="48" t="n">
        <f aca="false">-$E86*BR66</f>
        <v>0</v>
      </c>
      <c r="BS92" s="48" t="n">
        <f aca="false">-$E86*BS66</f>
        <v>0</v>
      </c>
      <c r="BT92" s="48" t="n">
        <f aca="false">-$E86*BT66</f>
        <v>0</v>
      </c>
      <c r="BU92" s="48" t="n">
        <f aca="false">-$E86*BU66</f>
        <v>0</v>
      </c>
      <c r="BV92" s="48" t="n">
        <f aca="false">-$E86*BV66</f>
        <v>0</v>
      </c>
      <c r="BW92" s="48" t="n">
        <f aca="false">-$E86*BW66</f>
        <v>0</v>
      </c>
      <c r="BX92" s="48" t="n">
        <f aca="false">-$E86*BX66</f>
        <v>0</v>
      </c>
      <c r="BY92" s="48" t="n">
        <f aca="false">-$E86*BY66</f>
        <v>0</v>
      </c>
      <c r="BZ92" s="48" t="n">
        <f aca="false">-$E86*BZ66</f>
        <v>0</v>
      </c>
      <c r="CA92" s="48" t="n">
        <f aca="false">-$E86*CA66</f>
        <v>0</v>
      </c>
      <c r="CB92" s="48" t="n">
        <f aca="false">-$E86*CB66</f>
        <v>0</v>
      </c>
      <c r="CC92" s="48" t="n">
        <f aca="false">-$E86*CC66</f>
        <v>0</v>
      </c>
      <c r="CD92" s="48" t="n">
        <f aca="false">-$E86*CD66</f>
        <v>0</v>
      </c>
      <c r="CE92" s="48" t="n">
        <f aca="false">-$E86*CE66</f>
        <v>0</v>
      </c>
      <c r="CF92" s="48" t="n">
        <f aca="false">-$E86*CF66</f>
        <v>0</v>
      </c>
      <c r="CG92" s="48" t="n">
        <f aca="false">-$E86*CG66</f>
        <v>0</v>
      </c>
      <c r="CH92" s="48" t="n">
        <f aca="false">-$E86*CH66</f>
        <v>0</v>
      </c>
      <c r="CI92" s="48" t="n">
        <f aca="false">-$E86*CI66</f>
        <v>0</v>
      </c>
      <c r="CJ92" s="48" t="n">
        <f aca="false">-$E86*CJ66</f>
        <v>0</v>
      </c>
      <c r="CK92" s="48" t="n">
        <f aca="false">-$E86*CK66</f>
        <v>0</v>
      </c>
      <c r="CL92" s="48" t="n">
        <f aca="false">-$E86*CL66</f>
        <v>0</v>
      </c>
      <c r="CM92" s="48" t="n">
        <f aca="false">-$E86*CM66</f>
        <v>0</v>
      </c>
      <c r="CN92" s="48" t="n">
        <f aca="false">-$E86*CN66</f>
        <v>0</v>
      </c>
      <c r="CO92" s="48" t="n">
        <f aca="false">-$E86*CO66</f>
        <v>0</v>
      </c>
      <c r="CP92" s="48" t="n">
        <f aca="false">-$E86*CP66</f>
        <v>0</v>
      </c>
      <c r="CQ92" s="48" t="n">
        <f aca="false">-$E86*CQ66</f>
        <v>0</v>
      </c>
      <c r="CR92" s="48" t="n">
        <f aca="false">-$E86*CR66</f>
        <v>0</v>
      </c>
      <c r="CS92" s="48" t="n">
        <f aca="false">-$E86*CS66</f>
        <v>0</v>
      </c>
      <c r="CT92" s="48" t="n">
        <f aca="false">-$E86*CT66</f>
        <v>0</v>
      </c>
      <c r="CU92" s="48" t="n">
        <f aca="false">-$E86*CU66</f>
        <v>0</v>
      </c>
      <c r="CV92" s="48" t="n">
        <f aca="false">-$E86*CV66</f>
        <v>0</v>
      </c>
      <c r="CW92" s="48" t="n">
        <f aca="false">-$E86*CW66</f>
        <v>0</v>
      </c>
      <c r="CX92" s="48" t="n">
        <f aca="false">-$E86*CX66</f>
        <v>0</v>
      </c>
      <c r="CY92" s="48" t="n">
        <f aca="false">-$E86*CY66</f>
        <v>0</v>
      </c>
      <c r="CZ92" s="48" t="n">
        <f aca="false">-$E86*CZ66</f>
        <v>0</v>
      </c>
      <c r="DA92" s="48" t="n">
        <f aca="false">-$E86*DA66</f>
        <v>0</v>
      </c>
      <c r="DB92" s="48" t="n">
        <f aca="false">-$E86*DB66</f>
        <v>0</v>
      </c>
      <c r="DC92" s="48" t="n">
        <f aca="false">-$E86*DC66</f>
        <v>0</v>
      </c>
      <c r="DD92" s="48" t="n">
        <f aca="false">-$E86*DD66</f>
        <v>0</v>
      </c>
      <c r="DE92" s="48" t="n">
        <f aca="false">-$E86*DE66</f>
        <v>0</v>
      </c>
      <c r="DF92" s="48" t="n">
        <f aca="false">-$E86*DF66</f>
        <v>0</v>
      </c>
      <c r="DG92" s="48" t="n">
        <f aca="false">-$E86*DG66</f>
        <v>0</v>
      </c>
      <c r="DH92" s="48" t="n">
        <f aca="false">-$E86*DH66</f>
        <v>0</v>
      </c>
      <c r="DI92" s="48" t="n">
        <f aca="false">-$E86*DI66</f>
        <v>0</v>
      </c>
      <c r="DJ92" s="48" t="n">
        <f aca="false">-$E86*DJ66</f>
        <v>0</v>
      </c>
      <c r="DK92" s="48" t="n">
        <f aca="false">-$E86*DK66</f>
        <v>0</v>
      </c>
      <c r="DL92" s="48" t="n">
        <f aca="false">-$E86*DL66</f>
        <v>0</v>
      </c>
      <c r="DM92" s="48" t="n">
        <f aca="false">-$E86*DM66</f>
        <v>0</v>
      </c>
      <c r="DN92" s="48" t="n">
        <f aca="false">-$E86*DN66</f>
        <v>0</v>
      </c>
      <c r="DO92" s="48" t="n">
        <f aca="false">-$E86*DO66</f>
        <v>0</v>
      </c>
      <c r="DP92" s="48" t="n">
        <f aca="false">-$E86*DP66</f>
        <v>0</v>
      </c>
      <c r="DQ92" s="48" t="n">
        <f aca="false">-$E86*DQ66</f>
        <v>0</v>
      </c>
      <c r="DR92" s="48" t="n">
        <f aca="false">-$E86*DR66</f>
        <v>0</v>
      </c>
      <c r="DS92" s="48" t="n">
        <f aca="false">-$E86*DS66</f>
        <v>0</v>
      </c>
      <c r="DT92" s="48" t="n">
        <f aca="false">-$E86*DT66</f>
        <v>0</v>
      </c>
      <c r="DU92" s="48" t="n">
        <f aca="false">-$E86*DU66</f>
        <v>0</v>
      </c>
      <c r="DV92" s="48" t="n">
        <f aca="false">-$E86*DV66</f>
        <v>0</v>
      </c>
      <c r="DW92" s="48" t="n">
        <f aca="false">-$E86*DW66</f>
        <v>0</v>
      </c>
      <c r="DX92" s="48" t="n">
        <f aca="false">-$E86*DX66</f>
        <v>0</v>
      </c>
      <c r="DY92" s="48" t="n">
        <f aca="false">-$E86*DY66</f>
        <v>0</v>
      </c>
      <c r="DZ92" s="48" t="n">
        <f aca="false">-$E86*DZ66</f>
        <v>0</v>
      </c>
      <c r="EA92" s="48" t="n">
        <f aca="false">-$E86*EA66</f>
        <v>0</v>
      </c>
      <c r="EB92" s="48" t="n">
        <f aca="false">-$E86*EB66</f>
        <v>0</v>
      </c>
      <c r="EC92" s="48" t="n">
        <f aca="false">-$E86*EC66</f>
        <v>0</v>
      </c>
      <c r="ED92" s="48" t="n">
        <f aca="false">-$E86*ED66</f>
        <v>0</v>
      </c>
      <c r="EE92" s="48" t="n">
        <f aca="false">-$E86*EE66</f>
        <v>0</v>
      </c>
      <c r="EF92" s="48" t="n">
        <f aca="false">-$E86*EF66</f>
        <v>0</v>
      </c>
      <c r="EG92" s="48" t="n">
        <f aca="false">-$E86*EG66</f>
        <v>0</v>
      </c>
      <c r="EH92" s="48" t="n">
        <f aca="false">-$E86*EH66</f>
        <v>0</v>
      </c>
      <c r="EI92" s="48" t="n">
        <f aca="false">-$E86*EI66</f>
        <v>0</v>
      </c>
      <c r="EJ92" s="48" t="n">
        <f aca="false">-$E86*EJ66</f>
        <v>0</v>
      </c>
      <c r="EK92" s="48" t="n">
        <f aca="false">-$E86*EK66</f>
        <v>0</v>
      </c>
      <c r="EL92" s="48" t="n">
        <f aca="false">-$E86*EL66</f>
        <v>0</v>
      </c>
      <c r="EM92" s="48" t="n">
        <f aca="false">-$E86*EM66</f>
        <v>0</v>
      </c>
      <c r="EN92" s="48" t="n">
        <f aca="false">-$E86*EN66</f>
        <v>0</v>
      </c>
      <c r="EO92" s="48" t="n">
        <f aca="false">-$E86*EO66</f>
        <v>0</v>
      </c>
    </row>
    <row r="93" customFormat="false" ht="15" hidden="false" customHeight="false" outlineLevel="0" collapsed="false">
      <c r="C93" s="1" t="s">
        <v>438</v>
      </c>
      <c r="D93" s="12" t="s">
        <v>33</v>
      </c>
      <c r="I93" s="48" t="n">
        <f aca="false">SUM(J93:EO93)</f>
        <v>2422.99726798894</v>
      </c>
      <c r="J93" s="48" t="n">
        <f aca="false">J91*$F21*(J$4&lt;=In_COD)</f>
        <v>0</v>
      </c>
      <c r="K93" s="48" t="n">
        <f aca="false">K91*$F21*(K$4&lt;=In_COD)</f>
        <v>0</v>
      </c>
      <c r="L93" s="48" t="n">
        <f aca="false">L91*$F21*(L$4&lt;=In_COD)</f>
        <v>0</v>
      </c>
      <c r="M93" s="48" t="n">
        <f aca="false">M91*$F21*(M$4&lt;=In_COD)</f>
        <v>0</v>
      </c>
      <c r="N93" s="48" t="n">
        <f aca="false">N91*$F21*(N$4&lt;=In_COD)</f>
        <v>0</v>
      </c>
      <c r="O93" s="48" t="n">
        <f aca="false">O91*$F21*(O$4&lt;=In_COD)</f>
        <v>0</v>
      </c>
      <c r="P93" s="48" t="n">
        <f aca="false">P91*$F21*(P$4&lt;=In_COD)</f>
        <v>0</v>
      </c>
      <c r="Q93" s="48" t="n">
        <f aca="false">Q91*$F21*(Q$4&lt;=In_COD)</f>
        <v>0</v>
      </c>
      <c r="R93" s="48" t="n">
        <f aca="false">R91*$F21*(R$4&lt;=In_COD)</f>
        <v>0</v>
      </c>
      <c r="S93" s="48" t="n">
        <f aca="false">S91*$F21*(S$4&lt;=In_COD)</f>
        <v>69.6007962328767</v>
      </c>
      <c r="T93" s="48" t="n">
        <f aca="false">T91*$F21*(T$4&lt;=In_COD)</f>
        <v>209.913244199486</v>
      </c>
      <c r="U93" s="48" t="n">
        <f aca="false">U91*$F21*(U$4&lt;=In_COD)</f>
        <v>281.381425591021</v>
      </c>
      <c r="V93" s="48" t="n">
        <f aca="false">V91*$F21*(V$4&lt;=In_COD)</f>
        <v>354.499489643786</v>
      </c>
      <c r="W93" s="48" t="n">
        <f aca="false">W91*$F21*(W$4&lt;=In_COD)</f>
        <v>428.53152949721</v>
      </c>
      <c r="X93" s="48" t="n">
        <f aca="false">X91*$F21*(X$4&lt;=In_COD)</f>
        <v>501.97590906113</v>
      </c>
      <c r="Y93" s="48" t="n">
        <f aca="false">Y91*$F21*(Y$4&lt;=In_COD)</f>
        <v>577.094873763435</v>
      </c>
      <c r="Z93" s="48" t="n">
        <f aca="false">Z91*$F21*(Z$4&lt;=In_COD)</f>
        <v>0</v>
      </c>
      <c r="AA93" s="48" t="n">
        <f aca="false">AA91*$F21*(AA$4&lt;=In_COD)</f>
        <v>0</v>
      </c>
      <c r="AB93" s="48" t="n">
        <f aca="false">AB91*$F21*(AB$4&lt;=In_COD)</f>
        <v>0</v>
      </c>
      <c r="AC93" s="48" t="n">
        <f aca="false">AC91*$F21*(AC$4&lt;=In_COD)</f>
        <v>0</v>
      </c>
      <c r="AD93" s="48" t="n">
        <f aca="false">AD91*$F21*(AD$4&lt;=In_COD)</f>
        <v>0</v>
      </c>
      <c r="AE93" s="48" t="n">
        <f aca="false">AE91*$F21*(AE$4&lt;=In_COD)</f>
        <v>0</v>
      </c>
      <c r="AF93" s="48" t="n">
        <f aca="false">AF91*$F21*(AF$4&lt;=In_COD)</f>
        <v>0</v>
      </c>
      <c r="AG93" s="48" t="n">
        <f aca="false">AG91*$F21*(AG$4&lt;=In_COD)</f>
        <v>0</v>
      </c>
      <c r="AH93" s="48" t="n">
        <f aca="false">AH91*$F21*(AH$4&lt;=In_COD)</f>
        <v>0</v>
      </c>
      <c r="AI93" s="48" t="n">
        <f aca="false">AI91*$F21*(AI$4&lt;=In_COD)</f>
        <v>0</v>
      </c>
      <c r="AJ93" s="48" t="n">
        <f aca="false">AJ91*$F21*(AJ$4&lt;=In_COD)</f>
        <v>0</v>
      </c>
      <c r="AK93" s="48" t="n">
        <f aca="false">AK91*$F21*(AK$4&lt;=In_COD)</f>
        <v>0</v>
      </c>
      <c r="AL93" s="48" t="n">
        <f aca="false">AL91*$F21*(AL$4&lt;=In_COD)</f>
        <v>0</v>
      </c>
      <c r="AM93" s="48" t="n">
        <f aca="false">AM91*$F21*(AM$4&lt;=In_COD)</f>
        <v>0</v>
      </c>
      <c r="AN93" s="48" t="n">
        <f aca="false">AN91*$F21*(AN$4&lt;=In_COD)</f>
        <v>0</v>
      </c>
      <c r="AO93" s="48" t="n">
        <f aca="false">AO91*$F21*(AO$4&lt;=In_COD)</f>
        <v>0</v>
      </c>
      <c r="AP93" s="48" t="n">
        <f aca="false">AP91*$F21*(AP$4&lt;=In_COD)</f>
        <v>0</v>
      </c>
      <c r="AQ93" s="48" t="n">
        <f aca="false">AQ91*$F21*(AQ$4&lt;=In_COD)</f>
        <v>0</v>
      </c>
      <c r="AR93" s="48" t="n">
        <f aca="false">AR91*$F21*(AR$4&lt;=In_COD)</f>
        <v>0</v>
      </c>
      <c r="AS93" s="48" t="n">
        <f aca="false">AS91*$F21*(AS$4&lt;=In_COD)</f>
        <v>0</v>
      </c>
      <c r="AT93" s="48" t="n">
        <f aca="false">AT91*$F21*(AT$4&lt;=In_COD)</f>
        <v>0</v>
      </c>
      <c r="AU93" s="48" t="n">
        <f aca="false">AU91*$F21*(AU$4&lt;=In_COD)</f>
        <v>0</v>
      </c>
      <c r="AV93" s="48" t="n">
        <f aca="false">AV91*$F21*(AV$4&lt;=In_COD)</f>
        <v>0</v>
      </c>
      <c r="AW93" s="48" t="n">
        <f aca="false">AW91*$F21*(AW$4&lt;=In_COD)</f>
        <v>0</v>
      </c>
      <c r="AX93" s="48" t="n">
        <f aca="false">AX91*$F21*(AX$4&lt;=In_COD)</f>
        <v>0</v>
      </c>
      <c r="AY93" s="48" t="n">
        <f aca="false">AY91*$F21*(AY$4&lt;=In_COD)</f>
        <v>0</v>
      </c>
      <c r="AZ93" s="48" t="n">
        <f aca="false">AZ91*$F21*(AZ$4&lt;=In_COD)</f>
        <v>0</v>
      </c>
      <c r="BA93" s="48" t="n">
        <f aca="false">BA91*$F21*(BA$4&lt;=In_COD)</f>
        <v>0</v>
      </c>
      <c r="BB93" s="48" t="n">
        <f aca="false">BB91*$F21*(BB$4&lt;=In_COD)</f>
        <v>0</v>
      </c>
      <c r="BC93" s="48" t="n">
        <f aca="false">BC91*$F21*(BC$4&lt;=In_COD)</f>
        <v>0</v>
      </c>
      <c r="BD93" s="48" t="n">
        <f aca="false">BD91*$F21*(BD$4&lt;=In_COD)</f>
        <v>0</v>
      </c>
      <c r="BE93" s="48" t="n">
        <f aca="false">BE91*$F21*(BE$4&lt;=In_COD)</f>
        <v>0</v>
      </c>
      <c r="BF93" s="48" t="n">
        <f aca="false">BF91*$F21*(BF$4&lt;=In_COD)</f>
        <v>0</v>
      </c>
      <c r="BG93" s="48" t="n">
        <f aca="false">BG91*$F21*(BG$4&lt;=In_COD)</f>
        <v>0</v>
      </c>
      <c r="BH93" s="48" t="n">
        <f aca="false">BH91*$F21*(BH$4&lt;=In_COD)</f>
        <v>0</v>
      </c>
      <c r="BI93" s="48" t="n">
        <f aca="false">BI91*$F21*(BI$4&lt;=In_COD)</f>
        <v>0</v>
      </c>
      <c r="BJ93" s="48" t="n">
        <f aca="false">BJ91*$F21*(BJ$4&lt;=In_COD)</f>
        <v>0</v>
      </c>
      <c r="BK93" s="48" t="n">
        <f aca="false">BK91*$F21*(BK$4&lt;=In_COD)</f>
        <v>0</v>
      </c>
      <c r="BL93" s="48" t="n">
        <f aca="false">BL91*$F21*(BL$4&lt;=In_COD)</f>
        <v>0</v>
      </c>
      <c r="BM93" s="48" t="n">
        <f aca="false">BM91*$F21*(BM$4&lt;=In_COD)</f>
        <v>0</v>
      </c>
      <c r="BN93" s="48" t="n">
        <f aca="false">BN91*$F21*(BN$4&lt;=In_COD)</f>
        <v>0</v>
      </c>
      <c r="BO93" s="48" t="n">
        <f aca="false">BO91*$F21*(BO$4&lt;=In_COD)</f>
        <v>0</v>
      </c>
      <c r="BP93" s="48" t="n">
        <f aca="false">BP91*$F21*(BP$4&lt;=In_COD)</f>
        <v>0</v>
      </c>
      <c r="BQ93" s="48" t="n">
        <f aca="false">BQ91*$F21*(BQ$4&lt;=In_COD)</f>
        <v>0</v>
      </c>
      <c r="BR93" s="48" t="n">
        <f aca="false">BR91*$F21*(BR$4&lt;=In_COD)</f>
        <v>0</v>
      </c>
      <c r="BS93" s="48" t="n">
        <f aca="false">BS91*$F21*(BS$4&lt;=In_COD)</f>
        <v>0</v>
      </c>
      <c r="BT93" s="48" t="n">
        <f aca="false">BT91*$F21*(BT$4&lt;=In_COD)</f>
        <v>0</v>
      </c>
      <c r="BU93" s="48" t="n">
        <f aca="false">BU91*$F21*(BU$4&lt;=In_COD)</f>
        <v>0</v>
      </c>
      <c r="BV93" s="48" t="n">
        <f aca="false">BV91*$F21*(BV$4&lt;=In_COD)</f>
        <v>0</v>
      </c>
      <c r="BW93" s="48" t="n">
        <f aca="false">BW91*$F21*(BW$4&lt;=In_COD)</f>
        <v>0</v>
      </c>
      <c r="BX93" s="48" t="n">
        <f aca="false">BX91*$F21*(BX$4&lt;=In_COD)</f>
        <v>0</v>
      </c>
      <c r="BY93" s="48" t="n">
        <f aca="false">BY91*$F21*(BY$4&lt;=In_COD)</f>
        <v>0</v>
      </c>
      <c r="BZ93" s="48" t="n">
        <f aca="false">BZ91*$F21*(BZ$4&lt;=In_COD)</f>
        <v>0</v>
      </c>
      <c r="CA93" s="48" t="n">
        <f aca="false">CA91*$F21*(CA$4&lt;=In_COD)</f>
        <v>0</v>
      </c>
      <c r="CB93" s="48" t="n">
        <f aca="false">CB91*$F21*(CB$4&lt;=In_COD)</f>
        <v>0</v>
      </c>
      <c r="CC93" s="48" t="n">
        <f aca="false">CC91*$F21*(CC$4&lt;=In_COD)</f>
        <v>0</v>
      </c>
      <c r="CD93" s="48" t="n">
        <f aca="false">CD91*$F21*(CD$4&lt;=In_COD)</f>
        <v>0</v>
      </c>
      <c r="CE93" s="48" t="n">
        <f aca="false">CE91*$F21*(CE$4&lt;=In_COD)</f>
        <v>0</v>
      </c>
      <c r="CF93" s="48" t="n">
        <f aca="false">CF91*$F21*(CF$4&lt;=In_COD)</f>
        <v>0</v>
      </c>
      <c r="CG93" s="48" t="n">
        <f aca="false">CG91*$F21*(CG$4&lt;=In_COD)</f>
        <v>0</v>
      </c>
      <c r="CH93" s="48" t="n">
        <f aca="false">CH91*$F21*(CH$4&lt;=In_COD)</f>
        <v>0</v>
      </c>
      <c r="CI93" s="48" t="n">
        <f aca="false">CI91*$F21*(CI$4&lt;=In_COD)</f>
        <v>0</v>
      </c>
      <c r="CJ93" s="48" t="n">
        <f aca="false">CJ91*$F21*(CJ$4&lt;=In_COD)</f>
        <v>0</v>
      </c>
      <c r="CK93" s="48" t="n">
        <f aca="false">CK91*$F21*(CK$4&lt;=In_COD)</f>
        <v>0</v>
      </c>
      <c r="CL93" s="48" t="n">
        <f aca="false">CL91*$F21*(CL$4&lt;=In_COD)</f>
        <v>0</v>
      </c>
      <c r="CM93" s="48" t="n">
        <f aca="false">CM91*$F21*(CM$4&lt;=In_COD)</f>
        <v>0</v>
      </c>
      <c r="CN93" s="48" t="n">
        <f aca="false">CN91*$F21*(CN$4&lt;=In_COD)</f>
        <v>0</v>
      </c>
      <c r="CO93" s="48" t="n">
        <f aca="false">CO91*$F21*(CO$4&lt;=In_COD)</f>
        <v>0</v>
      </c>
      <c r="CP93" s="48" t="n">
        <f aca="false">CP91*$F21*(CP$4&lt;=In_COD)</f>
        <v>0</v>
      </c>
      <c r="CQ93" s="48" t="n">
        <f aca="false">CQ91*$F21*(CQ$4&lt;=In_COD)</f>
        <v>0</v>
      </c>
      <c r="CR93" s="48" t="n">
        <f aca="false">CR91*$F21*(CR$4&lt;=In_COD)</f>
        <v>0</v>
      </c>
      <c r="CS93" s="48" t="n">
        <f aca="false">CS91*$F21*(CS$4&lt;=In_COD)</f>
        <v>0</v>
      </c>
      <c r="CT93" s="48" t="n">
        <f aca="false">CT91*$F21*(CT$4&lt;=In_COD)</f>
        <v>0</v>
      </c>
      <c r="CU93" s="48" t="n">
        <f aca="false">CU91*$F21*(CU$4&lt;=In_COD)</f>
        <v>0</v>
      </c>
      <c r="CV93" s="48" t="n">
        <f aca="false">CV91*$F21*(CV$4&lt;=In_COD)</f>
        <v>0</v>
      </c>
      <c r="CW93" s="48" t="n">
        <f aca="false">CW91*$F21*(CW$4&lt;=In_COD)</f>
        <v>0</v>
      </c>
      <c r="CX93" s="48" t="n">
        <f aca="false">CX91*$F21*(CX$4&lt;=In_COD)</f>
        <v>0</v>
      </c>
      <c r="CY93" s="48" t="n">
        <f aca="false">CY91*$F21*(CY$4&lt;=In_COD)</f>
        <v>0</v>
      </c>
      <c r="CZ93" s="48" t="n">
        <f aca="false">CZ91*$F21*(CZ$4&lt;=In_COD)</f>
        <v>0</v>
      </c>
      <c r="DA93" s="48" t="n">
        <f aca="false">DA91*$F21*(DA$4&lt;=In_COD)</f>
        <v>0</v>
      </c>
      <c r="DB93" s="48" t="n">
        <f aca="false">DB91*$F21*(DB$4&lt;=In_COD)</f>
        <v>0</v>
      </c>
      <c r="DC93" s="48" t="n">
        <f aca="false">DC91*$F21*(DC$4&lt;=In_COD)</f>
        <v>0</v>
      </c>
      <c r="DD93" s="48" t="n">
        <f aca="false">DD91*$F21*(DD$4&lt;=In_COD)</f>
        <v>0</v>
      </c>
      <c r="DE93" s="48" t="n">
        <f aca="false">DE91*$F21*(DE$4&lt;=In_COD)</f>
        <v>0</v>
      </c>
      <c r="DF93" s="48" t="n">
        <f aca="false">DF91*$F21*(DF$4&lt;=In_COD)</f>
        <v>0</v>
      </c>
      <c r="DG93" s="48" t="n">
        <f aca="false">DG91*$F21*(DG$4&lt;=In_COD)</f>
        <v>0</v>
      </c>
      <c r="DH93" s="48" t="n">
        <f aca="false">DH91*$F21*(DH$4&lt;=In_COD)</f>
        <v>0</v>
      </c>
      <c r="DI93" s="48" t="n">
        <f aca="false">DI91*$F21*(DI$4&lt;=In_COD)</f>
        <v>0</v>
      </c>
      <c r="DJ93" s="48" t="n">
        <f aca="false">DJ91*$F21*(DJ$4&lt;=In_COD)</f>
        <v>0</v>
      </c>
      <c r="DK93" s="48" t="n">
        <f aca="false">DK91*$F21*(DK$4&lt;=In_COD)</f>
        <v>0</v>
      </c>
      <c r="DL93" s="48" t="n">
        <f aca="false">DL91*$F21*(DL$4&lt;=In_COD)</f>
        <v>0</v>
      </c>
      <c r="DM93" s="48" t="n">
        <f aca="false">DM91*$F21*(DM$4&lt;=In_COD)</f>
        <v>0</v>
      </c>
      <c r="DN93" s="48" t="n">
        <f aca="false">DN91*$F21*(DN$4&lt;=In_COD)</f>
        <v>0</v>
      </c>
      <c r="DO93" s="48" t="n">
        <f aca="false">DO91*$F21*(DO$4&lt;=In_COD)</f>
        <v>0</v>
      </c>
      <c r="DP93" s="48" t="n">
        <f aca="false">DP91*$F21*(DP$4&lt;=In_COD)</f>
        <v>0</v>
      </c>
      <c r="DQ93" s="48" t="n">
        <f aca="false">DQ91*$F21*(DQ$4&lt;=In_COD)</f>
        <v>0</v>
      </c>
      <c r="DR93" s="48" t="n">
        <f aca="false">DR91*$F21*(DR$4&lt;=In_COD)</f>
        <v>0</v>
      </c>
      <c r="DS93" s="48" t="n">
        <f aca="false">DS91*$F21*(DS$4&lt;=In_COD)</f>
        <v>0</v>
      </c>
      <c r="DT93" s="48" t="n">
        <f aca="false">DT91*$F21*(DT$4&lt;=In_COD)</f>
        <v>0</v>
      </c>
      <c r="DU93" s="48" t="n">
        <f aca="false">DU91*$F21*(DU$4&lt;=In_COD)</f>
        <v>0</v>
      </c>
      <c r="DV93" s="48" t="n">
        <f aca="false">DV91*$F21*(DV$4&lt;=In_COD)</f>
        <v>0</v>
      </c>
      <c r="DW93" s="48" t="n">
        <f aca="false">DW91*$F21*(DW$4&lt;=In_COD)</f>
        <v>0</v>
      </c>
      <c r="DX93" s="48" t="n">
        <f aca="false">DX91*$F21*(DX$4&lt;=In_COD)</f>
        <v>0</v>
      </c>
      <c r="DY93" s="48" t="n">
        <f aca="false">DY91*$F21*(DY$4&lt;=In_COD)</f>
        <v>0</v>
      </c>
      <c r="DZ93" s="48" t="n">
        <f aca="false">DZ91*$F21*(DZ$4&lt;=In_COD)</f>
        <v>0</v>
      </c>
      <c r="EA93" s="48" t="n">
        <f aca="false">EA91*$F21*(EA$4&lt;=In_COD)</f>
        <v>0</v>
      </c>
      <c r="EB93" s="48" t="n">
        <f aca="false">EB91*$F21*(EB$4&lt;=In_COD)</f>
        <v>0</v>
      </c>
      <c r="EC93" s="48" t="n">
        <f aca="false">EC91*$F21*(EC$4&lt;=In_COD)</f>
        <v>0</v>
      </c>
      <c r="ED93" s="48" t="n">
        <f aca="false">ED91*$F21*(ED$4&lt;=In_COD)</f>
        <v>0</v>
      </c>
      <c r="EE93" s="48" t="n">
        <f aca="false">EE91*$F21*(EE$4&lt;=In_COD)</f>
        <v>0</v>
      </c>
      <c r="EF93" s="48" t="n">
        <f aca="false">EF91*$F21*(EF$4&lt;=In_COD)</f>
        <v>0</v>
      </c>
      <c r="EG93" s="48" t="n">
        <f aca="false">EG91*$F21*(EG$4&lt;=In_COD)</f>
        <v>0</v>
      </c>
      <c r="EH93" s="48" t="n">
        <f aca="false">EH91*$F21*(EH$4&lt;=In_COD)</f>
        <v>0</v>
      </c>
      <c r="EI93" s="48" t="n">
        <f aca="false">EI91*$F21*(EI$4&lt;=In_COD)</f>
        <v>0</v>
      </c>
      <c r="EJ93" s="48" t="n">
        <f aca="false">EJ91*$F21*(EJ$4&lt;=In_COD)</f>
        <v>0</v>
      </c>
      <c r="EK93" s="48" t="n">
        <f aca="false">EK91*$F21*(EK$4&lt;=In_COD)</f>
        <v>0</v>
      </c>
      <c r="EL93" s="48" t="n">
        <f aca="false">EL91*$F21*(EL$4&lt;=In_COD)</f>
        <v>0</v>
      </c>
      <c r="EM93" s="48" t="n">
        <f aca="false">EM91*$F21*(EM$4&lt;=In_COD)</f>
        <v>0</v>
      </c>
      <c r="EN93" s="48" t="n">
        <f aca="false">EN91*$F21*(EN$4&lt;=In_COD)</f>
        <v>0</v>
      </c>
      <c r="EO93" s="48" t="n">
        <f aca="false">EO91*$F21*(EO$4&lt;=In_COD)</f>
        <v>0</v>
      </c>
    </row>
    <row r="94" customFormat="false" ht="15" hidden="false" customHeight="false" outlineLevel="0" collapsed="false">
      <c r="C94" s="1" t="s">
        <v>439</v>
      </c>
      <c r="D94" s="12" t="s">
        <v>33</v>
      </c>
      <c r="I94" s="48" t="n">
        <f aca="false">SUM(J94:EO94)</f>
        <v>-54062.7484734681</v>
      </c>
      <c r="J94" s="48" t="n">
        <f aca="false">J90-J89</f>
        <v>0</v>
      </c>
      <c r="K94" s="48" t="n">
        <f aca="false">K90-K89</f>
        <v>0</v>
      </c>
      <c r="L94" s="48" t="n">
        <f aca="false">L90-L89</f>
        <v>0</v>
      </c>
      <c r="M94" s="48" t="n">
        <f aca="false">M90-M89</f>
        <v>0</v>
      </c>
      <c r="N94" s="48" t="n">
        <f aca="false">N90-N89</f>
        <v>0</v>
      </c>
      <c r="O94" s="48" t="n">
        <f aca="false">O90-O89</f>
        <v>0</v>
      </c>
      <c r="P94" s="48" t="n">
        <f aca="false">P90-P89</f>
        <v>0</v>
      </c>
      <c r="Q94" s="48" t="n">
        <f aca="false">Q90-Q89</f>
        <v>0</v>
      </c>
      <c r="R94" s="48" t="n">
        <f aca="false">R90-R89</f>
        <v>0</v>
      </c>
      <c r="S94" s="48" t="n">
        <f aca="false">S90-S89</f>
        <v>0</v>
      </c>
      <c r="T94" s="48" t="n">
        <f aca="false">T90-T89</f>
        <v>0</v>
      </c>
      <c r="U94" s="48" t="n">
        <f aca="false">U90-U89</f>
        <v>0</v>
      </c>
      <c r="V94" s="48" t="n">
        <f aca="false">V90-V89</f>
        <v>0</v>
      </c>
      <c r="W94" s="48" t="n">
        <f aca="false">W90-W89</f>
        <v>0</v>
      </c>
      <c r="X94" s="48" t="n">
        <f aca="false">X90-X89</f>
        <v>0</v>
      </c>
      <c r="Y94" s="48" t="n">
        <f aca="false">Y90-Y89</f>
        <v>0</v>
      </c>
      <c r="Z94" s="48" t="n">
        <f aca="false">Z90-Z89</f>
        <v>-459.687746899578</v>
      </c>
      <c r="AA94" s="48" t="n">
        <f aca="false">AA90-AA89</f>
        <v>-448.117249211818</v>
      </c>
      <c r="AB94" s="48" t="n">
        <f aca="false">AB90-AB89</f>
        <v>-465.837993636453</v>
      </c>
      <c r="AC94" s="48" t="n">
        <f aca="false">AC90-AC89</f>
        <v>-483.775074455892</v>
      </c>
      <c r="AD94" s="48" t="n">
        <f aca="false">AD90-AD89</f>
        <v>-485.707414662183</v>
      </c>
      <c r="AE94" s="48" t="n">
        <f aca="false">AE90-AE89</f>
        <v>-486.597564297513</v>
      </c>
      <c r="AF94" s="48" t="n">
        <f aca="false">AF90-AF89</f>
        <v>-492.537989838262</v>
      </c>
      <c r="AG94" s="48" t="n">
        <f aca="false">AG90-AG89</f>
        <v>-510.836598552084</v>
      </c>
      <c r="AH94" s="48" t="n">
        <f aca="false">AH90-AH89</f>
        <v>-507.934497718662</v>
      </c>
      <c r="AI94" s="48" t="n">
        <f aca="false">AI90-AI89</f>
        <v>-488.765251852387</v>
      </c>
      <c r="AJ94" s="48" t="n">
        <f aca="false">AJ90-AJ89</f>
        <v>-522.261116691313</v>
      </c>
      <c r="AK94" s="48" t="n">
        <f aca="false">AK90-AK89</f>
        <v>-540.670510425104</v>
      </c>
      <c r="AL94" s="48" t="n">
        <f aca="false">AL90-AL89</f>
        <v>-543.278750107332</v>
      </c>
      <c r="AM94" s="48" t="n">
        <f aca="false">AM90-AM89</f>
        <v>-532.075426794967</v>
      </c>
      <c r="AN94" s="48" t="n">
        <f aca="false">AN90-AN89</f>
        <v>-550.633552516044</v>
      </c>
      <c r="AO94" s="48" t="n">
        <f aca="false">AO90-AO89</f>
        <v>-569.412820103144</v>
      </c>
      <c r="AP94" s="48" t="n">
        <f aca="false">AP90-AP89</f>
        <v>-572.33939180935</v>
      </c>
      <c r="AQ94" s="48" t="n">
        <f aca="false">AQ90-AQ89</f>
        <v>-561.342697636612</v>
      </c>
      <c r="AR94" s="48" t="n">
        <f aca="false">AR90-AR89</f>
        <v>-580.280246188094</v>
      </c>
      <c r="AS94" s="48" t="n">
        <f aca="false">AS90-AS89</f>
        <v>-599.443457874288</v>
      </c>
      <c r="AT94" s="48" t="n">
        <f aca="false">AT90-AT89</f>
        <v>-602.703636163596</v>
      </c>
      <c r="AU94" s="48" t="n">
        <f aca="false">AU90-AU89</f>
        <v>-604.205838259759</v>
      </c>
      <c r="AV94" s="48" t="n">
        <f aca="false">AV90-AV89</f>
        <v>-611.405660512465</v>
      </c>
      <c r="AW94" s="48" t="n">
        <f aca="false">AW90-AW89</f>
        <v>-630.969283198332</v>
      </c>
      <c r="AX94" s="48" t="n">
        <f aca="false">AX90-AX89</f>
        <v>-634.580808955563</v>
      </c>
      <c r="AY94" s="48" t="n">
        <f aca="false">AY90-AY89</f>
        <v>-624.042633561463</v>
      </c>
      <c r="AZ94" s="48" t="n">
        <f aca="false">AZ90-AZ89</f>
        <v>-643.785161143385</v>
      </c>
      <c r="BA94" s="48" t="n">
        <f aca="false">BA90-BA89</f>
        <v>-663.762944130681</v>
      </c>
      <c r="BB94" s="48" t="n">
        <f aca="false">BB90-BB89</f>
        <v>-667.740850478665</v>
      </c>
      <c r="BC94" s="48" t="n">
        <f aca="false">BC90-BC89</f>
        <v>-657.454283405025</v>
      </c>
      <c r="BD94" s="48" t="n">
        <f aca="false">BD90-BD89</f>
        <v>-677.62203404877</v>
      </c>
      <c r="BE94" s="48" t="n">
        <f aca="false">BE90-BE89</f>
        <v>-698.030107130132</v>
      </c>
      <c r="BF94" s="48" t="n">
        <f aca="false">BF90-BF89</f>
        <v>-702.391879405088</v>
      </c>
      <c r="BG94" s="48" t="n">
        <f aca="false">BG90-BG89</f>
        <v>-692.373362745878</v>
      </c>
      <c r="BH94" s="48" t="n">
        <f aca="false">BH90-BH89</f>
        <v>-712.983019723985</v>
      </c>
      <c r="BI94" s="48" t="n">
        <f aca="false">BI90-BI89</f>
        <v>-733.838264972738</v>
      </c>
      <c r="BJ94" s="48" t="n">
        <f aca="false">BJ90-BJ89</f>
        <v>-738.60219427633</v>
      </c>
      <c r="BK94" s="48" t="n">
        <f aca="false">BK90-BK89</f>
        <v>-741.252661985336</v>
      </c>
      <c r="BL94" s="48" t="n">
        <f aca="false">BL90-BL89</f>
        <v>-750.085558115599</v>
      </c>
      <c r="BM94" s="48" t="n">
        <f aca="false">BM90-BM89</f>
        <v>-771.407404508509</v>
      </c>
      <c r="BN94" s="48" t="n">
        <f aca="false">BN90-BN89</f>
        <v>-776.594404908978</v>
      </c>
      <c r="BO94" s="48" t="n">
        <f aca="false">BO90-BO89</f>
        <v>-767.166337544604</v>
      </c>
      <c r="BP94" s="48" t="n">
        <f aca="false">BP90-BP89</f>
        <v>-788.714833321437</v>
      </c>
      <c r="BQ94" s="48" t="n">
        <f aca="false">BQ90-BQ89</f>
        <v>-810.520104735946</v>
      </c>
      <c r="BR94" s="48" t="n">
        <f aca="false">BR90-BR89</f>
        <v>-816.14850109626</v>
      </c>
      <c r="BS94" s="48" t="n">
        <f aca="false">BS90-BS89</f>
        <v>-807.042826724197</v>
      </c>
      <c r="BT94" s="48" t="n">
        <f aca="false">BT90-BT89</f>
        <v>-829.088194045867</v>
      </c>
      <c r="BU94" s="48" t="n">
        <f aca="false">BU90-BU89</f>
        <v>-851.396257813287</v>
      </c>
      <c r="BV94" s="48" t="n">
        <f aca="false">BV90-BV89</f>
        <v>-857.486996948972</v>
      </c>
      <c r="BW94" s="48" t="n">
        <f aca="false">BW90-BW89</f>
        <v>-848.723580268875</v>
      </c>
      <c r="BX94" s="48" t="n">
        <f aca="false">BX90-BX89</f>
        <v>-871.285855831588</v>
      </c>
      <c r="BY94" s="48" t="n">
        <f aca="false">BY90-BY89</f>
        <v>-894.116987408894</v>
      </c>
      <c r="BZ94" s="48" t="n">
        <f aca="false">BZ90-BZ89</f>
        <v>-900.691984557778</v>
      </c>
      <c r="CA94" s="48" t="n">
        <f aca="false">CA90-CA89</f>
        <v>-904.759107270138</v>
      </c>
      <c r="CB94" s="48" t="n">
        <f aca="false">CB90-CB89</f>
        <v>-915.540374747848</v>
      </c>
      <c r="CC94" s="48" t="n">
        <f aca="false">CC90-CC89</f>
        <v>-938.917571777938</v>
      </c>
      <c r="CD94" s="48" t="n">
        <f aca="false">CD90-CD89</f>
        <v>-946.001547593868</v>
      </c>
      <c r="CE94" s="48" t="n">
        <f aca="false">CE90-CE89</f>
        <v>-937.987934510365</v>
      </c>
      <c r="CF94" s="48" t="n">
        <f aca="false">CF90-CF89</f>
        <v>-961.649778954934</v>
      </c>
      <c r="CG94" s="48" t="n">
        <f aca="false">CG90-CG89</f>
        <v>-985.593582068858</v>
      </c>
      <c r="CH94" s="48" t="n">
        <f aca="false">CH90-CH89</f>
        <v>-993.20882305729</v>
      </c>
      <c r="CI94" s="48" t="n">
        <f aca="false">CI90-CI89</f>
        <v>-985.603088186765</v>
      </c>
      <c r="CJ94" s="48" t="n">
        <f aca="false">CJ90-CJ89</f>
        <v>-1009.84786738326</v>
      </c>
      <c r="CK94" s="48" t="n">
        <f aca="false">CK90-CK89</f>
        <v>-1034.38155160139</v>
      </c>
      <c r="CL94" s="48" t="n">
        <f aca="false">CL90-CL89</f>
        <v>-1042.55316476537</v>
      </c>
      <c r="CM94" s="48" t="n">
        <f aca="false">CM90-CM89</f>
        <v>-1035.37929578222</v>
      </c>
      <c r="CN94" s="48" t="n">
        <f aca="false">CN90-CN89</f>
        <v>-1060.23109416916</v>
      </c>
      <c r="CO94" s="48" t="n">
        <f aca="false">CO90-CO89</f>
        <v>-1085.37903092438</v>
      </c>
      <c r="CP94" s="48" t="n">
        <f aca="false">CP90-CP89</f>
        <v>-1094.13328768689</v>
      </c>
      <c r="CQ94" s="48" t="n">
        <f aca="false">CQ90-CQ89</f>
        <v>-1099.94262150532</v>
      </c>
      <c r="CR94" s="48" t="n">
        <f aca="false">CR90-CR89</f>
        <v>-1113.04972981435</v>
      </c>
      <c r="CS94" s="48" t="n">
        <f aca="false">CS90-CS89</f>
        <v>-1138.83921846881</v>
      </c>
      <c r="CT94" s="48" t="n">
        <f aca="false">CT90-CT89</f>
        <v>2.48121523327427E-012</v>
      </c>
      <c r="CU94" s="48" t="n">
        <f aca="false">CU90-CU89</f>
        <v>2.5122304236902E-012</v>
      </c>
      <c r="CV94" s="48" t="n">
        <f aca="false">CV90-CV89</f>
        <v>2.54363330398633E-012</v>
      </c>
      <c r="CW94" s="48" t="n">
        <f aca="false">CW90-CW89</f>
        <v>2.57542872028616E-012</v>
      </c>
      <c r="CX94" s="48" t="n">
        <f aca="false">CX90-CX89</f>
        <v>2.60762157928973E-012</v>
      </c>
      <c r="CY94" s="48" t="n">
        <f aca="false">CY90-CY89</f>
        <v>2.64021684903085E-012</v>
      </c>
      <c r="CZ94" s="48" t="n">
        <f aca="false">CZ90-CZ89</f>
        <v>2.67321955964374E-012</v>
      </c>
      <c r="DA94" s="48" t="n">
        <f aca="false">DA90-DA89</f>
        <v>2.70663480413929E-012</v>
      </c>
      <c r="DB94" s="48" t="n">
        <f aca="false">DB90-DB89</f>
        <v>2.74046773919103E-012</v>
      </c>
      <c r="DC94" s="48" t="n">
        <f aca="false">DC90-DC89</f>
        <v>2.77472358593092E-012</v>
      </c>
      <c r="DD94" s="48" t="n">
        <f aca="false">DD90-DD89</f>
        <v>2.80940763075505E-012</v>
      </c>
      <c r="DE94" s="48" t="n">
        <f aca="false">DE90-DE89</f>
        <v>2.84452522613949E-012</v>
      </c>
      <c r="DF94" s="48" t="n">
        <f aca="false">DF90-DF89</f>
        <v>2.88008179146623E-012</v>
      </c>
      <c r="DG94" s="48" t="n">
        <f aca="false">DG90-DG89</f>
        <v>2.91608281385956E-012</v>
      </c>
      <c r="DH94" s="48" t="n">
        <f aca="false">DH90-DH89</f>
        <v>2.95253384903281E-012</v>
      </c>
      <c r="DI94" s="48" t="n">
        <f aca="false">DI90-DI89</f>
        <v>2.98944052214572E-012</v>
      </c>
      <c r="DJ94" s="48" t="n">
        <f aca="false">DJ90-DJ89</f>
        <v>3.02680852867254E-012</v>
      </c>
      <c r="DK94" s="48" t="n">
        <f aca="false">DK90-DK89</f>
        <v>3.06464363528094E-012</v>
      </c>
      <c r="DL94" s="48" t="n">
        <f aca="false">DL90-DL89</f>
        <v>3.10295168072196E-012</v>
      </c>
      <c r="DM94" s="48" t="n">
        <f aca="false">DM90-DM89</f>
        <v>3.14173857673098E-012</v>
      </c>
      <c r="DN94" s="48" t="n">
        <f aca="false">DN90-DN89</f>
        <v>3.18101030894012E-012</v>
      </c>
      <c r="DO94" s="48" t="n">
        <f aca="false">DO90-DO89</f>
        <v>3.22077293780187E-012</v>
      </c>
      <c r="DP94" s="48" t="n">
        <f aca="false">DP90-DP89</f>
        <v>3.26103259952439E-012</v>
      </c>
      <c r="DQ94" s="48" t="n">
        <f aca="false">DQ90-DQ89</f>
        <v>3.30179550701845E-012</v>
      </c>
      <c r="DR94" s="48" t="n">
        <f aca="false">DR90-DR89</f>
        <v>3.34306795085618E-012</v>
      </c>
      <c r="DS94" s="48" t="n">
        <f aca="false">DS90-DS89</f>
        <v>3.38485630024188E-012</v>
      </c>
      <c r="DT94" s="48" t="n">
        <f aca="false">DT90-DT89</f>
        <v>3.4271670039949E-012</v>
      </c>
      <c r="DU94" s="48" t="n">
        <f aca="false">DU90-DU89</f>
        <v>3.47000659154484E-012</v>
      </c>
      <c r="DV94" s="48" t="n">
        <f aca="false">DV90-DV89</f>
        <v>3.51338167393915E-012</v>
      </c>
      <c r="DW94" s="48" t="n">
        <f aca="false">DW90-DW89</f>
        <v>3.55729894486339E-012</v>
      </c>
      <c r="DX94" s="48" t="n">
        <f aca="false">DX90-DX89</f>
        <v>3.60176518167418E-012</v>
      </c>
      <c r="DY94" s="48" t="n">
        <f aca="false">DY90-DY89</f>
        <v>3.64678724644511E-012</v>
      </c>
      <c r="DZ94" s="48" t="n">
        <f aca="false">DZ90-DZ89</f>
        <v>3.69237208702567E-012</v>
      </c>
      <c r="EA94" s="48" t="n">
        <f aca="false">EA90-EA89</f>
        <v>3.73852673811349E-012</v>
      </c>
      <c r="EB94" s="48" t="n">
        <f aca="false">EB90-EB89</f>
        <v>3.78525832233991E-012</v>
      </c>
      <c r="EC94" s="48" t="n">
        <f aca="false">EC90-EC89</f>
        <v>3.83257405136916E-012</v>
      </c>
      <c r="ED94" s="48" t="n">
        <f aca="false">ED90-ED89</f>
        <v>3.88048122701128E-012</v>
      </c>
      <c r="EE94" s="48" t="n">
        <f aca="false">EE90-EE89</f>
        <v>3.92898724234892E-012</v>
      </c>
      <c r="EF94" s="48" t="n">
        <f aca="false">EF90-EF89</f>
        <v>3.97809958287828E-012</v>
      </c>
      <c r="EG94" s="48" t="n">
        <f aca="false">EG90-EG89</f>
        <v>4.02782582766426E-012</v>
      </c>
      <c r="EH94" s="48" t="n">
        <f aca="false">EH90-EH89</f>
        <v>4.07817365051006E-012</v>
      </c>
      <c r="EI94" s="48" t="n">
        <f aca="false">EI90-EI89</f>
        <v>4.12915082114144E-012</v>
      </c>
      <c r="EJ94" s="48" t="n">
        <f aca="false">EJ90-EJ89</f>
        <v>4.1807652064057E-012</v>
      </c>
      <c r="EK94" s="48" t="n">
        <f aca="false">EK90-EK89</f>
        <v>4.23302477148577E-012</v>
      </c>
      <c r="EL94" s="48" t="n">
        <f aca="false">EL90-EL89</f>
        <v>4.28593758112935E-012</v>
      </c>
      <c r="EM94" s="48" t="n">
        <f aca="false">EM90-EM89</f>
        <v>4.33951180089346E-012</v>
      </c>
      <c r="EN94" s="48" t="n">
        <f aca="false">EN90-EN89</f>
        <v>4.39375569840463E-012</v>
      </c>
      <c r="EO94" s="48" t="n">
        <f aca="false">EO90-EO89</f>
        <v>4.44867764463469E-012</v>
      </c>
    </row>
    <row r="95" customFormat="false" ht="15" hidden="false" customHeight="false" outlineLevel="0" collapsed="false">
      <c r="C95" s="26" t="s">
        <v>440</v>
      </c>
      <c r="D95" s="12" t="s">
        <v>33</v>
      </c>
      <c r="E95" s="57" t="n">
        <f aca="false">SUMIF($J$4:$EO$4,In_COD,$J95:$EO95)</f>
        <v>54062.7484734684</v>
      </c>
      <c r="I95" s="59"/>
      <c r="J95" s="57" t="n">
        <f aca="false">SUM(J91:J94)</f>
        <v>0</v>
      </c>
      <c r="K95" s="57" t="n">
        <f aca="false">SUM(K91:K94)</f>
        <v>0</v>
      </c>
      <c r="L95" s="57" t="n">
        <f aca="false">SUM(L91:L94)</f>
        <v>0</v>
      </c>
      <c r="M95" s="57" t="n">
        <f aca="false">SUM(M91:M94)</f>
        <v>0</v>
      </c>
      <c r="N95" s="57" t="n">
        <f aca="false">SUM(N91:N94)</f>
        <v>0</v>
      </c>
      <c r="O95" s="57" t="n">
        <f aca="false">SUM(O91:O94)</f>
        <v>0</v>
      </c>
      <c r="P95" s="57" t="n">
        <f aca="false">SUM(P91:P94)</f>
        <v>0</v>
      </c>
      <c r="Q95" s="57" t="n">
        <f aca="false">SUM(Q91:Q94)</f>
        <v>0</v>
      </c>
      <c r="R95" s="57" t="n">
        <f aca="false">SUM(R91:R94)</f>
        <v>5568.06369863014</v>
      </c>
      <c r="S95" s="57" t="n">
        <f aca="false">SUM(S91:S94)</f>
        <v>16793.0595359589</v>
      </c>
      <c r="T95" s="57" t="n">
        <f aca="false">SUM(T91:T94)</f>
        <v>22510.5140472817</v>
      </c>
      <c r="U95" s="57" t="n">
        <f aca="false">SUM(U91:U94)</f>
        <v>28359.9591715028</v>
      </c>
      <c r="V95" s="57" t="n">
        <f aca="false">SUM(V91:V94)</f>
        <v>34282.5223597768</v>
      </c>
      <c r="W95" s="57" t="n">
        <f aca="false">SUM(W91:W94)</f>
        <v>40158.0727248904</v>
      </c>
      <c r="X95" s="57" t="n">
        <f aca="false">SUM(X91:X94)</f>
        <v>46167.5899010748</v>
      </c>
      <c r="Y95" s="57" t="n">
        <f aca="false">SUM(Y91:Y94)</f>
        <v>54062.7484734684</v>
      </c>
      <c r="Z95" s="57" t="n">
        <f aca="false">SUM(Z91:Z94)</f>
        <v>53603.0607265688</v>
      </c>
      <c r="AA95" s="57" t="n">
        <f aca="false">SUM(AA91:AA94)</f>
        <v>53154.943477357</v>
      </c>
      <c r="AB95" s="57" t="n">
        <f aca="false">SUM(AB91:AB94)</f>
        <v>52689.1054837206</v>
      </c>
      <c r="AC95" s="57" t="n">
        <f aca="false">SUM(AC91:AC94)</f>
        <v>52205.3304092647</v>
      </c>
      <c r="AD95" s="57" t="n">
        <f aca="false">SUM(AD91:AD94)</f>
        <v>51719.6229946025</v>
      </c>
      <c r="AE95" s="57" t="n">
        <f aca="false">SUM(AE91:AE94)</f>
        <v>51233.025430305</v>
      </c>
      <c r="AF95" s="57" t="n">
        <f aca="false">SUM(AF91:AF94)</f>
        <v>50740.4874404667</v>
      </c>
      <c r="AG95" s="57" t="n">
        <f aca="false">SUM(AG91:AG94)</f>
        <v>50229.6508419146</v>
      </c>
      <c r="AH95" s="57" t="n">
        <f aca="false">SUM(AH91:AH94)</f>
        <v>49721.716344196</v>
      </c>
      <c r="AI95" s="57" t="n">
        <f aca="false">SUM(AI91:AI94)</f>
        <v>49232.9510923436</v>
      </c>
      <c r="AJ95" s="57" t="n">
        <f aca="false">SUM(AJ91:AJ94)</f>
        <v>48710.6899756523</v>
      </c>
      <c r="AK95" s="57" t="n">
        <f aca="false">SUM(AK91:AK94)</f>
        <v>48170.0194652272</v>
      </c>
      <c r="AL95" s="57" t="n">
        <f aca="false">SUM(AL91:AL94)</f>
        <v>47626.7407151198</v>
      </c>
      <c r="AM95" s="57" t="n">
        <f aca="false">SUM(AM91:AM94)</f>
        <v>47094.6652883249</v>
      </c>
      <c r="AN95" s="57" t="n">
        <f aca="false">SUM(AN91:AN94)</f>
        <v>46544.0317358088</v>
      </c>
      <c r="AO95" s="57" t="n">
        <f aca="false">SUM(AO91:AO94)</f>
        <v>45974.6189157057</v>
      </c>
      <c r="AP95" s="57" t="n">
        <f aca="false">SUM(AP91:AP94)</f>
        <v>45402.2795238963</v>
      </c>
      <c r="AQ95" s="57" t="n">
        <f aca="false">SUM(AQ91:AQ94)</f>
        <v>44840.9368262597</v>
      </c>
      <c r="AR95" s="57" t="n">
        <f aca="false">SUM(AR91:AR94)</f>
        <v>44260.6565800716</v>
      </c>
      <c r="AS95" s="57" t="n">
        <f aca="false">SUM(AS91:AS94)</f>
        <v>43661.2131221973</v>
      </c>
      <c r="AT95" s="57" t="n">
        <f aca="false">SUM(AT91:AT94)</f>
        <v>43058.5094860337</v>
      </c>
      <c r="AU95" s="57" t="n">
        <f aca="false">SUM(AU91:AU94)</f>
        <v>42454.303647774</v>
      </c>
      <c r="AV95" s="57" t="n">
        <f aca="false">SUM(AV91:AV94)</f>
        <v>41842.8979872615</v>
      </c>
      <c r="AW95" s="57" t="n">
        <f aca="false">SUM(AW91:AW94)</f>
        <v>41211.9287040632</v>
      </c>
      <c r="AX95" s="57" t="n">
        <f aca="false">SUM(AX91:AX94)</f>
        <v>40577.3478951076</v>
      </c>
      <c r="AY95" s="57" t="n">
        <f aca="false">SUM(AY91:AY94)</f>
        <v>39953.3052615461</v>
      </c>
      <c r="AZ95" s="57" t="n">
        <f aca="false">SUM(AZ91:AZ94)</f>
        <v>39309.5201004028</v>
      </c>
      <c r="BA95" s="57" t="n">
        <f aca="false">SUM(BA91:BA94)</f>
        <v>38645.7571562721</v>
      </c>
      <c r="BB95" s="57" t="n">
        <f aca="false">SUM(BB91:BB94)</f>
        <v>37978.0163057934</v>
      </c>
      <c r="BC95" s="57" t="n">
        <f aca="false">SUM(BC91:BC94)</f>
        <v>37320.5620223884</v>
      </c>
      <c r="BD95" s="57" t="n">
        <f aca="false">SUM(BD91:BD94)</f>
        <v>36642.9399883396</v>
      </c>
      <c r="BE95" s="57" t="n">
        <f aca="false">SUM(BE91:BE94)</f>
        <v>35944.9098812095</v>
      </c>
      <c r="BF95" s="57" t="n">
        <f aca="false">SUM(BF91:BF94)</f>
        <v>35242.5180018044</v>
      </c>
      <c r="BG95" s="57" t="n">
        <f aca="false">SUM(BG91:BG94)</f>
        <v>34550.1446390585</v>
      </c>
      <c r="BH95" s="57" t="n">
        <f aca="false">SUM(BH91:BH94)</f>
        <v>33837.1616193345</v>
      </c>
      <c r="BI95" s="57" t="n">
        <f aca="false">SUM(BI91:BI94)</f>
        <v>33103.3233543618</v>
      </c>
      <c r="BJ95" s="57" t="n">
        <f aca="false">SUM(BJ91:BJ94)</f>
        <v>32364.7211600855</v>
      </c>
      <c r="BK95" s="57" t="n">
        <f aca="false">SUM(BK91:BK94)</f>
        <v>31623.4684981001</v>
      </c>
      <c r="BL95" s="57" t="n">
        <f aca="false">SUM(BL91:BL94)</f>
        <v>30873.3829399845</v>
      </c>
      <c r="BM95" s="57" t="n">
        <f aca="false">SUM(BM91:BM94)</f>
        <v>30101.975535476</v>
      </c>
      <c r="BN95" s="57" t="n">
        <f aca="false">SUM(BN91:BN94)</f>
        <v>29325.3811305671</v>
      </c>
      <c r="BO95" s="57" t="n">
        <f aca="false">SUM(BO91:BO94)</f>
        <v>28558.2147930225</v>
      </c>
      <c r="BP95" s="57" t="n">
        <f aca="false">SUM(BP91:BP94)</f>
        <v>27769.499959701</v>
      </c>
      <c r="BQ95" s="57" t="n">
        <f aca="false">SUM(BQ91:BQ94)</f>
        <v>26958.9798549651</v>
      </c>
      <c r="BR95" s="57" t="n">
        <f aca="false">SUM(BR91:BR94)</f>
        <v>26142.8313538688</v>
      </c>
      <c r="BS95" s="57" t="n">
        <f aca="false">SUM(BS91:BS94)</f>
        <v>25335.7885271446</v>
      </c>
      <c r="BT95" s="57" t="n">
        <f aca="false">SUM(BT91:BT94)</f>
        <v>24506.7003330987</v>
      </c>
      <c r="BU95" s="57" t="n">
        <f aca="false">SUM(BU91:BU94)</f>
        <v>23655.3040752855</v>
      </c>
      <c r="BV95" s="57" t="n">
        <f aca="false">SUM(BV91:BV94)</f>
        <v>22797.8170783365</v>
      </c>
      <c r="BW95" s="57" t="n">
        <f aca="false">SUM(BW91:BW94)</f>
        <v>21949.0934980676</v>
      </c>
      <c r="BX95" s="57" t="n">
        <f aca="false">SUM(BX91:BX94)</f>
        <v>21077.807642236</v>
      </c>
      <c r="BY95" s="57" t="n">
        <f aca="false">SUM(BY91:BY94)</f>
        <v>20183.6906548271</v>
      </c>
      <c r="BZ95" s="57" t="n">
        <f aca="false">SUM(BZ91:BZ94)</f>
        <v>19282.9986702693</v>
      </c>
      <c r="CA95" s="57" t="n">
        <f aca="false">SUM(CA91:CA94)</f>
        <v>18378.2395629992</v>
      </c>
      <c r="CB95" s="57" t="n">
        <f aca="false">SUM(CB91:CB94)</f>
        <v>17462.6991882514</v>
      </c>
      <c r="CC95" s="57" t="n">
        <f aca="false">SUM(CC91:CC94)</f>
        <v>16523.7816164734</v>
      </c>
      <c r="CD95" s="57" t="n">
        <f aca="false">SUM(CD91:CD94)</f>
        <v>15577.7800688796</v>
      </c>
      <c r="CE95" s="57" t="n">
        <f aca="false">SUM(CE91:CE94)</f>
        <v>14639.7921343692</v>
      </c>
      <c r="CF95" s="57" t="n">
        <f aca="false">SUM(CF91:CF94)</f>
        <v>13678.1423554143</v>
      </c>
      <c r="CG95" s="57" t="n">
        <f aca="false">SUM(CG91:CG94)</f>
        <v>12692.5487733454</v>
      </c>
      <c r="CH95" s="57" t="n">
        <f aca="false">SUM(CH91:CH94)</f>
        <v>11699.3399502881</v>
      </c>
      <c r="CI95" s="57" t="n">
        <f aca="false">SUM(CI91:CI94)</f>
        <v>10713.7368621013</v>
      </c>
      <c r="CJ95" s="57" t="n">
        <f aca="false">SUM(CJ91:CJ94)</f>
        <v>9703.88899471808</v>
      </c>
      <c r="CK95" s="57" t="n">
        <f aca="false">SUM(CK91:CK94)</f>
        <v>8669.50744311669</v>
      </c>
      <c r="CL95" s="57" t="n">
        <f aca="false">SUM(CL91:CL94)</f>
        <v>7626.95427835132</v>
      </c>
      <c r="CM95" s="57" t="n">
        <f aca="false">SUM(CM91:CM94)</f>
        <v>6591.5749825691</v>
      </c>
      <c r="CN95" s="57" t="n">
        <f aca="false">SUM(CN91:CN94)</f>
        <v>5531.34388839994</v>
      </c>
      <c r="CO95" s="57" t="n">
        <f aca="false">SUM(CO91:CO94)</f>
        <v>4445.96485747556</v>
      </c>
      <c r="CP95" s="57" t="n">
        <f aca="false">SUM(CP91:CP94)</f>
        <v>3351.83156978867</v>
      </c>
      <c r="CQ95" s="57" t="n">
        <f aca="false">SUM(CQ91:CQ94)</f>
        <v>2251.88894828336</v>
      </c>
      <c r="CR95" s="57" t="n">
        <f aca="false">SUM(CR91:CR94)</f>
        <v>1138.83921846901</v>
      </c>
      <c r="CS95" s="57" t="n">
        <f aca="false">SUM(CS91:CS94)</f>
        <v>1.98497218661942E-010</v>
      </c>
      <c r="CT95" s="57" t="n">
        <f aca="false">SUM(CT91:CT94)</f>
        <v>2.00978433895216E-010</v>
      </c>
      <c r="CU95" s="57" t="n">
        <f aca="false">SUM(CU91:CU94)</f>
        <v>2.03490664318906E-010</v>
      </c>
      <c r="CV95" s="57" t="n">
        <f aca="false">SUM(CV91:CV94)</f>
        <v>2.06034297622892E-010</v>
      </c>
      <c r="CW95" s="57" t="n">
        <f aca="false">SUM(CW91:CW94)</f>
        <v>2.08609726343179E-010</v>
      </c>
      <c r="CX95" s="57" t="n">
        <f aca="false">SUM(CX91:CX94)</f>
        <v>2.11217347922468E-010</v>
      </c>
      <c r="CY95" s="57" t="n">
        <f aca="false">SUM(CY91:CY94)</f>
        <v>2.13857564771499E-010</v>
      </c>
      <c r="CZ95" s="57" t="n">
        <f aca="false">SUM(CZ91:CZ94)</f>
        <v>2.16530784331143E-010</v>
      </c>
      <c r="DA95" s="57" t="n">
        <f aca="false">SUM(DA91:DA94)</f>
        <v>2.19237419135282E-010</v>
      </c>
      <c r="DB95" s="57" t="n">
        <f aca="false">SUM(DB91:DB94)</f>
        <v>2.21977886874473E-010</v>
      </c>
      <c r="DC95" s="57" t="n">
        <f aca="false">SUM(DC91:DC94)</f>
        <v>2.24752610460404E-010</v>
      </c>
      <c r="DD95" s="57" t="n">
        <f aca="false">SUM(DD91:DD94)</f>
        <v>2.27562018091159E-010</v>
      </c>
      <c r="DE95" s="57" t="n">
        <f aca="false">SUM(DE91:DE94)</f>
        <v>2.30406543317299E-010</v>
      </c>
      <c r="DF95" s="57" t="n">
        <f aca="false">SUM(DF91:DF94)</f>
        <v>2.33286625108765E-010</v>
      </c>
      <c r="DG95" s="57" t="n">
        <f aca="false">SUM(DG91:DG94)</f>
        <v>2.36202707922624E-010</v>
      </c>
      <c r="DH95" s="57" t="n">
        <f aca="false">SUM(DH91:DH94)</f>
        <v>2.39155241771657E-010</v>
      </c>
      <c r="DI95" s="57" t="n">
        <f aca="false">SUM(DI91:DI94)</f>
        <v>2.42144682293803E-010</v>
      </c>
      <c r="DJ95" s="57" t="n">
        <f aca="false">SUM(DJ91:DJ94)</f>
        <v>2.45171490822475E-010</v>
      </c>
      <c r="DK95" s="57" t="n">
        <f aca="false">SUM(DK91:DK94)</f>
        <v>2.48236134457756E-010</v>
      </c>
      <c r="DL95" s="57" t="n">
        <f aca="false">SUM(DL91:DL94)</f>
        <v>2.51339086138478E-010</v>
      </c>
      <c r="DM95" s="57" t="n">
        <f aca="false">SUM(DM91:DM94)</f>
        <v>2.54480824715209E-010</v>
      </c>
      <c r="DN95" s="57" t="n">
        <f aca="false">SUM(DN91:DN94)</f>
        <v>2.57661835024149E-010</v>
      </c>
      <c r="DO95" s="57" t="n">
        <f aca="false">SUM(DO91:DO94)</f>
        <v>2.60882607961951E-010</v>
      </c>
      <c r="DP95" s="57" t="n">
        <f aca="false">SUM(DP91:DP94)</f>
        <v>2.64143640561476E-010</v>
      </c>
      <c r="DQ95" s="57" t="n">
        <f aca="false">SUM(DQ91:DQ94)</f>
        <v>2.67445436068494E-010</v>
      </c>
      <c r="DR95" s="57" t="n">
        <f aca="false">SUM(DR91:DR94)</f>
        <v>2.7078850401935E-010</v>
      </c>
      <c r="DS95" s="57" t="n">
        <f aca="false">SUM(DS91:DS94)</f>
        <v>2.74173360319592E-010</v>
      </c>
      <c r="DT95" s="57" t="n">
        <f aca="false">SUM(DT91:DT94)</f>
        <v>2.77600527323587E-010</v>
      </c>
      <c r="DU95" s="57" t="n">
        <f aca="false">SUM(DU91:DU94)</f>
        <v>2.81070533915132E-010</v>
      </c>
      <c r="DV95" s="57" t="n">
        <f aca="false">SUM(DV91:DV94)</f>
        <v>2.84583915589071E-010</v>
      </c>
      <c r="DW95" s="57" t="n">
        <f aca="false">SUM(DW91:DW94)</f>
        <v>2.88141214533934E-010</v>
      </c>
      <c r="DX95" s="57" t="n">
        <f aca="false">SUM(DX91:DX94)</f>
        <v>2.91742979715609E-010</v>
      </c>
      <c r="DY95" s="57" t="n">
        <f aca="false">SUM(DY91:DY94)</f>
        <v>2.95389766962054E-010</v>
      </c>
      <c r="DZ95" s="57" t="n">
        <f aca="false">SUM(DZ91:DZ94)</f>
        <v>2.99082139049079E-010</v>
      </c>
      <c r="EA95" s="57" t="n">
        <f aca="false">SUM(EA91:EA94)</f>
        <v>3.02820665787193E-010</v>
      </c>
      <c r="EB95" s="57" t="n">
        <f aca="false">SUM(EB91:EB94)</f>
        <v>3.06605924109533E-010</v>
      </c>
      <c r="EC95" s="57" t="n">
        <f aca="false">SUM(EC91:EC94)</f>
        <v>3.10438498160902E-010</v>
      </c>
      <c r="ED95" s="57" t="n">
        <f aca="false">SUM(ED91:ED94)</f>
        <v>3.14318979387913E-010</v>
      </c>
      <c r="EE95" s="57" t="n">
        <f aca="false">SUM(EE91:EE94)</f>
        <v>3.18247966630262E-010</v>
      </c>
      <c r="EF95" s="57" t="n">
        <f aca="false">SUM(EF91:EF94)</f>
        <v>3.2222606621314E-010</v>
      </c>
      <c r="EG95" s="57" t="n">
        <f aca="false">SUM(EG91:EG94)</f>
        <v>3.26253892040805E-010</v>
      </c>
      <c r="EH95" s="57" t="n">
        <f aca="false">SUM(EH91:EH94)</f>
        <v>3.30332065691315E-010</v>
      </c>
      <c r="EI95" s="57" t="n">
        <f aca="false">SUM(EI91:EI94)</f>
        <v>3.34461216512456E-010</v>
      </c>
      <c r="EJ95" s="57" t="n">
        <f aca="false">SUM(EJ91:EJ94)</f>
        <v>3.38641981718862E-010</v>
      </c>
      <c r="EK95" s="57" t="n">
        <f aca="false">SUM(EK91:EK94)</f>
        <v>3.42875006490348E-010</v>
      </c>
      <c r="EL95" s="57" t="n">
        <f aca="false">SUM(EL91:EL94)</f>
        <v>3.47160944071477E-010</v>
      </c>
      <c r="EM95" s="57" t="n">
        <f aca="false">SUM(EM91:EM94)</f>
        <v>3.5150045587237E-010</v>
      </c>
      <c r="EN95" s="57" t="n">
        <f aca="false">SUM(EN91:EN94)</f>
        <v>3.55894211570775E-010</v>
      </c>
      <c r="EO95" s="57" t="n">
        <f aca="false">SUM(EO91:EO94)</f>
        <v>3.6034288921541E-010</v>
      </c>
    </row>
    <row r="96" customFormat="false" ht="15" hidden="false" customHeight="false" outlineLevel="0" collapsed="false">
      <c r="C96" s="1" t="s">
        <v>441</v>
      </c>
      <c r="D96" s="12" t="s">
        <v>33</v>
      </c>
      <c r="I96" s="48" t="n">
        <f aca="false">SUM(J96:EO96)</f>
        <v>-946.098098285697</v>
      </c>
      <c r="J96" s="48" t="n">
        <f aca="false">-In_Upfront_Fee*$E95*(J91=0)*(J92&gt;0)</f>
        <v>-0</v>
      </c>
      <c r="K96" s="48" t="n">
        <f aca="false">-In_Upfront_Fee*$E95*(K91=0)*(K92&gt;0)</f>
        <v>-0</v>
      </c>
      <c r="L96" s="48" t="n">
        <f aca="false">-In_Upfront_Fee*$E95*(L91=0)*(L92&gt;0)</f>
        <v>-0</v>
      </c>
      <c r="M96" s="48" t="n">
        <f aca="false">-In_Upfront_Fee*$E95*(M91=0)*(M92&gt;0)</f>
        <v>-0</v>
      </c>
      <c r="N96" s="48" t="n">
        <f aca="false">-In_Upfront_Fee*$E95*(N91=0)*(N92&gt;0)</f>
        <v>-0</v>
      </c>
      <c r="O96" s="48" t="n">
        <f aca="false">-In_Upfront_Fee*$E95*(O91=0)*(O92&gt;0)</f>
        <v>-0</v>
      </c>
      <c r="P96" s="48" t="n">
        <f aca="false">-In_Upfront_Fee*$E95*(P91=0)*(P92&gt;0)</f>
        <v>-0</v>
      </c>
      <c r="Q96" s="48" t="n">
        <f aca="false">-In_Upfront_Fee*$E95*(Q91=0)*(Q92&gt;0)</f>
        <v>-0</v>
      </c>
      <c r="R96" s="48" t="n">
        <f aca="false">-In_Upfront_Fee*$E95*(R91=0)*(R92&gt;0)</f>
        <v>-946.098098285697</v>
      </c>
      <c r="S96" s="48" t="n">
        <f aca="false">-In_Upfront_Fee*$E95*(S91=0)*(S92&gt;0)</f>
        <v>-0</v>
      </c>
      <c r="T96" s="48" t="n">
        <f aca="false">-In_Upfront_Fee*$E95*(T91=0)*(T92&gt;0)</f>
        <v>-0</v>
      </c>
      <c r="U96" s="48" t="n">
        <f aca="false">-In_Upfront_Fee*$E95*(U91=0)*(U92&gt;0)</f>
        <v>-0</v>
      </c>
      <c r="V96" s="48" t="n">
        <f aca="false">-In_Upfront_Fee*$E95*(V91=0)*(V92&gt;0)</f>
        <v>-0</v>
      </c>
      <c r="W96" s="48" t="n">
        <f aca="false">-In_Upfront_Fee*$E95*(W91=0)*(W92&gt;0)</f>
        <v>-0</v>
      </c>
      <c r="X96" s="48" t="n">
        <f aca="false">-In_Upfront_Fee*$E95*(X91=0)*(X92&gt;0)</f>
        <v>-0</v>
      </c>
      <c r="Y96" s="48" t="n">
        <f aca="false">-In_Upfront_Fee*$E95*(Y91=0)*(Y92&gt;0)</f>
        <v>-0</v>
      </c>
      <c r="Z96" s="48" t="n">
        <f aca="false">-In_Upfront_Fee*$E95*(Z91=0)*(Z92&gt;0)</f>
        <v>-0</v>
      </c>
      <c r="AA96" s="48" t="n">
        <f aca="false">-In_Upfront_Fee*$E95*(AA91=0)*(AA92&gt;0)</f>
        <v>-0</v>
      </c>
      <c r="AB96" s="48" t="n">
        <f aca="false">-In_Upfront_Fee*$E95*(AB91=0)*(AB92&gt;0)</f>
        <v>-0</v>
      </c>
      <c r="AC96" s="48" t="n">
        <f aca="false">-In_Upfront_Fee*$E95*(AC91=0)*(AC92&gt;0)</f>
        <v>-0</v>
      </c>
      <c r="AD96" s="48" t="n">
        <f aca="false">-In_Upfront_Fee*$E95*(AD91=0)*(AD92&gt;0)</f>
        <v>-0</v>
      </c>
      <c r="AE96" s="48" t="n">
        <f aca="false">-In_Upfront_Fee*$E95*(AE91=0)*(AE92&gt;0)</f>
        <v>-0</v>
      </c>
      <c r="AF96" s="48" t="n">
        <f aca="false">-In_Upfront_Fee*$E95*(AF91=0)*(AF92&gt;0)</f>
        <v>-0</v>
      </c>
      <c r="AG96" s="48" t="n">
        <f aca="false">-In_Upfront_Fee*$E95*(AG91=0)*(AG92&gt;0)</f>
        <v>-0</v>
      </c>
      <c r="AH96" s="48" t="n">
        <f aca="false">-In_Upfront_Fee*$E95*(AH91=0)*(AH92&gt;0)</f>
        <v>-0</v>
      </c>
      <c r="AI96" s="48" t="n">
        <f aca="false">-In_Upfront_Fee*$E95*(AI91=0)*(AI92&gt;0)</f>
        <v>-0</v>
      </c>
      <c r="AJ96" s="48" t="n">
        <f aca="false">-In_Upfront_Fee*$E95*(AJ91=0)*(AJ92&gt;0)</f>
        <v>-0</v>
      </c>
      <c r="AK96" s="48" t="n">
        <f aca="false">-In_Upfront_Fee*$E95*(AK91=0)*(AK92&gt;0)</f>
        <v>-0</v>
      </c>
      <c r="AL96" s="48" t="n">
        <f aca="false">-In_Upfront_Fee*$E95*(AL91=0)*(AL92&gt;0)</f>
        <v>-0</v>
      </c>
      <c r="AM96" s="48" t="n">
        <f aca="false">-In_Upfront_Fee*$E95*(AM91=0)*(AM92&gt;0)</f>
        <v>-0</v>
      </c>
      <c r="AN96" s="48" t="n">
        <f aca="false">-In_Upfront_Fee*$E95*(AN91=0)*(AN92&gt;0)</f>
        <v>-0</v>
      </c>
      <c r="AO96" s="48" t="n">
        <f aca="false">-In_Upfront_Fee*$E95*(AO91=0)*(AO92&gt;0)</f>
        <v>-0</v>
      </c>
      <c r="AP96" s="48" t="n">
        <f aca="false">-In_Upfront_Fee*$E95*(AP91=0)*(AP92&gt;0)</f>
        <v>-0</v>
      </c>
      <c r="AQ96" s="48" t="n">
        <f aca="false">-In_Upfront_Fee*$E95*(AQ91=0)*(AQ92&gt;0)</f>
        <v>-0</v>
      </c>
      <c r="AR96" s="48" t="n">
        <f aca="false">-In_Upfront_Fee*$E95*(AR91=0)*(AR92&gt;0)</f>
        <v>-0</v>
      </c>
      <c r="AS96" s="48" t="n">
        <f aca="false">-In_Upfront_Fee*$E95*(AS91=0)*(AS92&gt;0)</f>
        <v>-0</v>
      </c>
      <c r="AT96" s="48" t="n">
        <f aca="false">-In_Upfront_Fee*$E95*(AT91=0)*(AT92&gt;0)</f>
        <v>-0</v>
      </c>
      <c r="AU96" s="48" t="n">
        <f aca="false">-In_Upfront_Fee*$E95*(AU91=0)*(AU92&gt;0)</f>
        <v>-0</v>
      </c>
      <c r="AV96" s="48" t="n">
        <f aca="false">-In_Upfront_Fee*$E95*(AV91=0)*(AV92&gt;0)</f>
        <v>-0</v>
      </c>
      <c r="AW96" s="48" t="n">
        <f aca="false">-In_Upfront_Fee*$E95*(AW91=0)*(AW92&gt;0)</f>
        <v>-0</v>
      </c>
      <c r="AX96" s="48" t="n">
        <f aca="false">-In_Upfront_Fee*$E95*(AX91=0)*(AX92&gt;0)</f>
        <v>-0</v>
      </c>
      <c r="AY96" s="48" t="n">
        <f aca="false">-In_Upfront_Fee*$E95*(AY91=0)*(AY92&gt;0)</f>
        <v>-0</v>
      </c>
      <c r="AZ96" s="48" t="n">
        <f aca="false">-In_Upfront_Fee*$E95*(AZ91=0)*(AZ92&gt;0)</f>
        <v>-0</v>
      </c>
      <c r="BA96" s="48" t="n">
        <f aca="false">-In_Upfront_Fee*$E95*(BA91=0)*(BA92&gt;0)</f>
        <v>-0</v>
      </c>
      <c r="BB96" s="48" t="n">
        <f aca="false">-In_Upfront_Fee*$E95*(BB91=0)*(BB92&gt;0)</f>
        <v>-0</v>
      </c>
      <c r="BC96" s="48" t="n">
        <f aca="false">-In_Upfront_Fee*$E95*(BC91=0)*(BC92&gt;0)</f>
        <v>-0</v>
      </c>
      <c r="BD96" s="48" t="n">
        <f aca="false">-In_Upfront_Fee*$E95*(BD91=0)*(BD92&gt;0)</f>
        <v>-0</v>
      </c>
      <c r="BE96" s="48" t="n">
        <f aca="false">-In_Upfront_Fee*$E95*(BE91=0)*(BE92&gt;0)</f>
        <v>-0</v>
      </c>
      <c r="BF96" s="48" t="n">
        <f aca="false">-In_Upfront_Fee*$E95*(BF91=0)*(BF92&gt;0)</f>
        <v>-0</v>
      </c>
      <c r="BG96" s="48" t="n">
        <f aca="false">-In_Upfront_Fee*$E95*(BG91=0)*(BG92&gt;0)</f>
        <v>-0</v>
      </c>
      <c r="BH96" s="48" t="n">
        <f aca="false">-In_Upfront_Fee*$E95*(BH91=0)*(BH92&gt;0)</f>
        <v>-0</v>
      </c>
      <c r="BI96" s="48" t="n">
        <f aca="false">-In_Upfront_Fee*$E95*(BI91=0)*(BI92&gt;0)</f>
        <v>-0</v>
      </c>
      <c r="BJ96" s="48" t="n">
        <f aca="false">-In_Upfront_Fee*$E95*(BJ91=0)*(BJ92&gt;0)</f>
        <v>-0</v>
      </c>
      <c r="BK96" s="48" t="n">
        <f aca="false">-In_Upfront_Fee*$E95*(BK91=0)*(BK92&gt;0)</f>
        <v>-0</v>
      </c>
      <c r="BL96" s="48" t="n">
        <f aca="false">-In_Upfront_Fee*$E95*(BL91=0)*(BL92&gt;0)</f>
        <v>-0</v>
      </c>
      <c r="BM96" s="48" t="n">
        <f aca="false">-In_Upfront_Fee*$E95*(BM91=0)*(BM92&gt;0)</f>
        <v>-0</v>
      </c>
      <c r="BN96" s="48" t="n">
        <f aca="false">-In_Upfront_Fee*$E95*(BN91=0)*(BN92&gt;0)</f>
        <v>-0</v>
      </c>
      <c r="BO96" s="48" t="n">
        <f aca="false">-In_Upfront_Fee*$E95*(BO91=0)*(BO92&gt;0)</f>
        <v>-0</v>
      </c>
      <c r="BP96" s="48" t="n">
        <f aca="false">-In_Upfront_Fee*$E95*(BP91=0)*(BP92&gt;0)</f>
        <v>-0</v>
      </c>
      <c r="BQ96" s="48" t="n">
        <f aca="false">-In_Upfront_Fee*$E95*(BQ91=0)*(BQ92&gt;0)</f>
        <v>-0</v>
      </c>
      <c r="BR96" s="48" t="n">
        <f aca="false">-In_Upfront_Fee*$E95*(BR91=0)*(BR92&gt;0)</f>
        <v>-0</v>
      </c>
      <c r="BS96" s="48" t="n">
        <f aca="false">-In_Upfront_Fee*$E95*(BS91=0)*(BS92&gt;0)</f>
        <v>-0</v>
      </c>
      <c r="BT96" s="48" t="n">
        <f aca="false">-In_Upfront_Fee*$E95*(BT91=0)*(BT92&gt;0)</f>
        <v>-0</v>
      </c>
      <c r="BU96" s="48" t="n">
        <f aca="false">-In_Upfront_Fee*$E95*(BU91=0)*(BU92&gt;0)</f>
        <v>-0</v>
      </c>
      <c r="BV96" s="48" t="n">
        <f aca="false">-In_Upfront_Fee*$E95*(BV91=0)*(BV92&gt;0)</f>
        <v>-0</v>
      </c>
      <c r="BW96" s="48" t="n">
        <f aca="false">-In_Upfront_Fee*$E95*(BW91=0)*(BW92&gt;0)</f>
        <v>-0</v>
      </c>
      <c r="BX96" s="48" t="n">
        <f aca="false">-In_Upfront_Fee*$E95*(BX91=0)*(BX92&gt;0)</f>
        <v>-0</v>
      </c>
      <c r="BY96" s="48" t="n">
        <f aca="false">-In_Upfront_Fee*$E95*(BY91=0)*(BY92&gt;0)</f>
        <v>-0</v>
      </c>
      <c r="BZ96" s="48" t="n">
        <f aca="false">-In_Upfront_Fee*$E95*(BZ91=0)*(BZ92&gt;0)</f>
        <v>-0</v>
      </c>
      <c r="CA96" s="48" t="n">
        <f aca="false">-In_Upfront_Fee*$E95*(CA91=0)*(CA92&gt;0)</f>
        <v>-0</v>
      </c>
      <c r="CB96" s="48" t="n">
        <f aca="false">-In_Upfront_Fee*$E95*(CB91=0)*(CB92&gt;0)</f>
        <v>-0</v>
      </c>
      <c r="CC96" s="48" t="n">
        <f aca="false">-In_Upfront_Fee*$E95*(CC91=0)*(CC92&gt;0)</f>
        <v>-0</v>
      </c>
      <c r="CD96" s="48" t="n">
        <f aca="false">-In_Upfront_Fee*$E95*(CD91=0)*(CD92&gt;0)</f>
        <v>-0</v>
      </c>
      <c r="CE96" s="48" t="n">
        <f aca="false">-In_Upfront_Fee*$E95*(CE91=0)*(CE92&gt;0)</f>
        <v>-0</v>
      </c>
      <c r="CF96" s="48" t="n">
        <f aca="false">-In_Upfront_Fee*$E95*(CF91=0)*(CF92&gt;0)</f>
        <v>-0</v>
      </c>
      <c r="CG96" s="48" t="n">
        <f aca="false">-In_Upfront_Fee*$E95*(CG91=0)*(CG92&gt;0)</f>
        <v>-0</v>
      </c>
      <c r="CH96" s="48" t="n">
        <f aca="false">-In_Upfront_Fee*$E95*(CH91=0)*(CH92&gt;0)</f>
        <v>-0</v>
      </c>
      <c r="CI96" s="48" t="n">
        <f aca="false">-In_Upfront_Fee*$E95*(CI91=0)*(CI92&gt;0)</f>
        <v>-0</v>
      </c>
      <c r="CJ96" s="48" t="n">
        <f aca="false">-In_Upfront_Fee*$E95*(CJ91=0)*(CJ92&gt;0)</f>
        <v>-0</v>
      </c>
      <c r="CK96" s="48" t="n">
        <f aca="false">-In_Upfront_Fee*$E95*(CK91=0)*(CK92&gt;0)</f>
        <v>-0</v>
      </c>
      <c r="CL96" s="48" t="n">
        <f aca="false">-In_Upfront_Fee*$E95*(CL91=0)*(CL92&gt;0)</f>
        <v>-0</v>
      </c>
      <c r="CM96" s="48" t="n">
        <f aca="false">-In_Upfront_Fee*$E95*(CM91=0)*(CM92&gt;0)</f>
        <v>-0</v>
      </c>
      <c r="CN96" s="48" t="n">
        <f aca="false">-In_Upfront_Fee*$E95*(CN91=0)*(CN92&gt;0)</f>
        <v>-0</v>
      </c>
      <c r="CO96" s="48" t="n">
        <f aca="false">-In_Upfront_Fee*$E95*(CO91=0)*(CO92&gt;0)</f>
        <v>-0</v>
      </c>
      <c r="CP96" s="48" t="n">
        <f aca="false">-In_Upfront_Fee*$E95*(CP91=0)*(CP92&gt;0)</f>
        <v>-0</v>
      </c>
      <c r="CQ96" s="48" t="n">
        <f aca="false">-In_Upfront_Fee*$E95*(CQ91=0)*(CQ92&gt;0)</f>
        <v>-0</v>
      </c>
      <c r="CR96" s="48" t="n">
        <f aca="false">-In_Upfront_Fee*$E95*(CR91=0)*(CR92&gt;0)</f>
        <v>-0</v>
      </c>
      <c r="CS96" s="48" t="n">
        <f aca="false">-In_Upfront_Fee*$E95*(CS91=0)*(CS92&gt;0)</f>
        <v>-0</v>
      </c>
      <c r="CT96" s="48" t="n">
        <f aca="false">-In_Upfront_Fee*$E95*(CT91=0)*(CT92&gt;0)</f>
        <v>-0</v>
      </c>
      <c r="CU96" s="48" t="n">
        <f aca="false">-In_Upfront_Fee*$E95*(CU91=0)*(CU92&gt;0)</f>
        <v>-0</v>
      </c>
      <c r="CV96" s="48" t="n">
        <f aca="false">-In_Upfront_Fee*$E95*(CV91=0)*(CV92&gt;0)</f>
        <v>-0</v>
      </c>
      <c r="CW96" s="48" t="n">
        <f aca="false">-In_Upfront_Fee*$E95*(CW91=0)*(CW92&gt;0)</f>
        <v>-0</v>
      </c>
      <c r="CX96" s="48" t="n">
        <f aca="false">-In_Upfront_Fee*$E95*(CX91=0)*(CX92&gt;0)</f>
        <v>-0</v>
      </c>
      <c r="CY96" s="48" t="n">
        <f aca="false">-In_Upfront_Fee*$E95*(CY91=0)*(CY92&gt;0)</f>
        <v>-0</v>
      </c>
      <c r="CZ96" s="48" t="n">
        <f aca="false">-In_Upfront_Fee*$E95*(CZ91=0)*(CZ92&gt;0)</f>
        <v>-0</v>
      </c>
      <c r="DA96" s="48" t="n">
        <f aca="false">-In_Upfront_Fee*$E95*(DA91=0)*(DA92&gt;0)</f>
        <v>-0</v>
      </c>
      <c r="DB96" s="48" t="n">
        <f aca="false">-In_Upfront_Fee*$E95*(DB91=0)*(DB92&gt;0)</f>
        <v>-0</v>
      </c>
      <c r="DC96" s="48" t="n">
        <f aca="false">-In_Upfront_Fee*$E95*(DC91=0)*(DC92&gt;0)</f>
        <v>-0</v>
      </c>
      <c r="DD96" s="48" t="n">
        <f aca="false">-In_Upfront_Fee*$E95*(DD91=0)*(DD92&gt;0)</f>
        <v>-0</v>
      </c>
      <c r="DE96" s="48" t="n">
        <f aca="false">-In_Upfront_Fee*$E95*(DE91=0)*(DE92&gt;0)</f>
        <v>-0</v>
      </c>
      <c r="DF96" s="48" t="n">
        <f aca="false">-In_Upfront_Fee*$E95*(DF91=0)*(DF92&gt;0)</f>
        <v>-0</v>
      </c>
      <c r="DG96" s="48" t="n">
        <f aca="false">-In_Upfront_Fee*$E95*(DG91=0)*(DG92&gt;0)</f>
        <v>-0</v>
      </c>
      <c r="DH96" s="48" t="n">
        <f aca="false">-In_Upfront_Fee*$E95*(DH91=0)*(DH92&gt;0)</f>
        <v>-0</v>
      </c>
      <c r="DI96" s="48" t="n">
        <f aca="false">-In_Upfront_Fee*$E95*(DI91=0)*(DI92&gt;0)</f>
        <v>-0</v>
      </c>
      <c r="DJ96" s="48" t="n">
        <f aca="false">-In_Upfront_Fee*$E95*(DJ91=0)*(DJ92&gt;0)</f>
        <v>-0</v>
      </c>
      <c r="DK96" s="48" t="n">
        <f aca="false">-In_Upfront_Fee*$E95*(DK91=0)*(DK92&gt;0)</f>
        <v>-0</v>
      </c>
      <c r="DL96" s="48" t="n">
        <f aca="false">-In_Upfront_Fee*$E95*(DL91=0)*(DL92&gt;0)</f>
        <v>-0</v>
      </c>
      <c r="DM96" s="48" t="n">
        <f aca="false">-In_Upfront_Fee*$E95*(DM91=0)*(DM92&gt;0)</f>
        <v>-0</v>
      </c>
      <c r="DN96" s="48" t="n">
        <f aca="false">-In_Upfront_Fee*$E95*(DN91=0)*(DN92&gt;0)</f>
        <v>-0</v>
      </c>
      <c r="DO96" s="48" t="n">
        <f aca="false">-In_Upfront_Fee*$E95*(DO91=0)*(DO92&gt;0)</f>
        <v>-0</v>
      </c>
      <c r="DP96" s="48" t="n">
        <f aca="false">-In_Upfront_Fee*$E95*(DP91=0)*(DP92&gt;0)</f>
        <v>-0</v>
      </c>
      <c r="DQ96" s="48" t="n">
        <f aca="false">-In_Upfront_Fee*$E95*(DQ91=0)*(DQ92&gt;0)</f>
        <v>-0</v>
      </c>
      <c r="DR96" s="48" t="n">
        <f aca="false">-In_Upfront_Fee*$E95*(DR91=0)*(DR92&gt;0)</f>
        <v>-0</v>
      </c>
      <c r="DS96" s="48" t="n">
        <f aca="false">-In_Upfront_Fee*$E95*(DS91=0)*(DS92&gt;0)</f>
        <v>-0</v>
      </c>
      <c r="DT96" s="48" t="n">
        <f aca="false">-In_Upfront_Fee*$E95*(DT91=0)*(DT92&gt;0)</f>
        <v>-0</v>
      </c>
      <c r="DU96" s="48" t="n">
        <f aca="false">-In_Upfront_Fee*$E95*(DU91=0)*(DU92&gt;0)</f>
        <v>-0</v>
      </c>
      <c r="DV96" s="48" t="n">
        <f aca="false">-In_Upfront_Fee*$E95*(DV91=0)*(DV92&gt;0)</f>
        <v>-0</v>
      </c>
      <c r="DW96" s="48" t="n">
        <f aca="false">-In_Upfront_Fee*$E95*(DW91=0)*(DW92&gt;0)</f>
        <v>-0</v>
      </c>
      <c r="DX96" s="48" t="n">
        <f aca="false">-In_Upfront_Fee*$E95*(DX91=0)*(DX92&gt;0)</f>
        <v>-0</v>
      </c>
      <c r="DY96" s="48" t="n">
        <f aca="false">-In_Upfront_Fee*$E95*(DY91=0)*(DY92&gt;0)</f>
        <v>-0</v>
      </c>
      <c r="DZ96" s="48" t="n">
        <f aca="false">-In_Upfront_Fee*$E95*(DZ91=0)*(DZ92&gt;0)</f>
        <v>-0</v>
      </c>
      <c r="EA96" s="48" t="n">
        <f aca="false">-In_Upfront_Fee*$E95*(EA91=0)*(EA92&gt;0)</f>
        <v>-0</v>
      </c>
      <c r="EB96" s="48" t="n">
        <f aca="false">-In_Upfront_Fee*$E95*(EB91=0)*(EB92&gt;0)</f>
        <v>-0</v>
      </c>
      <c r="EC96" s="48" t="n">
        <f aca="false">-In_Upfront_Fee*$E95*(EC91=0)*(EC92&gt;0)</f>
        <v>-0</v>
      </c>
      <c r="ED96" s="48" t="n">
        <f aca="false">-In_Upfront_Fee*$E95*(ED91=0)*(ED92&gt;0)</f>
        <v>-0</v>
      </c>
      <c r="EE96" s="48" t="n">
        <f aca="false">-In_Upfront_Fee*$E95*(EE91=0)*(EE92&gt;0)</f>
        <v>-0</v>
      </c>
      <c r="EF96" s="48" t="n">
        <f aca="false">-In_Upfront_Fee*$E95*(EF91=0)*(EF92&gt;0)</f>
        <v>-0</v>
      </c>
      <c r="EG96" s="48" t="n">
        <f aca="false">-In_Upfront_Fee*$E95*(EG91=0)*(EG92&gt;0)</f>
        <v>-0</v>
      </c>
      <c r="EH96" s="48" t="n">
        <f aca="false">-In_Upfront_Fee*$E95*(EH91=0)*(EH92&gt;0)</f>
        <v>-0</v>
      </c>
      <c r="EI96" s="48" t="n">
        <f aca="false">-In_Upfront_Fee*$E95*(EI91=0)*(EI92&gt;0)</f>
        <v>-0</v>
      </c>
      <c r="EJ96" s="48" t="n">
        <f aca="false">-In_Upfront_Fee*$E95*(EJ91=0)*(EJ92&gt;0)</f>
        <v>-0</v>
      </c>
      <c r="EK96" s="48" t="n">
        <f aca="false">-In_Upfront_Fee*$E95*(EK91=0)*(EK92&gt;0)</f>
        <v>-0</v>
      </c>
      <c r="EL96" s="48" t="n">
        <f aca="false">-In_Upfront_Fee*$E95*(EL91=0)*(EL92&gt;0)</f>
        <v>-0</v>
      </c>
      <c r="EM96" s="48" t="n">
        <f aca="false">-In_Upfront_Fee*$E95*(EM91=0)*(EM92&gt;0)</f>
        <v>-0</v>
      </c>
      <c r="EN96" s="48" t="n">
        <f aca="false">-In_Upfront_Fee*$E95*(EN91=0)*(EN92&gt;0)</f>
        <v>-0</v>
      </c>
      <c r="EO96" s="48" t="n">
        <f aca="false">-In_Upfront_Fee*$E95*(EO91=0)*(EO92&gt;0)</f>
        <v>-0</v>
      </c>
    </row>
    <row r="97" customFormat="false" ht="15" hidden="false" customHeight="false" outlineLevel="0" collapsed="false">
      <c r="C97" s="1" t="s">
        <v>442</v>
      </c>
      <c r="D97" s="12" t="s">
        <v>33</v>
      </c>
      <c r="I97" s="48" t="n">
        <f aca="false">SUM(J97:EO97)</f>
        <v>-504.457841477069</v>
      </c>
      <c r="J97" s="48" t="n">
        <f aca="false">-In_Commitment_Fee*($I92-SUM($J92:J92)+J92)*J$6*(J12&gt;0)</f>
        <v>-0</v>
      </c>
      <c r="K97" s="48" t="n">
        <f aca="false">-In_Commitment_Fee*($I92-SUM($J92:K92)+K92)*K$6*(K12&gt;0)</f>
        <v>-0</v>
      </c>
      <c r="L97" s="48" t="n">
        <f aca="false">-In_Commitment_Fee*($I92-SUM($J92:L92)+L92)*L$6*(L12&gt;0)</f>
        <v>-0</v>
      </c>
      <c r="M97" s="48" t="n">
        <f aca="false">-In_Commitment_Fee*($I92-SUM($J92:M92)+M92)*M$6*(M12&gt;0)</f>
        <v>-0</v>
      </c>
      <c r="N97" s="48" t="n">
        <f aca="false">-In_Commitment_Fee*($I92-SUM($J92:N92)+N92)*N$6*(N12&gt;0)</f>
        <v>-0</v>
      </c>
      <c r="O97" s="48" t="n">
        <f aca="false">-In_Commitment_Fee*($I92-SUM($J92:O92)+O92)*O$6*(O12&gt;0)</f>
        <v>-0</v>
      </c>
      <c r="P97" s="48" t="n">
        <f aca="false">-In_Commitment_Fee*($I92-SUM($J92:P92)+P92)*P$6*(P12&gt;0)</f>
        <v>-0</v>
      </c>
      <c r="Q97" s="48" t="n">
        <f aca="false">-In_Commitment_Fee*($I92-SUM($J92:Q92)+Q92)*Q$6*(Q12&gt;0)</f>
        <v>-0</v>
      </c>
      <c r="R97" s="48" t="n">
        <f aca="false">-In_Commitment_Fee*($I92-SUM($J92:R92)+R92)*R$6*(R12&gt;0)</f>
        <v>-117.144421912704</v>
      </c>
      <c r="S97" s="48" t="n">
        <f aca="false">-In_Commitment_Fee*($I92-SUM($J92:S92)+S92)*S$6*(S12&gt;0)</f>
        <v>-102.241279124789</v>
      </c>
      <c r="T97" s="48" t="n">
        <f aca="false">-In_Commitment_Fee*($I92-SUM($J92:T92)+T92)*T$6*(T12&gt;0)</f>
        <v>-78.3464206286358</v>
      </c>
      <c r="U97" s="48" t="n">
        <f aca="false">-In_Commitment_Fee*($I92-SUM($J92:U92)+U92)*U$6*(U12&gt;0)</f>
        <v>-66.7135506642897</v>
      </c>
      <c r="V97" s="48" t="n">
        <f aca="false">-In_Commitment_Fee*($I92-SUM($J92:V92)+V92)*V$6*(V12&gt;0)</f>
        <v>-54.0824363013699</v>
      </c>
      <c r="W97" s="48" t="n">
        <f aca="false">-In_Commitment_Fee*($I92-SUM($J92:W92)+W92)*W$6*(W12&gt;0)</f>
        <v>-40.5502062441359</v>
      </c>
      <c r="X97" s="48" t="n">
        <f aca="false">-In_Commitment_Fee*($I92-SUM($J92:X92)+X92)*X$6*(X12&gt;0)</f>
        <v>-28.7785492245262</v>
      </c>
      <c r="Y97" s="48" t="n">
        <f aca="false">-In_Commitment_Fee*($I92-SUM($J92:Y92)+Y92)*Y$6*(Y12&gt;0)</f>
        <v>-16.6009773766185</v>
      </c>
      <c r="Z97" s="48" t="n">
        <f aca="false">-In_Commitment_Fee*($I92-SUM($J92:Z92)+Z92)*Z$6*(Z12&gt;0)</f>
        <v>-0</v>
      </c>
      <c r="AA97" s="48" t="n">
        <f aca="false">-In_Commitment_Fee*($I92-SUM($J92:AA92)+AA92)*AA$6*(AA12&gt;0)</f>
        <v>-0</v>
      </c>
      <c r="AB97" s="48" t="n">
        <f aca="false">-In_Commitment_Fee*($I92-SUM($J92:AB92)+AB92)*AB$6*(AB12&gt;0)</f>
        <v>-0</v>
      </c>
      <c r="AC97" s="48" t="n">
        <f aca="false">-In_Commitment_Fee*($I92-SUM($J92:AC92)+AC92)*AC$6*(AC12&gt;0)</f>
        <v>-0</v>
      </c>
      <c r="AD97" s="48" t="n">
        <f aca="false">-In_Commitment_Fee*($I92-SUM($J92:AD92)+AD92)*AD$6*(AD12&gt;0)</f>
        <v>-0</v>
      </c>
      <c r="AE97" s="48" t="n">
        <f aca="false">-In_Commitment_Fee*($I92-SUM($J92:AE92)+AE92)*AE$6*(AE12&gt;0)</f>
        <v>-0</v>
      </c>
      <c r="AF97" s="48" t="n">
        <f aca="false">-In_Commitment_Fee*($I92-SUM($J92:AF92)+AF92)*AF$6*(AF12&gt;0)</f>
        <v>-0</v>
      </c>
      <c r="AG97" s="48" t="n">
        <f aca="false">-In_Commitment_Fee*($I92-SUM($J92:AG92)+AG92)*AG$6*(AG12&gt;0)</f>
        <v>-0</v>
      </c>
      <c r="AH97" s="48" t="n">
        <f aca="false">-In_Commitment_Fee*($I92-SUM($J92:AH92)+AH92)*AH$6*(AH12&gt;0)</f>
        <v>-0</v>
      </c>
      <c r="AI97" s="48" t="n">
        <f aca="false">-In_Commitment_Fee*($I92-SUM($J92:AI92)+AI92)*AI$6*(AI12&gt;0)</f>
        <v>-0</v>
      </c>
      <c r="AJ97" s="48" t="n">
        <f aca="false">-In_Commitment_Fee*($I92-SUM($J92:AJ92)+AJ92)*AJ$6*(AJ12&gt;0)</f>
        <v>-0</v>
      </c>
      <c r="AK97" s="48" t="n">
        <f aca="false">-In_Commitment_Fee*($I92-SUM($J92:AK92)+AK92)*AK$6*(AK12&gt;0)</f>
        <v>-0</v>
      </c>
      <c r="AL97" s="48" t="n">
        <f aca="false">-In_Commitment_Fee*($I92-SUM($J92:AL92)+AL92)*AL$6*(AL12&gt;0)</f>
        <v>-0</v>
      </c>
      <c r="AM97" s="48" t="n">
        <f aca="false">-In_Commitment_Fee*($I92-SUM($J92:AM92)+AM92)*AM$6*(AM12&gt;0)</f>
        <v>-0</v>
      </c>
      <c r="AN97" s="48" t="n">
        <f aca="false">-In_Commitment_Fee*($I92-SUM($J92:AN92)+AN92)*AN$6*(AN12&gt;0)</f>
        <v>-0</v>
      </c>
      <c r="AO97" s="48" t="n">
        <f aca="false">-In_Commitment_Fee*($I92-SUM($J92:AO92)+AO92)*AO$6*(AO12&gt;0)</f>
        <v>-0</v>
      </c>
      <c r="AP97" s="48" t="n">
        <f aca="false">-In_Commitment_Fee*($I92-SUM($J92:AP92)+AP92)*AP$6*(AP12&gt;0)</f>
        <v>-0</v>
      </c>
      <c r="AQ97" s="48" t="n">
        <f aca="false">-In_Commitment_Fee*($I92-SUM($J92:AQ92)+AQ92)*AQ$6*(AQ12&gt;0)</f>
        <v>-0</v>
      </c>
      <c r="AR97" s="48" t="n">
        <f aca="false">-In_Commitment_Fee*($I92-SUM($J92:AR92)+AR92)*AR$6*(AR12&gt;0)</f>
        <v>-0</v>
      </c>
      <c r="AS97" s="48" t="n">
        <f aca="false">-In_Commitment_Fee*($I92-SUM($J92:AS92)+AS92)*AS$6*(AS12&gt;0)</f>
        <v>-0</v>
      </c>
      <c r="AT97" s="48" t="n">
        <f aca="false">-In_Commitment_Fee*($I92-SUM($J92:AT92)+AT92)*AT$6*(AT12&gt;0)</f>
        <v>-0</v>
      </c>
      <c r="AU97" s="48" t="n">
        <f aca="false">-In_Commitment_Fee*($I92-SUM($J92:AU92)+AU92)*AU$6*(AU12&gt;0)</f>
        <v>-0</v>
      </c>
      <c r="AV97" s="48" t="n">
        <f aca="false">-In_Commitment_Fee*($I92-SUM($J92:AV92)+AV92)*AV$6*(AV12&gt;0)</f>
        <v>-0</v>
      </c>
      <c r="AW97" s="48" t="n">
        <f aca="false">-In_Commitment_Fee*($I92-SUM($J92:AW92)+AW92)*AW$6*(AW12&gt;0)</f>
        <v>-0</v>
      </c>
      <c r="AX97" s="48" t="n">
        <f aca="false">-In_Commitment_Fee*($I92-SUM($J92:AX92)+AX92)*AX$6*(AX12&gt;0)</f>
        <v>-0</v>
      </c>
      <c r="AY97" s="48" t="n">
        <f aca="false">-In_Commitment_Fee*($I92-SUM($J92:AY92)+AY92)*AY$6*(AY12&gt;0)</f>
        <v>-0</v>
      </c>
      <c r="AZ97" s="48" t="n">
        <f aca="false">-In_Commitment_Fee*($I92-SUM($J92:AZ92)+AZ92)*AZ$6*(AZ12&gt;0)</f>
        <v>-0</v>
      </c>
      <c r="BA97" s="48" t="n">
        <f aca="false">-In_Commitment_Fee*($I92-SUM($J92:BA92)+BA92)*BA$6*(BA12&gt;0)</f>
        <v>-0</v>
      </c>
      <c r="BB97" s="48" t="n">
        <f aca="false">-In_Commitment_Fee*($I92-SUM($J92:BB92)+BB92)*BB$6*(BB12&gt;0)</f>
        <v>-0</v>
      </c>
      <c r="BC97" s="48" t="n">
        <f aca="false">-In_Commitment_Fee*($I92-SUM($J92:BC92)+BC92)*BC$6*(BC12&gt;0)</f>
        <v>-0</v>
      </c>
      <c r="BD97" s="48" t="n">
        <f aca="false">-In_Commitment_Fee*($I92-SUM($J92:BD92)+BD92)*BD$6*(BD12&gt;0)</f>
        <v>-0</v>
      </c>
      <c r="BE97" s="48" t="n">
        <f aca="false">-In_Commitment_Fee*($I92-SUM($J92:BE92)+BE92)*BE$6*(BE12&gt;0)</f>
        <v>-0</v>
      </c>
      <c r="BF97" s="48" t="n">
        <f aca="false">-In_Commitment_Fee*($I92-SUM($J92:BF92)+BF92)*BF$6*(BF12&gt;0)</f>
        <v>-0</v>
      </c>
      <c r="BG97" s="48" t="n">
        <f aca="false">-In_Commitment_Fee*($I92-SUM($J92:BG92)+BG92)*BG$6*(BG12&gt;0)</f>
        <v>-0</v>
      </c>
      <c r="BH97" s="48" t="n">
        <f aca="false">-In_Commitment_Fee*($I92-SUM($J92:BH92)+BH92)*BH$6*(BH12&gt;0)</f>
        <v>-0</v>
      </c>
      <c r="BI97" s="48" t="n">
        <f aca="false">-In_Commitment_Fee*($I92-SUM($J92:BI92)+BI92)*BI$6*(BI12&gt;0)</f>
        <v>-0</v>
      </c>
      <c r="BJ97" s="48" t="n">
        <f aca="false">-In_Commitment_Fee*($I92-SUM($J92:BJ92)+BJ92)*BJ$6*(BJ12&gt;0)</f>
        <v>-0</v>
      </c>
      <c r="BK97" s="48" t="n">
        <f aca="false">-In_Commitment_Fee*($I92-SUM($J92:BK92)+BK92)*BK$6*(BK12&gt;0)</f>
        <v>-0</v>
      </c>
      <c r="BL97" s="48" t="n">
        <f aca="false">-In_Commitment_Fee*($I92-SUM($J92:BL92)+BL92)*BL$6*(BL12&gt;0)</f>
        <v>-0</v>
      </c>
      <c r="BM97" s="48" t="n">
        <f aca="false">-In_Commitment_Fee*($I92-SUM($J92:BM92)+BM92)*BM$6*(BM12&gt;0)</f>
        <v>-0</v>
      </c>
      <c r="BN97" s="48" t="n">
        <f aca="false">-In_Commitment_Fee*($I92-SUM($J92:BN92)+BN92)*BN$6*(BN12&gt;0)</f>
        <v>-0</v>
      </c>
      <c r="BO97" s="48" t="n">
        <f aca="false">-In_Commitment_Fee*($I92-SUM($J92:BO92)+BO92)*BO$6*(BO12&gt;0)</f>
        <v>-0</v>
      </c>
      <c r="BP97" s="48" t="n">
        <f aca="false">-In_Commitment_Fee*($I92-SUM($J92:BP92)+BP92)*BP$6*(BP12&gt;0)</f>
        <v>-0</v>
      </c>
      <c r="BQ97" s="48" t="n">
        <f aca="false">-In_Commitment_Fee*($I92-SUM($J92:BQ92)+BQ92)*BQ$6*(BQ12&gt;0)</f>
        <v>-0</v>
      </c>
      <c r="BR97" s="48" t="n">
        <f aca="false">-In_Commitment_Fee*($I92-SUM($J92:BR92)+BR92)*BR$6*(BR12&gt;0)</f>
        <v>-0</v>
      </c>
      <c r="BS97" s="48" t="n">
        <f aca="false">-In_Commitment_Fee*($I92-SUM($J92:BS92)+BS92)*BS$6*(BS12&gt;0)</f>
        <v>-0</v>
      </c>
      <c r="BT97" s="48" t="n">
        <f aca="false">-In_Commitment_Fee*($I92-SUM($J92:BT92)+BT92)*BT$6*(BT12&gt;0)</f>
        <v>-0</v>
      </c>
      <c r="BU97" s="48" t="n">
        <f aca="false">-In_Commitment_Fee*($I92-SUM($J92:BU92)+BU92)*BU$6*(BU12&gt;0)</f>
        <v>-0</v>
      </c>
      <c r="BV97" s="48" t="n">
        <f aca="false">-In_Commitment_Fee*($I92-SUM($J92:BV92)+BV92)*BV$6*(BV12&gt;0)</f>
        <v>-0</v>
      </c>
      <c r="BW97" s="48" t="n">
        <f aca="false">-In_Commitment_Fee*($I92-SUM($J92:BW92)+BW92)*BW$6*(BW12&gt;0)</f>
        <v>-0</v>
      </c>
      <c r="BX97" s="48" t="n">
        <f aca="false">-In_Commitment_Fee*($I92-SUM($J92:BX92)+BX92)*BX$6*(BX12&gt;0)</f>
        <v>-0</v>
      </c>
      <c r="BY97" s="48" t="n">
        <f aca="false">-In_Commitment_Fee*($I92-SUM($J92:BY92)+BY92)*BY$6*(BY12&gt;0)</f>
        <v>-0</v>
      </c>
      <c r="BZ97" s="48" t="n">
        <f aca="false">-In_Commitment_Fee*($I92-SUM($J92:BZ92)+BZ92)*BZ$6*(BZ12&gt;0)</f>
        <v>-0</v>
      </c>
      <c r="CA97" s="48" t="n">
        <f aca="false">-In_Commitment_Fee*($I92-SUM($J92:CA92)+CA92)*CA$6*(CA12&gt;0)</f>
        <v>-0</v>
      </c>
      <c r="CB97" s="48" t="n">
        <f aca="false">-In_Commitment_Fee*($I92-SUM($J92:CB92)+CB92)*CB$6*(CB12&gt;0)</f>
        <v>-0</v>
      </c>
      <c r="CC97" s="48" t="n">
        <f aca="false">-In_Commitment_Fee*($I92-SUM($J92:CC92)+CC92)*CC$6*(CC12&gt;0)</f>
        <v>-0</v>
      </c>
      <c r="CD97" s="48" t="n">
        <f aca="false">-In_Commitment_Fee*($I92-SUM($J92:CD92)+CD92)*CD$6*(CD12&gt;0)</f>
        <v>-0</v>
      </c>
      <c r="CE97" s="48" t="n">
        <f aca="false">-In_Commitment_Fee*($I92-SUM($J92:CE92)+CE92)*CE$6*(CE12&gt;0)</f>
        <v>-0</v>
      </c>
      <c r="CF97" s="48" t="n">
        <f aca="false">-In_Commitment_Fee*($I92-SUM($J92:CF92)+CF92)*CF$6*(CF12&gt;0)</f>
        <v>-0</v>
      </c>
      <c r="CG97" s="48" t="n">
        <f aca="false">-In_Commitment_Fee*($I92-SUM($J92:CG92)+CG92)*CG$6*(CG12&gt;0)</f>
        <v>-0</v>
      </c>
      <c r="CH97" s="48" t="n">
        <f aca="false">-In_Commitment_Fee*($I92-SUM($J92:CH92)+CH92)*CH$6*(CH12&gt;0)</f>
        <v>-0</v>
      </c>
      <c r="CI97" s="48" t="n">
        <f aca="false">-In_Commitment_Fee*($I92-SUM($J92:CI92)+CI92)*CI$6*(CI12&gt;0)</f>
        <v>-0</v>
      </c>
      <c r="CJ97" s="48" t="n">
        <f aca="false">-In_Commitment_Fee*($I92-SUM($J92:CJ92)+CJ92)*CJ$6*(CJ12&gt;0)</f>
        <v>-0</v>
      </c>
      <c r="CK97" s="48" t="n">
        <f aca="false">-In_Commitment_Fee*($I92-SUM($J92:CK92)+CK92)*CK$6*(CK12&gt;0)</f>
        <v>-0</v>
      </c>
      <c r="CL97" s="48" t="n">
        <f aca="false">-In_Commitment_Fee*($I92-SUM($J92:CL92)+CL92)*CL$6*(CL12&gt;0)</f>
        <v>-0</v>
      </c>
      <c r="CM97" s="48" t="n">
        <f aca="false">-In_Commitment_Fee*($I92-SUM($J92:CM92)+CM92)*CM$6*(CM12&gt;0)</f>
        <v>-0</v>
      </c>
      <c r="CN97" s="48" t="n">
        <f aca="false">-In_Commitment_Fee*($I92-SUM($J92:CN92)+CN92)*CN$6*(CN12&gt;0)</f>
        <v>-0</v>
      </c>
      <c r="CO97" s="48" t="n">
        <f aca="false">-In_Commitment_Fee*($I92-SUM($J92:CO92)+CO92)*CO$6*(CO12&gt;0)</f>
        <v>-0</v>
      </c>
      <c r="CP97" s="48" t="n">
        <f aca="false">-In_Commitment_Fee*($I92-SUM($J92:CP92)+CP92)*CP$6*(CP12&gt;0)</f>
        <v>-0</v>
      </c>
      <c r="CQ97" s="48" t="n">
        <f aca="false">-In_Commitment_Fee*($I92-SUM($J92:CQ92)+CQ92)*CQ$6*(CQ12&gt;0)</f>
        <v>-0</v>
      </c>
      <c r="CR97" s="48" t="n">
        <f aca="false">-In_Commitment_Fee*($I92-SUM($J92:CR92)+CR92)*CR$6*(CR12&gt;0)</f>
        <v>-0</v>
      </c>
      <c r="CS97" s="48" t="n">
        <f aca="false">-In_Commitment_Fee*($I92-SUM($J92:CS92)+CS92)*CS$6*(CS12&gt;0)</f>
        <v>-0</v>
      </c>
      <c r="CT97" s="48" t="n">
        <f aca="false">-In_Commitment_Fee*($I92-SUM($J92:CT92)+CT92)*CT$6*(CT12&gt;0)</f>
        <v>-0</v>
      </c>
      <c r="CU97" s="48" t="n">
        <f aca="false">-In_Commitment_Fee*($I92-SUM($J92:CU92)+CU92)*CU$6*(CU12&gt;0)</f>
        <v>-0</v>
      </c>
      <c r="CV97" s="48" t="n">
        <f aca="false">-In_Commitment_Fee*($I92-SUM($J92:CV92)+CV92)*CV$6*(CV12&gt;0)</f>
        <v>-0</v>
      </c>
      <c r="CW97" s="48" t="n">
        <f aca="false">-In_Commitment_Fee*($I92-SUM($J92:CW92)+CW92)*CW$6*(CW12&gt;0)</f>
        <v>-0</v>
      </c>
      <c r="CX97" s="48" t="n">
        <f aca="false">-In_Commitment_Fee*($I92-SUM($J92:CX92)+CX92)*CX$6*(CX12&gt;0)</f>
        <v>-0</v>
      </c>
      <c r="CY97" s="48" t="n">
        <f aca="false">-In_Commitment_Fee*($I92-SUM($J92:CY92)+CY92)*CY$6*(CY12&gt;0)</f>
        <v>-0</v>
      </c>
      <c r="CZ97" s="48" t="n">
        <f aca="false">-In_Commitment_Fee*($I92-SUM($J92:CZ92)+CZ92)*CZ$6*(CZ12&gt;0)</f>
        <v>-0</v>
      </c>
      <c r="DA97" s="48" t="n">
        <f aca="false">-In_Commitment_Fee*($I92-SUM($J92:DA92)+DA92)*DA$6*(DA12&gt;0)</f>
        <v>-0</v>
      </c>
      <c r="DB97" s="48" t="n">
        <f aca="false">-In_Commitment_Fee*($I92-SUM($J92:DB92)+DB92)*DB$6*(DB12&gt;0)</f>
        <v>-0</v>
      </c>
      <c r="DC97" s="48" t="n">
        <f aca="false">-In_Commitment_Fee*($I92-SUM($J92:DC92)+DC92)*DC$6*(DC12&gt;0)</f>
        <v>-0</v>
      </c>
      <c r="DD97" s="48" t="n">
        <f aca="false">-In_Commitment_Fee*($I92-SUM($J92:DD92)+DD92)*DD$6*(DD12&gt;0)</f>
        <v>-0</v>
      </c>
      <c r="DE97" s="48" t="n">
        <f aca="false">-In_Commitment_Fee*($I92-SUM($J92:DE92)+DE92)*DE$6*(DE12&gt;0)</f>
        <v>-0</v>
      </c>
      <c r="DF97" s="48" t="n">
        <f aca="false">-In_Commitment_Fee*($I92-SUM($J92:DF92)+DF92)*DF$6*(DF12&gt;0)</f>
        <v>-0</v>
      </c>
      <c r="DG97" s="48" t="n">
        <f aca="false">-In_Commitment_Fee*($I92-SUM($J92:DG92)+DG92)*DG$6*(DG12&gt;0)</f>
        <v>-0</v>
      </c>
      <c r="DH97" s="48" t="n">
        <f aca="false">-In_Commitment_Fee*($I92-SUM($J92:DH92)+DH92)*DH$6*(DH12&gt;0)</f>
        <v>-0</v>
      </c>
      <c r="DI97" s="48" t="n">
        <f aca="false">-In_Commitment_Fee*($I92-SUM($J92:DI92)+DI92)*DI$6*(DI12&gt;0)</f>
        <v>-0</v>
      </c>
      <c r="DJ97" s="48" t="n">
        <f aca="false">-In_Commitment_Fee*($I92-SUM($J92:DJ92)+DJ92)*DJ$6*(DJ12&gt;0)</f>
        <v>-0</v>
      </c>
      <c r="DK97" s="48" t="n">
        <f aca="false">-In_Commitment_Fee*($I92-SUM($J92:DK92)+DK92)*DK$6*(DK12&gt;0)</f>
        <v>-0</v>
      </c>
      <c r="DL97" s="48" t="n">
        <f aca="false">-In_Commitment_Fee*($I92-SUM($J92:DL92)+DL92)*DL$6*(DL12&gt;0)</f>
        <v>-0</v>
      </c>
      <c r="DM97" s="48" t="n">
        <f aca="false">-In_Commitment_Fee*($I92-SUM($J92:DM92)+DM92)*DM$6*(DM12&gt;0)</f>
        <v>-0</v>
      </c>
      <c r="DN97" s="48" t="n">
        <f aca="false">-In_Commitment_Fee*($I92-SUM($J92:DN92)+DN92)*DN$6*(DN12&gt;0)</f>
        <v>-0</v>
      </c>
      <c r="DO97" s="48" t="n">
        <f aca="false">-In_Commitment_Fee*($I92-SUM($J92:DO92)+DO92)*DO$6*(DO12&gt;0)</f>
        <v>-0</v>
      </c>
      <c r="DP97" s="48" t="n">
        <f aca="false">-In_Commitment_Fee*($I92-SUM($J92:DP92)+DP92)*DP$6*(DP12&gt;0)</f>
        <v>-0</v>
      </c>
      <c r="DQ97" s="48" t="n">
        <f aca="false">-In_Commitment_Fee*($I92-SUM($J92:DQ92)+DQ92)*DQ$6*(DQ12&gt;0)</f>
        <v>-0</v>
      </c>
      <c r="DR97" s="48" t="n">
        <f aca="false">-In_Commitment_Fee*($I92-SUM($J92:DR92)+DR92)*DR$6*(DR12&gt;0)</f>
        <v>-0</v>
      </c>
      <c r="DS97" s="48" t="n">
        <f aca="false">-In_Commitment_Fee*($I92-SUM($J92:DS92)+DS92)*DS$6*(DS12&gt;0)</f>
        <v>-0</v>
      </c>
      <c r="DT97" s="48" t="n">
        <f aca="false">-In_Commitment_Fee*($I92-SUM($J92:DT92)+DT92)*DT$6*(DT12&gt;0)</f>
        <v>-0</v>
      </c>
      <c r="DU97" s="48" t="n">
        <f aca="false">-In_Commitment_Fee*($I92-SUM($J92:DU92)+DU92)*DU$6*(DU12&gt;0)</f>
        <v>-0</v>
      </c>
      <c r="DV97" s="48" t="n">
        <f aca="false">-In_Commitment_Fee*($I92-SUM($J92:DV92)+DV92)*DV$6*(DV12&gt;0)</f>
        <v>-0</v>
      </c>
      <c r="DW97" s="48" t="n">
        <f aca="false">-In_Commitment_Fee*($I92-SUM($J92:DW92)+DW92)*DW$6*(DW12&gt;0)</f>
        <v>-0</v>
      </c>
      <c r="DX97" s="48" t="n">
        <f aca="false">-In_Commitment_Fee*($I92-SUM($J92:DX92)+DX92)*DX$6*(DX12&gt;0)</f>
        <v>-0</v>
      </c>
      <c r="DY97" s="48" t="n">
        <f aca="false">-In_Commitment_Fee*($I92-SUM($J92:DY92)+DY92)*DY$6*(DY12&gt;0)</f>
        <v>-0</v>
      </c>
      <c r="DZ97" s="48" t="n">
        <f aca="false">-In_Commitment_Fee*($I92-SUM($J92:DZ92)+DZ92)*DZ$6*(DZ12&gt;0)</f>
        <v>-0</v>
      </c>
      <c r="EA97" s="48" t="n">
        <f aca="false">-In_Commitment_Fee*($I92-SUM($J92:EA92)+EA92)*EA$6*(EA12&gt;0)</f>
        <v>-0</v>
      </c>
      <c r="EB97" s="48" t="n">
        <f aca="false">-In_Commitment_Fee*($I92-SUM($J92:EB92)+EB92)*EB$6*(EB12&gt;0)</f>
        <v>-0</v>
      </c>
      <c r="EC97" s="48" t="n">
        <f aca="false">-In_Commitment_Fee*($I92-SUM($J92:EC92)+EC92)*EC$6*(EC12&gt;0)</f>
        <v>-0</v>
      </c>
      <c r="ED97" s="48" t="n">
        <f aca="false">-In_Commitment_Fee*($I92-SUM($J92:ED92)+ED92)*ED$6*(ED12&gt;0)</f>
        <v>-0</v>
      </c>
      <c r="EE97" s="48" t="n">
        <f aca="false">-In_Commitment_Fee*($I92-SUM($J92:EE92)+EE92)*EE$6*(EE12&gt;0)</f>
        <v>-0</v>
      </c>
      <c r="EF97" s="48" t="n">
        <f aca="false">-In_Commitment_Fee*($I92-SUM($J92:EF92)+EF92)*EF$6*(EF12&gt;0)</f>
        <v>-0</v>
      </c>
      <c r="EG97" s="48" t="n">
        <f aca="false">-In_Commitment_Fee*($I92-SUM($J92:EG92)+EG92)*EG$6*(EG12&gt;0)</f>
        <v>-0</v>
      </c>
      <c r="EH97" s="48" t="n">
        <f aca="false">-In_Commitment_Fee*($I92-SUM($J92:EH92)+EH92)*EH$6*(EH12&gt;0)</f>
        <v>-0</v>
      </c>
      <c r="EI97" s="48" t="n">
        <f aca="false">-In_Commitment_Fee*($I92-SUM($J92:EI92)+EI92)*EI$6*(EI12&gt;0)</f>
        <v>-0</v>
      </c>
      <c r="EJ97" s="48" t="n">
        <f aca="false">-In_Commitment_Fee*($I92-SUM($J92:EJ92)+EJ92)*EJ$6*(EJ12&gt;0)</f>
        <v>-0</v>
      </c>
      <c r="EK97" s="48" t="n">
        <f aca="false">-In_Commitment_Fee*($I92-SUM($J92:EK92)+EK92)*EK$6*(EK12&gt;0)</f>
        <v>-0</v>
      </c>
      <c r="EL97" s="48" t="n">
        <f aca="false">-In_Commitment_Fee*($I92-SUM($J92:EL92)+EL92)*EL$6*(EL12&gt;0)</f>
        <v>-0</v>
      </c>
      <c r="EM97" s="48" t="n">
        <f aca="false">-In_Commitment_Fee*($I92-SUM($J92:EM92)+EM92)*EM$6*(EM12&gt;0)</f>
        <v>-0</v>
      </c>
      <c r="EN97" s="48" t="n">
        <f aca="false">-In_Commitment_Fee*($I92-SUM($J92:EN92)+EN92)*EN$6*(EN12&gt;0)</f>
        <v>-0</v>
      </c>
      <c r="EO97" s="48" t="n">
        <f aca="false">-In_Commitment_Fee*($I92-SUM($J92:EO92)+EO92)*EO$6*(EO12&gt;0)</f>
        <v>-0</v>
      </c>
    </row>
    <row r="98" customFormat="false" ht="15" hidden="false" customHeight="false" outlineLevel="0" collapsed="false">
      <c r="C98" s="1" t="s">
        <v>443</v>
      </c>
      <c r="D98" s="12" t="s">
        <v>33</v>
      </c>
      <c r="E98" s="48" t="n">
        <f aca="false">-SUMIFS($J90:$EO90,$J$4:$EO$4,"&gt;"&amp;In_COD,$J$4:$EO$4,"&lt;="&amp;EDATE(In_COD,In_DSRA_Months))</f>
        <v>1135.47210281793</v>
      </c>
      <c r="I98" s="48" t="n">
        <f aca="false">SUM(J98:EO98)</f>
        <v>0</v>
      </c>
      <c r="J98" s="48" t="n">
        <f aca="false">$E98*(J18-J14)</f>
        <v>0</v>
      </c>
      <c r="K98" s="48" t="n">
        <f aca="false">$E98*(K18-K14)</f>
        <v>0</v>
      </c>
      <c r="L98" s="48" t="n">
        <f aca="false">$E98*(L18-L14)</f>
        <v>0</v>
      </c>
      <c r="M98" s="48" t="n">
        <f aca="false">$E98*(M18-M14)</f>
        <v>0</v>
      </c>
      <c r="N98" s="48" t="n">
        <f aca="false">$E98*(N18-N14)</f>
        <v>0</v>
      </c>
      <c r="O98" s="48" t="n">
        <f aca="false">$E98*(O18-O14)</f>
        <v>0</v>
      </c>
      <c r="P98" s="48" t="n">
        <f aca="false">$E98*(P18-P14)</f>
        <v>0</v>
      </c>
      <c r="Q98" s="48" t="n">
        <f aca="false">$E98*(Q18-Q14)</f>
        <v>0</v>
      </c>
      <c r="R98" s="48" t="n">
        <f aca="false">$E98*(R18-R14)</f>
        <v>0</v>
      </c>
      <c r="S98" s="48" t="n">
        <f aca="false">$E98*(S18-S14)</f>
        <v>0</v>
      </c>
      <c r="T98" s="48" t="n">
        <f aca="false">$E98*(T18-T14)</f>
        <v>0</v>
      </c>
      <c r="U98" s="48" t="n">
        <f aca="false">$E98*(U18-U14)</f>
        <v>0</v>
      </c>
      <c r="V98" s="48" t="n">
        <f aca="false">$E98*(V18-V14)</f>
        <v>0</v>
      </c>
      <c r="W98" s="48" t="n">
        <f aca="false">$E98*(W18-W14)</f>
        <v>0</v>
      </c>
      <c r="X98" s="48" t="n">
        <f aca="false">$E98*(X18-X14)</f>
        <v>0</v>
      </c>
      <c r="Y98" s="48" t="n">
        <f aca="false">$E98*(Y18-Y14)</f>
        <v>-1135.47210281793</v>
      </c>
      <c r="Z98" s="48" t="n">
        <f aca="false">$E98*(Z18-Z14)</f>
        <v>0</v>
      </c>
      <c r="AA98" s="48" t="n">
        <f aca="false">$E98*(AA18-AA14)</f>
        <v>0</v>
      </c>
      <c r="AB98" s="48" t="n">
        <f aca="false">$E98*(AB18-AB14)</f>
        <v>0</v>
      </c>
      <c r="AC98" s="48" t="n">
        <f aca="false">$E98*(AC18-AC14)</f>
        <v>0</v>
      </c>
      <c r="AD98" s="48" t="n">
        <f aca="false">$E98*(AD18-AD14)</f>
        <v>0</v>
      </c>
      <c r="AE98" s="48" t="n">
        <f aca="false">$E98*(AE18-AE14)</f>
        <v>0</v>
      </c>
      <c r="AF98" s="48" t="n">
        <f aca="false">$E98*(AF18-AF14)</f>
        <v>0</v>
      </c>
      <c r="AG98" s="48" t="n">
        <f aca="false">$E98*(AG18-AG14)</f>
        <v>0</v>
      </c>
      <c r="AH98" s="48" t="n">
        <f aca="false">$E98*(AH18-AH14)</f>
        <v>0</v>
      </c>
      <c r="AI98" s="48" t="n">
        <f aca="false">$E98*(AI18-AI14)</f>
        <v>0</v>
      </c>
      <c r="AJ98" s="48" t="n">
        <f aca="false">$E98*(AJ18-AJ14)</f>
        <v>0</v>
      </c>
      <c r="AK98" s="48" t="n">
        <f aca="false">$E98*(AK18-AK14)</f>
        <v>0</v>
      </c>
      <c r="AL98" s="48" t="n">
        <f aca="false">$E98*(AL18-AL14)</f>
        <v>0</v>
      </c>
      <c r="AM98" s="48" t="n">
        <f aca="false">$E98*(AM18-AM14)</f>
        <v>0</v>
      </c>
      <c r="AN98" s="48" t="n">
        <f aca="false">$E98*(AN18-AN14)</f>
        <v>0</v>
      </c>
      <c r="AO98" s="48" t="n">
        <f aca="false">$E98*(AO18-AO14)</f>
        <v>0</v>
      </c>
      <c r="AP98" s="48" t="n">
        <f aca="false">$E98*(AP18-AP14)</f>
        <v>0</v>
      </c>
      <c r="AQ98" s="48" t="n">
        <f aca="false">$E98*(AQ18-AQ14)</f>
        <v>0</v>
      </c>
      <c r="AR98" s="48" t="n">
        <f aca="false">$E98*(AR18-AR14)</f>
        <v>0</v>
      </c>
      <c r="AS98" s="48" t="n">
        <f aca="false">$E98*(AS18-AS14)</f>
        <v>0</v>
      </c>
      <c r="AT98" s="48" t="n">
        <f aca="false">$E98*(AT18-AT14)</f>
        <v>0</v>
      </c>
      <c r="AU98" s="48" t="n">
        <f aca="false">$E98*(AU18-AU14)</f>
        <v>0</v>
      </c>
      <c r="AV98" s="48" t="n">
        <f aca="false">$E98*(AV18-AV14)</f>
        <v>0</v>
      </c>
      <c r="AW98" s="48" t="n">
        <f aca="false">$E98*(AW18-AW14)</f>
        <v>0</v>
      </c>
      <c r="AX98" s="48" t="n">
        <f aca="false">$E98*(AX18-AX14)</f>
        <v>0</v>
      </c>
      <c r="AY98" s="48" t="n">
        <f aca="false">$E98*(AY18-AY14)</f>
        <v>0</v>
      </c>
      <c r="AZ98" s="48" t="n">
        <f aca="false">$E98*(AZ18-AZ14)</f>
        <v>0</v>
      </c>
      <c r="BA98" s="48" t="n">
        <f aca="false">$E98*(BA18-BA14)</f>
        <v>0</v>
      </c>
      <c r="BB98" s="48" t="n">
        <f aca="false">$E98*(BB18-BB14)</f>
        <v>0</v>
      </c>
      <c r="BC98" s="48" t="n">
        <f aca="false">$E98*(BC18-BC14)</f>
        <v>0</v>
      </c>
      <c r="BD98" s="48" t="n">
        <f aca="false">$E98*(BD18-BD14)</f>
        <v>0</v>
      </c>
      <c r="BE98" s="48" t="n">
        <f aca="false">$E98*(BE18-BE14)</f>
        <v>0</v>
      </c>
      <c r="BF98" s="48" t="n">
        <f aca="false">$E98*(BF18-BF14)</f>
        <v>0</v>
      </c>
      <c r="BG98" s="48" t="n">
        <f aca="false">$E98*(BG18-BG14)</f>
        <v>0</v>
      </c>
      <c r="BH98" s="48" t="n">
        <f aca="false">$E98*(BH18-BH14)</f>
        <v>0</v>
      </c>
      <c r="BI98" s="48" t="n">
        <f aca="false">$E98*(BI18-BI14)</f>
        <v>0</v>
      </c>
      <c r="BJ98" s="48" t="n">
        <f aca="false">$E98*(BJ18-BJ14)</f>
        <v>0</v>
      </c>
      <c r="BK98" s="48" t="n">
        <f aca="false">$E98*(BK18-BK14)</f>
        <v>0</v>
      </c>
      <c r="BL98" s="48" t="n">
        <f aca="false">$E98*(BL18-BL14)</f>
        <v>0</v>
      </c>
      <c r="BM98" s="48" t="n">
        <f aca="false">$E98*(BM18-BM14)</f>
        <v>0</v>
      </c>
      <c r="BN98" s="48" t="n">
        <f aca="false">$E98*(BN18-BN14)</f>
        <v>0</v>
      </c>
      <c r="BO98" s="48" t="n">
        <f aca="false">$E98*(BO18-BO14)</f>
        <v>0</v>
      </c>
      <c r="BP98" s="48" t="n">
        <f aca="false">$E98*(BP18-BP14)</f>
        <v>0</v>
      </c>
      <c r="BQ98" s="48" t="n">
        <f aca="false">$E98*(BQ18-BQ14)</f>
        <v>0</v>
      </c>
      <c r="BR98" s="48" t="n">
        <f aca="false">$E98*(BR18-BR14)</f>
        <v>0</v>
      </c>
      <c r="BS98" s="48" t="n">
        <f aca="false">$E98*(BS18-BS14)</f>
        <v>0</v>
      </c>
      <c r="BT98" s="48" t="n">
        <f aca="false">$E98*(BT18-BT14)</f>
        <v>0</v>
      </c>
      <c r="BU98" s="48" t="n">
        <f aca="false">$E98*(BU18-BU14)</f>
        <v>0</v>
      </c>
      <c r="BV98" s="48" t="n">
        <f aca="false">$E98*(BV18-BV14)</f>
        <v>0</v>
      </c>
      <c r="BW98" s="48" t="n">
        <f aca="false">$E98*(BW18-BW14)</f>
        <v>0</v>
      </c>
      <c r="BX98" s="48" t="n">
        <f aca="false">$E98*(BX18-BX14)</f>
        <v>0</v>
      </c>
      <c r="BY98" s="48" t="n">
        <f aca="false">$E98*(BY18-BY14)</f>
        <v>0</v>
      </c>
      <c r="BZ98" s="48" t="n">
        <f aca="false">$E98*(BZ18-BZ14)</f>
        <v>0</v>
      </c>
      <c r="CA98" s="48" t="n">
        <f aca="false">$E98*(CA18-CA14)</f>
        <v>0</v>
      </c>
      <c r="CB98" s="48" t="n">
        <f aca="false">$E98*(CB18-CB14)</f>
        <v>0</v>
      </c>
      <c r="CC98" s="48" t="n">
        <f aca="false">$E98*(CC18-CC14)</f>
        <v>0</v>
      </c>
      <c r="CD98" s="48" t="n">
        <f aca="false">$E98*(CD18-CD14)</f>
        <v>0</v>
      </c>
      <c r="CE98" s="48" t="n">
        <f aca="false">$E98*(CE18-CE14)</f>
        <v>0</v>
      </c>
      <c r="CF98" s="48" t="n">
        <f aca="false">$E98*(CF18-CF14)</f>
        <v>0</v>
      </c>
      <c r="CG98" s="48" t="n">
        <f aca="false">$E98*(CG18-CG14)</f>
        <v>0</v>
      </c>
      <c r="CH98" s="48" t="n">
        <f aca="false">$E98*(CH18-CH14)</f>
        <v>0</v>
      </c>
      <c r="CI98" s="48" t="n">
        <f aca="false">$E98*(CI18-CI14)</f>
        <v>0</v>
      </c>
      <c r="CJ98" s="48" t="n">
        <f aca="false">$E98*(CJ18-CJ14)</f>
        <v>0</v>
      </c>
      <c r="CK98" s="48" t="n">
        <f aca="false">$E98*(CK18-CK14)</f>
        <v>0</v>
      </c>
      <c r="CL98" s="48" t="n">
        <f aca="false">$E98*(CL18-CL14)</f>
        <v>0</v>
      </c>
      <c r="CM98" s="48" t="n">
        <f aca="false">$E98*(CM18-CM14)</f>
        <v>0</v>
      </c>
      <c r="CN98" s="48" t="n">
        <f aca="false">$E98*(CN18-CN14)</f>
        <v>0</v>
      </c>
      <c r="CO98" s="48" t="n">
        <f aca="false">$E98*(CO18-CO14)</f>
        <v>0</v>
      </c>
      <c r="CP98" s="48" t="n">
        <f aca="false">$E98*(CP18-CP14)</f>
        <v>0</v>
      </c>
      <c r="CQ98" s="48" t="n">
        <f aca="false">$E98*(CQ18-CQ14)</f>
        <v>0</v>
      </c>
      <c r="CR98" s="48" t="n">
        <f aca="false">$E98*(CR18-CR14)</f>
        <v>0</v>
      </c>
      <c r="CS98" s="48" t="n">
        <f aca="false">$E98*(CS18-CS14)</f>
        <v>1135.47210281793</v>
      </c>
      <c r="CT98" s="48" t="n">
        <f aca="false">$E98*(CT18-CT14)</f>
        <v>0</v>
      </c>
      <c r="CU98" s="48" t="n">
        <f aca="false">$E98*(CU18-CU14)</f>
        <v>0</v>
      </c>
      <c r="CV98" s="48" t="n">
        <f aca="false">$E98*(CV18-CV14)</f>
        <v>0</v>
      </c>
      <c r="CW98" s="48" t="n">
        <f aca="false">$E98*(CW18-CW14)</f>
        <v>0</v>
      </c>
      <c r="CX98" s="48" t="n">
        <f aca="false">$E98*(CX18-CX14)</f>
        <v>0</v>
      </c>
      <c r="CY98" s="48" t="n">
        <f aca="false">$E98*(CY18-CY14)</f>
        <v>0</v>
      </c>
      <c r="CZ98" s="48" t="n">
        <f aca="false">$E98*(CZ18-CZ14)</f>
        <v>0</v>
      </c>
      <c r="DA98" s="48" t="n">
        <f aca="false">$E98*(DA18-DA14)</f>
        <v>0</v>
      </c>
      <c r="DB98" s="48" t="n">
        <f aca="false">$E98*(DB18-DB14)</f>
        <v>0</v>
      </c>
      <c r="DC98" s="48" t="n">
        <f aca="false">$E98*(DC18-DC14)</f>
        <v>0</v>
      </c>
      <c r="DD98" s="48" t="n">
        <f aca="false">$E98*(DD18-DD14)</f>
        <v>0</v>
      </c>
      <c r="DE98" s="48" t="n">
        <f aca="false">$E98*(DE18-DE14)</f>
        <v>0</v>
      </c>
      <c r="DF98" s="48" t="n">
        <f aca="false">$E98*(DF18-DF14)</f>
        <v>0</v>
      </c>
      <c r="DG98" s="48" t="n">
        <f aca="false">$E98*(DG18-DG14)</f>
        <v>0</v>
      </c>
      <c r="DH98" s="48" t="n">
        <f aca="false">$E98*(DH18-DH14)</f>
        <v>0</v>
      </c>
      <c r="DI98" s="48" t="n">
        <f aca="false">$E98*(DI18-DI14)</f>
        <v>0</v>
      </c>
      <c r="DJ98" s="48" t="n">
        <f aca="false">$E98*(DJ18-DJ14)</f>
        <v>0</v>
      </c>
      <c r="DK98" s="48" t="n">
        <f aca="false">$E98*(DK18-DK14)</f>
        <v>0</v>
      </c>
      <c r="DL98" s="48" t="n">
        <f aca="false">$E98*(DL18-DL14)</f>
        <v>0</v>
      </c>
      <c r="DM98" s="48" t="n">
        <f aca="false">$E98*(DM18-DM14)</f>
        <v>0</v>
      </c>
      <c r="DN98" s="48" t="n">
        <f aca="false">$E98*(DN18-DN14)</f>
        <v>0</v>
      </c>
      <c r="DO98" s="48" t="n">
        <f aca="false">$E98*(DO18-DO14)</f>
        <v>0</v>
      </c>
      <c r="DP98" s="48" t="n">
        <f aca="false">$E98*(DP18-DP14)</f>
        <v>0</v>
      </c>
      <c r="DQ98" s="48" t="n">
        <f aca="false">$E98*(DQ18-DQ14)</f>
        <v>0</v>
      </c>
      <c r="DR98" s="48" t="n">
        <f aca="false">$E98*(DR18-DR14)</f>
        <v>0</v>
      </c>
      <c r="DS98" s="48" t="n">
        <f aca="false">$E98*(DS18-DS14)</f>
        <v>0</v>
      </c>
      <c r="DT98" s="48" t="n">
        <f aca="false">$E98*(DT18-DT14)</f>
        <v>0</v>
      </c>
      <c r="DU98" s="48" t="n">
        <f aca="false">$E98*(DU18-DU14)</f>
        <v>0</v>
      </c>
      <c r="DV98" s="48" t="n">
        <f aca="false">$E98*(DV18-DV14)</f>
        <v>0</v>
      </c>
      <c r="DW98" s="48" t="n">
        <f aca="false">$E98*(DW18-DW14)</f>
        <v>0</v>
      </c>
      <c r="DX98" s="48" t="n">
        <f aca="false">$E98*(DX18-DX14)</f>
        <v>0</v>
      </c>
      <c r="DY98" s="48" t="n">
        <f aca="false">$E98*(DY18-DY14)</f>
        <v>0</v>
      </c>
      <c r="DZ98" s="48" t="n">
        <f aca="false">$E98*(DZ18-DZ14)</f>
        <v>0</v>
      </c>
      <c r="EA98" s="48" t="n">
        <f aca="false">$E98*(EA18-EA14)</f>
        <v>0</v>
      </c>
      <c r="EB98" s="48" t="n">
        <f aca="false">$E98*(EB18-EB14)</f>
        <v>0</v>
      </c>
      <c r="EC98" s="48" t="n">
        <f aca="false">$E98*(EC18-EC14)</f>
        <v>0</v>
      </c>
      <c r="ED98" s="48" t="n">
        <f aca="false">$E98*(ED18-ED14)</f>
        <v>0</v>
      </c>
      <c r="EE98" s="48" t="n">
        <f aca="false">$E98*(EE18-EE14)</f>
        <v>0</v>
      </c>
      <c r="EF98" s="48" t="n">
        <f aca="false">$E98*(EF18-EF14)</f>
        <v>0</v>
      </c>
      <c r="EG98" s="48" t="n">
        <f aca="false">$E98*(EG18-EG14)</f>
        <v>0</v>
      </c>
      <c r="EH98" s="48" t="n">
        <f aca="false">$E98*(EH18-EH14)</f>
        <v>0</v>
      </c>
      <c r="EI98" s="48" t="n">
        <f aca="false">$E98*(EI18-EI14)</f>
        <v>0</v>
      </c>
      <c r="EJ98" s="48" t="n">
        <f aca="false">$E98*(EJ18-EJ14)</f>
        <v>0</v>
      </c>
      <c r="EK98" s="48" t="n">
        <f aca="false">$E98*(EK18-EK14)</f>
        <v>0</v>
      </c>
      <c r="EL98" s="48" t="n">
        <f aca="false">$E98*(EL18-EL14)</f>
        <v>0</v>
      </c>
      <c r="EM98" s="48" t="n">
        <f aca="false">$E98*(EM18-EM14)</f>
        <v>0</v>
      </c>
      <c r="EN98" s="48" t="n">
        <f aca="false">$E98*(EN18-EN14)</f>
        <v>0</v>
      </c>
      <c r="EO98" s="48" t="n">
        <f aca="false">$E98*(EO18-EO14)</f>
        <v>0</v>
      </c>
    </row>
    <row r="99" customFormat="false" ht="15" hidden="false" customHeight="false" outlineLevel="0" collapsed="false">
      <c r="C99" s="1" t="s">
        <v>444</v>
      </c>
      <c r="D99" s="12" t="s">
        <v>13</v>
      </c>
      <c r="E99" s="53" t="n">
        <f aca="false">MIN($J99:$EO99)</f>
        <v>1.92694591063623</v>
      </c>
      <c r="J99" s="53" t="str">
        <f aca="false">IF(J90&lt;0,J83/-J90,"")</f>
        <v/>
      </c>
      <c r="K99" s="53" t="str">
        <f aca="false">IF(K90&lt;0,K83/-K90,"")</f>
        <v/>
      </c>
      <c r="L99" s="53" t="str">
        <f aca="false">IF(L90&lt;0,L83/-L90,"")</f>
        <v/>
      </c>
      <c r="M99" s="53" t="str">
        <f aca="false">IF(M90&lt;0,M83/-M90,"")</f>
        <v/>
      </c>
      <c r="N99" s="53" t="str">
        <f aca="false">IF(N90&lt;0,N83/-N90,"")</f>
        <v/>
      </c>
      <c r="O99" s="53" t="str">
        <f aca="false">IF(O90&lt;0,O83/-O90,"")</f>
        <v/>
      </c>
      <c r="P99" s="53" t="str">
        <f aca="false">IF(P90&lt;0,P83/-P90,"")</f>
        <v/>
      </c>
      <c r="Q99" s="53" t="str">
        <f aca="false">IF(Q90&lt;0,Q83/-Q90,"")</f>
        <v/>
      </c>
      <c r="R99" s="53" t="str">
        <f aca="false">IF(R90&lt;0,R83/-R90,"")</f>
        <v/>
      </c>
      <c r="S99" s="53" t="str">
        <f aca="false">IF(S90&lt;0,S83/-S90,"")</f>
        <v/>
      </c>
      <c r="T99" s="53" t="str">
        <f aca="false">IF(T90&lt;0,T83/-T90,"")</f>
        <v/>
      </c>
      <c r="U99" s="53" t="str">
        <f aca="false">IF(U90&lt;0,U83/-U90,"")</f>
        <v/>
      </c>
      <c r="V99" s="53" t="str">
        <f aca="false">IF(V90&lt;0,V83/-V90,"")</f>
        <v/>
      </c>
      <c r="W99" s="53" t="str">
        <f aca="false">IF(W90&lt;0,W83/-W90,"")</f>
        <v/>
      </c>
      <c r="X99" s="53" t="str">
        <f aca="false">IF(X90&lt;0,X83/-X90,"")</f>
        <v/>
      </c>
      <c r="Y99" s="53" t="str">
        <f aca="false">IF(Y90&lt;0,Y83/-Y90,"")</f>
        <v/>
      </c>
      <c r="Z99" s="53" t="n">
        <f aca="false">IF(Z90&lt;0,Z83/-Z90,"")</f>
        <v>1.92694591063623</v>
      </c>
      <c r="AA99" s="53" t="n">
        <f aca="false">IF(AA90&lt;0,AA83/-AA90,"")</f>
        <v>1.92694591063623</v>
      </c>
      <c r="AB99" s="53" t="n">
        <f aca="false">IF(AB90&lt;0,AB83/-AB90,"")</f>
        <v>1.92694591063623</v>
      </c>
      <c r="AC99" s="53" t="n">
        <f aca="false">IF(AC90&lt;0,AC83/-AC90,"")</f>
        <v>1.92694591063623</v>
      </c>
      <c r="AD99" s="53" t="n">
        <f aca="false">IF(AD90&lt;0,AD83/-AD90,"")</f>
        <v>1.92694591063623</v>
      </c>
      <c r="AE99" s="53" t="n">
        <f aca="false">IF(AE90&lt;0,AE83/-AE90,"")</f>
        <v>1.92694591063623</v>
      </c>
      <c r="AF99" s="53" t="n">
        <f aca="false">IF(AF90&lt;0,AF83/-AF90,"")</f>
        <v>1.92694591063623</v>
      </c>
      <c r="AG99" s="53" t="n">
        <f aca="false">IF(AG90&lt;0,AG83/-AG90,"")</f>
        <v>1.92694591063623</v>
      </c>
      <c r="AH99" s="53" t="n">
        <f aca="false">IF(AH90&lt;0,AH83/-AH90,"")</f>
        <v>1.92694591063623</v>
      </c>
      <c r="AI99" s="53" t="n">
        <f aca="false">IF(AI90&lt;0,AI83/-AI90,"")</f>
        <v>1.92694591063623</v>
      </c>
      <c r="AJ99" s="53" t="n">
        <f aca="false">IF(AJ90&lt;0,AJ83/-AJ90,"")</f>
        <v>1.92694591063623</v>
      </c>
      <c r="AK99" s="53" t="n">
        <f aca="false">IF(AK90&lt;0,AK83/-AK90,"")</f>
        <v>1.92694591063623</v>
      </c>
      <c r="AL99" s="53" t="n">
        <f aca="false">IF(AL90&lt;0,AL83/-AL90,"")</f>
        <v>1.92694591063623</v>
      </c>
      <c r="AM99" s="53" t="n">
        <f aca="false">IF(AM90&lt;0,AM83/-AM90,"")</f>
        <v>1.92694591063623</v>
      </c>
      <c r="AN99" s="53" t="n">
        <f aca="false">IF(AN90&lt;0,AN83/-AN90,"")</f>
        <v>1.92694591063623</v>
      </c>
      <c r="AO99" s="53" t="n">
        <f aca="false">IF(AO90&lt;0,AO83/-AO90,"")</f>
        <v>1.92694591063623</v>
      </c>
      <c r="AP99" s="53" t="n">
        <f aca="false">IF(AP90&lt;0,AP83/-AP90,"")</f>
        <v>1.92694591063623</v>
      </c>
      <c r="AQ99" s="53" t="n">
        <f aca="false">IF(AQ90&lt;0,AQ83/-AQ90,"")</f>
        <v>1.92694591063623</v>
      </c>
      <c r="AR99" s="53" t="n">
        <f aca="false">IF(AR90&lt;0,AR83/-AR90,"")</f>
        <v>1.92694591063623</v>
      </c>
      <c r="AS99" s="53" t="n">
        <f aca="false">IF(AS90&lt;0,AS83/-AS90,"")</f>
        <v>1.92694591063623</v>
      </c>
      <c r="AT99" s="53" t="n">
        <f aca="false">IF(AT90&lt;0,AT83/-AT90,"")</f>
        <v>1.92694591063623</v>
      </c>
      <c r="AU99" s="53" t="n">
        <f aca="false">IF(AU90&lt;0,AU83/-AU90,"")</f>
        <v>1.92694591063623</v>
      </c>
      <c r="AV99" s="53" t="n">
        <f aca="false">IF(AV90&lt;0,AV83/-AV90,"")</f>
        <v>1.92694591063623</v>
      </c>
      <c r="AW99" s="53" t="n">
        <f aca="false">IF(AW90&lt;0,AW83/-AW90,"")</f>
        <v>1.92694591063623</v>
      </c>
      <c r="AX99" s="53" t="n">
        <f aca="false">IF(AX90&lt;0,AX83/-AX90,"")</f>
        <v>1.92694591063623</v>
      </c>
      <c r="AY99" s="53" t="n">
        <f aca="false">IF(AY90&lt;0,AY83/-AY90,"")</f>
        <v>1.92694591063623</v>
      </c>
      <c r="AZ99" s="53" t="n">
        <f aca="false">IF(AZ90&lt;0,AZ83/-AZ90,"")</f>
        <v>1.92694591063623</v>
      </c>
      <c r="BA99" s="53" t="n">
        <f aca="false">IF(BA90&lt;0,BA83/-BA90,"")</f>
        <v>1.92694591063623</v>
      </c>
      <c r="BB99" s="53" t="n">
        <f aca="false">IF(BB90&lt;0,BB83/-BB90,"")</f>
        <v>1.92694591063623</v>
      </c>
      <c r="BC99" s="53" t="n">
        <f aca="false">IF(BC90&lt;0,BC83/-BC90,"")</f>
        <v>1.92694591063623</v>
      </c>
      <c r="BD99" s="53" t="n">
        <f aca="false">IF(BD90&lt;0,BD83/-BD90,"")</f>
        <v>1.92694591063623</v>
      </c>
      <c r="BE99" s="53" t="n">
        <f aca="false">IF(BE90&lt;0,BE83/-BE90,"")</f>
        <v>1.92694591063623</v>
      </c>
      <c r="BF99" s="53" t="n">
        <f aca="false">IF(BF90&lt;0,BF83/-BF90,"")</f>
        <v>1.92694591063623</v>
      </c>
      <c r="BG99" s="53" t="n">
        <f aca="false">IF(BG90&lt;0,BG83/-BG90,"")</f>
        <v>1.92694591063623</v>
      </c>
      <c r="BH99" s="53" t="n">
        <f aca="false">IF(BH90&lt;0,BH83/-BH90,"")</f>
        <v>1.92694591063623</v>
      </c>
      <c r="BI99" s="53" t="n">
        <f aca="false">IF(BI90&lt;0,BI83/-BI90,"")</f>
        <v>1.92694591063623</v>
      </c>
      <c r="BJ99" s="53" t="n">
        <f aca="false">IF(BJ90&lt;0,BJ83/-BJ90,"")</f>
        <v>1.92694591063623</v>
      </c>
      <c r="BK99" s="53" t="n">
        <f aca="false">IF(BK90&lt;0,BK83/-BK90,"")</f>
        <v>1.92694591063623</v>
      </c>
      <c r="BL99" s="53" t="n">
        <f aca="false">IF(BL90&lt;0,BL83/-BL90,"")</f>
        <v>1.92694591063623</v>
      </c>
      <c r="BM99" s="53" t="n">
        <f aca="false">IF(BM90&lt;0,BM83/-BM90,"")</f>
        <v>1.92694591063623</v>
      </c>
      <c r="BN99" s="53" t="n">
        <f aca="false">IF(BN90&lt;0,BN83/-BN90,"")</f>
        <v>1.92694591063623</v>
      </c>
      <c r="BO99" s="53" t="n">
        <f aca="false">IF(BO90&lt;0,BO83/-BO90,"")</f>
        <v>1.92694591063623</v>
      </c>
      <c r="BP99" s="53" t="n">
        <f aca="false">IF(BP90&lt;0,BP83/-BP90,"")</f>
        <v>1.92694591063623</v>
      </c>
      <c r="BQ99" s="53" t="n">
        <f aca="false">IF(BQ90&lt;0,BQ83/-BQ90,"")</f>
        <v>1.92694591063623</v>
      </c>
      <c r="BR99" s="53" t="n">
        <f aca="false">IF(BR90&lt;0,BR83/-BR90,"")</f>
        <v>1.92694591063623</v>
      </c>
      <c r="BS99" s="53" t="n">
        <f aca="false">IF(BS90&lt;0,BS83/-BS90,"")</f>
        <v>1.92694591063623</v>
      </c>
      <c r="BT99" s="53" t="n">
        <f aca="false">IF(BT90&lt;0,BT83/-BT90,"")</f>
        <v>1.92694591063623</v>
      </c>
      <c r="BU99" s="53" t="n">
        <f aca="false">IF(BU90&lt;0,BU83/-BU90,"")</f>
        <v>1.92694591063623</v>
      </c>
      <c r="BV99" s="53" t="n">
        <f aca="false">IF(BV90&lt;0,BV83/-BV90,"")</f>
        <v>1.92694591063623</v>
      </c>
      <c r="BW99" s="53" t="n">
        <f aca="false">IF(BW90&lt;0,BW83/-BW90,"")</f>
        <v>1.92694591063623</v>
      </c>
      <c r="BX99" s="53" t="n">
        <f aca="false">IF(BX90&lt;0,BX83/-BX90,"")</f>
        <v>1.92694591063623</v>
      </c>
      <c r="BY99" s="53" t="n">
        <f aca="false">IF(BY90&lt;0,BY83/-BY90,"")</f>
        <v>1.92694591063623</v>
      </c>
      <c r="BZ99" s="53" t="n">
        <f aca="false">IF(BZ90&lt;0,BZ83/-BZ90,"")</f>
        <v>1.92694591063623</v>
      </c>
      <c r="CA99" s="53" t="n">
        <f aca="false">IF(CA90&lt;0,CA83/-CA90,"")</f>
        <v>1.92694591063623</v>
      </c>
      <c r="CB99" s="53" t="n">
        <f aca="false">IF(CB90&lt;0,CB83/-CB90,"")</f>
        <v>1.92694591063623</v>
      </c>
      <c r="CC99" s="53" t="n">
        <f aca="false">IF(CC90&lt;0,CC83/-CC90,"")</f>
        <v>1.92694591063623</v>
      </c>
      <c r="CD99" s="53" t="n">
        <f aca="false">IF(CD90&lt;0,CD83/-CD90,"")</f>
        <v>1.92694591063623</v>
      </c>
      <c r="CE99" s="53" t="n">
        <f aca="false">IF(CE90&lt;0,CE83/-CE90,"")</f>
        <v>1.92694591063623</v>
      </c>
      <c r="CF99" s="53" t="n">
        <f aca="false">IF(CF90&lt;0,CF83/-CF90,"")</f>
        <v>1.92694591063623</v>
      </c>
      <c r="CG99" s="53" t="n">
        <f aca="false">IF(CG90&lt;0,CG83/-CG90,"")</f>
        <v>1.92694591063623</v>
      </c>
      <c r="CH99" s="53" t="n">
        <f aca="false">IF(CH90&lt;0,CH83/-CH90,"")</f>
        <v>1.92694591063623</v>
      </c>
      <c r="CI99" s="53" t="n">
        <f aca="false">IF(CI90&lt;0,CI83/-CI90,"")</f>
        <v>1.92694591063623</v>
      </c>
      <c r="CJ99" s="53" t="n">
        <f aca="false">IF(CJ90&lt;0,CJ83/-CJ90,"")</f>
        <v>1.92694591063623</v>
      </c>
      <c r="CK99" s="53" t="n">
        <f aca="false">IF(CK90&lt;0,CK83/-CK90,"")</f>
        <v>1.92694591063623</v>
      </c>
      <c r="CL99" s="53" t="n">
        <f aca="false">IF(CL90&lt;0,CL83/-CL90,"")</f>
        <v>1.92694591063623</v>
      </c>
      <c r="CM99" s="53" t="n">
        <f aca="false">IF(CM90&lt;0,CM83/-CM90,"")</f>
        <v>1.92694591063623</v>
      </c>
      <c r="CN99" s="53" t="n">
        <f aca="false">IF(CN90&lt;0,CN83/-CN90,"")</f>
        <v>1.92694591063623</v>
      </c>
      <c r="CO99" s="53" t="n">
        <f aca="false">IF(CO90&lt;0,CO83/-CO90,"")</f>
        <v>1.92694591063623</v>
      </c>
      <c r="CP99" s="53" t="n">
        <f aca="false">IF(CP90&lt;0,CP83/-CP90,"")</f>
        <v>1.92694591063623</v>
      </c>
      <c r="CQ99" s="53" t="n">
        <f aca="false">IF(CQ90&lt;0,CQ83/-CQ90,"")</f>
        <v>1.92694591063623</v>
      </c>
      <c r="CR99" s="53" t="n">
        <f aca="false">IF(CR90&lt;0,CR83/-CR90,"")</f>
        <v>1.92694591063623</v>
      </c>
      <c r="CS99" s="53" t="n">
        <f aca="false">IF(CS90&lt;0,CS83/-CS90,"")</f>
        <v>1.92694591063623</v>
      </c>
      <c r="CT99" s="53" t="str">
        <f aca="false">IF(CT90&lt;0,CT83/-CT90,"")</f>
        <v/>
      </c>
      <c r="CU99" s="53" t="str">
        <f aca="false">IF(CU90&lt;0,CU83/-CU90,"")</f>
        <v/>
      </c>
      <c r="CV99" s="53" t="str">
        <f aca="false">IF(CV90&lt;0,CV83/-CV90,"")</f>
        <v/>
      </c>
      <c r="CW99" s="53" t="str">
        <f aca="false">IF(CW90&lt;0,CW83/-CW90,"")</f>
        <v/>
      </c>
      <c r="CX99" s="53" t="str">
        <f aca="false">IF(CX90&lt;0,CX83/-CX90,"")</f>
        <v/>
      </c>
      <c r="CY99" s="53" t="str">
        <f aca="false">IF(CY90&lt;0,CY83/-CY90,"")</f>
        <v/>
      </c>
      <c r="CZ99" s="53" t="str">
        <f aca="false">IF(CZ90&lt;0,CZ83/-CZ90,"")</f>
        <v/>
      </c>
      <c r="DA99" s="53" t="str">
        <f aca="false">IF(DA90&lt;0,DA83/-DA90,"")</f>
        <v/>
      </c>
      <c r="DB99" s="53" t="str">
        <f aca="false">IF(DB90&lt;0,DB83/-DB90,"")</f>
        <v/>
      </c>
      <c r="DC99" s="53" t="str">
        <f aca="false">IF(DC90&lt;0,DC83/-DC90,"")</f>
        <v/>
      </c>
      <c r="DD99" s="53" t="str">
        <f aca="false">IF(DD90&lt;0,DD83/-DD90,"")</f>
        <v/>
      </c>
      <c r="DE99" s="53" t="str">
        <f aca="false">IF(DE90&lt;0,DE83/-DE90,"")</f>
        <v/>
      </c>
      <c r="DF99" s="53" t="str">
        <f aca="false">IF(DF90&lt;0,DF83/-DF90,"")</f>
        <v/>
      </c>
      <c r="DG99" s="53" t="str">
        <f aca="false">IF(DG90&lt;0,DG83/-DG90,"")</f>
        <v/>
      </c>
      <c r="DH99" s="53" t="str">
        <f aca="false">IF(DH90&lt;0,DH83/-DH90,"")</f>
        <v/>
      </c>
      <c r="DI99" s="53" t="str">
        <f aca="false">IF(DI90&lt;0,DI83/-DI90,"")</f>
        <v/>
      </c>
      <c r="DJ99" s="53" t="str">
        <f aca="false">IF(DJ90&lt;0,DJ83/-DJ90,"")</f>
        <v/>
      </c>
      <c r="DK99" s="53" t="str">
        <f aca="false">IF(DK90&lt;0,DK83/-DK90,"")</f>
        <v/>
      </c>
      <c r="DL99" s="53" t="str">
        <f aca="false">IF(DL90&lt;0,DL83/-DL90,"")</f>
        <v/>
      </c>
      <c r="DM99" s="53" t="str">
        <f aca="false">IF(DM90&lt;0,DM83/-DM90,"")</f>
        <v/>
      </c>
      <c r="DN99" s="53" t="str">
        <f aca="false">IF(DN90&lt;0,DN83/-DN90,"")</f>
        <v/>
      </c>
      <c r="DO99" s="53" t="str">
        <f aca="false">IF(DO90&lt;0,DO83/-DO90,"")</f>
        <v/>
      </c>
      <c r="DP99" s="53" t="str">
        <f aca="false">IF(DP90&lt;0,DP83/-DP90,"")</f>
        <v/>
      </c>
      <c r="DQ99" s="53" t="str">
        <f aca="false">IF(DQ90&lt;0,DQ83/-DQ90,"")</f>
        <v/>
      </c>
      <c r="DR99" s="53" t="str">
        <f aca="false">IF(DR90&lt;0,DR83/-DR90,"")</f>
        <v/>
      </c>
      <c r="DS99" s="53" t="str">
        <f aca="false">IF(DS90&lt;0,DS83/-DS90,"")</f>
        <v/>
      </c>
      <c r="DT99" s="53" t="str">
        <f aca="false">IF(DT90&lt;0,DT83/-DT90,"")</f>
        <v/>
      </c>
      <c r="DU99" s="53" t="str">
        <f aca="false">IF(DU90&lt;0,DU83/-DU90,"")</f>
        <v/>
      </c>
      <c r="DV99" s="53" t="str">
        <f aca="false">IF(DV90&lt;0,DV83/-DV90,"")</f>
        <v/>
      </c>
      <c r="DW99" s="53" t="str">
        <f aca="false">IF(DW90&lt;0,DW83/-DW90,"")</f>
        <v/>
      </c>
      <c r="DX99" s="53" t="str">
        <f aca="false">IF(DX90&lt;0,DX83/-DX90,"")</f>
        <v/>
      </c>
      <c r="DY99" s="53" t="str">
        <f aca="false">IF(DY90&lt;0,DY83/-DY90,"")</f>
        <v/>
      </c>
      <c r="DZ99" s="53" t="str">
        <f aca="false">IF(DZ90&lt;0,DZ83/-DZ90,"")</f>
        <v/>
      </c>
      <c r="EA99" s="53" t="str">
        <f aca="false">IF(EA90&lt;0,EA83/-EA90,"")</f>
        <v/>
      </c>
      <c r="EB99" s="53" t="str">
        <f aca="false">IF(EB90&lt;0,EB83/-EB90,"")</f>
        <v/>
      </c>
      <c r="EC99" s="53" t="str">
        <f aca="false">IF(EC90&lt;0,EC83/-EC90,"")</f>
        <v/>
      </c>
      <c r="ED99" s="53" t="str">
        <f aca="false">IF(ED90&lt;0,ED83/-ED90,"")</f>
        <v/>
      </c>
      <c r="EE99" s="53" t="str">
        <f aca="false">IF(EE90&lt;0,EE83/-EE90,"")</f>
        <v/>
      </c>
      <c r="EF99" s="53" t="str">
        <f aca="false">IF(EF90&lt;0,EF83/-EF90,"")</f>
        <v/>
      </c>
      <c r="EG99" s="53" t="str">
        <f aca="false">IF(EG90&lt;0,EG83/-EG90,"")</f>
        <v/>
      </c>
      <c r="EH99" s="53" t="str">
        <f aca="false">IF(EH90&lt;0,EH83/-EH90,"")</f>
        <v/>
      </c>
      <c r="EI99" s="53" t="str">
        <f aca="false">IF(EI90&lt;0,EI83/-EI90,"")</f>
        <v/>
      </c>
      <c r="EJ99" s="53" t="str">
        <f aca="false">IF(EJ90&lt;0,EJ83/-EJ90,"")</f>
        <v/>
      </c>
      <c r="EK99" s="53" t="str">
        <f aca="false">IF(EK90&lt;0,EK83/-EK90,"")</f>
        <v/>
      </c>
      <c r="EL99" s="53" t="str">
        <f aca="false">IF(EL90&lt;0,EL83/-EL90,"")</f>
        <v/>
      </c>
      <c r="EM99" s="53" t="str">
        <f aca="false">IF(EM90&lt;0,EM83/-EM90,"")</f>
        <v/>
      </c>
      <c r="EN99" s="53" t="str">
        <f aca="false">IF(EN90&lt;0,EN83/-EN90,"")</f>
        <v/>
      </c>
      <c r="EO99" s="53" t="str">
        <f aca="false">IF(EO90&lt;0,EO83/-EO90,"")</f>
        <v/>
      </c>
    </row>
    <row r="101" customFormat="false" ht="15" hidden="false" customHeight="false" outlineLevel="0" collapsed="false">
      <c r="A101" s="10" t="s">
        <v>13</v>
      </c>
      <c r="B101" s="10"/>
      <c r="C101" s="10" t="s">
        <v>445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  <c r="CT101" s="10"/>
      <c r="CU101" s="10"/>
      <c r="CV101" s="10"/>
      <c r="CW101" s="1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customFormat="false" ht="15" hidden="false" customHeight="false" outlineLevel="0" collapsed="false">
      <c r="C102" s="1" t="s">
        <v>446</v>
      </c>
      <c r="D102" s="12" t="s">
        <v>33</v>
      </c>
      <c r="E102" s="48" t="n">
        <f aca="false">$I93-($I64+$I54+$I65+$I51+$I44+$I45+$I46)</f>
        <v>81960.5087748383</v>
      </c>
      <c r="I102" s="48" t="n">
        <f aca="false">SUM(J102:EO102)</f>
        <v>-81960.5087748383</v>
      </c>
      <c r="J102" s="48" t="n">
        <f aca="false">-$E102*J19</f>
        <v>-0</v>
      </c>
      <c r="K102" s="48" t="n">
        <f aca="false">-$E102*K19</f>
        <v>-0</v>
      </c>
      <c r="L102" s="48" t="n">
        <f aca="false">-$E102*L19</f>
        <v>-0</v>
      </c>
      <c r="M102" s="48" t="n">
        <f aca="false">-$E102*M19</f>
        <v>-0</v>
      </c>
      <c r="N102" s="48" t="n">
        <f aca="false">-$E102*N19</f>
        <v>-0</v>
      </c>
      <c r="O102" s="48" t="n">
        <f aca="false">-$E102*O19</f>
        <v>-0</v>
      </c>
      <c r="P102" s="48" t="n">
        <f aca="false">-$E102*P19</f>
        <v>-0</v>
      </c>
      <c r="Q102" s="48" t="n">
        <f aca="false">-$E102*Q19</f>
        <v>-0</v>
      </c>
      <c r="R102" s="48" t="n">
        <f aca="false">-$E102*R19</f>
        <v>-0</v>
      </c>
      <c r="S102" s="48" t="n">
        <f aca="false">-$E102*S19</f>
        <v>-0</v>
      </c>
      <c r="T102" s="48" t="n">
        <f aca="false">-$E102*T19</f>
        <v>-0</v>
      </c>
      <c r="U102" s="48" t="n">
        <f aca="false">-$E102*U19</f>
        <v>-0</v>
      </c>
      <c r="V102" s="48" t="n">
        <f aca="false">-$E102*V19</f>
        <v>-0</v>
      </c>
      <c r="W102" s="48" t="n">
        <f aca="false">-$E102*W19</f>
        <v>-0</v>
      </c>
      <c r="X102" s="48" t="n">
        <f aca="false">-$E102*X19</f>
        <v>-0</v>
      </c>
      <c r="Y102" s="48" t="n">
        <f aca="false">-$E102*Y19</f>
        <v>-0</v>
      </c>
      <c r="Z102" s="48" t="n">
        <f aca="false">-$E102*Z19</f>
        <v>-1032.21995992952</v>
      </c>
      <c r="AA102" s="48" t="n">
        <f aca="false">-$E102*AA19</f>
        <v>-1009.78039558322</v>
      </c>
      <c r="AB102" s="48" t="n">
        <f aca="false">-$E102*AB19</f>
        <v>-1021.00017775637</v>
      </c>
      <c r="AC102" s="48" t="n">
        <f aca="false">-$E102*AC19</f>
        <v>-1032.21995992952</v>
      </c>
      <c r="AD102" s="48" t="n">
        <f aca="false">-$E102*AD19</f>
        <v>-1032.21995992952</v>
      </c>
      <c r="AE102" s="48" t="n">
        <f aca="false">-$E102*AE19</f>
        <v>-1021.00017775637</v>
      </c>
      <c r="AF102" s="48" t="n">
        <f aca="false">-$E102*AF19</f>
        <v>-1021.00017775637</v>
      </c>
      <c r="AG102" s="48" t="n">
        <f aca="false">-$E102*AG19</f>
        <v>-1032.21995992952</v>
      </c>
      <c r="AH102" s="48" t="n">
        <f aca="false">-$E102*AH19</f>
        <v>-1032.21995992952</v>
      </c>
      <c r="AI102" s="48" t="n">
        <f aca="false">-$E102*AI19</f>
        <v>-1009.78039558322</v>
      </c>
      <c r="AJ102" s="48" t="n">
        <f aca="false">-$E102*AJ19</f>
        <v>-1021.00017775637</v>
      </c>
      <c r="AK102" s="48" t="n">
        <f aca="false">-$E102*AK19</f>
        <v>-1032.21995992952</v>
      </c>
      <c r="AL102" s="48" t="n">
        <f aca="false">-$E102*AL19</f>
        <v>-1032.21995992952</v>
      </c>
      <c r="AM102" s="48" t="n">
        <f aca="false">-$E102*AM19</f>
        <v>-1009.78039558322</v>
      </c>
      <c r="AN102" s="48" t="n">
        <f aca="false">-$E102*AN19</f>
        <v>-1021.00017775637</v>
      </c>
      <c r="AO102" s="48" t="n">
        <f aca="false">-$E102*AO19</f>
        <v>-1032.21995992952</v>
      </c>
      <c r="AP102" s="48" t="n">
        <f aca="false">-$E102*AP19</f>
        <v>-1032.21995992952</v>
      </c>
      <c r="AQ102" s="48" t="n">
        <f aca="false">-$E102*AQ19</f>
        <v>-1009.78039558322</v>
      </c>
      <c r="AR102" s="48" t="n">
        <f aca="false">-$E102*AR19</f>
        <v>-1021.00017775637</v>
      </c>
      <c r="AS102" s="48" t="n">
        <f aca="false">-$E102*AS19</f>
        <v>-1032.21995992952</v>
      </c>
      <c r="AT102" s="48" t="n">
        <f aca="false">-$E102*AT19</f>
        <v>-1032.21995992952</v>
      </c>
      <c r="AU102" s="48" t="n">
        <f aca="false">-$E102*AU19</f>
        <v>-1021.00017775637</v>
      </c>
      <c r="AV102" s="48" t="n">
        <f aca="false">-$E102*AV19</f>
        <v>-1021.00017775637</v>
      </c>
      <c r="AW102" s="48" t="n">
        <f aca="false">-$E102*AW19</f>
        <v>-1032.21995992952</v>
      </c>
      <c r="AX102" s="48" t="n">
        <f aca="false">-$E102*AX19</f>
        <v>-1032.21995992952</v>
      </c>
      <c r="AY102" s="48" t="n">
        <f aca="false">-$E102*AY19</f>
        <v>-1009.78039558322</v>
      </c>
      <c r="AZ102" s="48" t="n">
        <f aca="false">-$E102*AZ19</f>
        <v>-1021.00017775637</v>
      </c>
      <c r="BA102" s="48" t="n">
        <f aca="false">-$E102*BA19</f>
        <v>-1032.21995992952</v>
      </c>
      <c r="BB102" s="48" t="n">
        <f aca="false">-$E102*BB19</f>
        <v>-1032.21995992952</v>
      </c>
      <c r="BC102" s="48" t="n">
        <f aca="false">-$E102*BC19</f>
        <v>-1009.78039558322</v>
      </c>
      <c r="BD102" s="48" t="n">
        <f aca="false">-$E102*BD19</f>
        <v>-1021.00017775637</v>
      </c>
      <c r="BE102" s="48" t="n">
        <f aca="false">-$E102*BE19</f>
        <v>-1032.21995992952</v>
      </c>
      <c r="BF102" s="48" t="n">
        <f aca="false">-$E102*BF19</f>
        <v>-1032.21995992952</v>
      </c>
      <c r="BG102" s="48" t="n">
        <f aca="false">-$E102*BG19</f>
        <v>-1009.78039558322</v>
      </c>
      <c r="BH102" s="48" t="n">
        <f aca="false">-$E102*BH19</f>
        <v>-1021.00017775637</v>
      </c>
      <c r="BI102" s="48" t="n">
        <f aca="false">-$E102*BI19</f>
        <v>-1032.21995992952</v>
      </c>
      <c r="BJ102" s="48" t="n">
        <f aca="false">-$E102*BJ19</f>
        <v>-1032.21995992952</v>
      </c>
      <c r="BK102" s="48" t="n">
        <f aca="false">-$E102*BK19</f>
        <v>-1021.00017775637</v>
      </c>
      <c r="BL102" s="48" t="n">
        <f aca="false">-$E102*BL19</f>
        <v>-1021.00017775637</v>
      </c>
      <c r="BM102" s="48" t="n">
        <f aca="false">-$E102*BM19</f>
        <v>-1032.21995992952</v>
      </c>
      <c r="BN102" s="48" t="n">
        <f aca="false">-$E102*BN19</f>
        <v>-1032.21995992952</v>
      </c>
      <c r="BO102" s="48" t="n">
        <f aca="false">-$E102*BO19</f>
        <v>-1009.78039558322</v>
      </c>
      <c r="BP102" s="48" t="n">
        <f aca="false">-$E102*BP19</f>
        <v>-1021.00017775637</v>
      </c>
      <c r="BQ102" s="48" t="n">
        <f aca="false">-$E102*BQ19</f>
        <v>-1032.21995992952</v>
      </c>
      <c r="BR102" s="48" t="n">
        <f aca="false">-$E102*BR19</f>
        <v>-1032.21995992952</v>
      </c>
      <c r="BS102" s="48" t="n">
        <f aca="false">-$E102*BS19</f>
        <v>-1009.78039558322</v>
      </c>
      <c r="BT102" s="48" t="n">
        <f aca="false">-$E102*BT19</f>
        <v>-1021.00017775637</v>
      </c>
      <c r="BU102" s="48" t="n">
        <f aca="false">-$E102*BU19</f>
        <v>-1032.21995992952</v>
      </c>
      <c r="BV102" s="48" t="n">
        <f aca="false">-$E102*BV19</f>
        <v>-1032.21995992952</v>
      </c>
      <c r="BW102" s="48" t="n">
        <f aca="false">-$E102*BW19</f>
        <v>-1009.78039558322</v>
      </c>
      <c r="BX102" s="48" t="n">
        <f aca="false">-$E102*BX19</f>
        <v>-1021.00017775637</v>
      </c>
      <c r="BY102" s="48" t="n">
        <f aca="false">-$E102*BY19</f>
        <v>-1032.21995992952</v>
      </c>
      <c r="BZ102" s="48" t="n">
        <f aca="false">-$E102*BZ19</f>
        <v>-1032.21995992952</v>
      </c>
      <c r="CA102" s="48" t="n">
        <f aca="false">-$E102*CA19</f>
        <v>-1021.00017775637</v>
      </c>
      <c r="CB102" s="48" t="n">
        <f aca="false">-$E102*CB19</f>
        <v>-1021.00017775637</v>
      </c>
      <c r="CC102" s="48" t="n">
        <f aca="false">-$E102*CC19</f>
        <v>-1032.21995992952</v>
      </c>
      <c r="CD102" s="48" t="n">
        <f aca="false">-$E102*CD19</f>
        <v>-1032.21995992952</v>
      </c>
      <c r="CE102" s="48" t="n">
        <f aca="false">-$E102*CE19</f>
        <v>-1009.78039558322</v>
      </c>
      <c r="CF102" s="48" t="n">
        <f aca="false">-$E102*CF19</f>
        <v>-1021.00017775637</v>
      </c>
      <c r="CG102" s="48" t="n">
        <f aca="false">-$E102*CG19</f>
        <v>-1032.21995992952</v>
      </c>
      <c r="CH102" s="48" t="n">
        <f aca="false">-$E102*CH19</f>
        <v>-1032.21995992952</v>
      </c>
      <c r="CI102" s="48" t="n">
        <f aca="false">-$E102*CI19</f>
        <v>-1009.78039558322</v>
      </c>
      <c r="CJ102" s="48" t="n">
        <f aca="false">-$E102*CJ19</f>
        <v>-1021.00017775637</v>
      </c>
      <c r="CK102" s="48" t="n">
        <f aca="false">-$E102*CK19</f>
        <v>-1032.21995992952</v>
      </c>
      <c r="CL102" s="48" t="n">
        <f aca="false">-$E102*CL19</f>
        <v>-1032.21995992952</v>
      </c>
      <c r="CM102" s="48" t="n">
        <f aca="false">-$E102*CM19</f>
        <v>-1009.78039558322</v>
      </c>
      <c r="CN102" s="48" t="n">
        <f aca="false">-$E102*CN19</f>
        <v>-1021.00017775637</v>
      </c>
      <c r="CO102" s="48" t="n">
        <f aca="false">-$E102*CO19</f>
        <v>-1032.21995992952</v>
      </c>
      <c r="CP102" s="48" t="n">
        <f aca="false">-$E102*CP19</f>
        <v>-1032.21995992952</v>
      </c>
      <c r="CQ102" s="48" t="n">
        <f aca="false">-$E102*CQ19</f>
        <v>-1021.00017775637</v>
      </c>
      <c r="CR102" s="48" t="n">
        <f aca="false">-$E102*CR19</f>
        <v>-1021.00017775637</v>
      </c>
      <c r="CS102" s="48" t="n">
        <f aca="false">-$E102*CS19</f>
        <v>-1032.21995992952</v>
      </c>
      <c r="CT102" s="48" t="n">
        <f aca="false">-$E102*CT19</f>
        <v>-1032.21995992952</v>
      </c>
      <c r="CU102" s="48" t="n">
        <f aca="false">-$E102*CU19</f>
        <v>-1009.78039558322</v>
      </c>
      <c r="CV102" s="48" t="n">
        <f aca="false">-$E102*CV19</f>
        <v>-1021.00017775637</v>
      </c>
      <c r="CW102" s="48" t="n">
        <f aca="false">-$E102*CW19</f>
        <v>-1032.21995992952</v>
      </c>
      <c r="CX102" s="48" t="n">
        <f aca="false">-$E102*CX19</f>
        <v>-1032.21995992952</v>
      </c>
      <c r="CY102" s="48" t="n">
        <f aca="false">-$E102*CY19</f>
        <v>-1009.78039558322</v>
      </c>
      <c r="CZ102" s="48" t="n">
        <f aca="false">-$E102*CZ19</f>
        <v>-1021.00017775637</v>
      </c>
      <c r="DA102" s="48" t="n">
        <f aca="false">-$E102*DA19</f>
        <v>-1032.21995992952</v>
      </c>
      <c r="DB102" s="48" t="n">
        <f aca="false">-$E102*DB19</f>
        <v>-0</v>
      </c>
      <c r="DC102" s="48" t="n">
        <f aca="false">-$E102*DC19</f>
        <v>-0</v>
      </c>
      <c r="DD102" s="48" t="n">
        <f aca="false">-$E102*DD19</f>
        <v>-0</v>
      </c>
      <c r="DE102" s="48" t="n">
        <f aca="false">-$E102*DE19</f>
        <v>-0</v>
      </c>
      <c r="DF102" s="48" t="n">
        <f aca="false">-$E102*DF19</f>
        <v>-0</v>
      </c>
      <c r="DG102" s="48" t="n">
        <f aca="false">-$E102*DG19</f>
        <v>-0</v>
      </c>
      <c r="DH102" s="48" t="n">
        <f aca="false">-$E102*DH19</f>
        <v>-0</v>
      </c>
      <c r="DI102" s="48" t="n">
        <f aca="false">-$E102*DI19</f>
        <v>-0</v>
      </c>
      <c r="DJ102" s="48" t="n">
        <f aca="false">-$E102*DJ19</f>
        <v>-0</v>
      </c>
      <c r="DK102" s="48" t="n">
        <f aca="false">-$E102*DK19</f>
        <v>-0</v>
      </c>
      <c r="DL102" s="48" t="n">
        <f aca="false">-$E102*DL19</f>
        <v>-0</v>
      </c>
      <c r="DM102" s="48" t="n">
        <f aca="false">-$E102*DM19</f>
        <v>-0</v>
      </c>
      <c r="DN102" s="48" t="n">
        <f aca="false">-$E102*DN19</f>
        <v>-0</v>
      </c>
      <c r="DO102" s="48" t="n">
        <f aca="false">-$E102*DO19</f>
        <v>-0</v>
      </c>
      <c r="DP102" s="48" t="n">
        <f aca="false">-$E102*DP19</f>
        <v>-0</v>
      </c>
      <c r="DQ102" s="48" t="n">
        <f aca="false">-$E102*DQ19</f>
        <v>-0</v>
      </c>
      <c r="DR102" s="48" t="n">
        <f aca="false">-$E102*DR19</f>
        <v>-0</v>
      </c>
      <c r="DS102" s="48" t="n">
        <f aca="false">-$E102*DS19</f>
        <v>-0</v>
      </c>
      <c r="DT102" s="48" t="n">
        <f aca="false">-$E102*DT19</f>
        <v>-0</v>
      </c>
      <c r="DU102" s="48" t="n">
        <f aca="false">-$E102*DU19</f>
        <v>-0</v>
      </c>
      <c r="DV102" s="48" t="n">
        <f aca="false">-$E102*DV19</f>
        <v>-0</v>
      </c>
      <c r="DW102" s="48" t="n">
        <f aca="false">-$E102*DW19</f>
        <v>-0</v>
      </c>
      <c r="DX102" s="48" t="n">
        <f aca="false">-$E102*DX19</f>
        <v>-0</v>
      </c>
      <c r="DY102" s="48" t="n">
        <f aca="false">-$E102*DY19</f>
        <v>-0</v>
      </c>
      <c r="DZ102" s="48" t="n">
        <f aca="false">-$E102*DZ19</f>
        <v>-0</v>
      </c>
      <c r="EA102" s="48" t="n">
        <f aca="false">-$E102*EA19</f>
        <v>-0</v>
      </c>
      <c r="EB102" s="48" t="n">
        <f aca="false">-$E102*EB19</f>
        <v>-0</v>
      </c>
      <c r="EC102" s="48" t="n">
        <f aca="false">-$E102*EC19</f>
        <v>-0</v>
      </c>
      <c r="ED102" s="48" t="n">
        <f aca="false">-$E102*ED19</f>
        <v>-0</v>
      </c>
      <c r="EE102" s="48" t="n">
        <f aca="false">-$E102*EE19</f>
        <v>-0</v>
      </c>
      <c r="EF102" s="48" t="n">
        <f aca="false">-$E102*EF19</f>
        <v>-0</v>
      </c>
      <c r="EG102" s="48" t="n">
        <f aca="false">-$E102*EG19</f>
        <v>-0</v>
      </c>
      <c r="EH102" s="48" t="n">
        <f aca="false">-$E102*EH19</f>
        <v>-0</v>
      </c>
      <c r="EI102" s="48" t="n">
        <f aca="false">-$E102*EI19</f>
        <v>-0</v>
      </c>
      <c r="EJ102" s="48" t="n">
        <f aca="false">-$E102*EJ19</f>
        <v>-0</v>
      </c>
      <c r="EK102" s="48" t="n">
        <f aca="false">-$E102*EK19</f>
        <v>-0</v>
      </c>
      <c r="EL102" s="48" t="n">
        <f aca="false">-$E102*EL19</f>
        <v>-0</v>
      </c>
      <c r="EM102" s="48" t="n">
        <f aca="false">-$E102*EM19</f>
        <v>-0</v>
      </c>
      <c r="EN102" s="48" t="n">
        <f aca="false">-$E102*EN19</f>
        <v>-0</v>
      </c>
      <c r="EO102" s="48" t="n">
        <f aca="false">-$E102*EO19</f>
        <v>-0</v>
      </c>
    </row>
    <row r="103" customFormat="false" ht="15" hidden="false" customHeight="false" outlineLevel="0" collapsed="false">
      <c r="C103" s="1" t="s">
        <v>447</v>
      </c>
      <c r="D103" s="12" t="s">
        <v>33</v>
      </c>
      <c r="I103" s="48" t="n">
        <f aca="false">SUM(J103:EO103)</f>
        <v>163027.382792808</v>
      </c>
      <c r="J103" s="48" t="n">
        <f aca="false">J79+J102+J89+J96+J97+J48+J55</f>
        <v>-12.8099380746857</v>
      </c>
      <c r="K103" s="48" t="n">
        <f aca="false">K79+K102+K89+K96+K97+K48+K55</f>
        <v>-19.6746856821167</v>
      </c>
      <c r="L103" s="48" t="n">
        <f aca="false">L79+L102+L89+L96+L97+L48+L55</f>
        <v>-33.1554888346782</v>
      </c>
      <c r="M103" s="48" t="n">
        <f aca="false">M79+M102+M89+M96+M97+M48+M55</f>
        <v>-33.5198348658285</v>
      </c>
      <c r="N103" s="48" t="n">
        <f aca="false">N79+N102+N89+N96+N97+N48+N55</f>
        <v>-33.5198348658285</v>
      </c>
      <c r="O103" s="48" t="n">
        <f aca="false">O79+O102+O89+O96+O97+O48+O55</f>
        <v>-33.1554888346782</v>
      </c>
      <c r="P103" s="48" t="n">
        <f aca="false">P79+P102+P89+P96+P97+P48+P55</f>
        <v>-33.1554888346782</v>
      </c>
      <c r="Q103" s="48" t="n">
        <f aca="false">Q79+Q102+Q89+Q96+Q97+Q48+Q55</f>
        <v>-33.5198348658285</v>
      </c>
      <c r="R103" s="48" t="n">
        <f aca="false">R79+R102+R89+R96+R97+R48+R55</f>
        <v>-1138.3266555051</v>
      </c>
      <c r="S103" s="48" t="n">
        <f aca="false">S79+S102+S89+S96+S97+S48+S55</f>
        <v>-176.709668837772</v>
      </c>
      <c r="T103" s="48" t="n">
        <f aca="false">T79+T102+T89+T96+T97+T48+T55</f>
        <v>-153.642236893986</v>
      </c>
      <c r="U103" s="48" t="n">
        <f aca="false">U79+U102+U89+U96+U97+U48+U55</f>
        <v>-142.836793482006</v>
      </c>
      <c r="V103" s="48" t="n">
        <f aca="false">V79+V102+V89+V96+V97+V48+V55</f>
        <v>-130.205679119086</v>
      </c>
      <c r="W103" s="48" t="n">
        <f aca="false">W79+W102+W89+W96+W97+W48+W55</f>
        <v>-116.060527129856</v>
      </c>
      <c r="X103" s="48" t="n">
        <f aca="false">X79+X102+X89+X96+X97+X48+X55</f>
        <v>-105.127873675643</v>
      </c>
      <c r="Y103" s="48" t="n">
        <f aca="false">Y79+Y102+Y89+Y96+Y97+Y48+Y55</f>
        <v>-93.7893053931319</v>
      </c>
      <c r="Z103" s="48" t="n">
        <f aca="false">Z79+Z102+Z89+Z96+Z97+Z48+Z55</f>
        <v>502.606292480273</v>
      </c>
      <c r="AA103" s="48" t="n">
        <f aca="false">AA79+AA102+AA89+AA96+AA97+AA48+AA55</f>
        <v>497.17961203877</v>
      </c>
      <c r="AB103" s="48" t="n">
        <f aca="false">AB79+AB102+AB89+AB96+AB97+AB48+AB55</f>
        <v>515.750165110817</v>
      </c>
      <c r="AC103" s="48" t="n">
        <f aca="false">AC79+AC102+AC89+AC96+AC97+AC48+AC55</f>
        <v>534.542227488171</v>
      </c>
      <c r="AD103" s="48" t="n">
        <f aca="false">AD79+AD102+AD89+AD96+AD97+AD48+AD55</f>
        <v>532.571649971722</v>
      </c>
      <c r="AE103" s="48" t="n">
        <f aca="false">AE79+AE102+AE89+AE96+AE97+AE48+AE55</f>
        <v>540.223216569071</v>
      </c>
      <c r="AF103" s="48" t="n">
        <f aca="false">AF79+AF102+AF89+AF96+AF97+AF48+AF55</f>
        <v>546.30568612279</v>
      </c>
      <c r="AG103" s="48" t="n">
        <f aca="false">AG79+AG102+AG89+AG96+AG97+AG48+AG55</f>
        <v>565.503273677104</v>
      </c>
      <c r="AH103" s="48" t="n">
        <f aca="false">AH79+AH102+AH89+AH96+AH97+AH48+AH55</f>
        <v>563.820128289297</v>
      </c>
      <c r="AI103" s="48" t="n">
        <f aca="false">AI79+AI102+AI89+AI96+AI97+AI48+AI55</f>
        <v>558.418217772796</v>
      </c>
      <c r="AJ103" s="48" t="n">
        <f aca="false">AJ79+AJ102+AJ89+AJ96+AJ97+AJ48+AJ55</f>
        <v>610.793713056465</v>
      </c>
      <c r="AK103" s="48" t="n">
        <f aca="false">AK79+AK102+AK89+AK96+AK97+AK48+AK55</f>
        <v>630.796763847092</v>
      </c>
      <c r="AL103" s="48" t="n">
        <f aca="false">AL79+AL102+AL89+AL96+AL97+AL48+AL55</f>
        <v>629.435536162084</v>
      </c>
      <c r="AM103" s="48" t="n">
        <f aca="false">AM79+AM102+AM89+AM96+AM97+AM48+AM55</f>
        <v>623.45365825787</v>
      </c>
      <c r="AN103" s="48" t="n">
        <f aca="false">AN79+AN102+AN89+AN96+AN97+AN48+AN55</f>
        <v>643.646689061662</v>
      </c>
      <c r="AO103" s="48" t="n">
        <f aca="false">AO79+AO102+AO89+AO96+AO97+AO48+AO55</f>
        <v>664.071696436966</v>
      </c>
      <c r="AP103" s="48" t="n">
        <f aca="false">AP79+AP102+AP89+AP96+AP97+AP48+AP55</f>
        <v>663.01857480866</v>
      </c>
      <c r="AQ103" s="48" t="n">
        <f aca="false">AQ79+AQ102+AQ89+AQ96+AQ97+AQ48+AQ55</f>
        <v>657.104216287188</v>
      </c>
      <c r="AR103" s="48" t="n">
        <f aca="false">AR79+AR102+AR89+AR96+AR97+AR48+AR55</f>
        <v>677.72803012249</v>
      </c>
      <c r="AS103" s="48" t="n">
        <f aca="false">AS79+AS102+AS89+AS96+AS97+AS48+AS55</f>
        <v>698.588563314684</v>
      </c>
      <c r="AT103" s="48" t="n">
        <f aca="false">AT79+AT102+AT89+AT96+AT97+AT48+AT55</f>
        <v>697.859487983214</v>
      </c>
      <c r="AU103" s="48" t="n">
        <f aca="false">AU79+AU102+AU89+AU96+AU97+AU48+AU55</f>
        <v>705.695777514496</v>
      </c>
      <c r="AV103" s="48" t="n">
        <f aca="false">AV79+AV102+AV89+AV96+AV97+AV48+AV55</f>
        <v>713.248350492743</v>
      </c>
      <c r="AW103" s="48" t="n">
        <f aca="false">AW79+AW102+AW89+AW96+AW97+AW48+AW55</f>
        <v>734.56045032706</v>
      </c>
      <c r="AX103" s="48" t="n">
        <f aca="false">AX79+AX102+AX89+AX96+AX97+AX48+AX55</f>
        <v>734.173950139249</v>
      </c>
      <c r="AY103" s="48" t="n">
        <f aca="false">AY79+AY102+AY89+AY96+AY97+AY48+AY55</f>
        <v>728.438009801012</v>
      </c>
      <c r="AZ103" s="48" t="n">
        <f aca="false">AZ79+AZ102+AZ89+AZ96+AZ97+AZ48+AZ55</f>
        <v>749.968041148196</v>
      </c>
      <c r="BA103" s="48" t="n">
        <f aca="false">BA79+BA102+BA89+BA96+BA97+BA48+BA55</f>
        <v>771.744854090154</v>
      </c>
      <c r="BB103" s="48" t="n">
        <f aca="false">BB79+BB102+BB89+BB96+BB97+BB48+BB55</f>
        <v>771.716618965401</v>
      </c>
      <c r="BC103" s="48" t="n">
        <f aca="false">BC79+BC102+BC89+BC96+BC97+BC48+BC55</f>
        <v>766.091245729481</v>
      </c>
      <c r="BD103" s="48" t="n">
        <f aca="false">BD79+BD102+BD89+BD96+BD97+BD48+BD55</f>
        <v>788.09627371151</v>
      </c>
      <c r="BE103" s="48" t="n">
        <f aca="false">BE79+BE102+BE89+BE96+BE97+BE48+BE55</f>
        <v>810.353398576586</v>
      </c>
      <c r="BF103" s="48" t="n">
        <f aca="false">BF79+BF102+BF89+BF96+BF97+BF48+BF55</f>
        <v>810.701692348056</v>
      </c>
      <c r="BG103" s="48" t="n">
        <f aca="false">BG79+BG102+BG89+BG96+BG97+BG48+BG55</f>
        <v>805.202718321359</v>
      </c>
      <c r="BH103" s="48" t="n">
        <f aca="false">BH79+BH102+BH89+BH96+BH97+BH48+BH55</f>
        <v>827.698876392838</v>
      </c>
      <c r="BI103" s="48" t="n">
        <f aca="false">BI79+BI102+BI89+BI96+BI97+BI48+BI55</f>
        <v>850.452655176542</v>
      </c>
      <c r="BJ103" s="48" t="n">
        <f aca="false">BJ79+BJ102+BJ89+BJ96+BJ97+BJ48+BJ55</f>
        <v>851.196588534018</v>
      </c>
      <c r="BK103" s="48" t="n">
        <f aca="false">BK79+BK102+BK89+BK96+BK97+BK48+BK55</f>
        <v>859.73399132703</v>
      </c>
      <c r="BL103" s="48" t="n">
        <f aca="false">BL79+BL102+BL89+BL96+BL97+BL48+BL55</f>
        <v>868.999649601847</v>
      </c>
      <c r="BM103" s="48" t="n">
        <f aca="false">BM79+BM102+BM89+BM96+BM97+BM48+BM55</f>
        <v>892.269048812667</v>
      </c>
      <c r="BN103" s="48" t="n">
        <f aca="false">BN79+BN102+BN89+BN96+BN97+BN48+BN55</f>
        <v>893.430485595192</v>
      </c>
      <c r="BO103" s="48" t="n">
        <f aca="false">BO79+BO102+BO89+BO96+BO97+BO48+BO55</f>
        <v>888.236997567865</v>
      </c>
      <c r="BP103" s="48" t="n">
        <f aca="false">BP79+BP102+BP89+BP96+BP97+BP48+BP55</f>
        <v>911.768846361616</v>
      </c>
      <c r="BQ103" s="48" t="n">
        <f aca="false">BQ79+BQ102+BQ89+BQ96+BQ97+BQ48+BQ55</f>
        <v>935.570051352578</v>
      </c>
      <c r="BR103" s="48" t="n">
        <f aca="false">BR79+BR102+BR89+BR96+BR97+BR48+BR55</f>
        <v>937.168141069903</v>
      </c>
      <c r="BS103" s="48" t="n">
        <f aca="false">BS79+BS102+BS89+BS96+BS97+BS48+BS55</f>
        <v>932.153694264309</v>
      </c>
      <c r="BT103" s="48" t="n">
        <f aca="false">BT79+BT102+BT89+BT96+BT97+BT48+BT55</f>
        <v>956.229941667114</v>
      </c>
      <c r="BU103" s="48" t="n">
        <f aca="false">BU79+BU102+BU89+BU96+BU97+BU48+BU55</f>
        <v>980.581756161439</v>
      </c>
      <c r="BV103" s="48" t="n">
        <f aca="false">BV79+BV102+BV89+BV96+BV97+BV48+BV55</f>
        <v>982.638400531062</v>
      </c>
      <c r="BW103" s="48" t="n">
        <f aca="false">BW79+BW102+BW89+BW96+BW97+BW48+BW55</f>
        <v>977.82233854842</v>
      </c>
      <c r="BX103" s="48" t="n">
        <f aca="false">BX79+BX102+BX89+BX96+BX97+BX48+BX55</f>
        <v>1002.46243943542</v>
      </c>
      <c r="BY103" s="48" t="n">
        <f aca="false">BY79+BY102+BY89+BY96+BY97+BY48+BY55</f>
        <v>1027.38456876696</v>
      </c>
      <c r="BZ103" s="48" t="n">
        <f aca="false">BZ79+BZ102+BZ89+BZ96+BZ97+BZ48+BZ55</f>
        <v>1029.92268723356</v>
      </c>
      <c r="CA103" s="48" t="n">
        <f aca="false">CA79+CA102+CA89+CA96+CA97+CA48+CA55</f>
        <v>1039.39603696313</v>
      </c>
      <c r="CB103" s="48" t="n">
        <f aca="false">CB79+CB102+CB89+CB96+CB97+CB48+CB55</f>
        <v>1050.70552580401</v>
      </c>
      <c r="CC103" s="48" t="n">
        <f aca="false">CC79+CC102+CC89+CC96+CC97+CC48+CC55</f>
        <v>1076.22047851409</v>
      </c>
      <c r="CD103" s="48" t="n">
        <f aca="false">CD79+CD102+CD89+CD96+CD97+CD48+CD55</f>
        <v>1079.2659353105</v>
      </c>
      <c r="CE103" s="48" t="n">
        <f aca="false">CE79+CE102+CE89+CE96+CE97+CE48+CE55</f>
        <v>1074.91056394856</v>
      </c>
      <c r="CF103" s="48" t="n">
        <f aca="false">CF79+CF102+CF89+CF96+CF97+CF48+CF55</f>
        <v>1100.7424444056</v>
      </c>
      <c r="CG103" s="48" t="n">
        <f aca="false">CG79+CG102+CG89+CG96+CG97+CG48+CG55</f>
        <v>1126.8700979182</v>
      </c>
      <c r="CH103" s="48" t="n">
        <f aca="false">CH79+CH102+CH89+CH96+CH97+CH48+CH55</f>
        <v>1130.44620585838</v>
      </c>
      <c r="CI103" s="48" t="n">
        <f aca="false">CI79+CI102+CI89+CI96+CI97+CI48+CI55</f>
        <v>1126.35344643902</v>
      </c>
      <c r="CJ103" s="48" t="n">
        <f aca="false">CJ79+CJ102+CJ89+CJ96+CJ97+CJ48+CJ55</f>
        <v>1152.81343166155</v>
      </c>
      <c r="CK103" s="48" t="n">
        <f aca="false">CK79+CK102+CK89+CK96+CK97+CK48+CK55</f>
        <v>1179.57647662403</v>
      </c>
      <c r="CL103" s="48" t="n">
        <f aca="false">CL79+CL102+CL89+CL96+CL97+CL48+CL55</f>
        <v>1183.70950926518</v>
      </c>
      <c r="CM103" s="48" t="n">
        <f aca="false">CM79+CM102+CM89+CM96+CM97+CM48+CM55</f>
        <v>1179.9029454597</v>
      </c>
      <c r="CN103" s="48" t="n">
        <f aca="false">CN79+CN102+CN89+CN96+CN97+CN48+CN55</f>
        <v>1207.01451858963</v>
      </c>
      <c r="CO103" s="48" t="n">
        <f aca="false">CO79+CO102+CO89+CO96+CO97+CO48+CO55</f>
        <v>1234.4367391994</v>
      </c>
      <c r="CP103" s="48" t="n">
        <f aca="false">CP79+CP102+CP89+CP96+CP97+CP48+CP55</f>
        <v>1239.15419369567</v>
      </c>
      <c r="CQ103" s="48" t="n">
        <f aca="false">CQ79+CQ102+CQ89+CQ96+CQ97+CQ48+CQ55</f>
        <v>1249.85367117829</v>
      </c>
      <c r="CR103" s="48" t="n">
        <f aca="false">CR79+CR102+CR89+CR96+CR97+CR48+CR55</f>
        <v>1263.6029539471</v>
      </c>
      <c r="CS103" s="48" t="n">
        <f aca="false">CS79+CS102+CS89+CS96+CS97+CS48+CS55</f>
        <v>1291.71114772144</v>
      </c>
      <c r="CT103" s="48" t="n">
        <f aca="false">CT79+CT102+CT89+CT96+CT97+CT48+CT55</f>
        <v>1297.04369056414</v>
      </c>
      <c r="CU103" s="48" t="n">
        <f aca="false">CU79+CU102+CU89+CU96+CU97+CU48+CU55</f>
        <v>1279.53442872586</v>
      </c>
      <c r="CV103" s="48" t="n">
        <f aca="false">CV79+CV102+CV89+CV96+CV97+CV48+CV55</f>
        <v>1293.75147793392</v>
      </c>
      <c r="CW103" s="48" t="n">
        <f aca="false">CW79+CW102+CW89+CW96+CW97+CW48+CW55</f>
        <v>1307.96852714199</v>
      </c>
      <c r="CX103" s="48" t="n">
        <f aca="false">CX79+CX102+CX89+CX96+CX97+CX48+CX55</f>
        <v>1299.0123028964</v>
      </c>
      <c r="CY103" s="48" t="n">
        <f aca="false">CY79+CY102+CY89+CY96+CY97+CY48+CY55</f>
        <v>1281.16277551773</v>
      </c>
      <c r="CZ103" s="48" t="n">
        <f aca="false">CZ79+CZ102+CZ89+CZ96+CZ97+CZ48+CZ55</f>
        <v>1295.39791746793</v>
      </c>
      <c r="DA103" s="48" t="n">
        <f aca="false">DA79+DA102+DA89+DA96+DA97+DA48+DA55</f>
        <v>1309.63305941813</v>
      </c>
      <c r="DB103" s="48" t="n">
        <f aca="false">DB79+DB102+DB89+DB96+DB97+DB48+DB55</f>
        <v>2332.84341003562</v>
      </c>
      <c r="DC103" s="48" t="n">
        <f aca="false">DC79+DC102+DC89+DC96+DC97+DC48+DC55</f>
        <v>2292.21074162574</v>
      </c>
      <c r="DD103" s="48" t="n">
        <f aca="false">DD79+DD102+DD89+DD96+DD97+DD48+DD55</f>
        <v>2317.67974986603</v>
      </c>
      <c r="DE103" s="48" t="n">
        <f aca="false">DE79+DE102+DE89+DE96+DE97+DE48+DE55</f>
        <v>2343.14875810631</v>
      </c>
      <c r="DF103" s="48" t="n">
        <f aca="false">DF79+DF102+DF89+DF96+DF97+DF48+DF55</f>
        <v>2334.08566032166</v>
      </c>
      <c r="DG103" s="48" t="n">
        <f aca="false">DG79+DG102+DG89+DG96+DG97+DG48+DG55</f>
        <v>2318.58501268533</v>
      </c>
      <c r="DH103" s="48" t="n">
        <f aca="false">DH79+DH102+DH89+DH96+DH97+DH48+DH55</f>
        <v>2318.58501268533</v>
      </c>
      <c r="DI103" s="48" t="n">
        <f aca="false">DI79+DI102+DI89+DI96+DI97+DI48+DI55</f>
        <v>2344.06396886868</v>
      </c>
      <c r="DJ103" s="48" t="n">
        <f aca="false">DJ79+DJ102+DJ89+DJ96+DJ97+DJ48+DJ55</f>
        <v>2334.94728416399</v>
      </c>
      <c r="DK103" s="48" t="n">
        <f aca="false">DK79+DK102+DK89+DK96+DK97+DK48+DK55</f>
        <v>2293.61733770569</v>
      </c>
      <c r="DL103" s="48" t="n">
        <f aca="false">DL79+DL102+DL89+DL96+DL97+DL48+DL55</f>
        <v>2319.10197479131</v>
      </c>
      <c r="DM103" s="48" t="n">
        <f aca="false">DM79+DM102+DM89+DM96+DM97+DM48+DM55</f>
        <v>2344.58661187693</v>
      </c>
      <c r="DN103" s="48" t="n">
        <f aca="false">DN79+DN102+DN89+DN96+DN97+DN48+DN55</f>
        <v>2335.41624692326</v>
      </c>
      <c r="DO103" s="48" t="n">
        <f aca="false">DO79+DO102+DO89+DO96+DO97+DO48+DO55</f>
        <v>2293.73250114924</v>
      </c>
      <c r="DP103" s="48" t="n">
        <f aca="false">DP79+DP102+DP89+DP96+DP97+DP48+DP55</f>
        <v>2319.21841782868</v>
      </c>
      <c r="DQ103" s="48" t="n">
        <f aca="false">DQ79+DQ102+DQ89+DQ96+DQ97+DQ48+DQ55</f>
        <v>2344.70433450812</v>
      </c>
      <c r="DR103" s="48" t="n">
        <f aca="false">DR79+DR102+DR89+DR96+DR97+DR48+DR55</f>
        <v>2335.4802012586</v>
      </c>
      <c r="DS103" s="48" t="n">
        <f aca="false">DS79+DS102+DS89+DS96+DS97+DS48+DS55</f>
        <v>2293.43914907761</v>
      </c>
      <c r="DT103" s="48" t="n">
        <f aca="false">DT79+DT102+DT89+DT96+DT97+DT48+DT55</f>
        <v>2318.92180628959</v>
      </c>
      <c r="DU103" s="48" t="n">
        <f aca="false">DU79+DU102+DU89+DU96+DU97+DU48+DU55</f>
        <v>2344.40446350156</v>
      </c>
      <c r="DV103" s="48" t="n">
        <f aca="false">DV79+DV102+DV89+DV96+DV97+DV48+DV55</f>
        <v>2335.12647935891</v>
      </c>
      <c r="DW103" s="48" t="n">
        <f aca="false">DW79+DW102+DW89+DW96+DW97+DW48+DW55</f>
        <v>2318.19927963646</v>
      </c>
      <c r="DX103" s="48" t="n">
        <f aca="false">DX79+DX102+DX89+DX96+DX97+DX48+DX55</f>
        <v>2318.19927963646</v>
      </c>
      <c r="DY103" s="48" t="n">
        <f aca="false">DY79+DY102+DY89+DY96+DY97+DY48+DY55</f>
        <v>2343.6739969951</v>
      </c>
      <c r="DZ103" s="48" t="n">
        <f aca="false">DZ79+DZ102+DZ89+DZ96+DZ97+DZ48+DZ55</f>
        <v>2334.34208498317</v>
      </c>
      <c r="EA103" s="48" t="n">
        <f aca="false">EA79+EA102+EA89+EA96+EA97+EA48+EA55</f>
        <v>2291.57569209672</v>
      </c>
      <c r="EB103" s="48" t="n">
        <f aca="false">EB79+EB102+EB89+EB96+EB97+EB48+EB55</f>
        <v>2317.03764423113</v>
      </c>
      <c r="EC103" s="48" t="n">
        <f aca="false">EC79+EC102+EC89+EC96+EC97+EC48+EC55</f>
        <v>2342.49959636554</v>
      </c>
      <c r="ED103" s="48" t="n">
        <f aca="false">ED79+ED102+ED89+ED96+ED97+ED48+ED55</f>
        <v>2333.11368530497</v>
      </c>
      <c r="EE103" s="48" t="n">
        <f aca="false">EE79+EE102+EE89+EE96+EE97+EE48+EE55</f>
        <v>2289.97915226266</v>
      </c>
      <c r="EF103" s="48" t="n">
        <f aca="false">EF79+EF102+EF89+EF96+EF97+EF48+EF55</f>
        <v>2315.42336506558</v>
      </c>
      <c r="EG103" s="48" t="n">
        <f aca="false">EG79+EG102+EG89+EG96+EG97+EG48+EG55</f>
        <v>2340.8675778685</v>
      </c>
      <c r="EH103" s="48" t="n">
        <f aca="false">EH79+EH102+EH89+EH96+EH97+EH48+EH55</f>
        <v>2331.42760255663</v>
      </c>
      <c r="EI103" s="48" t="n">
        <f aca="false">EI79+EI102+EI89+EI96+EI97+EI48+EI55</f>
        <v>2287.92121050596</v>
      </c>
      <c r="EJ103" s="48" t="n">
        <f aca="false">EJ79+EJ102+EJ89+EJ96+EJ97+EJ48+EJ55</f>
        <v>2313.34255728936</v>
      </c>
      <c r="EK103" s="48" t="n">
        <f aca="false">EK79+EK102+EK89+EK96+EK97+EK48+EK55</f>
        <v>2338.76390407276</v>
      </c>
      <c r="EL103" s="48" t="n">
        <f aca="false">EL79+EL102+EL89+EL96+EL97+EL48+EL55</f>
        <v>2329.26980546783</v>
      </c>
      <c r="EM103" s="48" t="n">
        <f aca="false">EM79+EM102+EM89+EM96+EM97+EM48+EM55</f>
        <v>2310.78097752876</v>
      </c>
      <c r="EN103" s="48" t="n">
        <f aca="false">EN79+EN102+EN89+EN96+EN97+EN48+EN55</f>
        <v>2310.78097752876</v>
      </c>
      <c r="EO103" s="48" t="n">
        <f aca="false">EO79+EO102+EO89+EO96+EO97+EO48+EO55</f>
        <v>2336.17417508402</v>
      </c>
    </row>
    <row r="104" customFormat="false" ht="15" hidden="false" customHeight="false" outlineLevel="0" collapsed="false">
      <c r="C104" s="1" t="s">
        <v>448</v>
      </c>
      <c r="D104" s="12" t="s">
        <v>33</v>
      </c>
      <c r="J104" s="19" t="n">
        <f aca="false">I108</f>
        <v>0</v>
      </c>
      <c r="K104" s="19" t="n">
        <f aca="false">J108</f>
        <v>12.8099380746857</v>
      </c>
      <c r="L104" s="19" t="n">
        <f aca="false">K108</f>
        <v>32.4846237568024</v>
      </c>
      <c r="M104" s="19" t="n">
        <f aca="false">L108</f>
        <v>65.6401125914806</v>
      </c>
      <c r="N104" s="19" t="n">
        <f aca="false">M108</f>
        <v>99.1599474573091</v>
      </c>
      <c r="O104" s="19" t="n">
        <f aca="false">N108</f>
        <v>132.679782323138</v>
      </c>
      <c r="P104" s="19" t="n">
        <f aca="false">O108</f>
        <v>165.835271157816</v>
      </c>
      <c r="Q104" s="19" t="n">
        <f aca="false">P108</f>
        <v>198.990759992494</v>
      </c>
      <c r="R104" s="19" t="n">
        <f aca="false">Q108</f>
        <v>232.510594858322</v>
      </c>
      <c r="S104" s="19" t="n">
        <f aca="false">R108</f>
        <v>1370.83725036342</v>
      </c>
      <c r="T104" s="19" t="n">
        <f aca="false">S108</f>
        <v>1547.54691920119</v>
      </c>
      <c r="U104" s="19" t="n">
        <f aca="false">T108</f>
        <v>1701.18915609518</v>
      </c>
      <c r="V104" s="19" t="n">
        <f aca="false">U108</f>
        <v>1844.02594957718</v>
      </c>
      <c r="W104" s="19" t="n">
        <f aca="false">V108</f>
        <v>1974.23162869627</v>
      </c>
      <c r="X104" s="19" t="n">
        <f aca="false">W108</f>
        <v>2090.29215582612</v>
      </c>
      <c r="Y104" s="19" t="n">
        <f aca="false">X108</f>
        <v>2195.42002950177</v>
      </c>
      <c r="Z104" s="19" t="n">
        <f aca="false">Y108</f>
        <v>2289.2093348949</v>
      </c>
      <c r="AA104" s="19" t="n">
        <f aca="false">Z108</f>
        <v>2037.90618865476</v>
      </c>
      <c r="AB104" s="19" t="n">
        <f aca="false">AA108</f>
        <v>1789.31638263538</v>
      </c>
      <c r="AC104" s="19" t="n">
        <f aca="false">AB108</f>
        <v>1531.44130007997</v>
      </c>
      <c r="AD104" s="19" t="n">
        <f aca="false">AC108</f>
        <v>1264.17018633588</v>
      </c>
      <c r="AE104" s="19" t="n">
        <f aca="false">AD108</f>
        <v>997.884361350022</v>
      </c>
      <c r="AF104" s="19" t="n">
        <f aca="false">AE108</f>
        <v>727.772753065486</v>
      </c>
      <c r="AG104" s="19" t="n">
        <f aca="false">AF108</f>
        <v>454.619910004091</v>
      </c>
      <c r="AH104" s="19" t="n">
        <f aca="false">AG108</f>
        <v>171.868273165539</v>
      </c>
      <c r="AI104" s="19" t="n">
        <f aca="false">AH108</f>
        <v>0</v>
      </c>
      <c r="AJ104" s="19" t="n">
        <f aca="false">AI108</f>
        <v>0</v>
      </c>
      <c r="AK104" s="19" t="n">
        <f aca="false">AJ108</f>
        <v>0</v>
      </c>
      <c r="AL104" s="19" t="n">
        <f aca="false">AK108</f>
        <v>0</v>
      </c>
      <c r="AM104" s="19" t="n">
        <f aca="false">AL108</f>
        <v>0</v>
      </c>
      <c r="AN104" s="19" t="n">
        <f aca="false">AM108</f>
        <v>0</v>
      </c>
      <c r="AO104" s="19" t="n">
        <f aca="false">AN108</f>
        <v>0</v>
      </c>
      <c r="AP104" s="19" t="n">
        <f aca="false">AO108</f>
        <v>0</v>
      </c>
      <c r="AQ104" s="19" t="n">
        <f aca="false">AP108</f>
        <v>0</v>
      </c>
      <c r="AR104" s="19" t="n">
        <f aca="false">AQ108</f>
        <v>0</v>
      </c>
      <c r="AS104" s="19" t="n">
        <f aca="false">AR108</f>
        <v>0</v>
      </c>
      <c r="AT104" s="19" t="n">
        <f aca="false">AS108</f>
        <v>0</v>
      </c>
      <c r="AU104" s="19" t="n">
        <f aca="false">AT108</f>
        <v>0</v>
      </c>
      <c r="AV104" s="19" t="n">
        <f aca="false">AU108</f>
        <v>0</v>
      </c>
      <c r="AW104" s="19" t="n">
        <f aca="false">AV108</f>
        <v>0</v>
      </c>
      <c r="AX104" s="19" t="n">
        <f aca="false">AW108</f>
        <v>0</v>
      </c>
      <c r="AY104" s="19" t="n">
        <f aca="false">AX108</f>
        <v>0</v>
      </c>
      <c r="AZ104" s="19" t="n">
        <f aca="false">AY108</f>
        <v>0</v>
      </c>
      <c r="BA104" s="19" t="n">
        <f aca="false">AZ108</f>
        <v>0</v>
      </c>
      <c r="BB104" s="19" t="n">
        <f aca="false">BA108</f>
        <v>0</v>
      </c>
      <c r="BC104" s="19" t="n">
        <f aca="false">BB108</f>
        <v>0</v>
      </c>
      <c r="BD104" s="19" t="n">
        <f aca="false">BC108</f>
        <v>0</v>
      </c>
      <c r="BE104" s="19" t="n">
        <f aca="false">BD108</f>
        <v>0</v>
      </c>
      <c r="BF104" s="19" t="n">
        <f aca="false">BE108</f>
        <v>0</v>
      </c>
      <c r="BG104" s="19" t="n">
        <f aca="false">BF108</f>
        <v>0</v>
      </c>
      <c r="BH104" s="19" t="n">
        <f aca="false">BG108</f>
        <v>0</v>
      </c>
      <c r="BI104" s="19" t="n">
        <f aca="false">BH108</f>
        <v>0</v>
      </c>
      <c r="BJ104" s="19" t="n">
        <f aca="false">BI108</f>
        <v>0</v>
      </c>
      <c r="BK104" s="19" t="n">
        <f aca="false">BJ108</f>
        <v>0</v>
      </c>
      <c r="BL104" s="19" t="n">
        <f aca="false">BK108</f>
        <v>0</v>
      </c>
      <c r="BM104" s="19" t="n">
        <f aca="false">BL108</f>
        <v>0</v>
      </c>
      <c r="BN104" s="19" t="n">
        <f aca="false">BM108</f>
        <v>0</v>
      </c>
      <c r="BO104" s="19" t="n">
        <f aca="false">BN108</f>
        <v>0</v>
      </c>
      <c r="BP104" s="19" t="n">
        <f aca="false">BO108</f>
        <v>0</v>
      </c>
      <c r="BQ104" s="19" t="n">
        <f aca="false">BP108</f>
        <v>0</v>
      </c>
      <c r="BR104" s="19" t="n">
        <f aca="false">BQ108</f>
        <v>0</v>
      </c>
      <c r="BS104" s="19" t="n">
        <f aca="false">BR108</f>
        <v>0</v>
      </c>
      <c r="BT104" s="19" t="n">
        <f aca="false">BS108</f>
        <v>0</v>
      </c>
      <c r="BU104" s="19" t="n">
        <f aca="false">BT108</f>
        <v>0</v>
      </c>
      <c r="BV104" s="19" t="n">
        <f aca="false">BU108</f>
        <v>0</v>
      </c>
      <c r="BW104" s="19" t="n">
        <f aca="false">BV108</f>
        <v>0</v>
      </c>
      <c r="BX104" s="19" t="n">
        <f aca="false">BW108</f>
        <v>0</v>
      </c>
      <c r="BY104" s="19" t="n">
        <f aca="false">BX108</f>
        <v>0</v>
      </c>
      <c r="BZ104" s="19" t="n">
        <f aca="false">BY108</f>
        <v>0</v>
      </c>
      <c r="CA104" s="19" t="n">
        <f aca="false">BZ108</f>
        <v>0</v>
      </c>
      <c r="CB104" s="19" t="n">
        <f aca="false">CA108</f>
        <v>0</v>
      </c>
      <c r="CC104" s="19" t="n">
        <f aca="false">CB108</f>
        <v>0</v>
      </c>
      <c r="CD104" s="19" t="n">
        <f aca="false">CC108</f>
        <v>0</v>
      </c>
      <c r="CE104" s="19" t="n">
        <f aca="false">CD108</f>
        <v>0</v>
      </c>
      <c r="CF104" s="19" t="n">
        <f aca="false">CE108</f>
        <v>0</v>
      </c>
      <c r="CG104" s="19" t="n">
        <f aca="false">CF108</f>
        <v>0</v>
      </c>
      <c r="CH104" s="19" t="n">
        <f aca="false">CG108</f>
        <v>0</v>
      </c>
      <c r="CI104" s="19" t="n">
        <f aca="false">CH108</f>
        <v>0</v>
      </c>
      <c r="CJ104" s="19" t="n">
        <f aca="false">CI108</f>
        <v>0</v>
      </c>
      <c r="CK104" s="19" t="n">
        <f aca="false">CJ108</f>
        <v>0</v>
      </c>
      <c r="CL104" s="19" t="n">
        <f aca="false">CK108</f>
        <v>0</v>
      </c>
      <c r="CM104" s="19" t="n">
        <f aca="false">CL108</f>
        <v>0</v>
      </c>
      <c r="CN104" s="19" t="n">
        <f aca="false">CM108</f>
        <v>0</v>
      </c>
      <c r="CO104" s="19" t="n">
        <f aca="false">CN108</f>
        <v>0</v>
      </c>
      <c r="CP104" s="19" t="n">
        <f aca="false">CO108</f>
        <v>0</v>
      </c>
      <c r="CQ104" s="19" t="n">
        <f aca="false">CP108</f>
        <v>0</v>
      </c>
      <c r="CR104" s="19" t="n">
        <f aca="false">CQ108</f>
        <v>0</v>
      </c>
      <c r="CS104" s="19" t="n">
        <f aca="false">CR108</f>
        <v>0</v>
      </c>
      <c r="CT104" s="19" t="n">
        <f aca="false">CS108</f>
        <v>0</v>
      </c>
      <c r="CU104" s="19" t="n">
        <f aca="false">CT108</f>
        <v>0</v>
      </c>
      <c r="CV104" s="19" t="n">
        <f aca="false">CU108</f>
        <v>0</v>
      </c>
      <c r="CW104" s="19" t="n">
        <f aca="false">CV108</f>
        <v>0</v>
      </c>
      <c r="CX104" s="19" t="n">
        <f aca="false">CW108</f>
        <v>0</v>
      </c>
      <c r="CY104" s="19" t="n">
        <f aca="false">CX108</f>
        <v>0</v>
      </c>
      <c r="CZ104" s="19" t="n">
        <f aca="false">CY108</f>
        <v>0</v>
      </c>
      <c r="DA104" s="19" t="n">
        <f aca="false">CZ108</f>
        <v>0</v>
      </c>
      <c r="DB104" s="19" t="n">
        <f aca="false">DA108</f>
        <v>0</v>
      </c>
      <c r="DC104" s="19" t="n">
        <f aca="false">DB108</f>
        <v>0</v>
      </c>
      <c r="DD104" s="19" t="n">
        <f aca="false">DC108</f>
        <v>0</v>
      </c>
      <c r="DE104" s="19" t="n">
        <f aca="false">DD108</f>
        <v>0</v>
      </c>
      <c r="DF104" s="19" t="n">
        <f aca="false">DE108</f>
        <v>0</v>
      </c>
      <c r="DG104" s="19" t="n">
        <f aca="false">DF108</f>
        <v>0</v>
      </c>
      <c r="DH104" s="19" t="n">
        <f aca="false">DG108</f>
        <v>0</v>
      </c>
      <c r="DI104" s="19" t="n">
        <f aca="false">DH108</f>
        <v>0</v>
      </c>
      <c r="DJ104" s="19" t="n">
        <f aca="false">DI108</f>
        <v>0</v>
      </c>
      <c r="DK104" s="19" t="n">
        <f aca="false">DJ108</f>
        <v>0</v>
      </c>
      <c r="DL104" s="19" t="n">
        <f aca="false">DK108</f>
        <v>0</v>
      </c>
      <c r="DM104" s="19" t="n">
        <f aca="false">DL108</f>
        <v>0</v>
      </c>
      <c r="DN104" s="19" t="n">
        <f aca="false">DM108</f>
        <v>0</v>
      </c>
      <c r="DO104" s="19" t="n">
        <f aca="false">DN108</f>
        <v>0</v>
      </c>
      <c r="DP104" s="19" t="n">
        <f aca="false">DO108</f>
        <v>0</v>
      </c>
      <c r="DQ104" s="19" t="n">
        <f aca="false">DP108</f>
        <v>0</v>
      </c>
      <c r="DR104" s="19" t="n">
        <f aca="false">DQ108</f>
        <v>0</v>
      </c>
      <c r="DS104" s="19" t="n">
        <f aca="false">DR108</f>
        <v>0</v>
      </c>
      <c r="DT104" s="19" t="n">
        <f aca="false">DS108</f>
        <v>0</v>
      </c>
      <c r="DU104" s="19" t="n">
        <f aca="false">DT108</f>
        <v>0</v>
      </c>
      <c r="DV104" s="19" t="n">
        <f aca="false">DU108</f>
        <v>0</v>
      </c>
      <c r="DW104" s="19" t="n">
        <f aca="false">DV108</f>
        <v>0</v>
      </c>
      <c r="DX104" s="19" t="n">
        <f aca="false">DW108</f>
        <v>0</v>
      </c>
      <c r="DY104" s="19" t="n">
        <f aca="false">DX108</f>
        <v>0</v>
      </c>
      <c r="DZ104" s="19" t="n">
        <f aca="false">DY108</f>
        <v>0</v>
      </c>
      <c r="EA104" s="19" t="n">
        <f aca="false">DZ108</f>
        <v>0</v>
      </c>
      <c r="EB104" s="19" t="n">
        <f aca="false">EA108</f>
        <v>0</v>
      </c>
      <c r="EC104" s="19" t="n">
        <f aca="false">EB108</f>
        <v>0</v>
      </c>
      <c r="ED104" s="19" t="n">
        <f aca="false">EC108</f>
        <v>0</v>
      </c>
      <c r="EE104" s="19" t="n">
        <f aca="false">ED108</f>
        <v>0</v>
      </c>
      <c r="EF104" s="19" t="n">
        <f aca="false">EE108</f>
        <v>0</v>
      </c>
      <c r="EG104" s="19" t="n">
        <f aca="false">EF108</f>
        <v>0</v>
      </c>
      <c r="EH104" s="19" t="n">
        <f aca="false">EG108</f>
        <v>0</v>
      </c>
      <c r="EI104" s="19" t="n">
        <f aca="false">EH108</f>
        <v>0</v>
      </c>
      <c r="EJ104" s="19" t="n">
        <f aca="false">EI108</f>
        <v>0</v>
      </c>
      <c r="EK104" s="19" t="n">
        <f aca="false">EJ108</f>
        <v>0</v>
      </c>
      <c r="EL104" s="19" t="n">
        <f aca="false">EK108</f>
        <v>0</v>
      </c>
      <c r="EM104" s="19" t="n">
        <f aca="false">EL108</f>
        <v>0</v>
      </c>
      <c r="EN104" s="19" t="n">
        <f aca="false">EM108</f>
        <v>0</v>
      </c>
      <c r="EO104" s="19" t="n">
        <f aca="false">EN108</f>
        <v>0</v>
      </c>
    </row>
    <row r="105" customFormat="false" ht="15" hidden="false" customHeight="false" outlineLevel="0" collapsed="false">
      <c r="C105" s="1" t="s">
        <v>449</v>
      </c>
      <c r="D105" s="12" t="s">
        <v>33</v>
      </c>
      <c r="I105" s="48" t="n">
        <f aca="false">SUM(J105:EO105)</f>
        <v>2289.2093348949</v>
      </c>
      <c r="J105" s="48" t="n">
        <f aca="false">MAX(0,-J103)</f>
        <v>12.8099380746857</v>
      </c>
      <c r="K105" s="48" t="n">
        <f aca="false">MAX(0,-K103)</f>
        <v>19.6746856821167</v>
      </c>
      <c r="L105" s="48" t="n">
        <f aca="false">MAX(0,-L103)</f>
        <v>33.1554888346782</v>
      </c>
      <c r="M105" s="48" t="n">
        <f aca="false">MAX(0,-M103)</f>
        <v>33.5198348658285</v>
      </c>
      <c r="N105" s="48" t="n">
        <f aca="false">MAX(0,-N103)</f>
        <v>33.5198348658285</v>
      </c>
      <c r="O105" s="48" t="n">
        <f aca="false">MAX(0,-O103)</f>
        <v>33.1554888346782</v>
      </c>
      <c r="P105" s="48" t="n">
        <f aca="false">MAX(0,-P103)</f>
        <v>33.1554888346782</v>
      </c>
      <c r="Q105" s="48" t="n">
        <f aca="false">MAX(0,-Q103)</f>
        <v>33.5198348658285</v>
      </c>
      <c r="R105" s="48" t="n">
        <f aca="false">MAX(0,-R103)</f>
        <v>1138.3266555051</v>
      </c>
      <c r="S105" s="48" t="n">
        <f aca="false">MAX(0,-S103)</f>
        <v>176.709668837772</v>
      </c>
      <c r="T105" s="48" t="n">
        <f aca="false">MAX(0,-T103)</f>
        <v>153.642236893986</v>
      </c>
      <c r="U105" s="48" t="n">
        <f aca="false">MAX(0,-U103)</f>
        <v>142.836793482006</v>
      </c>
      <c r="V105" s="48" t="n">
        <f aca="false">MAX(0,-V103)</f>
        <v>130.205679119086</v>
      </c>
      <c r="W105" s="48" t="n">
        <f aca="false">MAX(0,-W103)</f>
        <v>116.060527129856</v>
      </c>
      <c r="X105" s="48" t="n">
        <f aca="false">MAX(0,-X103)</f>
        <v>105.127873675643</v>
      </c>
      <c r="Y105" s="48" t="n">
        <f aca="false">MAX(0,-Y103)</f>
        <v>93.7893053931319</v>
      </c>
      <c r="Z105" s="48" t="n">
        <f aca="false">MAX(0,-Z103)</f>
        <v>0</v>
      </c>
      <c r="AA105" s="48" t="n">
        <f aca="false">MAX(0,-AA103)</f>
        <v>0</v>
      </c>
      <c r="AB105" s="48" t="n">
        <f aca="false">MAX(0,-AB103)</f>
        <v>0</v>
      </c>
      <c r="AC105" s="48" t="n">
        <f aca="false">MAX(0,-AC103)</f>
        <v>0</v>
      </c>
      <c r="AD105" s="48" t="n">
        <f aca="false">MAX(0,-AD103)</f>
        <v>0</v>
      </c>
      <c r="AE105" s="48" t="n">
        <f aca="false">MAX(0,-AE103)</f>
        <v>0</v>
      </c>
      <c r="AF105" s="48" t="n">
        <f aca="false">MAX(0,-AF103)</f>
        <v>0</v>
      </c>
      <c r="AG105" s="48" t="n">
        <f aca="false">MAX(0,-AG103)</f>
        <v>0</v>
      </c>
      <c r="AH105" s="48" t="n">
        <f aca="false">MAX(0,-AH103)</f>
        <v>0</v>
      </c>
      <c r="AI105" s="48" t="n">
        <f aca="false">MAX(0,-AI103)</f>
        <v>0</v>
      </c>
      <c r="AJ105" s="48" t="n">
        <f aca="false">MAX(0,-AJ103)</f>
        <v>0</v>
      </c>
      <c r="AK105" s="48" t="n">
        <f aca="false">MAX(0,-AK103)</f>
        <v>0</v>
      </c>
      <c r="AL105" s="48" t="n">
        <f aca="false">MAX(0,-AL103)</f>
        <v>0</v>
      </c>
      <c r="AM105" s="48" t="n">
        <f aca="false">MAX(0,-AM103)</f>
        <v>0</v>
      </c>
      <c r="AN105" s="48" t="n">
        <f aca="false">MAX(0,-AN103)</f>
        <v>0</v>
      </c>
      <c r="AO105" s="48" t="n">
        <f aca="false">MAX(0,-AO103)</f>
        <v>0</v>
      </c>
      <c r="AP105" s="48" t="n">
        <f aca="false">MAX(0,-AP103)</f>
        <v>0</v>
      </c>
      <c r="AQ105" s="48" t="n">
        <f aca="false">MAX(0,-AQ103)</f>
        <v>0</v>
      </c>
      <c r="AR105" s="48" t="n">
        <f aca="false">MAX(0,-AR103)</f>
        <v>0</v>
      </c>
      <c r="AS105" s="48" t="n">
        <f aca="false">MAX(0,-AS103)</f>
        <v>0</v>
      </c>
      <c r="AT105" s="48" t="n">
        <f aca="false">MAX(0,-AT103)</f>
        <v>0</v>
      </c>
      <c r="AU105" s="48" t="n">
        <f aca="false">MAX(0,-AU103)</f>
        <v>0</v>
      </c>
      <c r="AV105" s="48" t="n">
        <f aca="false">MAX(0,-AV103)</f>
        <v>0</v>
      </c>
      <c r="AW105" s="48" t="n">
        <f aca="false">MAX(0,-AW103)</f>
        <v>0</v>
      </c>
      <c r="AX105" s="48" t="n">
        <f aca="false">MAX(0,-AX103)</f>
        <v>0</v>
      </c>
      <c r="AY105" s="48" t="n">
        <f aca="false">MAX(0,-AY103)</f>
        <v>0</v>
      </c>
      <c r="AZ105" s="48" t="n">
        <f aca="false">MAX(0,-AZ103)</f>
        <v>0</v>
      </c>
      <c r="BA105" s="48" t="n">
        <f aca="false">MAX(0,-BA103)</f>
        <v>0</v>
      </c>
      <c r="BB105" s="48" t="n">
        <f aca="false">MAX(0,-BB103)</f>
        <v>0</v>
      </c>
      <c r="BC105" s="48" t="n">
        <f aca="false">MAX(0,-BC103)</f>
        <v>0</v>
      </c>
      <c r="BD105" s="48" t="n">
        <f aca="false">MAX(0,-BD103)</f>
        <v>0</v>
      </c>
      <c r="BE105" s="48" t="n">
        <f aca="false">MAX(0,-BE103)</f>
        <v>0</v>
      </c>
      <c r="BF105" s="48" t="n">
        <f aca="false">MAX(0,-BF103)</f>
        <v>0</v>
      </c>
      <c r="BG105" s="48" t="n">
        <f aca="false">MAX(0,-BG103)</f>
        <v>0</v>
      </c>
      <c r="BH105" s="48" t="n">
        <f aca="false">MAX(0,-BH103)</f>
        <v>0</v>
      </c>
      <c r="BI105" s="48" t="n">
        <f aca="false">MAX(0,-BI103)</f>
        <v>0</v>
      </c>
      <c r="BJ105" s="48" t="n">
        <f aca="false">MAX(0,-BJ103)</f>
        <v>0</v>
      </c>
      <c r="BK105" s="48" t="n">
        <f aca="false">MAX(0,-BK103)</f>
        <v>0</v>
      </c>
      <c r="BL105" s="48" t="n">
        <f aca="false">MAX(0,-BL103)</f>
        <v>0</v>
      </c>
      <c r="BM105" s="48" t="n">
        <f aca="false">MAX(0,-BM103)</f>
        <v>0</v>
      </c>
      <c r="BN105" s="48" t="n">
        <f aca="false">MAX(0,-BN103)</f>
        <v>0</v>
      </c>
      <c r="BO105" s="48" t="n">
        <f aca="false">MAX(0,-BO103)</f>
        <v>0</v>
      </c>
      <c r="BP105" s="48" t="n">
        <f aca="false">MAX(0,-BP103)</f>
        <v>0</v>
      </c>
      <c r="BQ105" s="48" t="n">
        <f aca="false">MAX(0,-BQ103)</f>
        <v>0</v>
      </c>
      <c r="BR105" s="48" t="n">
        <f aca="false">MAX(0,-BR103)</f>
        <v>0</v>
      </c>
      <c r="BS105" s="48" t="n">
        <f aca="false">MAX(0,-BS103)</f>
        <v>0</v>
      </c>
      <c r="BT105" s="48" t="n">
        <f aca="false">MAX(0,-BT103)</f>
        <v>0</v>
      </c>
      <c r="BU105" s="48" t="n">
        <f aca="false">MAX(0,-BU103)</f>
        <v>0</v>
      </c>
      <c r="BV105" s="48" t="n">
        <f aca="false">MAX(0,-BV103)</f>
        <v>0</v>
      </c>
      <c r="BW105" s="48" t="n">
        <f aca="false">MAX(0,-BW103)</f>
        <v>0</v>
      </c>
      <c r="BX105" s="48" t="n">
        <f aca="false">MAX(0,-BX103)</f>
        <v>0</v>
      </c>
      <c r="BY105" s="48" t="n">
        <f aca="false">MAX(0,-BY103)</f>
        <v>0</v>
      </c>
      <c r="BZ105" s="48" t="n">
        <f aca="false">MAX(0,-BZ103)</f>
        <v>0</v>
      </c>
      <c r="CA105" s="48" t="n">
        <f aca="false">MAX(0,-CA103)</f>
        <v>0</v>
      </c>
      <c r="CB105" s="48" t="n">
        <f aca="false">MAX(0,-CB103)</f>
        <v>0</v>
      </c>
      <c r="CC105" s="48" t="n">
        <f aca="false">MAX(0,-CC103)</f>
        <v>0</v>
      </c>
      <c r="CD105" s="48" t="n">
        <f aca="false">MAX(0,-CD103)</f>
        <v>0</v>
      </c>
      <c r="CE105" s="48" t="n">
        <f aca="false">MAX(0,-CE103)</f>
        <v>0</v>
      </c>
      <c r="CF105" s="48" t="n">
        <f aca="false">MAX(0,-CF103)</f>
        <v>0</v>
      </c>
      <c r="CG105" s="48" t="n">
        <f aca="false">MAX(0,-CG103)</f>
        <v>0</v>
      </c>
      <c r="CH105" s="48" t="n">
        <f aca="false">MAX(0,-CH103)</f>
        <v>0</v>
      </c>
      <c r="CI105" s="48" t="n">
        <f aca="false">MAX(0,-CI103)</f>
        <v>0</v>
      </c>
      <c r="CJ105" s="48" t="n">
        <f aca="false">MAX(0,-CJ103)</f>
        <v>0</v>
      </c>
      <c r="CK105" s="48" t="n">
        <f aca="false">MAX(0,-CK103)</f>
        <v>0</v>
      </c>
      <c r="CL105" s="48" t="n">
        <f aca="false">MAX(0,-CL103)</f>
        <v>0</v>
      </c>
      <c r="CM105" s="48" t="n">
        <f aca="false">MAX(0,-CM103)</f>
        <v>0</v>
      </c>
      <c r="CN105" s="48" t="n">
        <f aca="false">MAX(0,-CN103)</f>
        <v>0</v>
      </c>
      <c r="CO105" s="48" t="n">
        <f aca="false">MAX(0,-CO103)</f>
        <v>0</v>
      </c>
      <c r="CP105" s="48" t="n">
        <f aca="false">MAX(0,-CP103)</f>
        <v>0</v>
      </c>
      <c r="CQ105" s="48" t="n">
        <f aca="false">MAX(0,-CQ103)</f>
        <v>0</v>
      </c>
      <c r="CR105" s="48" t="n">
        <f aca="false">MAX(0,-CR103)</f>
        <v>0</v>
      </c>
      <c r="CS105" s="48" t="n">
        <f aca="false">MAX(0,-CS103)</f>
        <v>0</v>
      </c>
      <c r="CT105" s="48" t="n">
        <f aca="false">MAX(0,-CT103)</f>
        <v>0</v>
      </c>
      <c r="CU105" s="48" t="n">
        <f aca="false">MAX(0,-CU103)</f>
        <v>0</v>
      </c>
      <c r="CV105" s="48" t="n">
        <f aca="false">MAX(0,-CV103)</f>
        <v>0</v>
      </c>
      <c r="CW105" s="48" t="n">
        <f aca="false">MAX(0,-CW103)</f>
        <v>0</v>
      </c>
      <c r="CX105" s="48" t="n">
        <f aca="false">MAX(0,-CX103)</f>
        <v>0</v>
      </c>
      <c r="CY105" s="48" t="n">
        <f aca="false">MAX(0,-CY103)</f>
        <v>0</v>
      </c>
      <c r="CZ105" s="48" t="n">
        <f aca="false">MAX(0,-CZ103)</f>
        <v>0</v>
      </c>
      <c r="DA105" s="48" t="n">
        <f aca="false">MAX(0,-DA103)</f>
        <v>0</v>
      </c>
      <c r="DB105" s="48" t="n">
        <f aca="false">MAX(0,-DB103)</f>
        <v>0</v>
      </c>
      <c r="DC105" s="48" t="n">
        <f aca="false">MAX(0,-DC103)</f>
        <v>0</v>
      </c>
      <c r="DD105" s="48" t="n">
        <f aca="false">MAX(0,-DD103)</f>
        <v>0</v>
      </c>
      <c r="DE105" s="48" t="n">
        <f aca="false">MAX(0,-DE103)</f>
        <v>0</v>
      </c>
      <c r="DF105" s="48" t="n">
        <f aca="false">MAX(0,-DF103)</f>
        <v>0</v>
      </c>
      <c r="DG105" s="48" t="n">
        <f aca="false">MAX(0,-DG103)</f>
        <v>0</v>
      </c>
      <c r="DH105" s="48" t="n">
        <f aca="false">MAX(0,-DH103)</f>
        <v>0</v>
      </c>
      <c r="DI105" s="48" t="n">
        <f aca="false">MAX(0,-DI103)</f>
        <v>0</v>
      </c>
      <c r="DJ105" s="48" t="n">
        <f aca="false">MAX(0,-DJ103)</f>
        <v>0</v>
      </c>
      <c r="DK105" s="48" t="n">
        <f aca="false">MAX(0,-DK103)</f>
        <v>0</v>
      </c>
      <c r="DL105" s="48" t="n">
        <f aca="false">MAX(0,-DL103)</f>
        <v>0</v>
      </c>
      <c r="DM105" s="48" t="n">
        <f aca="false">MAX(0,-DM103)</f>
        <v>0</v>
      </c>
      <c r="DN105" s="48" t="n">
        <f aca="false">MAX(0,-DN103)</f>
        <v>0</v>
      </c>
      <c r="DO105" s="48" t="n">
        <f aca="false">MAX(0,-DO103)</f>
        <v>0</v>
      </c>
      <c r="DP105" s="48" t="n">
        <f aca="false">MAX(0,-DP103)</f>
        <v>0</v>
      </c>
      <c r="DQ105" s="48" t="n">
        <f aca="false">MAX(0,-DQ103)</f>
        <v>0</v>
      </c>
      <c r="DR105" s="48" t="n">
        <f aca="false">MAX(0,-DR103)</f>
        <v>0</v>
      </c>
      <c r="DS105" s="48" t="n">
        <f aca="false">MAX(0,-DS103)</f>
        <v>0</v>
      </c>
      <c r="DT105" s="48" t="n">
        <f aca="false">MAX(0,-DT103)</f>
        <v>0</v>
      </c>
      <c r="DU105" s="48" t="n">
        <f aca="false">MAX(0,-DU103)</f>
        <v>0</v>
      </c>
      <c r="DV105" s="48" t="n">
        <f aca="false">MAX(0,-DV103)</f>
        <v>0</v>
      </c>
      <c r="DW105" s="48" t="n">
        <f aca="false">MAX(0,-DW103)</f>
        <v>0</v>
      </c>
      <c r="DX105" s="48" t="n">
        <f aca="false">MAX(0,-DX103)</f>
        <v>0</v>
      </c>
      <c r="DY105" s="48" t="n">
        <f aca="false">MAX(0,-DY103)</f>
        <v>0</v>
      </c>
      <c r="DZ105" s="48" t="n">
        <f aca="false">MAX(0,-DZ103)</f>
        <v>0</v>
      </c>
      <c r="EA105" s="48" t="n">
        <f aca="false">MAX(0,-EA103)</f>
        <v>0</v>
      </c>
      <c r="EB105" s="48" t="n">
        <f aca="false">MAX(0,-EB103)</f>
        <v>0</v>
      </c>
      <c r="EC105" s="48" t="n">
        <f aca="false">MAX(0,-EC103)</f>
        <v>0</v>
      </c>
      <c r="ED105" s="48" t="n">
        <f aca="false">MAX(0,-ED103)</f>
        <v>0</v>
      </c>
      <c r="EE105" s="48" t="n">
        <f aca="false">MAX(0,-EE103)</f>
        <v>0</v>
      </c>
      <c r="EF105" s="48" t="n">
        <f aca="false">MAX(0,-EF103)</f>
        <v>0</v>
      </c>
      <c r="EG105" s="48" t="n">
        <f aca="false">MAX(0,-EG103)</f>
        <v>0</v>
      </c>
      <c r="EH105" s="48" t="n">
        <f aca="false">MAX(0,-EH103)</f>
        <v>0</v>
      </c>
      <c r="EI105" s="48" t="n">
        <f aca="false">MAX(0,-EI103)</f>
        <v>0</v>
      </c>
      <c r="EJ105" s="48" t="n">
        <f aca="false">MAX(0,-EJ103)</f>
        <v>0</v>
      </c>
      <c r="EK105" s="48" t="n">
        <f aca="false">MAX(0,-EK103)</f>
        <v>0</v>
      </c>
      <c r="EL105" s="48" t="n">
        <f aca="false">MAX(0,-EL103)</f>
        <v>0</v>
      </c>
      <c r="EM105" s="48" t="n">
        <f aca="false">MAX(0,-EM103)</f>
        <v>0</v>
      </c>
      <c r="EN105" s="48" t="n">
        <f aca="false">MAX(0,-EN103)</f>
        <v>0</v>
      </c>
      <c r="EO105" s="48" t="n">
        <f aca="false">MAX(0,-EO103)</f>
        <v>0</v>
      </c>
    </row>
    <row r="106" customFormat="false" ht="15" hidden="false" customHeight="false" outlineLevel="0" collapsed="false">
      <c r="C106" s="1" t="s">
        <v>450</v>
      </c>
      <c r="D106" s="12" t="s">
        <v>33</v>
      </c>
      <c r="I106" s="48" t="n">
        <f aca="false">SUM(J106:EO106)</f>
        <v>-2289.2093348949</v>
      </c>
      <c r="J106" s="48" t="n">
        <f aca="false">-MIN(J104,In_Loss_Cap*MAX(0,J103))</f>
        <v>-0</v>
      </c>
      <c r="K106" s="48" t="n">
        <f aca="false">-MIN(K104,In_Loss_Cap*MAX(0,K103))</f>
        <v>-0</v>
      </c>
      <c r="L106" s="48" t="n">
        <f aca="false">-MIN(L104,In_Loss_Cap*MAX(0,L103))</f>
        <v>-0</v>
      </c>
      <c r="M106" s="48" t="n">
        <f aca="false">-MIN(M104,In_Loss_Cap*MAX(0,M103))</f>
        <v>-0</v>
      </c>
      <c r="N106" s="48" t="n">
        <f aca="false">-MIN(N104,In_Loss_Cap*MAX(0,N103))</f>
        <v>-0</v>
      </c>
      <c r="O106" s="48" t="n">
        <f aca="false">-MIN(O104,In_Loss_Cap*MAX(0,O103))</f>
        <v>-0</v>
      </c>
      <c r="P106" s="48" t="n">
        <f aca="false">-MIN(P104,In_Loss_Cap*MAX(0,P103))</f>
        <v>-0</v>
      </c>
      <c r="Q106" s="48" t="n">
        <f aca="false">-MIN(Q104,In_Loss_Cap*MAX(0,Q103))</f>
        <v>-0</v>
      </c>
      <c r="R106" s="48" t="n">
        <f aca="false">-MIN(R104,In_Loss_Cap*MAX(0,R103))</f>
        <v>-0</v>
      </c>
      <c r="S106" s="48" t="n">
        <f aca="false">-MIN(S104,In_Loss_Cap*MAX(0,S103))</f>
        <v>-0</v>
      </c>
      <c r="T106" s="48" t="n">
        <f aca="false">-MIN(T104,In_Loss_Cap*MAX(0,T103))</f>
        <v>-0</v>
      </c>
      <c r="U106" s="48" t="n">
        <f aca="false">-MIN(U104,In_Loss_Cap*MAX(0,U103))</f>
        <v>-0</v>
      </c>
      <c r="V106" s="48" t="n">
        <f aca="false">-MIN(V104,In_Loss_Cap*MAX(0,V103))</f>
        <v>-0</v>
      </c>
      <c r="W106" s="48" t="n">
        <f aca="false">-MIN(W104,In_Loss_Cap*MAX(0,W103))</f>
        <v>-0</v>
      </c>
      <c r="X106" s="48" t="n">
        <f aca="false">-MIN(X104,In_Loss_Cap*MAX(0,X103))</f>
        <v>-0</v>
      </c>
      <c r="Y106" s="48" t="n">
        <f aca="false">-MIN(Y104,In_Loss_Cap*MAX(0,Y103))</f>
        <v>-0</v>
      </c>
      <c r="Z106" s="48" t="n">
        <f aca="false">-MIN(Z104,In_Loss_Cap*MAX(0,Z103))</f>
        <v>-251.303146240137</v>
      </c>
      <c r="AA106" s="48" t="n">
        <f aca="false">-MIN(AA104,In_Loss_Cap*MAX(0,AA103))</f>
        <v>-248.589806019385</v>
      </c>
      <c r="AB106" s="48" t="n">
        <f aca="false">-MIN(AB104,In_Loss_Cap*MAX(0,AB103))</f>
        <v>-257.875082555408</v>
      </c>
      <c r="AC106" s="48" t="n">
        <f aca="false">-MIN(AC104,In_Loss_Cap*MAX(0,AC103))</f>
        <v>-267.271113744086</v>
      </c>
      <c r="AD106" s="48" t="n">
        <f aca="false">-MIN(AD104,In_Loss_Cap*MAX(0,AD103))</f>
        <v>-266.285824985861</v>
      </c>
      <c r="AE106" s="48" t="n">
        <f aca="false">-MIN(AE104,In_Loss_Cap*MAX(0,AE103))</f>
        <v>-270.111608284536</v>
      </c>
      <c r="AF106" s="48" t="n">
        <f aca="false">-MIN(AF104,In_Loss_Cap*MAX(0,AF103))</f>
        <v>-273.152843061395</v>
      </c>
      <c r="AG106" s="48" t="n">
        <f aca="false">-MIN(AG104,In_Loss_Cap*MAX(0,AG103))</f>
        <v>-282.751636838552</v>
      </c>
      <c r="AH106" s="48" t="n">
        <f aca="false">-MIN(AH104,In_Loss_Cap*MAX(0,AH103))</f>
        <v>-171.868273165539</v>
      </c>
      <c r="AI106" s="48" t="n">
        <f aca="false">-MIN(AI104,In_Loss_Cap*MAX(0,AI103))</f>
        <v>-0</v>
      </c>
      <c r="AJ106" s="48" t="n">
        <f aca="false">-MIN(AJ104,In_Loss_Cap*MAX(0,AJ103))</f>
        <v>-0</v>
      </c>
      <c r="AK106" s="48" t="n">
        <f aca="false">-MIN(AK104,In_Loss_Cap*MAX(0,AK103))</f>
        <v>-0</v>
      </c>
      <c r="AL106" s="48" t="n">
        <f aca="false">-MIN(AL104,In_Loss_Cap*MAX(0,AL103))</f>
        <v>-0</v>
      </c>
      <c r="AM106" s="48" t="n">
        <f aca="false">-MIN(AM104,In_Loss_Cap*MAX(0,AM103))</f>
        <v>-0</v>
      </c>
      <c r="AN106" s="48" t="n">
        <f aca="false">-MIN(AN104,In_Loss_Cap*MAX(0,AN103))</f>
        <v>-0</v>
      </c>
      <c r="AO106" s="48" t="n">
        <f aca="false">-MIN(AO104,In_Loss_Cap*MAX(0,AO103))</f>
        <v>-0</v>
      </c>
      <c r="AP106" s="48" t="n">
        <f aca="false">-MIN(AP104,In_Loss_Cap*MAX(0,AP103))</f>
        <v>-0</v>
      </c>
      <c r="AQ106" s="48" t="n">
        <f aca="false">-MIN(AQ104,In_Loss_Cap*MAX(0,AQ103))</f>
        <v>-0</v>
      </c>
      <c r="AR106" s="48" t="n">
        <f aca="false">-MIN(AR104,In_Loss_Cap*MAX(0,AR103))</f>
        <v>-0</v>
      </c>
      <c r="AS106" s="48" t="n">
        <f aca="false">-MIN(AS104,In_Loss_Cap*MAX(0,AS103))</f>
        <v>-0</v>
      </c>
      <c r="AT106" s="48" t="n">
        <f aca="false">-MIN(AT104,In_Loss_Cap*MAX(0,AT103))</f>
        <v>-0</v>
      </c>
      <c r="AU106" s="48" t="n">
        <f aca="false">-MIN(AU104,In_Loss_Cap*MAX(0,AU103))</f>
        <v>-0</v>
      </c>
      <c r="AV106" s="48" t="n">
        <f aca="false">-MIN(AV104,In_Loss_Cap*MAX(0,AV103))</f>
        <v>-0</v>
      </c>
      <c r="AW106" s="48" t="n">
        <f aca="false">-MIN(AW104,In_Loss_Cap*MAX(0,AW103))</f>
        <v>-0</v>
      </c>
      <c r="AX106" s="48" t="n">
        <f aca="false">-MIN(AX104,In_Loss_Cap*MAX(0,AX103))</f>
        <v>-0</v>
      </c>
      <c r="AY106" s="48" t="n">
        <f aca="false">-MIN(AY104,In_Loss_Cap*MAX(0,AY103))</f>
        <v>-0</v>
      </c>
      <c r="AZ106" s="48" t="n">
        <f aca="false">-MIN(AZ104,In_Loss_Cap*MAX(0,AZ103))</f>
        <v>-0</v>
      </c>
      <c r="BA106" s="48" t="n">
        <f aca="false">-MIN(BA104,In_Loss_Cap*MAX(0,BA103))</f>
        <v>-0</v>
      </c>
      <c r="BB106" s="48" t="n">
        <f aca="false">-MIN(BB104,In_Loss_Cap*MAX(0,BB103))</f>
        <v>-0</v>
      </c>
      <c r="BC106" s="48" t="n">
        <f aca="false">-MIN(BC104,In_Loss_Cap*MAX(0,BC103))</f>
        <v>-0</v>
      </c>
      <c r="BD106" s="48" t="n">
        <f aca="false">-MIN(BD104,In_Loss_Cap*MAX(0,BD103))</f>
        <v>-0</v>
      </c>
      <c r="BE106" s="48" t="n">
        <f aca="false">-MIN(BE104,In_Loss_Cap*MAX(0,BE103))</f>
        <v>-0</v>
      </c>
      <c r="BF106" s="48" t="n">
        <f aca="false">-MIN(BF104,In_Loss_Cap*MAX(0,BF103))</f>
        <v>-0</v>
      </c>
      <c r="BG106" s="48" t="n">
        <f aca="false">-MIN(BG104,In_Loss_Cap*MAX(0,BG103))</f>
        <v>-0</v>
      </c>
      <c r="BH106" s="48" t="n">
        <f aca="false">-MIN(BH104,In_Loss_Cap*MAX(0,BH103))</f>
        <v>-0</v>
      </c>
      <c r="BI106" s="48" t="n">
        <f aca="false">-MIN(BI104,In_Loss_Cap*MAX(0,BI103))</f>
        <v>-0</v>
      </c>
      <c r="BJ106" s="48" t="n">
        <f aca="false">-MIN(BJ104,In_Loss_Cap*MAX(0,BJ103))</f>
        <v>-0</v>
      </c>
      <c r="BK106" s="48" t="n">
        <f aca="false">-MIN(BK104,In_Loss_Cap*MAX(0,BK103))</f>
        <v>-0</v>
      </c>
      <c r="BL106" s="48" t="n">
        <f aca="false">-MIN(BL104,In_Loss_Cap*MAX(0,BL103))</f>
        <v>-0</v>
      </c>
      <c r="BM106" s="48" t="n">
        <f aca="false">-MIN(BM104,In_Loss_Cap*MAX(0,BM103))</f>
        <v>-0</v>
      </c>
      <c r="BN106" s="48" t="n">
        <f aca="false">-MIN(BN104,In_Loss_Cap*MAX(0,BN103))</f>
        <v>-0</v>
      </c>
      <c r="BO106" s="48" t="n">
        <f aca="false">-MIN(BO104,In_Loss_Cap*MAX(0,BO103))</f>
        <v>-0</v>
      </c>
      <c r="BP106" s="48" t="n">
        <f aca="false">-MIN(BP104,In_Loss_Cap*MAX(0,BP103))</f>
        <v>-0</v>
      </c>
      <c r="BQ106" s="48" t="n">
        <f aca="false">-MIN(BQ104,In_Loss_Cap*MAX(0,BQ103))</f>
        <v>-0</v>
      </c>
      <c r="BR106" s="48" t="n">
        <f aca="false">-MIN(BR104,In_Loss_Cap*MAX(0,BR103))</f>
        <v>-0</v>
      </c>
      <c r="BS106" s="48" t="n">
        <f aca="false">-MIN(BS104,In_Loss_Cap*MAX(0,BS103))</f>
        <v>-0</v>
      </c>
      <c r="BT106" s="48" t="n">
        <f aca="false">-MIN(BT104,In_Loss_Cap*MAX(0,BT103))</f>
        <v>-0</v>
      </c>
      <c r="BU106" s="48" t="n">
        <f aca="false">-MIN(BU104,In_Loss_Cap*MAX(0,BU103))</f>
        <v>-0</v>
      </c>
      <c r="BV106" s="48" t="n">
        <f aca="false">-MIN(BV104,In_Loss_Cap*MAX(0,BV103))</f>
        <v>-0</v>
      </c>
      <c r="BW106" s="48" t="n">
        <f aca="false">-MIN(BW104,In_Loss_Cap*MAX(0,BW103))</f>
        <v>-0</v>
      </c>
      <c r="BX106" s="48" t="n">
        <f aca="false">-MIN(BX104,In_Loss_Cap*MAX(0,BX103))</f>
        <v>-0</v>
      </c>
      <c r="BY106" s="48" t="n">
        <f aca="false">-MIN(BY104,In_Loss_Cap*MAX(0,BY103))</f>
        <v>-0</v>
      </c>
      <c r="BZ106" s="48" t="n">
        <f aca="false">-MIN(BZ104,In_Loss_Cap*MAX(0,BZ103))</f>
        <v>-0</v>
      </c>
      <c r="CA106" s="48" t="n">
        <f aca="false">-MIN(CA104,In_Loss_Cap*MAX(0,CA103))</f>
        <v>-0</v>
      </c>
      <c r="CB106" s="48" t="n">
        <f aca="false">-MIN(CB104,In_Loss_Cap*MAX(0,CB103))</f>
        <v>-0</v>
      </c>
      <c r="CC106" s="48" t="n">
        <f aca="false">-MIN(CC104,In_Loss_Cap*MAX(0,CC103))</f>
        <v>-0</v>
      </c>
      <c r="CD106" s="48" t="n">
        <f aca="false">-MIN(CD104,In_Loss_Cap*MAX(0,CD103))</f>
        <v>-0</v>
      </c>
      <c r="CE106" s="48" t="n">
        <f aca="false">-MIN(CE104,In_Loss_Cap*MAX(0,CE103))</f>
        <v>-0</v>
      </c>
      <c r="CF106" s="48" t="n">
        <f aca="false">-MIN(CF104,In_Loss_Cap*MAX(0,CF103))</f>
        <v>-0</v>
      </c>
      <c r="CG106" s="48" t="n">
        <f aca="false">-MIN(CG104,In_Loss_Cap*MAX(0,CG103))</f>
        <v>-0</v>
      </c>
      <c r="CH106" s="48" t="n">
        <f aca="false">-MIN(CH104,In_Loss_Cap*MAX(0,CH103))</f>
        <v>-0</v>
      </c>
      <c r="CI106" s="48" t="n">
        <f aca="false">-MIN(CI104,In_Loss_Cap*MAX(0,CI103))</f>
        <v>-0</v>
      </c>
      <c r="CJ106" s="48" t="n">
        <f aca="false">-MIN(CJ104,In_Loss_Cap*MAX(0,CJ103))</f>
        <v>-0</v>
      </c>
      <c r="CK106" s="48" t="n">
        <f aca="false">-MIN(CK104,In_Loss_Cap*MAX(0,CK103))</f>
        <v>-0</v>
      </c>
      <c r="CL106" s="48" t="n">
        <f aca="false">-MIN(CL104,In_Loss_Cap*MAX(0,CL103))</f>
        <v>-0</v>
      </c>
      <c r="CM106" s="48" t="n">
        <f aca="false">-MIN(CM104,In_Loss_Cap*MAX(0,CM103))</f>
        <v>-0</v>
      </c>
      <c r="CN106" s="48" t="n">
        <f aca="false">-MIN(CN104,In_Loss_Cap*MAX(0,CN103))</f>
        <v>-0</v>
      </c>
      <c r="CO106" s="48" t="n">
        <f aca="false">-MIN(CO104,In_Loss_Cap*MAX(0,CO103))</f>
        <v>-0</v>
      </c>
      <c r="CP106" s="48" t="n">
        <f aca="false">-MIN(CP104,In_Loss_Cap*MAX(0,CP103))</f>
        <v>-0</v>
      </c>
      <c r="CQ106" s="48" t="n">
        <f aca="false">-MIN(CQ104,In_Loss_Cap*MAX(0,CQ103))</f>
        <v>-0</v>
      </c>
      <c r="CR106" s="48" t="n">
        <f aca="false">-MIN(CR104,In_Loss_Cap*MAX(0,CR103))</f>
        <v>-0</v>
      </c>
      <c r="CS106" s="48" t="n">
        <f aca="false">-MIN(CS104,In_Loss_Cap*MAX(0,CS103))</f>
        <v>-0</v>
      </c>
      <c r="CT106" s="48" t="n">
        <f aca="false">-MIN(CT104,In_Loss_Cap*MAX(0,CT103))</f>
        <v>-0</v>
      </c>
      <c r="CU106" s="48" t="n">
        <f aca="false">-MIN(CU104,In_Loss_Cap*MAX(0,CU103))</f>
        <v>-0</v>
      </c>
      <c r="CV106" s="48" t="n">
        <f aca="false">-MIN(CV104,In_Loss_Cap*MAX(0,CV103))</f>
        <v>-0</v>
      </c>
      <c r="CW106" s="48" t="n">
        <f aca="false">-MIN(CW104,In_Loss_Cap*MAX(0,CW103))</f>
        <v>-0</v>
      </c>
      <c r="CX106" s="48" t="n">
        <f aca="false">-MIN(CX104,In_Loss_Cap*MAX(0,CX103))</f>
        <v>-0</v>
      </c>
      <c r="CY106" s="48" t="n">
        <f aca="false">-MIN(CY104,In_Loss_Cap*MAX(0,CY103))</f>
        <v>-0</v>
      </c>
      <c r="CZ106" s="48" t="n">
        <f aca="false">-MIN(CZ104,In_Loss_Cap*MAX(0,CZ103))</f>
        <v>-0</v>
      </c>
      <c r="DA106" s="48" t="n">
        <f aca="false">-MIN(DA104,In_Loss_Cap*MAX(0,DA103))</f>
        <v>-0</v>
      </c>
      <c r="DB106" s="48" t="n">
        <f aca="false">-MIN(DB104,In_Loss_Cap*MAX(0,DB103))</f>
        <v>-0</v>
      </c>
      <c r="DC106" s="48" t="n">
        <f aca="false">-MIN(DC104,In_Loss_Cap*MAX(0,DC103))</f>
        <v>-0</v>
      </c>
      <c r="DD106" s="48" t="n">
        <f aca="false">-MIN(DD104,In_Loss_Cap*MAX(0,DD103))</f>
        <v>-0</v>
      </c>
      <c r="DE106" s="48" t="n">
        <f aca="false">-MIN(DE104,In_Loss_Cap*MAX(0,DE103))</f>
        <v>-0</v>
      </c>
      <c r="DF106" s="48" t="n">
        <f aca="false">-MIN(DF104,In_Loss_Cap*MAX(0,DF103))</f>
        <v>-0</v>
      </c>
      <c r="DG106" s="48" t="n">
        <f aca="false">-MIN(DG104,In_Loss_Cap*MAX(0,DG103))</f>
        <v>-0</v>
      </c>
      <c r="DH106" s="48" t="n">
        <f aca="false">-MIN(DH104,In_Loss_Cap*MAX(0,DH103))</f>
        <v>-0</v>
      </c>
      <c r="DI106" s="48" t="n">
        <f aca="false">-MIN(DI104,In_Loss_Cap*MAX(0,DI103))</f>
        <v>-0</v>
      </c>
      <c r="DJ106" s="48" t="n">
        <f aca="false">-MIN(DJ104,In_Loss_Cap*MAX(0,DJ103))</f>
        <v>-0</v>
      </c>
      <c r="DK106" s="48" t="n">
        <f aca="false">-MIN(DK104,In_Loss_Cap*MAX(0,DK103))</f>
        <v>-0</v>
      </c>
      <c r="DL106" s="48" t="n">
        <f aca="false">-MIN(DL104,In_Loss_Cap*MAX(0,DL103))</f>
        <v>-0</v>
      </c>
      <c r="DM106" s="48" t="n">
        <f aca="false">-MIN(DM104,In_Loss_Cap*MAX(0,DM103))</f>
        <v>-0</v>
      </c>
      <c r="DN106" s="48" t="n">
        <f aca="false">-MIN(DN104,In_Loss_Cap*MAX(0,DN103))</f>
        <v>-0</v>
      </c>
      <c r="DO106" s="48" t="n">
        <f aca="false">-MIN(DO104,In_Loss_Cap*MAX(0,DO103))</f>
        <v>-0</v>
      </c>
      <c r="DP106" s="48" t="n">
        <f aca="false">-MIN(DP104,In_Loss_Cap*MAX(0,DP103))</f>
        <v>-0</v>
      </c>
      <c r="DQ106" s="48" t="n">
        <f aca="false">-MIN(DQ104,In_Loss_Cap*MAX(0,DQ103))</f>
        <v>-0</v>
      </c>
      <c r="DR106" s="48" t="n">
        <f aca="false">-MIN(DR104,In_Loss_Cap*MAX(0,DR103))</f>
        <v>-0</v>
      </c>
      <c r="DS106" s="48" t="n">
        <f aca="false">-MIN(DS104,In_Loss_Cap*MAX(0,DS103))</f>
        <v>-0</v>
      </c>
      <c r="DT106" s="48" t="n">
        <f aca="false">-MIN(DT104,In_Loss_Cap*MAX(0,DT103))</f>
        <v>-0</v>
      </c>
      <c r="DU106" s="48" t="n">
        <f aca="false">-MIN(DU104,In_Loss_Cap*MAX(0,DU103))</f>
        <v>-0</v>
      </c>
      <c r="DV106" s="48" t="n">
        <f aca="false">-MIN(DV104,In_Loss_Cap*MAX(0,DV103))</f>
        <v>-0</v>
      </c>
      <c r="DW106" s="48" t="n">
        <f aca="false">-MIN(DW104,In_Loss_Cap*MAX(0,DW103))</f>
        <v>-0</v>
      </c>
      <c r="DX106" s="48" t="n">
        <f aca="false">-MIN(DX104,In_Loss_Cap*MAX(0,DX103))</f>
        <v>-0</v>
      </c>
      <c r="DY106" s="48" t="n">
        <f aca="false">-MIN(DY104,In_Loss_Cap*MAX(0,DY103))</f>
        <v>-0</v>
      </c>
      <c r="DZ106" s="48" t="n">
        <f aca="false">-MIN(DZ104,In_Loss_Cap*MAX(0,DZ103))</f>
        <v>-0</v>
      </c>
      <c r="EA106" s="48" t="n">
        <f aca="false">-MIN(EA104,In_Loss_Cap*MAX(0,EA103))</f>
        <v>-0</v>
      </c>
      <c r="EB106" s="48" t="n">
        <f aca="false">-MIN(EB104,In_Loss_Cap*MAX(0,EB103))</f>
        <v>-0</v>
      </c>
      <c r="EC106" s="48" t="n">
        <f aca="false">-MIN(EC104,In_Loss_Cap*MAX(0,EC103))</f>
        <v>-0</v>
      </c>
      <c r="ED106" s="48" t="n">
        <f aca="false">-MIN(ED104,In_Loss_Cap*MAX(0,ED103))</f>
        <v>-0</v>
      </c>
      <c r="EE106" s="48" t="n">
        <f aca="false">-MIN(EE104,In_Loss_Cap*MAX(0,EE103))</f>
        <v>-0</v>
      </c>
      <c r="EF106" s="48" t="n">
        <f aca="false">-MIN(EF104,In_Loss_Cap*MAX(0,EF103))</f>
        <v>-0</v>
      </c>
      <c r="EG106" s="48" t="n">
        <f aca="false">-MIN(EG104,In_Loss_Cap*MAX(0,EG103))</f>
        <v>-0</v>
      </c>
      <c r="EH106" s="48" t="n">
        <f aca="false">-MIN(EH104,In_Loss_Cap*MAX(0,EH103))</f>
        <v>-0</v>
      </c>
      <c r="EI106" s="48" t="n">
        <f aca="false">-MIN(EI104,In_Loss_Cap*MAX(0,EI103))</f>
        <v>-0</v>
      </c>
      <c r="EJ106" s="48" t="n">
        <f aca="false">-MIN(EJ104,In_Loss_Cap*MAX(0,EJ103))</f>
        <v>-0</v>
      </c>
      <c r="EK106" s="48" t="n">
        <f aca="false">-MIN(EK104,In_Loss_Cap*MAX(0,EK103))</f>
        <v>-0</v>
      </c>
      <c r="EL106" s="48" t="n">
        <f aca="false">-MIN(EL104,In_Loss_Cap*MAX(0,EL103))</f>
        <v>-0</v>
      </c>
      <c r="EM106" s="48" t="n">
        <f aca="false">-MIN(EM104,In_Loss_Cap*MAX(0,EM103))</f>
        <v>-0</v>
      </c>
      <c r="EN106" s="48" t="n">
        <f aca="false">-MIN(EN104,In_Loss_Cap*MAX(0,EN103))</f>
        <v>-0</v>
      </c>
      <c r="EO106" s="48" t="n">
        <f aca="false">-MIN(EO104,In_Loss_Cap*MAX(0,EO103))</f>
        <v>-0</v>
      </c>
    </row>
    <row r="107" customFormat="false" ht="15" hidden="false" customHeight="false" outlineLevel="0" collapsed="false">
      <c r="C107" s="1" t="s">
        <v>451</v>
      </c>
      <c r="D107" s="12" t="s">
        <v>33</v>
      </c>
      <c r="E107" s="46" t="n">
        <f aca="false">EDATE(In_NTP,In_Loss_Years*Months_In_Year)</f>
        <v>48852</v>
      </c>
      <c r="I107" s="48" t="n">
        <f aca="false">SUM(J107:EO107)</f>
        <v>0</v>
      </c>
      <c r="J107" s="48" t="n">
        <f aca="false">-(J104+J105+J106)*N(AND(J$3&lt;=$E107,J$4&gt;=$E107))</f>
        <v>-0</v>
      </c>
      <c r="K107" s="48" t="n">
        <f aca="false">-(K104+K105+K106)*N(AND(K$3&lt;=$E107,K$4&gt;=$E107))</f>
        <v>-0</v>
      </c>
      <c r="L107" s="48" t="n">
        <f aca="false">-(L104+L105+L106)*N(AND(L$3&lt;=$E107,L$4&gt;=$E107))</f>
        <v>-0</v>
      </c>
      <c r="M107" s="48" t="n">
        <f aca="false">-(M104+M105+M106)*N(AND(M$3&lt;=$E107,M$4&gt;=$E107))</f>
        <v>-0</v>
      </c>
      <c r="N107" s="48" t="n">
        <f aca="false">-(N104+N105+N106)*N(AND(N$3&lt;=$E107,N$4&gt;=$E107))</f>
        <v>-0</v>
      </c>
      <c r="O107" s="48" t="n">
        <f aca="false">-(O104+O105+O106)*N(AND(O$3&lt;=$E107,O$4&gt;=$E107))</f>
        <v>-0</v>
      </c>
      <c r="P107" s="48" t="n">
        <f aca="false">-(P104+P105+P106)*N(AND(P$3&lt;=$E107,P$4&gt;=$E107))</f>
        <v>-0</v>
      </c>
      <c r="Q107" s="48" t="n">
        <f aca="false">-(Q104+Q105+Q106)*N(AND(Q$3&lt;=$E107,Q$4&gt;=$E107))</f>
        <v>-0</v>
      </c>
      <c r="R107" s="48" t="n">
        <f aca="false">-(R104+R105+R106)*N(AND(R$3&lt;=$E107,R$4&gt;=$E107))</f>
        <v>-0</v>
      </c>
      <c r="S107" s="48" t="n">
        <f aca="false">-(S104+S105+S106)*N(AND(S$3&lt;=$E107,S$4&gt;=$E107))</f>
        <v>-0</v>
      </c>
      <c r="T107" s="48" t="n">
        <f aca="false">-(T104+T105+T106)*N(AND(T$3&lt;=$E107,T$4&gt;=$E107))</f>
        <v>-0</v>
      </c>
      <c r="U107" s="48" t="n">
        <f aca="false">-(U104+U105+U106)*N(AND(U$3&lt;=$E107,U$4&gt;=$E107))</f>
        <v>-0</v>
      </c>
      <c r="V107" s="48" t="n">
        <f aca="false">-(V104+V105+V106)*N(AND(V$3&lt;=$E107,V$4&gt;=$E107))</f>
        <v>-0</v>
      </c>
      <c r="W107" s="48" t="n">
        <f aca="false">-(W104+W105+W106)*N(AND(W$3&lt;=$E107,W$4&gt;=$E107))</f>
        <v>-0</v>
      </c>
      <c r="X107" s="48" t="n">
        <f aca="false">-(X104+X105+X106)*N(AND(X$3&lt;=$E107,X$4&gt;=$E107))</f>
        <v>-0</v>
      </c>
      <c r="Y107" s="48" t="n">
        <f aca="false">-(Y104+Y105+Y106)*N(AND(Y$3&lt;=$E107,Y$4&gt;=$E107))</f>
        <v>-0</v>
      </c>
      <c r="Z107" s="48" t="n">
        <f aca="false">-(Z104+Z105+Z106)*N(AND(Z$3&lt;=$E107,Z$4&gt;=$E107))</f>
        <v>-0</v>
      </c>
      <c r="AA107" s="48" t="n">
        <f aca="false">-(AA104+AA105+AA106)*N(AND(AA$3&lt;=$E107,AA$4&gt;=$E107))</f>
        <v>-0</v>
      </c>
      <c r="AB107" s="48" t="n">
        <f aca="false">-(AB104+AB105+AB106)*N(AND(AB$3&lt;=$E107,AB$4&gt;=$E107))</f>
        <v>-0</v>
      </c>
      <c r="AC107" s="48" t="n">
        <f aca="false">-(AC104+AC105+AC106)*N(AND(AC$3&lt;=$E107,AC$4&gt;=$E107))</f>
        <v>-0</v>
      </c>
      <c r="AD107" s="48" t="n">
        <f aca="false">-(AD104+AD105+AD106)*N(AND(AD$3&lt;=$E107,AD$4&gt;=$E107))</f>
        <v>-0</v>
      </c>
      <c r="AE107" s="48" t="n">
        <f aca="false">-(AE104+AE105+AE106)*N(AND(AE$3&lt;=$E107,AE$4&gt;=$E107))</f>
        <v>-0</v>
      </c>
      <c r="AF107" s="48" t="n">
        <f aca="false">-(AF104+AF105+AF106)*N(AND(AF$3&lt;=$E107,AF$4&gt;=$E107))</f>
        <v>-0</v>
      </c>
      <c r="AG107" s="48" t="n">
        <f aca="false">-(AG104+AG105+AG106)*N(AND(AG$3&lt;=$E107,AG$4&gt;=$E107))</f>
        <v>-0</v>
      </c>
      <c r="AH107" s="48" t="n">
        <f aca="false">-(AH104+AH105+AH106)*N(AND(AH$3&lt;=$E107,AH$4&gt;=$E107))</f>
        <v>-0</v>
      </c>
      <c r="AI107" s="48" t="n">
        <f aca="false">-(AI104+AI105+AI106)*N(AND(AI$3&lt;=$E107,AI$4&gt;=$E107))</f>
        <v>-0</v>
      </c>
      <c r="AJ107" s="48" t="n">
        <f aca="false">-(AJ104+AJ105+AJ106)*N(AND(AJ$3&lt;=$E107,AJ$4&gt;=$E107))</f>
        <v>-0</v>
      </c>
      <c r="AK107" s="48" t="n">
        <f aca="false">-(AK104+AK105+AK106)*N(AND(AK$3&lt;=$E107,AK$4&gt;=$E107))</f>
        <v>-0</v>
      </c>
      <c r="AL107" s="48" t="n">
        <f aca="false">-(AL104+AL105+AL106)*N(AND(AL$3&lt;=$E107,AL$4&gt;=$E107))</f>
        <v>-0</v>
      </c>
      <c r="AM107" s="48" t="n">
        <f aca="false">-(AM104+AM105+AM106)*N(AND(AM$3&lt;=$E107,AM$4&gt;=$E107))</f>
        <v>-0</v>
      </c>
      <c r="AN107" s="48" t="n">
        <f aca="false">-(AN104+AN105+AN106)*N(AND(AN$3&lt;=$E107,AN$4&gt;=$E107))</f>
        <v>-0</v>
      </c>
      <c r="AO107" s="48" t="n">
        <f aca="false">-(AO104+AO105+AO106)*N(AND(AO$3&lt;=$E107,AO$4&gt;=$E107))</f>
        <v>-0</v>
      </c>
      <c r="AP107" s="48" t="n">
        <f aca="false">-(AP104+AP105+AP106)*N(AND(AP$3&lt;=$E107,AP$4&gt;=$E107))</f>
        <v>-0</v>
      </c>
      <c r="AQ107" s="48" t="n">
        <f aca="false">-(AQ104+AQ105+AQ106)*N(AND(AQ$3&lt;=$E107,AQ$4&gt;=$E107))</f>
        <v>-0</v>
      </c>
      <c r="AR107" s="48" t="n">
        <f aca="false">-(AR104+AR105+AR106)*N(AND(AR$3&lt;=$E107,AR$4&gt;=$E107))</f>
        <v>-0</v>
      </c>
      <c r="AS107" s="48" t="n">
        <f aca="false">-(AS104+AS105+AS106)*N(AND(AS$3&lt;=$E107,AS$4&gt;=$E107))</f>
        <v>-0</v>
      </c>
      <c r="AT107" s="48" t="n">
        <f aca="false">-(AT104+AT105+AT106)*N(AND(AT$3&lt;=$E107,AT$4&gt;=$E107))</f>
        <v>-0</v>
      </c>
      <c r="AU107" s="48" t="n">
        <f aca="false">-(AU104+AU105+AU106)*N(AND(AU$3&lt;=$E107,AU$4&gt;=$E107))</f>
        <v>-0</v>
      </c>
      <c r="AV107" s="48" t="n">
        <f aca="false">-(AV104+AV105+AV106)*N(AND(AV$3&lt;=$E107,AV$4&gt;=$E107))</f>
        <v>-0</v>
      </c>
      <c r="AW107" s="48" t="n">
        <f aca="false">-(AW104+AW105+AW106)*N(AND(AW$3&lt;=$E107,AW$4&gt;=$E107))</f>
        <v>-0</v>
      </c>
      <c r="AX107" s="48" t="n">
        <f aca="false">-(AX104+AX105+AX106)*N(AND(AX$3&lt;=$E107,AX$4&gt;=$E107))</f>
        <v>-0</v>
      </c>
      <c r="AY107" s="48" t="n">
        <f aca="false">-(AY104+AY105+AY106)*N(AND(AY$3&lt;=$E107,AY$4&gt;=$E107))</f>
        <v>-0</v>
      </c>
      <c r="AZ107" s="48" t="n">
        <f aca="false">-(AZ104+AZ105+AZ106)*N(AND(AZ$3&lt;=$E107,AZ$4&gt;=$E107))</f>
        <v>-0</v>
      </c>
      <c r="BA107" s="48" t="n">
        <f aca="false">-(BA104+BA105+BA106)*N(AND(BA$3&lt;=$E107,BA$4&gt;=$E107))</f>
        <v>-0</v>
      </c>
      <c r="BB107" s="48" t="n">
        <f aca="false">-(BB104+BB105+BB106)*N(AND(BB$3&lt;=$E107,BB$4&gt;=$E107))</f>
        <v>-0</v>
      </c>
      <c r="BC107" s="48" t="n">
        <f aca="false">-(BC104+BC105+BC106)*N(AND(BC$3&lt;=$E107,BC$4&gt;=$E107))</f>
        <v>-0</v>
      </c>
      <c r="BD107" s="48" t="n">
        <f aca="false">-(BD104+BD105+BD106)*N(AND(BD$3&lt;=$E107,BD$4&gt;=$E107))</f>
        <v>-0</v>
      </c>
      <c r="BE107" s="48" t="n">
        <f aca="false">-(BE104+BE105+BE106)*N(AND(BE$3&lt;=$E107,BE$4&gt;=$E107))</f>
        <v>-0</v>
      </c>
      <c r="BF107" s="48" t="n">
        <f aca="false">-(BF104+BF105+BF106)*N(AND(BF$3&lt;=$E107,BF$4&gt;=$E107))</f>
        <v>-0</v>
      </c>
      <c r="BG107" s="48" t="n">
        <f aca="false">-(BG104+BG105+BG106)*N(AND(BG$3&lt;=$E107,BG$4&gt;=$E107))</f>
        <v>-0</v>
      </c>
      <c r="BH107" s="48" t="n">
        <f aca="false">-(BH104+BH105+BH106)*N(AND(BH$3&lt;=$E107,BH$4&gt;=$E107))</f>
        <v>-0</v>
      </c>
      <c r="BI107" s="48" t="n">
        <f aca="false">-(BI104+BI105+BI106)*N(AND(BI$3&lt;=$E107,BI$4&gt;=$E107))</f>
        <v>-0</v>
      </c>
      <c r="BJ107" s="48" t="n">
        <f aca="false">-(BJ104+BJ105+BJ106)*N(AND(BJ$3&lt;=$E107,BJ$4&gt;=$E107))</f>
        <v>-0</v>
      </c>
      <c r="BK107" s="48" t="n">
        <f aca="false">-(BK104+BK105+BK106)*N(AND(BK$3&lt;=$E107,BK$4&gt;=$E107))</f>
        <v>-0</v>
      </c>
      <c r="BL107" s="48" t="n">
        <f aca="false">-(BL104+BL105+BL106)*N(AND(BL$3&lt;=$E107,BL$4&gt;=$E107))</f>
        <v>-0</v>
      </c>
      <c r="BM107" s="48" t="n">
        <f aca="false">-(BM104+BM105+BM106)*N(AND(BM$3&lt;=$E107,BM$4&gt;=$E107))</f>
        <v>-0</v>
      </c>
      <c r="BN107" s="48" t="n">
        <f aca="false">-(BN104+BN105+BN106)*N(AND(BN$3&lt;=$E107,BN$4&gt;=$E107))</f>
        <v>-0</v>
      </c>
      <c r="BO107" s="48" t="n">
        <f aca="false">-(BO104+BO105+BO106)*N(AND(BO$3&lt;=$E107,BO$4&gt;=$E107))</f>
        <v>-0</v>
      </c>
      <c r="BP107" s="48" t="n">
        <f aca="false">-(BP104+BP105+BP106)*N(AND(BP$3&lt;=$E107,BP$4&gt;=$E107))</f>
        <v>-0</v>
      </c>
      <c r="BQ107" s="48" t="n">
        <f aca="false">-(BQ104+BQ105+BQ106)*N(AND(BQ$3&lt;=$E107,BQ$4&gt;=$E107))</f>
        <v>-0</v>
      </c>
      <c r="BR107" s="48" t="n">
        <f aca="false">-(BR104+BR105+BR106)*N(AND(BR$3&lt;=$E107,BR$4&gt;=$E107))</f>
        <v>-0</v>
      </c>
      <c r="BS107" s="48" t="n">
        <f aca="false">-(BS104+BS105+BS106)*N(AND(BS$3&lt;=$E107,BS$4&gt;=$E107))</f>
        <v>-0</v>
      </c>
      <c r="BT107" s="48" t="n">
        <f aca="false">-(BT104+BT105+BT106)*N(AND(BT$3&lt;=$E107,BT$4&gt;=$E107))</f>
        <v>-0</v>
      </c>
      <c r="BU107" s="48" t="n">
        <f aca="false">-(BU104+BU105+BU106)*N(AND(BU$3&lt;=$E107,BU$4&gt;=$E107))</f>
        <v>-0</v>
      </c>
      <c r="BV107" s="48" t="n">
        <f aca="false">-(BV104+BV105+BV106)*N(AND(BV$3&lt;=$E107,BV$4&gt;=$E107))</f>
        <v>-0</v>
      </c>
      <c r="BW107" s="48" t="n">
        <f aca="false">-(BW104+BW105+BW106)*N(AND(BW$3&lt;=$E107,BW$4&gt;=$E107))</f>
        <v>-0</v>
      </c>
      <c r="BX107" s="48" t="n">
        <f aca="false">-(BX104+BX105+BX106)*N(AND(BX$3&lt;=$E107,BX$4&gt;=$E107))</f>
        <v>-0</v>
      </c>
      <c r="BY107" s="48" t="n">
        <f aca="false">-(BY104+BY105+BY106)*N(AND(BY$3&lt;=$E107,BY$4&gt;=$E107))</f>
        <v>-0</v>
      </c>
      <c r="BZ107" s="48" t="n">
        <f aca="false">-(BZ104+BZ105+BZ106)*N(AND(BZ$3&lt;=$E107,BZ$4&gt;=$E107))</f>
        <v>-0</v>
      </c>
      <c r="CA107" s="48" t="n">
        <f aca="false">-(CA104+CA105+CA106)*N(AND(CA$3&lt;=$E107,CA$4&gt;=$E107))</f>
        <v>-0</v>
      </c>
      <c r="CB107" s="48" t="n">
        <f aca="false">-(CB104+CB105+CB106)*N(AND(CB$3&lt;=$E107,CB$4&gt;=$E107))</f>
        <v>-0</v>
      </c>
      <c r="CC107" s="48" t="n">
        <f aca="false">-(CC104+CC105+CC106)*N(AND(CC$3&lt;=$E107,CC$4&gt;=$E107))</f>
        <v>-0</v>
      </c>
      <c r="CD107" s="48" t="n">
        <f aca="false">-(CD104+CD105+CD106)*N(AND(CD$3&lt;=$E107,CD$4&gt;=$E107))</f>
        <v>-0</v>
      </c>
      <c r="CE107" s="48" t="n">
        <f aca="false">-(CE104+CE105+CE106)*N(AND(CE$3&lt;=$E107,CE$4&gt;=$E107))</f>
        <v>-0</v>
      </c>
      <c r="CF107" s="48" t="n">
        <f aca="false">-(CF104+CF105+CF106)*N(AND(CF$3&lt;=$E107,CF$4&gt;=$E107))</f>
        <v>-0</v>
      </c>
      <c r="CG107" s="48" t="n">
        <f aca="false">-(CG104+CG105+CG106)*N(AND(CG$3&lt;=$E107,CG$4&gt;=$E107))</f>
        <v>-0</v>
      </c>
      <c r="CH107" s="48" t="n">
        <f aca="false">-(CH104+CH105+CH106)*N(AND(CH$3&lt;=$E107,CH$4&gt;=$E107))</f>
        <v>-0</v>
      </c>
      <c r="CI107" s="48" t="n">
        <f aca="false">-(CI104+CI105+CI106)*N(AND(CI$3&lt;=$E107,CI$4&gt;=$E107))</f>
        <v>-0</v>
      </c>
      <c r="CJ107" s="48" t="n">
        <f aca="false">-(CJ104+CJ105+CJ106)*N(AND(CJ$3&lt;=$E107,CJ$4&gt;=$E107))</f>
        <v>-0</v>
      </c>
      <c r="CK107" s="48" t="n">
        <f aca="false">-(CK104+CK105+CK106)*N(AND(CK$3&lt;=$E107,CK$4&gt;=$E107))</f>
        <v>-0</v>
      </c>
      <c r="CL107" s="48" t="n">
        <f aca="false">-(CL104+CL105+CL106)*N(AND(CL$3&lt;=$E107,CL$4&gt;=$E107))</f>
        <v>-0</v>
      </c>
      <c r="CM107" s="48" t="n">
        <f aca="false">-(CM104+CM105+CM106)*N(AND(CM$3&lt;=$E107,CM$4&gt;=$E107))</f>
        <v>-0</v>
      </c>
      <c r="CN107" s="48" t="n">
        <f aca="false">-(CN104+CN105+CN106)*N(AND(CN$3&lt;=$E107,CN$4&gt;=$E107))</f>
        <v>-0</v>
      </c>
      <c r="CO107" s="48" t="n">
        <f aca="false">-(CO104+CO105+CO106)*N(AND(CO$3&lt;=$E107,CO$4&gt;=$E107))</f>
        <v>-0</v>
      </c>
      <c r="CP107" s="48" t="n">
        <f aca="false">-(CP104+CP105+CP106)*N(AND(CP$3&lt;=$E107,CP$4&gt;=$E107))</f>
        <v>-0</v>
      </c>
      <c r="CQ107" s="48" t="n">
        <f aca="false">-(CQ104+CQ105+CQ106)*N(AND(CQ$3&lt;=$E107,CQ$4&gt;=$E107))</f>
        <v>-0</v>
      </c>
      <c r="CR107" s="48" t="n">
        <f aca="false">-(CR104+CR105+CR106)*N(AND(CR$3&lt;=$E107,CR$4&gt;=$E107))</f>
        <v>-0</v>
      </c>
      <c r="CS107" s="48" t="n">
        <f aca="false">-(CS104+CS105+CS106)*N(AND(CS$3&lt;=$E107,CS$4&gt;=$E107))</f>
        <v>-0</v>
      </c>
      <c r="CT107" s="48" t="n">
        <f aca="false">-(CT104+CT105+CT106)*N(AND(CT$3&lt;=$E107,CT$4&gt;=$E107))</f>
        <v>-0</v>
      </c>
      <c r="CU107" s="48" t="n">
        <f aca="false">-(CU104+CU105+CU106)*N(AND(CU$3&lt;=$E107,CU$4&gt;=$E107))</f>
        <v>-0</v>
      </c>
      <c r="CV107" s="48" t="n">
        <f aca="false">-(CV104+CV105+CV106)*N(AND(CV$3&lt;=$E107,CV$4&gt;=$E107))</f>
        <v>-0</v>
      </c>
      <c r="CW107" s="48" t="n">
        <f aca="false">-(CW104+CW105+CW106)*N(AND(CW$3&lt;=$E107,CW$4&gt;=$E107))</f>
        <v>-0</v>
      </c>
      <c r="CX107" s="48" t="n">
        <f aca="false">-(CX104+CX105+CX106)*N(AND(CX$3&lt;=$E107,CX$4&gt;=$E107))</f>
        <v>-0</v>
      </c>
      <c r="CY107" s="48" t="n">
        <f aca="false">-(CY104+CY105+CY106)*N(AND(CY$3&lt;=$E107,CY$4&gt;=$E107))</f>
        <v>-0</v>
      </c>
      <c r="CZ107" s="48" t="n">
        <f aca="false">-(CZ104+CZ105+CZ106)*N(AND(CZ$3&lt;=$E107,CZ$4&gt;=$E107))</f>
        <v>-0</v>
      </c>
      <c r="DA107" s="48" t="n">
        <f aca="false">-(DA104+DA105+DA106)*N(AND(DA$3&lt;=$E107,DA$4&gt;=$E107))</f>
        <v>-0</v>
      </c>
      <c r="DB107" s="48" t="n">
        <f aca="false">-(DB104+DB105+DB106)*N(AND(DB$3&lt;=$E107,DB$4&gt;=$E107))</f>
        <v>-0</v>
      </c>
      <c r="DC107" s="48" t="n">
        <f aca="false">-(DC104+DC105+DC106)*N(AND(DC$3&lt;=$E107,DC$4&gt;=$E107))</f>
        <v>-0</v>
      </c>
      <c r="DD107" s="48" t="n">
        <f aca="false">-(DD104+DD105+DD106)*N(AND(DD$3&lt;=$E107,DD$4&gt;=$E107))</f>
        <v>-0</v>
      </c>
      <c r="DE107" s="48" t="n">
        <f aca="false">-(DE104+DE105+DE106)*N(AND(DE$3&lt;=$E107,DE$4&gt;=$E107))</f>
        <v>-0</v>
      </c>
      <c r="DF107" s="48" t="n">
        <f aca="false">-(DF104+DF105+DF106)*N(AND(DF$3&lt;=$E107,DF$4&gt;=$E107))</f>
        <v>-0</v>
      </c>
      <c r="DG107" s="48" t="n">
        <f aca="false">-(DG104+DG105+DG106)*N(AND(DG$3&lt;=$E107,DG$4&gt;=$E107))</f>
        <v>-0</v>
      </c>
      <c r="DH107" s="48" t="n">
        <f aca="false">-(DH104+DH105+DH106)*N(AND(DH$3&lt;=$E107,DH$4&gt;=$E107))</f>
        <v>-0</v>
      </c>
      <c r="DI107" s="48" t="n">
        <f aca="false">-(DI104+DI105+DI106)*N(AND(DI$3&lt;=$E107,DI$4&gt;=$E107))</f>
        <v>-0</v>
      </c>
      <c r="DJ107" s="48" t="n">
        <f aca="false">-(DJ104+DJ105+DJ106)*N(AND(DJ$3&lt;=$E107,DJ$4&gt;=$E107))</f>
        <v>-0</v>
      </c>
      <c r="DK107" s="48" t="n">
        <f aca="false">-(DK104+DK105+DK106)*N(AND(DK$3&lt;=$E107,DK$4&gt;=$E107))</f>
        <v>-0</v>
      </c>
      <c r="DL107" s="48" t="n">
        <f aca="false">-(DL104+DL105+DL106)*N(AND(DL$3&lt;=$E107,DL$4&gt;=$E107))</f>
        <v>-0</v>
      </c>
      <c r="DM107" s="48" t="n">
        <f aca="false">-(DM104+DM105+DM106)*N(AND(DM$3&lt;=$E107,DM$4&gt;=$E107))</f>
        <v>-0</v>
      </c>
      <c r="DN107" s="48" t="n">
        <f aca="false">-(DN104+DN105+DN106)*N(AND(DN$3&lt;=$E107,DN$4&gt;=$E107))</f>
        <v>-0</v>
      </c>
      <c r="DO107" s="48" t="n">
        <f aca="false">-(DO104+DO105+DO106)*N(AND(DO$3&lt;=$E107,DO$4&gt;=$E107))</f>
        <v>-0</v>
      </c>
      <c r="DP107" s="48" t="n">
        <f aca="false">-(DP104+DP105+DP106)*N(AND(DP$3&lt;=$E107,DP$4&gt;=$E107))</f>
        <v>-0</v>
      </c>
      <c r="DQ107" s="48" t="n">
        <f aca="false">-(DQ104+DQ105+DQ106)*N(AND(DQ$3&lt;=$E107,DQ$4&gt;=$E107))</f>
        <v>-0</v>
      </c>
      <c r="DR107" s="48" t="n">
        <f aca="false">-(DR104+DR105+DR106)*N(AND(DR$3&lt;=$E107,DR$4&gt;=$E107))</f>
        <v>-0</v>
      </c>
      <c r="DS107" s="48" t="n">
        <f aca="false">-(DS104+DS105+DS106)*N(AND(DS$3&lt;=$E107,DS$4&gt;=$E107))</f>
        <v>-0</v>
      </c>
      <c r="DT107" s="48" t="n">
        <f aca="false">-(DT104+DT105+DT106)*N(AND(DT$3&lt;=$E107,DT$4&gt;=$E107))</f>
        <v>-0</v>
      </c>
      <c r="DU107" s="48" t="n">
        <f aca="false">-(DU104+DU105+DU106)*N(AND(DU$3&lt;=$E107,DU$4&gt;=$E107))</f>
        <v>-0</v>
      </c>
      <c r="DV107" s="48" t="n">
        <f aca="false">-(DV104+DV105+DV106)*N(AND(DV$3&lt;=$E107,DV$4&gt;=$E107))</f>
        <v>-0</v>
      </c>
      <c r="DW107" s="48" t="n">
        <f aca="false">-(DW104+DW105+DW106)*N(AND(DW$3&lt;=$E107,DW$4&gt;=$E107))</f>
        <v>-0</v>
      </c>
      <c r="DX107" s="48" t="n">
        <f aca="false">-(DX104+DX105+DX106)*N(AND(DX$3&lt;=$E107,DX$4&gt;=$E107))</f>
        <v>-0</v>
      </c>
      <c r="DY107" s="48" t="n">
        <f aca="false">-(DY104+DY105+DY106)*N(AND(DY$3&lt;=$E107,DY$4&gt;=$E107))</f>
        <v>-0</v>
      </c>
      <c r="DZ107" s="48" t="n">
        <f aca="false">-(DZ104+DZ105+DZ106)*N(AND(DZ$3&lt;=$E107,DZ$4&gt;=$E107))</f>
        <v>-0</v>
      </c>
      <c r="EA107" s="48" t="n">
        <f aca="false">-(EA104+EA105+EA106)*N(AND(EA$3&lt;=$E107,EA$4&gt;=$E107))</f>
        <v>-0</v>
      </c>
      <c r="EB107" s="48" t="n">
        <f aca="false">-(EB104+EB105+EB106)*N(AND(EB$3&lt;=$E107,EB$4&gt;=$E107))</f>
        <v>-0</v>
      </c>
      <c r="EC107" s="48" t="n">
        <f aca="false">-(EC104+EC105+EC106)*N(AND(EC$3&lt;=$E107,EC$4&gt;=$E107))</f>
        <v>-0</v>
      </c>
      <c r="ED107" s="48" t="n">
        <f aca="false">-(ED104+ED105+ED106)*N(AND(ED$3&lt;=$E107,ED$4&gt;=$E107))</f>
        <v>-0</v>
      </c>
      <c r="EE107" s="48" t="n">
        <f aca="false">-(EE104+EE105+EE106)*N(AND(EE$3&lt;=$E107,EE$4&gt;=$E107))</f>
        <v>-0</v>
      </c>
      <c r="EF107" s="48" t="n">
        <f aca="false">-(EF104+EF105+EF106)*N(AND(EF$3&lt;=$E107,EF$4&gt;=$E107))</f>
        <v>-0</v>
      </c>
      <c r="EG107" s="48" t="n">
        <f aca="false">-(EG104+EG105+EG106)*N(AND(EG$3&lt;=$E107,EG$4&gt;=$E107))</f>
        <v>-0</v>
      </c>
      <c r="EH107" s="48" t="n">
        <f aca="false">-(EH104+EH105+EH106)*N(AND(EH$3&lt;=$E107,EH$4&gt;=$E107))</f>
        <v>-0</v>
      </c>
      <c r="EI107" s="48" t="n">
        <f aca="false">-(EI104+EI105+EI106)*N(AND(EI$3&lt;=$E107,EI$4&gt;=$E107))</f>
        <v>-0</v>
      </c>
      <c r="EJ107" s="48" t="n">
        <f aca="false">-(EJ104+EJ105+EJ106)*N(AND(EJ$3&lt;=$E107,EJ$4&gt;=$E107))</f>
        <v>-0</v>
      </c>
      <c r="EK107" s="48" t="n">
        <f aca="false">-(EK104+EK105+EK106)*N(AND(EK$3&lt;=$E107,EK$4&gt;=$E107))</f>
        <v>-0</v>
      </c>
      <c r="EL107" s="48" t="n">
        <f aca="false">-(EL104+EL105+EL106)*N(AND(EL$3&lt;=$E107,EL$4&gt;=$E107))</f>
        <v>-0</v>
      </c>
      <c r="EM107" s="48" t="n">
        <f aca="false">-(EM104+EM105+EM106)*N(AND(EM$3&lt;=$E107,EM$4&gt;=$E107))</f>
        <v>-0</v>
      </c>
      <c r="EN107" s="48" t="n">
        <f aca="false">-(EN104+EN105+EN106)*N(AND(EN$3&lt;=$E107,EN$4&gt;=$E107))</f>
        <v>-0</v>
      </c>
      <c r="EO107" s="48" t="n">
        <f aca="false">-(EO104+EO105+EO106)*N(AND(EO$3&lt;=$E107,EO$4&gt;=$E107))</f>
        <v>-0</v>
      </c>
    </row>
    <row r="108" customFormat="false" ht="15" hidden="false" customHeight="false" outlineLevel="0" collapsed="false">
      <c r="C108" s="1" t="s">
        <v>452</v>
      </c>
      <c r="D108" s="12" t="s">
        <v>33</v>
      </c>
      <c r="I108" s="59"/>
      <c r="J108" s="48" t="n">
        <f aca="false">SUM(J104:J107)</f>
        <v>12.8099380746857</v>
      </c>
      <c r="K108" s="48" t="n">
        <f aca="false">SUM(K104:K107)</f>
        <v>32.4846237568024</v>
      </c>
      <c r="L108" s="48" t="n">
        <f aca="false">SUM(L104:L107)</f>
        <v>65.6401125914806</v>
      </c>
      <c r="M108" s="48" t="n">
        <f aca="false">SUM(M104:M107)</f>
        <v>99.1599474573091</v>
      </c>
      <c r="N108" s="48" t="n">
        <f aca="false">SUM(N104:N107)</f>
        <v>132.679782323138</v>
      </c>
      <c r="O108" s="48" t="n">
        <f aca="false">SUM(O104:O107)</f>
        <v>165.835271157816</v>
      </c>
      <c r="P108" s="48" t="n">
        <f aca="false">SUM(P104:P107)</f>
        <v>198.990759992494</v>
      </c>
      <c r="Q108" s="48" t="n">
        <f aca="false">SUM(Q104:Q107)</f>
        <v>232.510594858322</v>
      </c>
      <c r="R108" s="48" t="n">
        <f aca="false">SUM(R104:R107)</f>
        <v>1370.83725036342</v>
      </c>
      <c r="S108" s="48" t="n">
        <f aca="false">SUM(S104:S107)</f>
        <v>1547.54691920119</v>
      </c>
      <c r="T108" s="48" t="n">
        <f aca="false">SUM(T104:T107)</f>
        <v>1701.18915609518</v>
      </c>
      <c r="U108" s="48" t="n">
        <f aca="false">SUM(U104:U107)</f>
        <v>1844.02594957718</v>
      </c>
      <c r="V108" s="48" t="n">
        <f aca="false">SUM(V104:V107)</f>
        <v>1974.23162869627</v>
      </c>
      <c r="W108" s="48" t="n">
        <f aca="false">SUM(W104:W107)</f>
        <v>2090.29215582612</v>
      </c>
      <c r="X108" s="48" t="n">
        <f aca="false">SUM(X104:X107)</f>
        <v>2195.42002950177</v>
      </c>
      <c r="Y108" s="48" t="n">
        <f aca="false">SUM(Y104:Y107)</f>
        <v>2289.2093348949</v>
      </c>
      <c r="Z108" s="48" t="n">
        <f aca="false">SUM(Z104:Z107)</f>
        <v>2037.90618865476</v>
      </c>
      <c r="AA108" s="48" t="n">
        <f aca="false">SUM(AA104:AA107)</f>
        <v>1789.31638263538</v>
      </c>
      <c r="AB108" s="48" t="n">
        <f aca="false">SUM(AB104:AB107)</f>
        <v>1531.44130007997</v>
      </c>
      <c r="AC108" s="48" t="n">
        <f aca="false">SUM(AC104:AC107)</f>
        <v>1264.17018633588</v>
      </c>
      <c r="AD108" s="48" t="n">
        <f aca="false">SUM(AD104:AD107)</f>
        <v>997.884361350022</v>
      </c>
      <c r="AE108" s="48" t="n">
        <f aca="false">SUM(AE104:AE107)</f>
        <v>727.772753065486</v>
      </c>
      <c r="AF108" s="48" t="n">
        <f aca="false">SUM(AF104:AF107)</f>
        <v>454.619910004091</v>
      </c>
      <c r="AG108" s="48" t="n">
        <f aca="false">SUM(AG104:AG107)</f>
        <v>171.868273165539</v>
      </c>
      <c r="AH108" s="48" t="n">
        <f aca="false">SUM(AH104:AH107)</f>
        <v>0</v>
      </c>
      <c r="AI108" s="48" t="n">
        <f aca="false">SUM(AI104:AI107)</f>
        <v>0</v>
      </c>
      <c r="AJ108" s="48" t="n">
        <f aca="false">SUM(AJ104:AJ107)</f>
        <v>0</v>
      </c>
      <c r="AK108" s="48" t="n">
        <f aca="false">SUM(AK104:AK107)</f>
        <v>0</v>
      </c>
      <c r="AL108" s="48" t="n">
        <f aca="false">SUM(AL104:AL107)</f>
        <v>0</v>
      </c>
      <c r="AM108" s="48" t="n">
        <f aca="false">SUM(AM104:AM107)</f>
        <v>0</v>
      </c>
      <c r="AN108" s="48" t="n">
        <f aca="false">SUM(AN104:AN107)</f>
        <v>0</v>
      </c>
      <c r="AO108" s="48" t="n">
        <f aca="false">SUM(AO104:AO107)</f>
        <v>0</v>
      </c>
      <c r="AP108" s="48" t="n">
        <f aca="false">SUM(AP104:AP107)</f>
        <v>0</v>
      </c>
      <c r="AQ108" s="48" t="n">
        <f aca="false">SUM(AQ104:AQ107)</f>
        <v>0</v>
      </c>
      <c r="AR108" s="48" t="n">
        <f aca="false">SUM(AR104:AR107)</f>
        <v>0</v>
      </c>
      <c r="AS108" s="48" t="n">
        <f aca="false">SUM(AS104:AS107)</f>
        <v>0</v>
      </c>
      <c r="AT108" s="48" t="n">
        <f aca="false">SUM(AT104:AT107)</f>
        <v>0</v>
      </c>
      <c r="AU108" s="48" t="n">
        <f aca="false">SUM(AU104:AU107)</f>
        <v>0</v>
      </c>
      <c r="AV108" s="48" t="n">
        <f aca="false">SUM(AV104:AV107)</f>
        <v>0</v>
      </c>
      <c r="AW108" s="48" t="n">
        <f aca="false">SUM(AW104:AW107)</f>
        <v>0</v>
      </c>
      <c r="AX108" s="48" t="n">
        <f aca="false">SUM(AX104:AX107)</f>
        <v>0</v>
      </c>
      <c r="AY108" s="48" t="n">
        <f aca="false">SUM(AY104:AY107)</f>
        <v>0</v>
      </c>
      <c r="AZ108" s="48" t="n">
        <f aca="false">SUM(AZ104:AZ107)</f>
        <v>0</v>
      </c>
      <c r="BA108" s="48" t="n">
        <f aca="false">SUM(BA104:BA107)</f>
        <v>0</v>
      </c>
      <c r="BB108" s="48" t="n">
        <f aca="false">SUM(BB104:BB107)</f>
        <v>0</v>
      </c>
      <c r="BC108" s="48" t="n">
        <f aca="false">SUM(BC104:BC107)</f>
        <v>0</v>
      </c>
      <c r="BD108" s="48" t="n">
        <f aca="false">SUM(BD104:BD107)</f>
        <v>0</v>
      </c>
      <c r="BE108" s="48" t="n">
        <f aca="false">SUM(BE104:BE107)</f>
        <v>0</v>
      </c>
      <c r="BF108" s="48" t="n">
        <f aca="false">SUM(BF104:BF107)</f>
        <v>0</v>
      </c>
      <c r="BG108" s="48" t="n">
        <f aca="false">SUM(BG104:BG107)</f>
        <v>0</v>
      </c>
      <c r="BH108" s="48" t="n">
        <f aca="false">SUM(BH104:BH107)</f>
        <v>0</v>
      </c>
      <c r="BI108" s="48" t="n">
        <f aca="false">SUM(BI104:BI107)</f>
        <v>0</v>
      </c>
      <c r="BJ108" s="48" t="n">
        <f aca="false">SUM(BJ104:BJ107)</f>
        <v>0</v>
      </c>
      <c r="BK108" s="48" t="n">
        <f aca="false">SUM(BK104:BK107)</f>
        <v>0</v>
      </c>
      <c r="BL108" s="48" t="n">
        <f aca="false">SUM(BL104:BL107)</f>
        <v>0</v>
      </c>
      <c r="BM108" s="48" t="n">
        <f aca="false">SUM(BM104:BM107)</f>
        <v>0</v>
      </c>
      <c r="BN108" s="48" t="n">
        <f aca="false">SUM(BN104:BN107)</f>
        <v>0</v>
      </c>
      <c r="BO108" s="48" t="n">
        <f aca="false">SUM(BO104:BO107)</f>
        <v>0</v>
      </c>
      <c r="BP108" s="48" t="n">
        <f aca="false">SUM(BP104:BP107)</f>
        <v>0</v>
      </c>
      <c r="BQ108" s="48" t="n">
        <f aca="false">SUM(BQ104:BQ107)</f>
        <v>0</v>
      </c>
      <c r="BR108" s="48" t="n">
        <f aca="false">SUM(BR104:BR107)</f>
        <v>0</v>
      </c>
      <c r="BS108" s="48" t="n">
        <f aca="false">SUM(BS104:BS107)</f>
        <v>0</v>
      </c>
      <c r="BT108" s="48" t="n">
        <f aca="false">SUM(BT104:BT107)</f>
        <v>0</v>
      </c>
      <c r="BU108" s="48" t="n">
        <f aca="false">SUM(BU104:BU107)</f>
        <v>0</v>
      </c>
      <c r="BV108" s="48" t="n">
        <f aca="false">SUM(BV104:BV107)</f>
        <v>0</v>
      </c>
      <c r="BW108" s="48" t="n">
        <f aca="false">SUM(BW104:BW107)</f>
        <v>0</v>
      </c>
      <c r="BX108" s="48" t="n">
        <f aca="false">SUM(BX104:BX107)</f>
        <v>0</v>
      </c>
      <c r="BY108" s="48" t="n">
        <f aca="false">SUM(BY104:BY107)</f>
        <v>0</v>
      </c>
      <c r="BZ108" s="48" t="n">
        <f aca="false">SUM(BZ104:BZ107)</f>
        <v>0</v>
      </c>
      <c r="CA108" s="48" t="n">
        <f aca="false">SUM(CA104:CA107)</f>
        <v>0</v>
      </c>
      <c r="CB108" s="48" t="n">
        <f aca="false">SUM(CB104:CB107)</f>
        <v>0</v>
      </c>
      <c r="CC108" s="48" t="n">
        <f aca="false">SUM(CC104:CC107)</f>
        <v>0</v>
      </c>
      <c r="CD108" s="48" t="n">
        <f aca="false">SUM(CD104:CD107)</f>
        <v>0</v>
      </c>
      <c r="CE108" s="48" t="n">
        <f aca="false">SUM(CE104:CE107)</f>
        <v>0</v>
      </c>
      <c r="CF108" s="48" t="n">
        <f aca="false">SUM(CF104:CF107)</f>
        <v>0</v>
      </c>
      <c r="CG108" s="48" t="n">
        <f aca="false">SUM(CG104:CG107)</f>
        <v>0</v>
      </c>
      <c r="CH108" s="48" t="n">
        <f aca="false">SUM(CH104:CH107)</f>
        <v>0</v>
      </c>
      <c r="CI108" s="48" t="n">
        <f aca="false">SUM(CI104:CI107)</f>
        <v>0</v>
      </c>
      <c r="CJ108" s="48" t="n">
        <f aca="false">SUM(CJ104:CJ107)</f>
        <v>0</v>
      </c>
      <c r="CK108" s="48" t="n">
        <f aca="false">SUM(CK104:CK107)</f>
        <v>0</v>
      </c>
      <c r="CL108" s="48" t="n">
        <f aca="false">SUM(CL104:CL107)</f>
        <v>0</v>
      </c>
      <c r="CM108" s="48" t="n">
        <f aca="false">SUM(CM104:CM107)</f>
        <v>0</v>
      </c>
      <c r="CN108" s="48" t="n">
        <f aca="false">SUM(CN104:CN107)</f>
        <v>0</v>
      </c>
      <c r="CO108" s="48" t="n">
        <f aca="false">SUM(CO104:CO107)</f>
        <v>0</v>
      </c>
      <c r="CP108" s="48" t="n">
        <f aca="false">SUM(CP104:CP107)</f>
        <v>0</v>
      </c>
      <c r="CQ108" s="48" t="n">
        <f aca="false">SUM(CQ104:CQ107)</f>
        <v>0</v>
      </c>
      <c r="CR108" s="48" t="n">
        <f aca="false">SUM(CR104:CR107)</f>
        <v>0</v>
      </c>
      <c r="CS108" s="48" t="n">
        <f aca="false">SUM(CS104:CS107)</f>
        <v>0</v>
      </c>
      <c r="CT108" s="48" t="n">
        <f aca="false">SUM(CT104:CT107)</f>
        <v>0</v>
      </c>
      <c r="CU108" s="48" t="n">
        <f aca="false">SUM(CU104:CU107)</f>
        <v>0</v>
      </c>
      <c r="CV108" s="48" t="n">
        <f aca="false">SUM(CV104:CV107)</f>
        <v>0</v>
      </c>
      <c r="CW108" s="48" t="n">
        <f aca="false">SUM(CW104:CW107)</f>
        <v>0</v>
      </c>
      <c r="CX108" s="48" t="n">
        <f aca="false">SUM(CX104:CX107)</f>
        <v>0</v>
      </c>
      <c r="CY108" s="48" t="n">
        <f aca="false">SUM(CY104:CY107)</f>
        <v>0</v>
      </c>
      <c r="CZ108" s="48" t="n">
        <f aca="false">SUM(CZ104:CZ107)</f>
        <v>0</v>
      </c>
      <c r="DA108" s="48" t="n">
        <f aca="false">SUM(DA104:DA107)</f>
        <v>0</v>
      </c>
      <c r="DB108" s="48" t="n">
        <f aca="false">SUM(DB104:DB107)</f>
        <v>0</v>
      </c>
      <c r="DC108" s="48" t="n">
        <f aca="false">SUM(DC104:DC107)</f>
        <v>0</v>
      </c>
      <c r="DD108" s="48" t="n">
        <f aca="false">SUM(DD104:DD107)</f>
        <v>0</v>
      </c>
      <c r="DE108" s="48" t="n">
        <f aca="false">SUM(DE104:DE107)</f>
        <v>0</v>
      </c>
      <c r="DF108" s="48" t="n">
        <f aca="false">SUM(DF104:DF107)</f>
        <v>0</v>
      </c>
      <c r="DG108" s="48" t="n">
        <f aca="false">SUM(DG104:DG107)</f>
        <v>0</v>
      </c>
      <c r="DH108" s="48" t="n">
        <f aca="false">SUM(DH104:DH107)</f>
        <v>0</v>
      </c>
      <c r="DI108" s="48" t="n">
        <f aca="false">SUM(DI104:DI107)</f>
        <v>0</v>
      </c>
      <c r="DJ108" s="48" t="n">
        <f aca="false">SUM(DJ104:DJ107)</f>
        <v>0</v>
      </c>
      <c r="DK108" s="48" t="n">
        <f aca="false">SUM(DK104:DK107)</f>
        <v>0</v>
      </c>
      <c r="DL108" s="48" t="n">
        <f aca="false">SUM(DL104:DL107)</f>
        <v>0</v>
      </c>
      <c r="DM108" s="48" t="n">
        <f aca="false">SUM(DM104:DM107)</f>
        <v>0</v>
      </c>
      <c r="DN108" s="48" t="n">
        <f aca="false">SUM(DN104:DN107)</f>
        <v>0</v>
      </c>
      <c r="DO108" s="48" t="n">
        <f aca="false">SUM(DO104:DO107)</f>
        <v>0</v>
      </c>
      <c r="DP108" s="48" t="n">
        <f aca="false">SUM(DP104:DP107)</f>
        <v>0</v>
      </c>
      <c r="DQ108" s="48" t="n">
        <f aca="false">SUM(DQ104:DQ107)</f>
        <v>0</v>
      </c>
      <c r="DR108" s="48" t="n">
        <f aca="false">SUM(DR104:DR107)</f>
        <v>0</v>
      </c>
      <c r="DS108" s="48" t="n">
        <f aca="false">SUM(DS104:DS107)</f>
        <v>0</v>
      </c>
      <c r="DT108" s="48" t="n">
        <f aca="false">SUM(DT104:DT107)</f>
        <v>0</v>
      </c>
      <c r="DU108" s="48" t="n">
        <f aca="false">SUM(DU104:DU107)</f>
        <v>0</v>
      </c>
      <c r="DV108" s="48" t="n">
        <f aca="false">SUM(DV104:DV107)</f>
        <v>0</v>
      </c>
      <c r="DW108" s="48" t="n">
        <f aca="false">SUM(DW104:DW107)</f>
        <v>0</v>
      </c>
      <c r="DX108" s="48" t="n">
        <f aca="false">SUM(DX104:DX107)</f>
        <v>0</v>
      </c>
      <c r="DY108" s="48" t="n">
        <f aca="false">SUM(DY104:DY107)</f>
        <v>0</v>
      </c>
      <c r="DZ108" s="48" t="n">
        <f aca="false">SUM(DZ104:DZ107)</f>
        <v>0</v>
      </c>
      <c r="EA108" s="48" t="n">
        <f aca="false">SUM(EA104:EA107)</f>
        <v>0</v>
      </c>
      <c r="EB108" s="48" t="n">
        <f aca="false">SUM(EB104:EB107)</f>
        <v>0</v>
      </c>
      <c r="EC108" s="48" t="n">
        <f aca="false">SUM(EC104:EC107)</f>
        <v>0</v>
      </c>
      <c r="ED108" s="48" t="n">
        <f aca="false">SUM(ED104:ED107)</f>
        <v>0</v>
      </c>
      <c r="EE108" s="48" t="n">
        <f aca="false">SUM(EE104:EE107)</f>
        <v>0</v>
      </c>
      <c r="EF108" s="48" t="n">
        <f aca="false">SUM(EF104:EF107)</f>
        <v>0</v>
      </c>
      <c r="EG108" s="48" t="n">
        <f aca="false">SUM(EG104:EG107)</f>
        <v>0</v>
      </c>
      <c r="EH108" s="48" t="n">
        <f aca="false">SUM(EH104:EH107)</f>
        <v>0</v>
      </c>
      <c r="EI108" s="48" t="n">
        <f aca="false">SUM(EI104:EI107)</f>
        <v>0</v>
      </c>
      <c r="EJ108" s="48" t="n">
        <f aca="false">SUM(EJ104:EJ107)</f>
        <v>0</v>
      </c>
      <c r="EK108" s="48" t="n">
        <f aca="false">SUM(EK104:EK107)</f>
        <v>0</v>
      </c>
      <c r="EL108" s="48" t="n">
        <f aca="false">SUM(EL104:EL107)</f>
        <v>0</v>
      </c>
      <c r="EM108" s="48" t="n">
        <f aca="false">SUM(EM104:EM107)</f>
        <v>0</v>
      </c>
      <c r="EN108" s="48" t="n">
        <f aca="false">SUM(EN104:EN107)</f>
        <v>0</v>
      </c>
      <c r="EO108" s="48" t="n">
        <f aca="false">SUM(EO104:EO107)</f>
        <v>0</v>
      </c>
    </row>
    <row r="109" customFormat="false" ht="15" hidden="false" customHeight="false" outlineLevel="0" collapsed="false">
      <c r="C109" s="1" t="s">
        <v>453</v>
      </c>
      <c r="D109" s="12" t="s">
        <v>33</v>
      </c>
      <c r="J109" s="48" t="n">
        <f aca="false">-In_CIT*(MAX(0,J103)+J106)</f>
        <v>-0</v>
      </c>
      <c r="K109" s="48" t="n">
        <f aca="false">-In_CIT*(MAX(0,K103)+K106)</f>
        <v>-0</v>
      </c>
      <c r="L109" s="48" t="n">
        <f aca="false">-In_CIT*(MAX(0,L103)+L106)</f>
        <v>-0</v>
      </c>
      <c r="M109" s="48" t="n">
        <f aca="false">-In_CIT*(MAX(0,M103)+M106)</f>
        <v>-0</v>
      </c>
      <c r="N109" s="48" t="n">
        <f aca="false">-In_CIT*(MAX(0,N103)+N106)</f>
        <v>-0</v>
      </c>
      <c r="O109" s="48" t="n">
        <f aca="false">-In_CIT*(MAX(0,O103)+O106)</f>
        <v>-0</v>
      </c>
      <c r="P109" s="48" t="n">
        <f aca="false">-In_CIT*(MAX(0,P103)+P106)</f>
        <v>-0</v>
      </c>
      <c r="Q109" s="48" t="n">
        <f aca="false">-In_CIT*(MAX(0,Q103)+Q106)</f>
        <v>-0</v>
      </c>
      <c r="R109" s="48" t="n">
        <f aca="false">-In_CIT*(MAX(0,R103)+R106)</f>
        <v>-0</v>
      </c>
      <c r="S109" s="48" t="n">
        <f aca="false">-In_CIT*(MAX(0,S103)+S106)</f>
        <v>-0</v>
      </c>
      <c r="T109" s="48" t="n">
        <f aca="false">-In_CIT*(MAX(0,T103)+T106)</f>
        <v>-0</v>
      </c>
      <c r="U109" s="48" t="n">
        <f aca="false">-In_CIT*(MAX(0,U103)+U106)</f>
        <v>-0</v>
      </c>
      <c r="V109" s="48" t="n">
        <f aca="false">-In_CIT*(MAX(0,V103)+V106)</f>
        <v>-0</v>
      </c>
      <c r="W109" s="48" t="n">
        <f aca="false">-In_CIT*(MAX(0,W103)+W106)</f>
        <v>-0</v>
      </c>
      <c r="X109" s="48" t="n">
        <f aca="false">-In_CIT*(MAX(0,X103)+X106)</f>
        <v>-0</v>
      </c>
      <c r="Y109" s="48" t="n">
        <f aca="false">-In_CIT*(MAX(0,Y103)+Y106)</f>
        <v>-0</v>
      </c>
      <c r="Z109" s="48" t="n">
        <f aca="false">-In_CIT*(MAX(0,Z103)+Z106)</f>
        <v>-22.6172831616123</v>
      </c>
      <c r="AA109" s="48" t="n">
        <f aca="false">-In_CIT*(MAX(0,AA103)+AA106)</f>
        <v>-22.3730825417446</v>
      </c>
      <c r="AB109" s="48" t="n">
        <f aca="false">-In_CIT*(MAX(0,AB103)+AB106)</f>
        <v>-23.2087574299868</v>
      </c>
      <c r="AC109" s="48" t="n">
        <f aca="false">-In_CIT*(MAX(0,AC103)+AC106)</f>
        <v>-24.0544002369677</v>
      </c>
      <c r="AD109" s="48" t="n">
        <f aca="false">-In_CIT*(MAX(0,AD103)+AD106)</f>
        <v>-23.9657242487275</v>
      </c>
      <c r="AE109" s="48" t="n">
        <f aca="false">-In_CIT*(MAX(0,AE103)+AE106)</f>
        <v>-24.3100447456082</v>
      </c>
      <c r="AF109" s="48" t="n">
        <f aca="false">-In_CIT*(MAX(0,AF103)+AF106)</f>
        <v>-24.5837558755256</v>
      </c>
      <c r="AG109" s="48" t="n">
        <f aca="false">-In_CIT*(MAX(0,AG103)+AG106)</f>
        <v>-25.4476473154697</v>
      </c>
      <c r="AH109" s="48" t="n">
        <f aca="false">-In_CIT*(MAX(0,AH103)+AH106)</f>
        <v>-35.2756669611382</v>
      </c>
      <c r="AI109" s="48" t="n">
        <f aca="false">-In_CIT*(MAX(0,AI103)+AI106)</f>
        <v>-50.2576395995516</v>
      </c>
      <c r="AJ109" s="48" t="n">
        <f aca="false">-In_CIT*(MAX(0,AJ103)+AJ106)</f>
        <v>-54.9714341750819</v>
      </c>
      <c r="AK109" s="48" t="n">
        <f aca="false">-In_CIT*(MAX(0,AK103)+AK106)</f>
        <v>-56.7717087462383</v>
      </c>
      <c r="AL109" s="48" t="n">
        <f aca="false">-In_CIT*(MAX(0,AL103)+AL106)</f>
        <v>-56.6491982545875</v>
      </c>
      <c r="AM109" s="48" t="n">
        <f aca="false">-In_CIT*(MAX(0,AM103)+AM106)</f>
        <v>-56.1108292432083</v>
      </c>
      <c r="AN109" s="48" t="n">
        <f aca="false">-In_CIT*(MAX(0,AN103)+AN106)</f>
        <v>-57.9282020155496</v>
      </c>
      <c r="AO109" s="48" t="n">
        <f aca="false">-In_CIT*(MAX(0,AO103)+AO106)</f>
        <v>-59.7664526793269</v>
      </c>
      <c r="AP109" s="48" t="n">
        <f aca="false">-In_CIT*(MAX(0,AP103)+AP106)</f>
        <v>-59.6716717327794</v>
      </c>
      <c r="AQ109" s="48" t="n">
        <f aca="false">-In_CIT*(MAX(0,AQ103)+AQ106)</f>
        <v>-59.139379465847</v>
      </c>
      <c r="AR109" s="48" t="n">
        <f aca="false">-In_CIT*(MAX(0,AR103)+AR106)</f>
        <v>-60.9955227110241</v>
      </c>
      <c r="AS109" s="48" t="n">
        <f aca="false">-In_CIT*(MAX(0,AS103)+AS106)</f>
        <v>-62.8729706983216</v>
      </c>
      <c r="AT109" s="48" t="n">
        <f aca="false">-In_CIT*(MAX(0,AT103)+AT106)</f>
        <v>-62.8073539184892</v>
      </c>
      <c r="AU109" s="48" t="n">
        <f aca="false">-In_CIT*(MAX(0,AU103)+AU106)</f>
        <v>-63.5126199763046</v>
      </c>
      <c r="AV109" s="48" t="n">
        <f aca="false">-In_CIT*(MAX(0,AV103)+AV106)</f>
        <v>-64.1923515443469</v>
      </c>
      <c r="AW109" s="48" t="n">
        <f aca="false">-In_CIT*(MAX(0,AW103)+AW106)</f>
        <v>-66.1104405294354</v>
      </c>
      <c r="AX109" s="48" t="n">
        <f aca="false">-In_CIT*(MAX(0,AX103)+AX106)</f>
        <v>-66.0756555125324</v>
      </c>
      <c r="AY109" s="48" t="n">
        <f aca="false">-In_CIT*(MAX(0,AY103)+AY106)</f>
        <v>-65.5594208820911</v>
      </c>
      <c r="AZ109" s="48" t="n">
        <f aca="false">-In_CIT*(MAX(0,AZ103)+AZ106)</f>
        <v>-67.4971237033376</v>
      </c>
      <c r="BA109" s="48" t="n">
        <f aca="false">-In_CIT*(MAX(0,BA103)+BA106)</f>
        <v>-69.4570368681139</v>
      </c>
      <c r="BB109" s="48" t="n">
        <f aca="false">-In_CIT*(MAX(0,BB103)+BB106)</f>
        <v>-69.4544957068861</v>
      </c>
      <c r="BC109" s="48" t="n">
        <f aca="false">-In_CIT*(MAX(0,BC103)+BC106)</f>
        <v>-68.9482121156533</v>
      </c>
      <c r="BD109" s="48" t="n">
        <f aca="false">-In_CIT*(MAX(0,BD103)+BD106)</f>
        <v>-70.9286646340359</v>
      </c>
      <c r="BE109" s="48" t="n">
        <f aca="false">-In_CIT*(MAX(0,BE103)+BE106)</f>
        <v>-72.9318058718927</v>
      </c>
      <c r="BF109" s="48" t="n">
        <f aca="false">-In_CIT*(MAX(0,BF103)+BF106)</f>
        <v>-72.963152311325</v>
      </c>
      <c r="BG109" s="48" t="n">
        <f aca="false">-In_CIT*(MAX(0,BG103)+BG106)</f>
        <v>-72.4682446489223</v>
      </c>
      <c r="BH109" s="48" t="n">
        <f aca="false">-In_CIT*(MAX(0,BH103)+BH106)</f>
        <v>-74.4928988753554</v>
      </c>
      <c r="BI109" s="48" t="n">
        <f aca="false">-In_CIT*(MAX(0,BI103)+BI106)</f>
        <v>-76.5407389658888</v>
      </c>
      <c r="BJ109" s="48" t="n">
        <f aca="false">-In_CIT*(MAX(0,BJ103)+BJ106)</f>
        <v>-76.6076929680616</v>
      </c>
      <c r="BK109" s="48" t="n">
        <f aca="false">-In_CIT*(MAX(0,BK103)+BK106)</f>
        <v>-77.3760592194327</v>
      </c>
      <c r="BL109" s="48" t="n">
        <f aca="false">-In_CIT*(MAX(0,BL103)+BL106)</f>
        <v>-78.2099684641662</v>
      </c>
      <c r="BM109" s="48" t="n">
        <f aca="false">-In_CIT*(MAX(0,BM103)+BM106)</f>
        <v>-80.30421439314</v>
      </c>
      <c r="BN109" s="48" t="n">
        <f aca="false">-In_CIT*(MAX(0,BN103)+BN106)</f>
        <v>-80.4087437035672</v>
      </c>
      <c r="BO109" s="48" t="n">
        <f aca="false">-In_CIT*(MAX(0,BO103)+BO106)</f>
        <v>-79.9413297811079</v>
      </c>
      <c r="BP109" s="48" t="n">
        <f aca="false">-In_CIT*(MAX(0,BP103)+BP106)</f>
        <v>-82.0591961725455</v>
      </c>
      <c r="BQ109" s="48" t="n">
        <f aca="false">-In_CIT*(MAX(0,BQ103)+BQ106)</f>
        <v>-84.201304621732</v>
      </c>
      <c r="BR109" s="48" t="n">
        <f aca="false">-In_CIT*(MAX(0,BR103)+BR106)</f>
        <v>-84.3451326962913</v>
      </c>
      <c r="BS109" s="48" t="n">
        <f aca="false">-In_CIT*(MAX(0,BS103)+BS106)</f>
        <v>-83.8938324837878</v>
      </c>
      <c r="BT109" s="48" t="n">
        <f aca="false">-In_CIT*(MAX(0,BT103)+BT106)</f>
        <v>-86.0606947500402</v>
      </c>
      <c r="BU109" s="48" t="n">
        <f aca="false">-In_CIT*(MAX(0,BU103)+BU106)</f>
        <v>-88.2523580545295</v>
      </c>
      <c r="BV109" s="48" t="n">
        <f aca="false">-In_CIT*(MAX(0,BV103)+BV106)</f>
        <v>-88.4374560477956</v>
      </c>
      <c r="BW109" s="48" t="n">
        <f aca="false">-In_CIT*(MAX(0,BW103)+BW106)</f>
        <v>-88.0040104693578</v>
      </c>
      <c r="BX109" s="48" t="n">
        <f aca="false">-In_CIT*(MAX(0,BX103)+BX106)</f>
        <v>-90.2216195491879</v>
      </c>
      <c r="BY109" s="48" t="n">
        <f aca="false">-In_CIT*(MAX(0,BY103)+BY106)</f>
        <v>-92.464611189026</v>
      </c>
      <c r="BZ109" s="48" t="n">
        <f aca="false">-In_CIT*(MAX(0,BZ103)+BZ106)</f>
        <v>-92.6930418510203</v>
      </c>
      <c r="CA109" s="48" t="n">
        <f aca="false">-In_CIT*(MAX(0,CA103)+CA106)</f>
        <v>-93.5456433266818</v>
      </c>
      <c r="CB109" s="48" t="n">
        <f aca="false">-In_CIT*(MAX(0,CB103)+CB106)</f>
        <v>-94.5634973223607</v>
      </c>
      <c r="CC109" s="48" t="n">
        <f aca="false">-In_CIT*(MAX(0,CC103)+CC106)</f>
        <v>-96.8598430662678</v>
      </c>
      <c r="CD109" s="48" t="n">
        <f aca="false">-In_CIT*(MAX(0,CD103)+CD106)</f>
        <v>-97.1339341779453</v>
      </c>
      <c r="CE109" s="48" t="n">
        <f aca="false">-In_CIT*(MAX(0,CE103)+CE106)</f>
        <v>-96.7419507553706</v>
      </c>
      <c r="CF109" s="48" t="n">
        <f aca="false">-In_CIT*(MAX(0,CF103)+CF106)</f>
        <v>-99.0668199965043</v>
      </c>
      <c r="CG109" s="48" t="n">
        <f aca="false">-In_CIT*(MAX(0,CG103)+CG106)</f>
        <v>-101.418308812638</v>
      </c>
      <c r="CH109" s="48" t="n">
        <f aca="false">-In_CIT*(MAX(0,CH103)+CH106)</f>
        <v>-101.740158527254</v>
      </c>
      <c r="CI109" s="48" t="n">
        <f aca="false">-In_CIT*(MAX(0,CI103)+CI106)</f>
        <v>-101.371810179511</v>
      </c>
      <c r="CJ109" s="48" t="n">
        <f aca="false">-In_CIT*(MAX(0,CJ103)+CJ106)</f>
        <v>-103.753208849539</v>
      </c>
      <c r="CK109" s="48" t="n">
        <f aca="false">-In_CIT*(MAX(0,CK103)+CK106)</f>
        <v>-106.161882896163</v>
      </c>
      <c r="CL109" s="48" t="n">
        <f aca="false">-In_CIT*(MAX(0,CL103)+CL106)</f>
        <v>-106.533855833866</v>
      </c>
      <c r="CM109" s="48" t="n">
        <f aca="false">-In_CIT*(MAX(0,CM103)+CM106)</f>
        <v>-106.191265091373</v>
      </c>
      <c r="CN109" s="48" t="n">
        <f aca="false">-In_CIT*(MAX(0,CN103)+CN106)</f>
        <v>-108.631306673067</v>
      </c>
      <c r="CO109" s="48" t="n">
        <f aca="false">-In_CIT*(MAX(0,CO103)+CO106)</f>
        <v>-111.099306527946</v>
      </c>
      <c r="CP109" s="48" t="n">
        <f aca="false">-In_CIT*(MAX(0,CP103)+CP106)</f>
        <v>-111.52387743261</v>
      </c>
      <c r="CQ109" s="48" t="n">
        <f aca="false">-In_CIT*(MAX(0,CQ103)+CQ106)</f>
        <v>-112.486830406046</v>
      </c>
      <c r="CR109" s="48" t="n">
        <f aca="false">-In_CIT*(MAX(0,CR103)+CR106)</f>
        <v>-113.724265855239</v>
      </c>
      <c r="CS109" s="48" t="n">
        <f aca="false">-In_CIT*(MAX(0,CS103)+CS106)</f>
        <v>-116.254003294929</v>
      </c>
      <c r="CT109" s="48" t="n">
        <f aca="false">-In_CIT*(MAX(0,CT103)+CT106)</f>
        <v>-116.733932150773</v>
      </c>
      <c r="CU109" s="48" t="n">
        <f aca="false">-In_CIT*(MAX(0,CU103)+CU106)</f>
        <v>-115.158098585327</v>
      </c>
      <c r="CV109" s="48" t="n">
        <f aca="false">-In_CIT*(MAX(0,CV103)+CV106)</f>
        <v>-116.437633014053</v>
      </c>
      <c r="CW109" s="48" t="n">
        <f aca="false">-In_CIT*(MAX(0,CW103)+CW106)</f>
        <v>-117.717167442779</v>
      </c>
      <c r="CX109" s="48" t="n">
        <f aca="false">-In_CIT*(MAX(0,CX103)+CX106)</f>
        <v>-116.911107260676</v>
      </c>
      <c r="CY109" s="48" t="n">
        <f aca="false">-In_CIT*(MAX(0,CY103)+CY106)</f>
        <v>-115.304649796596</v>
      </c>
      <c r="CZ109" s="48" t="n">
        <f aca="false">-In_CIT*(MAX(0,CZ103)+CZ106)</f>
        <v>-116.585812572114</v>
      </c>
      <c r="DA109" s="48" t="n">
        <f aca="false">-In_CIT*(MAX(0,DA103)+DA106)</f>
        <v>-117.866975347631</v>
      </c>
      <c r="DB109" s="48" t="n">
        <f aca="false">-In_CIT*(MAX(0,DB103)+DB106)</f>
        <v>-209.955906903205</v>
      </c>
      <c r="DC109" s="48" t="n">
        <f aca="false">-In_CIT*(MAX(0,DC103)+DC106)</f>
        <v>-206.298966746317</v>
      </c>
      <c r="DD109" s="48" t="n">
        <f aca="false">-In_CIT*(MAX(0,DD103)+DD106)</f>
        <v>-208.591177487943</v>
      </c>
      <c r="DE109" s="48" t="n">
        <f aca="false">-In_CIT*(MAX(0,DE103)+DE106)</f>
        <v>-210.883388229568</v>
      </c>
      <c r="DF109" s="48" t="n">
        <f aca="false">-In_CIT*(MAX(0,DF103)+DF106)</f>
        <v>-210.067709428949</v>
      </c>
      <c r="DG109" s="48" t="n">
        <f aca="false">-In_CIT*(MAX(0,DG103)+DG106)</f>
        <v>-208.67265114168</v>
      </c>
      <c r="DH109" s="48" t="n">
        <f aca="false">-In_CIT*(MAX(0,DH103)+DH106)</f>
        <v>-208.67265114168</v>
      </c>
      <c r="DI109" s="48" t="n">
        <f aca="false">-In_CIT*(MAX(0,DI103)+DI106)</f>
        <v>-210.965757198182</v>
      </c>
      <c r="DJ109" s="48" t="n">
        <f aca="false">-In_CIT*(MAX(0,DJ103)+DJ106)</f>
        <v>-210.145255574759</v>
      </c>
      <c r="DK109" s="48" t="n">
        <f aca="false">-In_CIT*(MAX(0,DK103)+DK106)</f>
        <v>-206.425560393512</v>
      </c>
      <c r="DL109" s="48" t="n">
        <f aca="false">-In_CIT*(MAX(0,DL103)+DL106)</f>
        <v>-208.719177731218</v>
      </c>
      <c r="DM109" s="48" t="n">
        <f aca="false">-In_CIT*(MAX(0,DM103)+DM106)</f>
        <v>-211.012795068924</v>
      </c>
      <c r="DN109" s="48" t="n">
        <f aca="false">-In_CIT*(MAX(0,DN103)+DN106)</f>
        <v>-210.187462223093</v>
      </c>
      <c r="DO109" s="48" t="n">
        <f aca="false">-In_CIT*(MAX(0,DO103)+DO106)</f>
        <v>-206.435925103432</v>
      </c>
      <c r="DP109" s="48" t="n">
        <f aca="false">-In_CIT*(MAX(0,DP103)+DP106)</f>
        <v>-208.729657604581</v>
      </c>
      <c r="DQ109" s="48" t="n">
        <f aca="false">-In_CIT*(MAX(0,DQ103)+DQ106)</f>
        <v>-211.02339010573</v>
      </c>
      <c r="DR109" s="48" t="n">
        <f aca="false">-In_CIT*(MAX(0,DR103)+DR106)</f>
        <v>-210.193218113274</v>
      </c>
      <c r="DS109" s="48" t="n">
        <f aca="false">-In_CIT*(MAX(0,DS103)+DS106)</f>
        <v>-206.409523416985</v>
      </c>
      <c r="DT109" s="48" t="n">
        <f aca="false">-In_CIT*(MAX(0,DT103)+DT106)</f>
        <v>-208.702962566063</v>
      </c>
      <c r="DU109" s="48" t="n">
        <f aca="false">-In_CIT*(MAX(0,DU103)+DU106)</f>
        <v>-210.996401715141</v>
      </c>
      <c r="DV109" s="48" t="n">
        <f aca="false">-In_CIT*(MAX(0,DV103)+DV106)</f>
        <v>-210.161383142302</v>
      </c>
      <c r="DW109" s="48" t="n">
        <f aca="false">-In_CIT*(MAX(0,DW103)+DW106)</f>
        <v>-208.637935167281</v>
      </c>
      <c r="DX109" s="48" t="n">
        <f aca="false">-In_CIT*(MAX(0,DX103)+DX106)</f>
        <v>-208.637935167281</v>
      </c>
      <c r="DY109" s="48" t="n">
        <f aca="false">-In_CIT*(MAX(0,DY103)+DY106)</f>
        <v>-210.930659729559</v>
      </c>
      <c r="DZ109" s="48" t="n">
        <f aca="false">-In_CIT*(MAX(0,DZ103)+DZ106)</f>
        <v>-210.090787648485</v>
      </c>
      <c r="EA109" s="48" t="n">
        <f aca="false">-In_CIT*(MAX(0,EA103)+EA106)</f>
        <v>-206.241812288705</v>
      </c>
      <c r="EB109" s="48" t="n">
        <f aca="false">-In_CIT*(MAX(0,EB103)+EB106)</f>
        <v>-208.533387980802</v>
      </c>
      <c r="EC109" s="48" t="n">
        <f aca="false">-In_CIT*(MAX(0,EC103)+EC106)</f>
        <v>-210.824963672898</v>
      </c>
      <c r="ED109" s="48" t="n">
        <f aca="false">-In_CIT*(MAX(0,ED103)+ED106)</f>
        <v>-209.980231677447</v>
      </c>
      <c r="EE109" s="48" t="n">
        <f aca="false">-In_CIT*(MAX(0,EE103)+EE106)</f>
        <v>-206.098123703639</v>
      </c>
      <c r="EF109" s="48" t="n">
        <f aca="false">-In_CIT*(MAX(0,EF103)+EF106)</f>
        <v>-208.388102855902</v>
      </c>
      <c r="EG109" s="48" t="n">
        <f aca="false">-In_CIT*(MAX(0,EG103)+EG106)</f>
        <v>-210.678082008165</v>
      </c>
      <c r="EH109" s="48" t="n">
        <f aca="false">-In_CIT*(MAX(0,EH103)+EH106)</f>
        <v>-209.828484230097</v>
      </c>
      <c r="EI109" s="48" t="n">
        <f aca="false">-In_CIT*(MAX(0,EI103)+EI106)</f>
        <v>-205.912908945537</v>
      </c>
      <c r="EJ109" s="48" t="n">
        <f aca="false">-In_CIT*(MAX(0,EJ103)+EJ106)</f>
        <v>-208.200830156043</v>
      </c>
      <c r="EK109" s="48" t="n">
        <f aca="false">-In_CIT*(MAX(0,EK103)+EK106)</f>
        <v>-210.488751366549</v>
      </c>
      <c r="EL109" s="48" t="n">
        <f aca="false">-In_CIT*(MAX(0,EL103)+EL106)</f>
        <v>-209.634282492105</v>
      </c>
      <c r="EM109" s="48" t="n">
        <f aca="false">-In_CIT*(MAX(0,EM103)+EM106)</f>
        <v>-207.970287977588</v>
      </c>
      <c r="EN109" s="48" t="n">
        <f aca="false">-In_CIT*(MAX(0,EN103)+EN106)</f>
        <v>-207.970287977588</v>
      </c>
      <c r="EO109" s="48" t="n">
        <f aca="false">-In_CIT*(MAX(0,EO103)+EO106)</f>
        <v>-210.255675757562</v>
      </c>
    </row>
    <row r="110" customFormat="false" ht="15" hidden="false" customHeight="false" outlineLevel="0" collapsed="false">
      <c r="C110" s="1" t="s">
        <v>454</v>
      </c>
      <c r="D110" s="12" t="s">
        <v>33</v>
      </c>
      <c r="I110" s="48" t="n">
        <f aca="false">SUM(J110:EO110)</f>
        <v>1.18180487618247E-008</v>
      </c>
      <c r="J110" s="48" t="n">
        <f aca="false">ABS(J109-J82)</f>
        <v>0</v>
      </c>
      <c r="K110" s="48" t="n">
        <f aca="false">ABS(K109-K82)</f>
        <v>0</v>
      </c>
      <c r="L110" s="48" t="n">
        <f aca="false">ABS(L109-L82)</f>
        <v>0</v>
      </c>
      <c r="M110" s="48" t="n">
        <f aca="false">ABS(M109-M82)</f>
        <v>0</v>
      </c>
      <c r="N110" s="48" t="n">
        <f aca="false">ABS(N109-N82)</f>
        <v>0</v>
      </c>
      <c r="O110" s="48" t="n">
        <f aca="false">ABS(O109-O82)</f>
        <v>0</v>
      </c>
      <c r="P110" s="48" t="n">
        <f aca="false">ABS(P109-P82)</f>
        <v>0</v>
      </c>
      <c r="Q110" s="48" t="n">
        <f aca="false">ABS(Q109-Q82)</f>
        <v>0</v>
      </c>
      <c r="R110" s="48" t="n">
        <f aca="false">ABS(R109-R82)</f>
        <v>0</v>
      </c>
      <c r="S110" s="48" t="n">
        <f aca="false">ABS(S109-S82)</f>
        <v>0</v>
      </c>
      <c r="T110" s="48" t="n">
        <f aca="false">ABS(T109-T82)</f>
        <v>0</v>
      </c>
      <c r="U110" s="48" t="n">
        <f aca="false">ABS(U109-U82)</f>
        <v>0</v>
      </c>
      <c r="V110" s="48" t="n">
        <f aca="false">ABS(V109-V82)</f>
        <v>0</v>
      </c>
      <c r="W110" s="48" t="n">
        <f aca="false">ABS(W109-W82)</f>
        <v>0</v>
      </c>
      <c r="X110" s="48" t="n">
        <f aca="false">ABS(X109-X82)</f>
        <v>0</v>
      </c>
      <c r="Y110" s="48" t="n">
        <f aca="false">ABS(Y109-Y82)</f>
        <v>0</v>
      </c>
      <c r="Z110" s="48" t="n">
        <f aca="false">ABS(Z109-Z82)</f>
        <v>0</v>
      </c>
      <c r="AA110" s="48" t="n">
        <f aca="false">ABS(AA109-AA82)</f>
        <v>2.75690581474919E-012</v>
      </c>
      <c r="AB110" s="48" t="n">
        <f aca="false">ABS(AB109-AB82)</f>
        <v>5.74118530494161E-012</v>
      </c>
      <c r="AC110" s="48" t="n">
        <f aca="false">ABS(AC109-AC82)</f>
        <v>9.10915787244448E-012</v>
      </c>
      <c r="AD110" s="48" t="n">
        <f aca="false">ABS(AD109-AD82)</f>
        <v>1.28252963804698E-011</v>
      </c>
      <c r="AE110" s="48" t="n">
        <f aca="false">ABS(AE109-AE82)</f>
        <v>1.67865721323324E-011</v>
      </c>
      <c r="AF110" s="48" t="n">
        <f aca="false">ABS(AF109-AF82)</f>
        <v>2.1138646388863E-011</v>
      </c>
      <c r="AG110" s="48" t="n">
        <f aca="false">ABS(AG109-AG82)</f>
        <v>2.57074361798004E-011</v>
      </c>
      <c r="AH110" s="48" t="n">
        <f aca="false">ABS(AH109-AH82)</f>
        <v>1.55225166054151E-010</v>
      </c>
      <c r="AI110" s="48" t="n">
        <f aca="false">ABS(AI109-AI82)</f>
        <v>9.00968188943807E-011</v>
      </c>
      <c r="AJ110" s="48" t="n">
        <f aca="false">ABS(AJ109-AJ82)</f>
        <v>1.03845820831339E-010</v>
      </c>
      <c r="AK110" s="48" t="n">
        <f aca="false">ABS(AK109-AK82)</f>
        <v>1.18092202683329E-010</v>
      </c>
      <c r="AL110" s="48" t="n">
        <f aca="false">ABS(AL109-AL82)</f>
        <v>1.32764910176775E-010</v>
      </c>
      <c r="AM110" s="48" t="n">
        <f aca="false">ABS(AM109-AM82)</f>
        <v>1.47515777371154E-010</v>
      </c>
      <c r="AN110" s="48" t="n">
        <f aca="false">ABS(AN109-AN82)</f>
        <v>1.62351909693825E-010</v>
      </c>
      <c r="AO110" s="48" t="n">
        <f aca="false">ABS(AO109-AO82)</f>
        <v>1.7726620171743E-010</v>
      </c>
      <c r="AP110" s="48" t="n">
        <f aca="false">ABS(AP109-AP82)</f>
        <v>1.92123650322174E-010</v>
      </c>
      <c r="AQ110" s="48" t="n">
        <f aca="false">ABS(AQ109-AQ82)</f>
        <v>2.0664714384111E-010</v>
      </c>
      <c r="AR110" s="48" t="n">
        <f aca="false">ABS(AR109-AR82)</f>
        <v>2.20843787701597E-010</v>
      </c>
      <c r="AS110" s="48" t="n">
        <f aca="false">ABS(AS109-AS82)</f>
        <v>2.34628316775343E-010</v>
      </c>
      <c r="AT110" s="48" t="n">
        <f aca="false">ABS(AT109-AT82)</f>
        <v>2.47986520207633E-010</v>
      </c>
      <c r="AU110" s="48" t="n">
        <f aca="false">ABS(AU109-AU82)</f>
        <v>2.60563126630586E-010</v>
      </c>
      <c r="AV110" s="48" t="n">
        <f aca="false">ABS(AV109-AV82)</f>
        <v>2.72535771728144E-010</v>
      </c>
      <c r="AW110" s="48" t="n">
        <f aca="false">ABS(AW109-AW82)</f>
        <v>2.83606027551286E-010</v>
      </c>
      <c r="AX110" s="48" t="n">
        <f aca="false">ABS(AX109-AX82)</f>
        <v>2.93837842946232E-010</v>
      </c>
      <c r="AY110" s="48" t="n">
        <f aca="false">ABS(AY109-AY82)</f>
        <v>3.03131741929974E-010</v>
      </c>
      <c r="AZ110" s="48" t="n">
        <f aca="false">ABS(AZ109-AZ82)</f>
        <v>3.11175085698778E-010</v>
      </c>
      <c r="BA110" s="48" t="n">
        <f aca="false">ABS(BA109-BA82)</f>
        <v>3.18252091346949E-010</v>
      </c>
      <c r="BB110" s="48" t="n">
        <f aca="false">ABS(BB109-BB82)</f>
        <v>3.24192228617903E-010</v>
      </c>
      <c r="BC110" s="48" t="n">
        <f aca="false">ABS(BC109-BC82)</f>
        <v>3.29009708366357E-010</v>
      </c>
      <c r="BD110" s="48" t="n">
        <f aca="false">ABS(BD109-BD82)</f>
        <v>3.3243452435272E-010</v>
      </c>
      <c r="BE110" s="48" t="n">
        <f aca="false">ABS(BE109-BE82)</f>
        <v>3.34608785124146E-010</v>
      </c>
      <c r="BF110" s="48" t="n">
        <f aca="false">ABS(BF109-BF82)</f>
        <v>3.35461436407059E-010</v>
      </c>
      <c r="BG110" s="48" t="n">
        <f aca="false">ABS(BG109-BG82)</f>
        <v>3.35106165039178E-010</v>
      </c>
      <c r="BH110" s="48" t="n">
        <f aca="false">ABS(BH109-BH82)</f>
        <v>3.33315597345063E-010</v>
      </c>
      <c r="BI110" s="48" t="n">
        <f aca="false">ABS(BI109-BI82)</f>
        <v>3.30416582983162E-010</v>
      </c>
      <c r="BJ110" s="48" t="n">
        <f aca="false">ABS(BJ109-BJ82)</f>
        <v>3.26124904859171E-010</v>
      </c>
      <c r="BK110" s="48" t="n">
        <f aca="false">ABS(BK109-BK82)</f>
        <v>3.20596882374957E-010</v>
      </c>
      <c r="BL110" s="48" t="n">
        <f aca="false">ABS(BL109-BL82)</f>
        <v>3.13889358949382E-010</v>
      </c>
      <c r="BM110" s="48" t="n">
        <f aca="false">ABS(BM109-BM82)</f>
        <v>3.06087599710736E-010</v>
      </c>
      <c r="BN110" s="48" t="n">
        <f aca="false">ABS(BN109-BN82)</f>
        <v>2.97177393804304E-010</v>
      </c>
      <c r="BO110" s="48" t="n">
        <f aca="false">ABS(BO109-BO82)</f>
        <v>2.87229795503663E-010</v>
      </c>
      <c r="BP110" s="48" t="n">
        <f aca="false">ABS(BP109-BP82)</f>
        <v>2.76230593954097E-010</v>
      </c>
      <c r="BQ110" s="48" t="n">
        <f aca="false">ABS(BQ109-BQ82)</f>
        <v>2.64378741121618E-010</v>
      </c>
      <c r="BR110" s="48" t="n">
        <f aca="false">ABS(BR109-BR82)</f>
        <v>2.5184476726281E-010</v>
      </c>
      <c r="BS110" s="48" t="n">
        <f aca="false">ABS(BS109-BS82)</f>
        <v>2.38586039813526E-010</v>
      </c>
      <c r="BT110" s="48" t="n">
        <f aca="false">ABS(BT109-BT82)</f>
        <v>2.24687823902059E-010</v>
      </c>
      <c r="BU110" s="48" t="n">
        <f aca="false">ABS(BU109-BU82)</f>
        <v>2.10405914913281E-010</v>
      </c>
      <c r="BV110" s="48" t="n">
        <f aca="false">ABS(BV109-BV82)</f>
        <v>1.95782945411338E-010</v>
      </c>
      <c r="BW110" s="48" t="n">
        <f aca="false">ABS(BW109-BW82)</f>
        <v>1.80847337105661E-010</v>
      </c>
      <c r="BX110" s="48" t="n">
        <f aca="false">ABS(BX109-BX82)</f>
        <v>1.65698565979255E-010</v>
      </c>
      <c r="BY110" s="48" t="n">
        <f aca="false">ABS(BY109-BY82)</f>
        <v>1.50649270835856E-010</v>
      </c>
      <c r="BZ110" s="48" t="n">
        <f aca="false">ABS(BZ109-BZ82)</f>
        <v>1.35713662530179E-010</v>
      </c>
      <c r="CA110" s="48" t="n">
        <f aca="false">ABS(CA109-CA82)</f>
        <v>1.20905951916939E-010</v>
      </c>
      <c r="CB110" s="48" t="n">
        <f aca="false">ABS(CB109-CB82)</f>
        <v>1.06481934381009E-010</v>
      </c>
      <c r="CC110" s="48" t="n">
        <f aca="false">ABS(CC109-CC82)</f>
        <v>9.24842424865346E-011</v>
      </c>
      <c r="CD110" s="48" t="n">
        <f aca="false">ABS(CD109-CD82)</f>
        <v>7.90549847806688E-011</v>
      </c>
      <c r="CE110" s="48" t="n">
        <f aca="false">ABS(CE109-CE82)</f>
        <v>6.62936372464174E-011</v>
      </c>
      <c r="CF110" s="48" t="n">
        <f aca="false">ABS(CF109-CF82)</f>
        <v>5.40580913366284E-011</v>
      </c>
      <c r="CG110" s="48" t="n">
        <f aca="false">ABS(CG109-CG82)</f>
        <v>4.27888835474732E-011</v>
      </c>
      <c r="CH110" s="48" t="n">
        <f aca="false">ABS(CH109-CH82)</f>
        <v>3.22160076393629E-011</v>
      </c>
      <c r="CI110" s="48" t="n">
        <f aca="false">ABS(CI109-CI82)</f>
        <v>2.35331754083745E-011</v>
      </c>
      <c r="CJ110" s="48" t="n">
        <f aca="false">ABS(CJ109-CJ82)</f>
        <v>1.47650780490949E-011</v>
      </c>
      <c r="CK110" s="48" t="n">
        <f aca="false">ABS(CK109-CK82)</f>
        <v>7.88702436693711E-012</v>
      </c>
      <c r="CL110" s="48" t="n">
        <f aca="false">ABS(CL109-CL82)</f>
        <v>2.1316282072803E-012</v>
      </c>
      <c r="CM110" s="48" t="n">
        <f aca="false">ABS(CM109-CM82)</f>
        <v>2.57216470345156E-012</v>
      </c>
      <c r="CN110" s="48" t="n">
        <f aca="false">ABS(CN109-CN82)</f>
        <v>6.60804744256893E-012</v>
      </c>
      <c r="CO110" s="48" t="n">
        <f aca="false">ABS(CO109-CO82)</f>
        <v>9.00968188943807E-012</v>
      </c>
      <c r="CP110" s="48" t="n">
        <f aca="false">ABS(CP109-CP82)</f>
        <v>9.18021214602049E-012</v>
      </c>
      <c r="CQ110" s="48" t="n">
        <f aca="false">ABS(CQ109-CQ82)</f>
        <v>8.83915163285565E-012</v>
      </c>
      <c r="CR110" s="48" t="n">
        <f aca="false">ABS(CR109-CR82)</f>
        <v>7.30437932361383E-012</v>
      </c>
      <c r="CS110" s="48" t="n">
        <f aca="false">ABS(CS109-CS82)</f>
        <v>4.41957581642782E-012</v>
      </c>
      <c r="CT110" s="48" t="n">
        <f aca="false">ABS(CT109-CT82)</f>
        <v>0</v>
      </c>
      <c r="CU110" s="48" t="n">
        <f aca="false">ABS(CU109-CU82)</f>
        <v>0</v>
      </c>
      <c r="CV110" s="48" t="n">
        <f aca="false">ABS(CV109-CV82)</f>
        <v>0</v>
      </c>
      <c r="CW110" s="48" t="n">
        <f aca="false">ABS(CW109-CW82)</f>
        <v>0</v>
      </c>
      <c r="CX110" s="48" t="n">
        <f aca="false">ABS(CX109-CX82)</f>
        <v>0</v>
      </c>
      <c r="CY110" s="48" t="n">
        <f aca="false">ABS(CY109-CY82)</f>
        <v>0</v>
      </c>
      <c r="CZ110" s="48" t="n">
        <f aca="false">ABS(CZ109-CZ82)</f>
        <v>4.83169060316868E-013</v>
      </c>
      <c r="DA110" s="48" t="n">
        <f aca="false">ABS(DA109-DA82)</f>
        <v>0</v>
      </c>
      <c r="DB110" s="48" t="n">
        <f aca="false">ABS(DB109-DB82)</f>
        <v>0</v>
      </c>
      <c r="DC110" s="48" t="n">
        <f aca="false">ABS(DC109-DC82)</f>
        <v>0</v>
      </c>
      <c r="DD110" s="48" t="n">
        <f aca="false">ABS(DD109-DD82)</f>
        <v>0</v>
      </c>
      <c r="DE110" s="48" t="n">
        <f aca="false">ABS(DE109-DE82)</f>
        <v>0</v>
      </c>
      <c r="DF110" s="48" t="n">
        <f aca="false">ABS(DF109-DF82)</f>
        <v>0</v>
      </c>
      <c r="DG110" s="48" t="n">
        <f aca="false">ABS(DG109-DG82)</f>
        <v>0</v>
      </c>
      <c r="DH110" s="48" t="n">
        <f aca="false">ABS(DH109-DH82)</f>
        <v>0</v>
      </c>
      <c r="DI110" s="48" t="n">
        <f aca="false">ABS(DI109-DI82)</f>
        <v>0</v>
      </c>
      <c r="DJ110" s="48" t="n">
        <f aca="false">ABS(DJ109-DJ82)</f>
        <v>0</v>
      </c>
      <c r="DK110" s="48" t="n">
        <f aca="false">ABS(DK109-DK82)</f>
        <v>0</v>
      </c>
      <c r="DL110" s="48" t="n">
        <f aca="false">ABS(DL109-DL82)</f>
        <v>0</v>
      </c>
      <c r="DM110" s="48" t="n">
        <f aca="false">ABS(DM109-DM82)</f>
        <v>0</v>
      </c>
      <c r="DN110" s="48" t="n">
        <f aca="false">ABS(DN109-DN82)</f>
        <v>0</v>
      </c>
      <c r="DO110" s="48" t="n">
        <f aca="false">ABS(DO109-DO82)</f>
        <v>0</v>
      </c>
      <c r="DP110" s="48" t="n">
        <f aca="false">ABS(DP109-DP82)</f>
        <v>0</v>
      </c>
      <c r="DQ110" s="48" t="n">
        <f aca="false">ABS(DQ109-DQ82)</f>
        <v>0</v>
      </c>
      <c r="DR110" s="48" t="n">
        <f aca="false">ABS(DR109-DR82)</f>
        <v>0</v>
      </c>
      <c r="DS110" s="48" t="n">
        <f aca="false">ABS(DS109-DS82)</f>
        <v>0</v>
      </c>
      <c r="DT110" s="48" t="n">
        <f aca="false">ABS(DT109-DT82)</f>
        <v>0</v>
      </c>
      <c r="DU110" s="48" t="n">
        <f aca="false">ABS(DU109-DU82)</f>
        <v>0</v>
      </c>
      <c r="DV110" s="48" t="n">
        <f aca="false">ABS(DV109-DV82)</f>
        <v>0</v>
      </c>
      <c r="DW110" s="48" t="n">
        <f aca="false">ABS(DW109-DW82)</f>
        <v>0</v>
      </c>
      <c r="DX110" s="48" t="n">
        <f aca="false">ABS(DX109-DX82)</f>
        <v>0</v>
      </c>
      <c r="DY110" s="48" t="n">
        <f aca="false">ABS(DY109-DY82)</f>
        <v>0</v>
      </c>
      <c r="DZ110" s="48" t="n">
        <f aca="false">ABS(DZ109-DZ82)</f>
        <v>0</v>
      </c>
      <c r="EA110" s="48" t="n">
        <f aca="false">ABS(EA109-EA82)</f>
        <v>0</v>
      </c>
      <c r="EB110" s="48" t="n">
        <f aca="false">ABS(EB109-EB82)</f>
        <v>0</v>
      </c>
      <c r="EC110" s="48" t="n">
        <f aca="false">ABS(EC109-EC82)</f>
        <v>0</v>
      </c>
      <c r="ED110" s="48" t="n">
        <f aca="false">ABS(ED109-ED82)</f>
        <v>0</v>
      </c>
      <c r="EE110" s="48" t="n">
        <f aca="false">ABS(EE109-EE82)</f>
        <v>0</v>
      </c>
      <c r="EF110" s="48" t="n">
        <f aca="false">ABS(EF109-EF82)</f>
        <v>0</v>
      </c>
      <c r="EG110" s="48" t="n">
        <f aca="false">ABS(EG109-EG82)</f>
        <v>0</v>
      </c>
      <c r="EH110" s="48" t="n">
        <f aca="false">ABS(EH109-EH82)</f>
        <v>0</v>
      </c>
      <c r="EI110" s="48" t="n">
        <f aca="false">ABS(EI109-EI82)</f>
        <v>0</v>
      </c>
      <c r="EJ110" s="48" t="n">
        <f aca="false">ABS(EJ109-EJ82)</f>
        <v>0</v>
      </c>
      <c r="EK110" s="48" t="n">
        <f aca="false">ABS(EK109-EK82)</f>
        <v>0</v>
      </c>
      <c r="EL110" s="48" t="n">
        <f aca="false">ABS(EL109-EL82)</f>
        <v>0</v>
      </c>
      <c r="EM110" s="48" t="n">
        <f aca="false">ABS(EM109-EM82)</f>
        <v>0</v>
      </c>
      <c r="EN110" s="48" t="n">
        <f aca="false">ABS(EN109-EN82)</f>
        <v>0</v>
      </c>
      <c r="EO110" s="48" t="n">
        <f aca="false">ABS(EO109-EO82)</f>
        <v>0</v>
      </c>
    </row>
    <row r="112" customFormat="false" ht="15" hidden="false" customHeight="false" outlineLevel="0" collapsed="false">
      <c r="A112" s="10" t="s">
        <v>13</v>
      </c>
      <c r="B112" s="10"/>
      <c r="C112" s="10" t="s">
        <v>455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93</v>
      </c>
      <c r="D113" s="12" t="s">
        <v>33</v>
      </c>
      <c r="E113" s="48" t="n">
        <f aca="false">-($I44+$I45+$I46)</f>
        <v>5150</v>
      </c>
    </row>
    <row r="114" customFormat="false" ht="15" hidden="false" customHeight="false" outlineLevel="0" collapsed="false">
      <c r="C114" s="1" t="s">
        <v>94</v>
      </c>
      <c r="D114" s="12" t="s">
        <v>33</v>
      </c>
      <c r="E114" s="48" t="n">
        <f aca="false">-($I48+$I51+$E55)</f>
        <v>1114.92155376243</v>
      </c>
    </row>
    <row r="115" customFormat="false" ht="15" hidden="false" customHeight="false" outlineLevel="0" collapsed="false">
      <c r="C115" s="1" t="s">
        <v>95</v>
      </c>
      <c r="D115" s="12" t="s">
        <v>33</v>
      </c>
      <c r="E115" s="48" t="n">
        <f aca="false">-$I64</f>
        <v>63116.25</v>
      </c>
    </row>
    <row r="116" customFormat="false" ht="15" hidden="false" customHeight="false" outlineLevel="0" collapsed="false">
      <c r="C116" s="1" t="s">
        <v>96</v>
      </c>
      <c r="D116" s="12" t="s">
        <v>33</v>
      </c>
      <c r="E116" s="48" t="n">
        <f aca="false">-$I54</f>
        <v>8154.82315068493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8" t="n">
        <f aca="false">-$I65</f>
        <v>2500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8" t="n">
        <f aca="false">$I93-$I96-$I97</f>
        <v>3873.55320775171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8" t="n">
        <f aca="false">-SUMIF($J$4:$EO$4,"&lt;="&amp;In_COD,$J79:$EO79)</f>
        <v>340.170197534084</v>
      </c>
    </row>
    <row r="120" customFormat="false" ht="15" hidden="false" customHeight="false" outlineLevel="0" collapsed="false">
      <c r="C120" s="26" t="s">
        <v>100</v>
      </c>
      <c r="D120" s="12" t="s">
        <v>33</v>
      </c>
      <c r="E120" s="57" t="n">
        <f aca="false">SUM($E113:$E119)</f>
        <v>84249.7181097332</v>
      </c>
    </row>
    <row r="121" customFormat="false" ht="15" hidden="false" customHeight="false" outlineLevel="0" collapsed="false">
      <c r="C121" s="1" t="s">
        <v>456</v>
      </c>
      <c r="D121" s="12" t="s">
        <v>33</v>
      </c>
      <c r="E121" s="48" t="n">
        <f aca="false">$E120-$E95</f>
        <v>30186.9696362648</v>
      </c>
      <c r="F121" s="48" t="n">
        <f aca="false">$E121+$E98</f>
        <v>31322.4417390827</v>
      </c>
    </row>
    <row r="122" customFormat="false" ht="15" hidden="false" customHeight="false" outlineLevel="0" collapsed="false">
      <c r="C122" s="1" t="s">
        <v>104</v>
      </c>
      <c r="D122" s="12" t="s">
        <v>27</v>
      </c>
      <c r="E122" s="49" t="n">
        <f aca="false">$E95/$E120</f>
        <v>0.641696490937252</v>
      </c>
    </row>
    <row r="124" customFormat="false" ht="15" hidden="false" customHeight="false" outlineLevel="0" collapsed="false">
      <c r="A124" s="10" t="s">
        <v>13</v>
      </c>
      <c r="B124" s="10"/>
      <c r="C124" s="10" t="s">
        <v>120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  <row r="125" customFormat="false" ht="15" hidden="false" customHeight="false" outlineLevel="0" collapsed="false">
      <c r="C125" s="1" t="s">
        <v>457</v>
      </c>
      <c r="D125" s="12" t="s">
        <v>33</v>
      </c>
      <c r="I125" s="48" t="n">
        <f aca="false">SUM(J125:EO125)</f>
        <v>-30186.9696362648</v>
      </c>
      <c r="J125" s="48" t="n">
        <f aca="false">(J59+J66+J92+J96+J97+J79)*(J$4&lt;=In_COD)</f>
        <v>-4662.80993807469</v>
      </c>
      <c r="K125" s="48" t="n">
        <f aca="false">(K59+K66+K92+K96+K97+K79)*(K$4&lt;=In_COD)</f>
        <v>-706.535577057768</v>
      </c>
      <c r="L125" s="48" t="n">
        <f aca="false">(L59+L66+L92+L96+L97+L79)*(L$4&lt;=In_COD)</f>
        <v>-104.360496659404</v>
      </c>
      <c r="M125" s="48" t="n">
        <f aca="false">(M59+M66+M92+M96+M97+M79)*(M$4&lt;=In_COD)</f>
        <v>-105.507315304013</v>
      </c>
      <c r="N125" s="48" t="n">
        <f aca="false">(N59+N66+N92+N96+N97+N79)*(N$4&lt;=In_COD)</f>
        <v>-105.507315304013</v>
      </c>
      <c r="O125" s="48" t="n">
        <f aca="false">(O59+O66+O92+O96+O97+O79)*(O$4&lt;=In_COD)</f>
        <v>-104.360496659404</v>
      </c>
      <c r="P125" s="48" t="n">
        <f aca="false">(P59+P66+P92+P96+P97+P79)*(P$4&lt;=In_COD)</f>
        <v>-104.360496659404</v>
      </c>
      <c r="Q125" s="48" t="n">
        <f aca="false">(Q59+Q66+Q92+Q96+Q97+Q79)*(Q$4&lt;=In_COD)</f>
        <v>-105.507315304013</v>
      </c>
      <c r="R125" s="48" t="n">
        <f aca="false">(R59+R66+R92+R96+R97+R79)*(R$4&lt;=In_COD)</f>
        <v>-3524.63966920373</v>
      </c>
      <c r="S125" s="48" t="n">
        <f aca="false">(S59+S66+S92+S96+S97+S79)*(S$4&lt;=In_COD)</f>
        <v>-4957.59325787887</v>
      </c>
      <c r="T125" s="48" t="n">
        <f aca="false">(T59+T66+T92+T96+T97+T79)*(T$4&lt;=In_COD)</f>
        <v>-2514.01706566111</v>
      </c>
      <c r="U125" s="48" t="n">
        <f aca="false">(U59+U66+U92+U96+U97+U79)*(U$4&lt;=In_COD)</f>
        <v>-2529.14980718064</v>
      </c>
      <c r="V125" s="48" t="n">
        <f aca="false">(V59+V66+V92+V96+V97+V79)*(V$4&lt;=In_COD)</f>
        <v>-2516.51869281772</v>
      </c>
      <c r="W125" s="48" t="n">
        <f aca="false">(W59+W66+W92+W96+W97+W79)*(W$4&lt;=In_COD)</f>
        <v>-2450.49717096547</v>
      </c>
      <c r="X125" s="48" t="n">
        <f aca="false">(X59+X66+X92+X96+X97+X79)*(X$4&lt;=In_COD)</f>
        <v>-2465.50270244277</v>
      </c>
      <c r="Y125" s="48" t="n">
        <f aca="false">(Y59+Y66+Y92+Y96+Y97+Y79)*(Y$4&lt;=In_COD)</f>
        <v>-3230.10231909176</v>
      </c>
      <c r="Z125" s="48" t="n">
        <f aca="false">(Z59+Z66+Z92+Z96+Z97+Z79)*(Z$4&lt;=In_COD)</f>
        <v>0</v>
      </c>
      <c r="AA125" s="48" t="n">
        <f aca="false">(AA59+AA66+AA92+AA96+AA97+AA79)*(AA$4&lt;=In_COD)</f>
        <v>0</v>
      </c>
      <c r="AB125" s="48" t="n">
        <f aca="false">(AB59+AB66+AB92+AB96+AB97+AB79)*(AB$4&lt;=In_COD)</f>
        <v>0</v>
      </c>
      <c r="AC125" s="48" t="n">
        <f aca="false">(AC59+AC66+AC92+AC96+AC97+AC79)*(AC$4&lt;=In_COD)</f>
        <v>0</v>
      </c>
      <c r="AD125" s="48" t="n">
        <f aca="false">(AD59+AD66+AD92+AD96+AD97+AD79)*(AD$4&lt;=In_COD)</f>
        <v>0</v>
      </c>
      <c r="AE125" s="48" t="n">
        <f aca="false">(AE59+AE66+AE92+AE96+AE97+AE79)*(AE$4&lt;=In_COD)</f>
        <v>0</v>
      </c>
      <c r="AF125" s="48" t="n">
        <f aca="false">(AF59+AF66+AF92+AF96+AF97+AF79)*(AF$4&lt;=In_COD)</f>
        <v>0</v>
      </c>
      <c r="AG125" s="48" t="n">
        <f aca="false">(AG59+AG66+AG92+AG96+AG97+AG79)*(AG$4&lt;=In_COD)</f>
        <v>0</v>
      </c>
      <c r="AH125" s="48" t="n">
        <f aca="false">(AH59+AH66+AH92+AH96+AH97+AH79)*(AH$4&lt;=In_COD)</f>
        <v>0</v>
      </c>
      <c r="AI125" s="48" t="n">
        <f aca="false">(AI59+AI66+AI92+AI96+AI97+AI79)*(AI$4&lt;=In_COD)</f>
        <v>0</v>
      </c>
      <c r="AJ125" s="48" t="n">
        <f aca="false">(AJ59+AJ66+AJ92+AJ96+AJ97+AJ79)*(AJ$4&lt;=In_COD)</f>
        <v>0</v>
      </c>
      <c r="AK125" s="48" t="n">
        <f aca="false">(AK59+AK66+AK92+AK96+AK97+AK79)*(AK$4&lt;=In_COD)</f>
        <v>0</v>
      </c>
      <c r="AL125" s="48" t="n">
        <f aca="false">(AL59+AL66+AL92+AL96+AL97+AL79)*(AL$4&lt;=In_COD)</f>
        <v>0</v>
      </c>
      <c r="AM125" s="48" t="n">
        <f aca="false">(AM59+AM66+AM92+AM96+AM97+AM79)*(AM$4&lt;=In_COD)</f>
        <v>0</v>
      </c>
      <c r="AN125" s="48" t="n">
        <f aca="false">(AN59+AN66+AN92+AN96+AN97+AN79)*(AN$4&lt;=In_COD)</f>
        <v>0</v>
      </c>
      <c r="AO125" s="48" t="n">
        <f aca="false">(AO59+AO66+AO92+AO96+AO97+AO79)*(AO$4&lt;=In_COD)</f>
        <v>0</v>
      </c>
      <c r="AP125" s="48" t="n">
        <f aca="false">(AP59+AP66+AP92+AP96+AP97+AP79)*(AP$4&lt;=In_COD)</f>
        <v>0</v>
      </c>
      <c r="AQ125" s="48" t="n">
        <f aca="false">(AQ59+AQ66+AQ92+AQ96+AQ97+AQ79)*(AQ$4&lt;=In_COD)</f>
        <v>0</v>
      </c>
      <c r="AR125" s="48" t="n">
        <f aca="false">(AR59+AR66+AR92+AR96+AR97+AR79)*(AR$4&lt;=In_COD)</f>
        <v>0</v>
      </c>
      <c r="AS125" s="48" t="n">
        <f aca="false">(AS59+AS66+AS92+AS96+AS97+AS79)*(AS$4&lt;=In_COD)</f>
        <v>0</v>
      </c>
      <c r="AT125" s="48" t="n">
        <f aca="false">(AT59+AT66+AT92+AT96+AT97+AT79)*(AT$4&lt;=In_COD)</f>
        <v>0</v>
      </c>
      <c r="AU125" s="48" t="n">
        <f aca="false">(AU59+AU66+AU92+AU96+AU97+AU79)*(AU$4&lt;=In_COD)</f>
        <v>0</v>
      </c>
      <c r="AV125" s="48" t="n">
        <f aca="false">(AV59+AV66+AV92+AV96+AV97+AV79)*(AV$4&lt;=In_COD)</f>
        <v>0</v>
      </c>
      <c r="AW125" s="48" t="n">
        <f aca="false">(AW59+AW66+AW92+AW96+AW97+AW79)*(AW$4&lt;=In_COD)</f>
        <v>0</v>
      </c>
      <c r="AX125" s="48" t="n">
        <f aca="false">(AX59+AX66+AX92+AX96+AX97+AX79)*(AX$4&lt;=In_COD)</f>
        <v>0</v>
      </c>
      <c r="AY125" s="48" t="n">
        <f aca="false">(AY59+AY66+AY92+AY96+AY97+AY79)*(AY$4&lt;=In_COD)</f>
        <v>0</v>
      </c>
      <c r="AZ125" s="48" t="n">
        <f aca="false">(AZ59+AZ66+AZ92+AZ96+AZ97+AZ79)*(AZ$4&lt;=In_COD)</f>
        <v>0</v>
      </c>
      <c r="BA125" s="48" t="n">
        <f aca="false">(BA59+BA66+BA92+BA96+BA97+BA79)*(BA$4&lt;=In_COD)</f>
        <v>0</v>
      </c>
      <c r="BB125" s="48" t="n">
        <f aca="false">(BB59+BB66+BB92+BB96+BB97+BB79)*(BB$4&lt;=In_COD)</f>
        <v>0</v>
      </c>
      <c r="BC125" s="48" t="n">
        <f aca="false">(BC59+BC66+BC92+BC96+BC97+BC79)*(BC$4&lt;=In_COD)</f>
        <v>0</v>
      </c>
      <c r="BD125" s="48" t="n">
        <f aca="false">(BD59+BD66+BD92+BD96+BD97+BD79)*(BD$4&lt;=In_COD)</f>
        <v>0</v>
      </c>
      <c r="BE125" s="48" t="n">
        <f aca="false">(BE59+BE66+BE92+BE96+BE97+BE79)*(BE$4&lt;=In_COD)</f>
        <v>0</v>
      </c>
      <c r="BF125" s="48" t="n">
        <f aca="false">(BF59+BF66+BF92+BF96+BF97+BF79)*(BF$4&lt;=In_COD)</f>
        <v>0</v>
      </c>
      <c r="BG125" s="48" t="n">
        <f aca="false">(BG59+BG66+BG92+BG96+BG97+BG79)*(BG$4&lt;=In_COD)</f>
        <v>0</v>
      </c>
      <c r="BH125" s="48" t="n">
        <f aca="false">(BH59+BH66+BH92+BH96+BH97+BH79)*(BH$4&lt;=In_COD)</f>
        <v>0</v>
      </c>
      <c r="BI125" s="48" t="n">
        <f aca="false">(BI59+BI66+BI92+BI96+BI97+BI79)*(BI$4&lt;=In_COD)</f>
        <v>0</v>
      </c>
      <c r="BJ125" s="48" t="n">
        <f aca="false">(BJ59+BJ66+BJ92+BJ96+BJ97+BJ79)*(BJ$4&lt;=In_COD)</f>
        <v>0</v>
      </c>
      <c r="BK125" s="48" t="n">
        <f aca="false">(BK59+BK66+BK92+BK96+BK97+BK79)*(BK$4&lt;=In_COD)</f>
        <v>0</v>
      </c>
      <c r="BL125" s="48" t="n">
        <f aca="false">(BL59+BL66+BL92+BL96+BL97+BL79)*(BL$4&lt;=In_COD)</f>
        <v>0</v>
      </c>
      <c r="BM125" s="48" t="n">
        <f aca="false">(BM59+BM66+BM92+BM96+BM97+BM79)*(BM$4&lt;=In_COD)</f>
        <v>0</v>
      </c>
      <c r="BN125" s="48" t="n">
        <f aca="false">(BN59+BN66+BN92+BN96+BN97+BN79)*(BN$4&lt;=In_COD)</f>
        <v>0</v>
      </c>
      <c r="BO125" s="48" t="n">
        <f aca="false">(BO59+BO66+BO92+BO96+BO97+BO79)*(BO$4&lt;=In_COD)</f>
        <v>0</v>
      </c>
      <c r="BP125" s="48" t="n">
        <f aca="false">(BP59+BP66+BP92+BP96+BP97+BP79)*(BP$4&lt;=In_COD)</f>
        <v>0</v>
      </c>
      <c r="BQ125" s="48" t="n">
        <f aca="false">(BQ59+BQ66+BQ92+BQ96+BQ97+BQ79)*(BQ$4&lt;=In_COD)</f>
        <v>0</v>
      </c>
      <c r="BR125" s="48" t="n">
        <f aca="false">(BR59+BR66+BR92+BR96+BR97+BR79)*(BR$4&lt;=In_COD)</f>
        <v>0</v>
      </c>
      <c r="BS125" s="48" t="n">
        <f aca="false">(BS59+BS66+BS92+BS96+BS97+BS79)*(BS$4&lt;=In_COD)</f>
        <v>0</v>
      </c>
      <c r="BT125" s="48" t="n">
        <f aca="false">(BT59+BT66+BT92+BT96+BT97+BT79)*(BT$4&lt;=In_COD)</f>
        <v>0</v>
      </c>
      <c r="BU125" s="48" t="n">
        <f aca="false">(BU59+BU66+BU92+BU96+BU97+BU79)*(BU$4&lt;=In_COD)</f>
        <v>0</v>
      </c>
      <c r="BV125" s="48" t="n">
        <f aca="false">(BV59+BV66+BV92+BV96+BV97+BV79)*(BV$4&lt;=In_COD)</f>
        <v>0</v>
      </c>
      <c r="BW125" s="48" t="n">
        <f aca="false">(BW59+BW66+BW92+BW96+BW97+BW79)*(BW$4&lt;=In_COD)</f>
        <v>0</v>
      </c>
      <c r="BX125" s="48" t="n">
        <f aca="false">(BX59+BX66+BX92+BX96+BX97+BX79)*(BX$4&lt;=In_COD)</f>
        <v>0</v>
      </c>
      <c r="BY125" s="48" t="n">
        <f aca="false">(BY59+BY66+BY92+BY96+BY97+BY79)*(BY$4&lt;=In_COD)</f>
        <v>0</v>
      </c>
      <c r="BZ125" s="48" t="n">
        <f aca="false">(BZ59+BZ66+BZ92+BZ96+BZ97+BZ79)*(BZ$4&lt;=In_COD)</f>
        <v>0</v>
      </c>
      <c r="CA125" s="48" t="n">
        <f aca="false">(CA59+CA66+CA92+CA96+CA97+CA79)*(CA$4&lt;=In_COD)</f>
        <v>0</v>
      </c>
      <c r="CB125" s="48" t="n">
        <f aca="false">(CB59+CB66+CB92+CB96+CB97+CB79)*(CB$4&lt;=In_COD)</f>
        <v>0</v>
      </c>
      <c r="CC125" s="48" t="n">
        <f aca="false">(CC59+CC66+CC92+CC96+CC97+CC79)*(CC$4&lt;=In_COD)</f>
        <v>0</v>
      </c>
      <c r="CD125" s="48" t="n">
        <f aca="false">(CD59+CD66+CD92+CD96+CD97+CD79)*(CD$4&lt;=In_COD)</f>
        <v>0</v>
      </c>
      <c r="CE125" s="48" t="n">
        <f aca="false">(CE59+CE66+CE92+CE96+CE97+CE79)*(CE$4&lt;=In_COD)</f>
        <v>0</v>
      </c>
      <c r="CF125" s="48" t="n">
        <f aca="false">(CF59+CF66+CF92+CF96+CF97+CF79)*(CF$4&lt;=In_COD)</f>
        <v>0</v>
      </c>
      <c r="CG125" s="48" t="n">
        <f aca="false">(CG59+CG66+CG92+CG96+CG97+CG79)*(CG$4&lt;=In_COD)</f>
        <v>0</v>
      </c>
      <c r="CH125" s="48" t="n">
        <f aca="false">(CH59+CH66+CH92+CH96+CH97+CH79)*(CH$4&lt;=In_COD)</f>
        <v>0</v>
      </c>
      <c r="CI125" s="48" t="n">
        <f aca="false">(CI59+CI66+CI92+CI96+CI97+CI79)*(CI$4&lt;=In_COD)</f>
        <v>0</v>
      </c>
      <c r="CJ125" s="48" t="n">
        <f aca="false">(CJ59+CJ66+CJ92+CJ96+CJ97+CJ79)*(CJ$4&lt;=In_COD)</f>
        <v>0</v>
      </c>
      <c r="CK125" s="48" t="n">
        <f aca="false">(CK59+CK66+CK92+CK96+CK97+CK79)*(CK$4&lt;=In_COD)</f>
        <v>0</v>
      </c>
      <c r="CL125" s="48" t="n">
        <f aca="false">(CL59+CL66+CL92+CL96+CL97+CL79)*(CL$4&lt;=In_COD)</f>
        <v>0</v>
      </c>
      <c r="CM125" s="48" t="n">
        <f aca="false">(CM59+CM66+CM92+CM96+CM97+CM79)*(CM$4&lt;=In_COD)</f>
        <v>0</v>
      </c>
      <c r="CN125" s="48" t="n">
        <f aca="false">(CN59+CN66+CN92+CN96+CN97+CN79)*(CN$4&lt;=In_COD)</f>
        <v>0</v>
      </c>
      <c r="CO125" s="48" t="n">
        <f aca="false">(CO59+CO66+CO92+CO96+CO97+CO79)*(CO$4&lt;=In_COD)</f>
        <v>0</v>
      </c>
      <c r="CP125" s="48" t="n">
        <f aca="false">(CP59+CP66+CP92+CP96+CP97+CP79)*(CP$4&lt;=In_COD)</f>
        <v>0</v>
      </c>
      <c r="CQ125" s="48" t="n">
        <f aca="false">(CQ59+CQ66+CQ92+CQ96+CQ97+CQ79)*(CQ$4&lt;=In_COD)</f>
        <v>0</v>
      </c>
      <c r="CR125" s="48" t="n">
        <f aca="false">(CR59+CR66+CR92+CR96+CR97+CR79)*(CR$4&lt;=In_COD)</f>
        <v>0</v>
      </c>
      <c r="CS125" s="48" t="n">
        <f aca="false">(CS59+CS66+CS92+CS96+CS97+CS79)*(CS$4&lt;=In_COD)</f>
        <v>0</v>
      </c>
      <c r="CT125" s="48" t="n">
        <f aca="false">(CT59+CT66+CT92+CT96+CT97+CT79)*(CT$4&lt;=In_COD)</f>
        <v>0</v>
      </c>
      <c r="CU125" s="48" t="n">
        <f aca="false">(CU59+CU66+CU92+CU96+CU97+CU79)*(CU$4&lt;=In_COD)</f>
        <v>0</v>
      </c>
      <c r="CV125" s="48" t="n">
        <f aca="false">(CV59+CV66+CV92+CV96+CV97+CV79)*(CV$4&lt;=In_COD)</f>
        <v>0</v>
      </c>
      <c r="CW125" s="48" t="n">
        <f aca="false">(CW59+CW66+CW92+CW96+CW97+CW79)*(CW$4&lt;=In_COD)</f>
        <v>0</v>
      </c>
      <c r="CX125" s="48" t="n">
        <f aca="false">(CX59+CX66+CX92+CX96+CX97+CX79)*(CX$4&lt;=In_COD)</f>
        <v>0</v>
      </c>
      <c r="CY125" s="48" t="n">
        <f aca="false">(CY59+CY66+CY92+CY96+CY97+CY79)*(CY$4&lt;=In_COD)</f>
        <v>0</v>
      </c>
      <c r="CZ125" s="48" t="n">
        <f aca="false">(CZ59+CZ66+CZ92+CZ96+CZ97+CZ79)*(CZ$4&lt;=In_COD)</f>
        <v>0</v>
      </c>
      <c r="DA125" s="48" t="n">
        <f aca="false">(DA59+DA66+DA92+DA96+DA97+DA79)*(DA$4&lt;=In_COD)</f>
        <v>0</v>
      </c>
      <c r="DB125" s="48" t="n">
        <f aca="false">(DB59+DB66+DB92+DB96+DB97+DB79)*(DB$4&lt;=In_COD)</f>
        <v>0</v>
      </c>
      <c r="DC125" s="48" t="n">
        <f aca="false">(DC59+DC66+DC92+DC96+DC97+DC79)*(DC$4&lt;=In_COD)</f>
        <v>0</v>
      </c>
      <c r="DD125" s="48" t="n">
        <f aca="false">(DD59+DD66+DD92+DD96+DD97+DD79)*(DD$4&lt;=In_COD)</f>
        <v>0</v>
      </c>
      <c r="DE125" s="48" t="n">
        <f aca="false">(DE59+DE66+DE92+DE96+DE97+DE79)*(DE$4&lt;=In_COD)</f>
        <v>0</v>
      </c>
      <c r="DF125" s="48" t="n">
        <f aca="false">(DF59+DF66+DF92+DF96+DF97+DF79)*(DF$4&lt;=In_COD)</f>
        <v>0</v>
      </c>
      <c r="DG125" s="48" t="n">
        <f aca="false">(DG59+DG66+DG92+DG96+DG97+DG79)*(DG$4&lt;=In_COD)</f>
        <v>0</v>
      </c>
      <c r="DH125" s="48" t="n">
        <f aca="false">(DH59+DH66+DH92+DH96+DH97+DH79)*(DH$4&lt;=In_COD)</f>
        <v>0</v>
      </c>
      <c r="DI125" s="48" t="n">
        <f aca="false">(DI59+DI66+DI92+DI96+DI97+DI79)*(DI$4&lt;=In_COD)</f>
        <v>0</v>
      </c>
      <c r="DJ125" s="48" t="n">
        <f aca="false">(DJ59+DJ66+DJ92+DJ96+DJ97+DJ79)*(DJ$4&lt;=In_COD)</f>
        <v>0</v>
      </c>
      <c r="DK125" s="48" t="n">
        <f aca="false">(DK59+DK66+DK92+DK96+DK97+DK79)*(DK$4&lt;=In_COD)</f>
        <v>0</v>
      </c>
      <c r="DL125" s="48" t="n">
        <f aca="false">(DL59+DL66+DL92+DL96+DL97+DL79)*(DL$4&lt;=In_COD)</f>
        <v>0</v>
      </c>
      <c r="DM125" s="48" t="n">
        <f aca="false">(DM59+DM66+DM92+DM96+DM97+DM79)*(DM$4&lt;=In_COD)</f>
        <v>0</v>
      </c>
      <c r="DN125" s="48" t="n">
        <f aca="false">(DN59+DN66+DN92+DN96+DN97+DN79)*(DN$4&lt;=In_COD)</f>
        <v>0</v>
      </c>
      <c r="DO125" s="48" t="n">
        <f aca="false">(DO59+DO66+DO92+DO96+DO97+DO79)*(DO$4&lt;=In_COD)</f>
        <v>0</v>
      </c>
      <c r="DP125" s="48" t="n">
        <f aca="false">(DP59+DP66+DP92+DP96+DP97+DP79)*(DP$4&lt;=In_COD)</f>
        <v>0</v>
      </c>
      <c r="DQ125" s="48" t="n">
        <f aca="false">(DQ59+DQ66+DQ92+DQ96+DQ97+DQ79)*(DQ$4&lt;=In_COD)</f>
        <v>0</v>
      </c>
      <c r="DR125" s="48" t="n">
        <f aca="false">(DR59+DR66+DR92+DR96+DR97+DR79)*(DR$4&lt;=In_COD)</f>
        <v>0</v>
      </c>
      <c r="DS125" s="48" t="n">
        <f aca="false">(DS59+DS66+DS92+DS96+DS97+DS79)*(DS$4&lt;=In_COD)</f>
        <v>0</v>
      </c>
      <c r="DT125" s="48" t="n">
        <f aca="false">(DT59+DT66+DT92+DT96+DT97+DT79)*(DT$4&lt;=In_COD)</f>
        <v>0</v>
      </c>
      <c r="DU125" s="48" t="n">
        <f aca="false">(DU59+DU66+DU92+DU96+DU97+DU79)*(DU$4&lt;=In_COD)</f>
        <v>0</v>
      </c>
      <c r="DV125" s="48" t="n">
        <f aca="false">(DV59+DV66+DV92+DV96+DV97+DV79)*(DV$4&lt;=In_COD)</f>
        <v>0</v>
      </c>
      <c r="DW125" s="48" t="n">
        <f aca="false">(DW59+DW66+DW92+DW96+DW97+DW79)*(DW$4&lt;=In_COD)</f>
        <v>0</v>
      </c>
      <c r="DX125" s="48" t="n">
        <f aca="false">(DX59+DX66+DX92+DX96+DX97+DX79)*(DX$4&lt;=In_COD)</f>
        <v>0</v>
      </c>
      <c r="DY125" s="48" t="n">
        <f aca="false">(DY59+DY66+DY92+DY96+DY97+DY79)*(DY$4&lt;=In_COD)</f>
        <v>0</v>
      </c>
      <c r="DZ125" s="48" t="n">
        <f aca="false">(DZ59+DZ66+DZ92+DZ96+DZ97+DZ79)*(DZ$4&lt;=In_COD)</f>
        <v>0</v>
      </c>
      <c r="EA125" s="48" t="n">
        <f aca="false">(EA59+EA66+EA92+EA96+EA97+EA79)*(EA$4&lt;=In_COD)</f>
        <v>0</v>
      </c>
      <c r="EB125" s="48" t="n">
        <f aca="false">(EB59+EB66+EB92+EB96+EB97+EB79)*(EB$4&lt;=In_COD)</f>
        <v>0</v>
      </c>
      <c r="EC125" s="48" t="n">
        <f aca="false">(EC59+EC66+EC92+EC96+EC97+EC79)*(EC$4&lt;=In_COD)</f>
        <v>0</v>
      </c>
      <c r="ED125" s="48" t="n">
        <f aca="false">(ED59+ED66+ED92+ED96+ED97+ED79)*(ED$4&lt;=In_COD)</f>
        <v>0</v>
      </c>
      <c r="EE125" s="48" t="n">
        <f aca="false">(EE59+EE66+EE92+EE96+EE97+EE79)*(EE$4&lt;=In_COD)</f>
        <v>0</v>
      </c>
      <c r="EF125" s="48" t="n">
        <f aca="false">(EF59+EF66+EF92+EF96+EF97+EF79)*(EF$4&lt;=In_COD)</f>
        <v>0</v>
      </c>
      <c r="EG125" s="48" t="n">
        <f aca="false">(EG59+EG66+EG92+EG96+EG97+EG79)*(EG$4&lt;=In_COD)</f>
        <v>0</v>
      </c>
      <c r="EH125" s="48" t="n">
        <f aca="false">(EH59+EH66+EH92+EH96+EH97+EH79)*(EH$4&lt;=In_COD)</f>
        <v>0</v>
      </c>
      <c r="EI125" s="48" t="n">
        <f aca="false">(EI59+EI66+EI92+EI96+EI97+EI79)*(EI$4&lt;=In_COD)</f>
        <v>0</v>
      </c>
      <c r="EJ125" s="48" t="n">
        <f aca="false">(EJ59+EJ66+EJ92+EJ96+EJ97+EJ79)*(EJ$4&lt;=In_COD)</f>
        <v>0</v>
      </c>
      <c r="EK125" s="48" t="n">
        <f aca="false">(EK59+EK66+EK92+EK96+EK97+EK79)*(EK$4&lt;=In_COD)</f>
        <v>0</v>
      </c>
      <c r="EL125" s="48" t="n">
        <f aca="false">(EL59+EL66+EL92+EL96+EL97+EL79)*(EL$4&lt;=In_COD)</f>
        <v>0</v>
      </c>
      <c r="EM125" s="48" t="n">
        <f aca="false">(EM59+EM66+EM92+EM96+EM97+EM79)*(EM$4&lt;=In_COD)</f>
        <v>0</v>
      </c>
      <c r="EN125" s="48" t="n">
        <f aca="false">(EN59+EN66+EN92+EN96+EN97+EN79)*(EN$4&lt;=In_COD)</f>
        <v>0</v>
      </c>
      <c r="EO125" s="48" t="n">
        <f aca="false">(EO59+EO66+EO92+EO96+EO97+EO79)*(EO$4&lt;=In_COD)</f>
        <v>0</v>
      </c>
    </row>
    <row r="126" customFormat="false" ht="15" hidden="false" customHeight="false" outlineLevel="0" collapsed="false">
      <c r="C126" s="1" t="s">
        <v>458</v>
      </c>
      <c r="D126" s="12" t="s">
        <v>33</v>
      </c>
      <c r="E126" s="48" t="n">
        <f aca="false">IF($E38=1,In_COD_Price,In_COD_Price_CN)*$F24*(1-$E27)</f>
        <v>114975</v>
      </c>
    </row>
    <row r="127" customFormat="false" ht="15" hidden="false" customHeight="false" outlineLevel="0" collapsed="false">
      <c r="C127" s="1" t="s">
        <v>459</v>
      </c>
      <c r="D127" s="12" t="s">
        <v>33</v>
      </c>
      <c r="E127" s="48" t="n">
        <f aca="false">$E126+$I58-$E95-In_Sale_Costs</f>
        <v>60412.2515265316</v>
      </c>
    </row>
    <row r="128" customFormat="false" ht="15" hidden="false" customHeight="false" outlineLevel="0" collapsed="false">
      <c r="C128" s="1" t="s">
        <v>123</v>
      </c>
      <c r="D128" s="12" t="s">
        <v>33</v>
      </c>
      <c r="E128" s="48" t="n">
        <f aca="false">-In_CIT*In_Sale_Gain_Taxed*MAX(0,$E127+$I125)</f>
        <v>-0</v>
      </c>
    </row>
    <row r="129" customFormat="false" ht="15" hidden="false" customHeight="false" outlineLevel="0" collapsed="false">
      <c r="C129" s="26" t="s">
        <v>460</v>
      </c>
      <c r="D129" s="12" t="s">
        <v>33</v>
      </c>
      <c r="I129" s="57" t="n">
        <f aca="false">SUM(J129:EO129)</f>
        <v>30225.2818902668</v>
      </c>
      <c r="J129" s="57" t="n">
        <f aca="false">J125+($E127+$E128)*J14</f>
        <v>-4662.80993807469</v>
      </c>
      <c r="K129" s="57" t="n">
        <f aca="false">K125+($E127+$E128)*K14</f>
        <v>-706.535577057768</v>
      </c>
      <c r="L129" s="57" t="n">
        <f aca="false">L125+($E127+$E128)*L14</f>
        <v>-104.360496659404</v>
      </c>
      <c r="M129" s="57" t="n">
        <f aca="false">M125+($E127+$E128)*M14</f>
        <v>-105.507315304013</v>
      </c>
      <c r="N129" s="57" t="n">
        <f aca="false">N125+($E127+$E128)*N14</f>
        <v>-105.507315304013</v>
      </c>
      <c r="O129" s="57" t="n">
        <f aca="false">O125+($E127+$E128)*O14</f>
        <v>-104.360496659404</v>
      </c>
      <c r="P129" s="57" t="n">
        <f aca="false">P125+($E127+$E128)*P14</f>
        <v>-104.360496659404</v>
      </c>
      <c r="Q129" s="57" t="n">
        <f aca="false">Q125+($E127+$E128)*Q14</f>
        <v>-105.507315304013</v>
      </c>
      <c r="R129" s="57" t="n">
        <f aca="false">R125+($E127+$E128)*R14</f>
        <v>-3524.63966920373</v>
      </c>
      <c r="S129" s="57" t="n">
        <f aca="false">S125+($E127+$E128)*S14</f>
        <v>-4957.59325787887</v>
      </c>
      <c r="T129" s="57" t="n">
        <f aca="false">T125+($E127+$E128)*T14</f>
        <v>-2514.01706566111</v>
      </c>
      <c r="U129" s="57" t="n">
        <f aca="false">U125+($E127+$E128)*U14</f>
        <v>-2529.14980718064</v>
      </c>
      <c r="V129" s="57" t="n">
        <f aca="false">V125+($E127+$E128)*V14</f>
        <v>-2516.51869281772</v>
      </c>
      <c r="W129" s="57" t="n">
        <f aca="false">W125+($E127+$E128)*W14</f>
        <v>-2450.49717096547</v>
      </c>
      <c r="X129" s="57" t="n">
        <f aca="false">X125+($E127+$E128)*X14</f>
        <v>-2465.50270244277</v>
      </c>
      <c r="Y129" s="57" t="n">
        <f aca="false">Y125+($E127+$E128)*Y14</f>
        <v>57182.1492074399</v>
      </c>
      <c r="Z129" s="57" t="n">
        <f aca="false">Z125+($E127+$E128)*Z14</f>
        <v>0</v>
      </c>
      <c r="AA129" s="57" t="n">
        <f aca="false">AA125+($E127+$E128)*AA14</f>
        <v>0</v>
      </c>
      <c r="AB129" s="57" t="n">
        <f aca="false">AB125+($E127+$E128)*AB14</f>
        <v>0</v>
      </c>
      <c r="AC129" s="57" t="n">
        <f aca="false">AC125+($E127+$E128)*AC14</f>
        <v>0</v>
      </c>
      <c r="AD129" s="57" t="n">
        <f aca="false">AD125+($E127+$E128)*AD14</f>
        <v>0</v>
      </c>
      <c r="AE129" s="57" t="n">
        <f aca="false">AE125+($E127+$E128)*AE14</f>
        <v>0</v>
      </c>
      <c r="AF129" s="57" t="n">
        <f aca="false">AF125+($E127+$E128)*AF14</f>
        <v>0</v>
      </c>
      <c r="AG129" s="57" t="n">
        <f aca="false">AG125+($E127+$E128)*AG14</f>
        <v>0</v>
      </c>
      <c r="AH129" s="57" t="n">
        <f aca="false">AH125+($E127+$E128)*AH14</f>
        <v>0</v>
      </c>
      <c r="AI129" s="57" t="n">
        <f aca="false">AI125+($E127+$E128)*AI14</f>
        <v>0</v>
      </c>
      <c r="AJ129" s="57" t="n">
        <f aca="false">AJ125+($E127+$E128)*AJ14</f>
        <v>0</v>
      </c>
      <c r="AK129" s="57" t="n">
        <f aca="false">AK125+($E127+$E128)*AK14</f>
        <v>0</v>
      </c>
      <c r="AL129" s="57" t="n">
        <f aca="false">AL125+($E127+$E128)*AL14</f>
        <v>0</v>
      </c>
      <c r="AM129" s="57" t="n">
        <f aca="false">AM125+($E127+$E128)*AM14</f>
        <v>0</v>
      </c>
      <c r="AN129" s="57" t="n">
        <f aca="false">AN125+($E127+$E128)*AN14</f>
        <v>0</v>
      </c>
      <c r="AO129" s="57" t="n">
        <f aca="false">AO125+($E127+$E128)*AO14</f>
        <v>0</v>
      </c>
      <c r="AP129" s="57" t="n">
        <f aca="false">AP125+($E127+$E128)*AP14</f>
        <v>0</v>
      </c>
      <c r="AQ129" s="57" t="n">
        <f aca="false">AQ125+($E127+$E128)*AQ14</f>
        <v>0</v>
      </c>
      <c r="AR129" s="57" t="n">
        <f aca="false">AR125+($E127+$E128)*AR14</f>
        <v>0</v>
      </c>
      <c r="AS129" s="57" t="n">
        <f aca="false">AS125+($E127+$E128)*AS14</f>
        <v>0</v>
      </c>
      <c r="AT129" s="57" t="n">
        <f aca="false">AT125+($E127+$E128)*AT14</f>
        <v>0</v>
      </c>
      <c r="AU129" s="57" t="n">
        <f aca="false">AU125+($E127+$E128)*AU14</f>
        <v>0</v>
      </c>
      <c r="AV129" s="57" t="n">
        <f aca="false">AV125+($E127+$E128)*AV14</f>
        <v>0</v>
      </c>
      <c r="AW129" s="57" t="n">
        <f aca="false">AW125+($E127+$E128)*AW14</f>
        <v>0</v>
      </c>
      <c r="AX129" s="57" t="n">
        <f aca="false">AX125+($E127+$E128)*AX14</f>
        <v>0</v>
      </c>
      <c r="AY129" s="57" t="n">
        <f aca="false">AY125+($E127+$E128)*AY14</f>
        <v>0</v>
      </c>
      <c r="AZ129" s="57" t="n">
        <f aca="false">AZ125+($E127+$E128)*AZ14</f>
        <v>0</v>
      </c>
      <c r="BA129" s="57" t="n">
        <f aca="false">BA125+($E127+$E128)*BA14</f>
        <v>0</v>
      </c>
      <c r="BB129" s="57" t="n">
        <f aca="false">BB125+($E127+$E128)*BB14</f>
        <v>0</v>
      </c>
      <c r="BC129" s="57" t="n">
        <f aca="false">BC125+($E127+$E128)*BC14</f>
        <v>0</v>
      </c>
      <c r="BD129" s="57" t="n">
        <f aca="false">BD125+($E127+$E128)*BD14</f>
        <v>0</v>
      </c>
      <c r="BE129" s="57" t="n">
        <f aca="false">BE125+($E127+$E128)*BE14</f>
        <v>0</v>
      </c>
      <c r="BF129" s="57" t="n">
        <f aca="false">BF125+($E127+$E128)*BF14</f>
        <v>0</v>
      </c>
      <c r="BG129" s="57" t="n">
        <f aca="false">BG125+($E127+$E128)*BG14</f>
        <v>0</v>
      </c>
      <c r="BH129" s="57" t="n">
        <f aca="false">BH125+($E127+$E128)*BH14</f>
        <v>0</v>
      </c>
      <c r="BI129" s="57" t="n">
        <f aca="false">BI125+($E127+$E128)*BI14</f>
        <v>0</v>
      </c>
      <c r="BJ129" s="57" t="n">
        <f aca="false">BJ125+($E127+$E128)*BJ14</f>
        <v>0</v>
      </c>
      <c r="BK129" s="57" t="n">
        <f aca="false">BK125+($E127+$E128)*BK14</f>
        <v>0</v>
      </c>
      <c r="BL129" s="57" t="n">
        <f aca="false">BL125+($E127+$E128)*BL14</f>
        <v>0</v>
      </c>
      <c r="BM129" s="57" t="n">
        <f aca="false">BM125+($E127+$E128)*BM14</f>
        <v>0</v>
      </c>
      <c r="BN129" s="57" t="n">
        <f aca="false">BN125+($E127+$E128)*BN14</f>
        <v>0</v>
      </c>
      <c r="BO129" s="57" t="n">
        <f aca="false">BO125+($E127+$E128)*BO14</f>
        <v>0</v>
      </c>
      <c r="BP129" s="57" t="n">
        <f aca="false">BP125+($E127+$E128)*BP14</f>
        <v>0</v>
      </c>
      <c r="BQ129" s="57" t="n">
        <f aca="false">BQ125+($E127+$E128)*BQ14</f>
        <v>0</v>
      </c>
      <c r="BR129" s="57" t="n">
        <f aca="false">BR125+($E127+$E128)*BR14</f>
        <v>0</v>
      </c>
      <c r="BS129" s="57" t="n">
        <f aca="false">BS125+($E127+$E128)*BS14</f>
        <v>0</v>
      </c>
      <c r="BT129" s="57" t="n">
        <f aca="false">BT125+($E127+$E128)*BT14</f>
        <v>0</v>
      </c>
      <c r="BU129" s="57" t="n">
        <f aca="false">BU125+($E127+$E128)*BU14</f>
        <v>0</v>
      </c>
      <c r="BV129" s="57" t="n">
        <f aca="false">BV125+($E127+$E128)*BV14</f>
        <v>0</v>
      </c>
      <c r="BW129" s="57" t="n">
        <f aca="false">BW125+($E127+$E128)*BW14</f>
        <v>0</v>
      </c>
      <c r="BX129" s="57" t="n">
        <f aca="false">BX125+($E127+$E128)*BX14</f>
        <v>0</v>
      </c>
      <c r="BY129" s="57" t="n">
        <f aca="false">BY125+($E127+$E128)*BY14</f>
        <v>0</v>
      </c>
      <c r="BZ129" s="57" t="n">
        <f aca="false">BZ125+($E127+$E128)*BZ14</f>
        <v>0</v>
      </c>
      <c r="CA129" s="57" t="n">
        <f aca="false">CA125+($E127+$E128)*CA14</f>
        <v>0</v>
      </c>
      <c r="CB129" s="57" t="n">
        <f aca="false">CB125+($E127+$E128)*CB14</f>
        <v>0</v>
      </c>
      <c r="CC129" s="57" t="n">
        <f aca="false">CC125+($E127+$E128)*CC14</f>
        <v>0</v>
      </c>
      <c r="CD129" s="57" t="n">
        <f aca="false">CD125+($E127+$E128)*CD14</f>
        <v>0</v>
      </c>
      <c r="CE129" s="57" t="n">
        <f aca="false">CE125+($E127+$E128)*CE14</f>
        <v>0</v>
      </c>
      <c r="CF129" s="57" t="n">
        <f aca="false">CF125+($E127+$E128)*CF14</f>
        <v>0</v>
      </c>
      <c r="CG129" s="57" t="n">
        <f aca="false">CG125+($E127+$E128)*CG14</f>
        <v>0</v>
      </c>
      <c r="CH129" s="57" t="n">
        <f aca="false">CH125+($E127+$E128)*CH14</f>
        <v>0</v>
      </c>
      <c r="CI129" s="57" t="n">
        <f aca="false">CI125+($E127+$E128)*CI14</f>
        <v>0</v>
      </c>
      <c r="CJ129" s="57" t="n">
        <f aca="false">CJ125+($E127+$E128)*CJ14</f>
        <v>0</v>
      </c>
      <c r="CK129" s="57" t="n">
        <f aca="false">CK125+($E127+$E128)*CK14</f>
        <v>0</v>
      </c>
      <c r="CL129" s="57" t="n">
        <f aca="false">CL125+($E127+$E128)*CL14</f>
        <v>0</v>
      </c>
      <c r="CM129" s="57" t="n">
        <f aca="false">CM125+($E127+$E128)*CM14</f>
        <v>0</v>
      </c>
      <c r="CN129" s="57" t="n">
        <f aca="false">CN125+($E127+$E128)*CN14</f>
        <v>0</v>
      </c>
      <c r="CO129" s="57" t="n">
        <f aca="false">CO125+($E127+$E128)*CO14</f>
        <v>0</v>
      </c>
      <c r="CP129" s="57" t="n">
        <f aca="false">CP125+($E127+$E128)*CP14</f>
        <v>0</v>
      </c>
      <c r="CQ129" s="57" t="n">
        <f aca="false">CQ125+($E127+$E128)*CQ14</f>
        <v>0</v>
      </c>
      <c r="CR129" s="57" t="n">
        <f aca="false">CR125+($E127+$E128)*CR14</f>
        <v>0</v>
      </c>
      <c r="CS129" s="57" t="n">
        <f aca="false">CS125+($E127+$E128)*CS14</f>
        <v>0</v>
      </c>
      <c r="CT129" s="57" t="n">
        <f aca="false">CT125+($E127+$E128)*CT14</f>
        <v>0</v>
      </c>
      <c r="CU129" s="57" t="n">
        <f aca="false">CU125+($E127+$E128)*CU14</f>
        <v>0</v>
      </c>
      <c r="CV129" s="57" t="n">
        <f aca="false">CV125+($E127+$E128)*CV14</f>
        <v>0</v>
      </c>
      <c r="CW129" s="57" t="n">
        <f aca="false">CW125+($E127+$E128)*CW14</f>
        <v>0</v>
      </c>
      <c r="CX129" s="57" t="n">
        <f aca="false">CX125+($E127+$E128)*CX14</f>
        <v>0</v>
      </c>
      <c r="CY129" s="57" t="n">
        <f aca="false">CY125+($E127+$E128)*CY14</f>
        <v>0</v>
      </c>
      <c r="CZ129" s="57" t="n">
        <f aca="false">CZ125+($E127+$E128)*CZ14</f>
        <v>0</v>
      </c>
      <c r="DA129" s="57" t="n">
        <f aca="false">DA125+($E127+$E128)*DA14</f>
        <v>0</v>
      </c>
      <c r="DB129" s="57" t="n">
        <f aca="false">DB125+($E127+$E128)*DB14</f>
        <v>0</v>
      </c>
      <c r="DC129" s="57" t="n">
        <f aca="false">DC125+($E127+$E128)*DC14</f>
        <v>0</v>
      </c>
      <c r="DD129" s="57" t="n">
        <f aca="false">DD125+($E127+$E128)*DD14</f>
        <v>0</v>
      </c>
      <c r="DE129" s="57" t="n">
        <f aca="false">DE125+($E127+$E128)*DE14</f>
        <v>0</v>
      </c>
      <c r="DF129" s="57" t="n">
        <f aca="false">DF125+($E127+$E128)*DF14</f>
        <v>0</v>
      </c>
      <c r="DG129" s="57" t="n">
        <f aca="false">DG125+($E127+$E128)*DG14</f>
        <v>0</v>
      </c>
      <c r="DH129" s="57" t="n">
        <f aca="false">DH125+($E127+$E128)*DH14</f>
        <v>0</v>
      </c>
      <c r="DI129" s="57" t="n">
        <f aca="false">DI125+($E127+$E128)*DI14</f>
        <v>0</v>
      </c>
      <c r="DJ129" s="57" t="n">
        <f aca="false">DJ125+($E127+$E128)*DJ14</f>
        <v>0</v>
      </c>
      <c r="DK129" s="57" t="n">
        <f aca="false">DK125+($E127+$E128)*DK14</f>
        <v>0</v>
      </c>
      <c r="DL129" s="57" t="n">
        <f aca="false">DL125+($E127+$E128)*DL14</f>
        <v>0</v>
      </c>
      <c r="DM129" s="57" t="n">
        <f aca="false">DM125+($E127+$E128)*DM14</f>
        <v>0</v>
      </c>
      <c r="DN129" s="57" t="n">
        <f aca="false">DN125+($E127+$E128)*DN14</f>
        <v>0</v>
      </c>
      <c r="DO129" s="57" t="n">
        <f aca="false">DO125+($E127+$E128)*DO14</f>
        <v>0</v>
      </c>
      <c r="DP129" s="57" t="n">
        <f aca="false">DP125+($E127+$E128)*DP14</f>
        <v>0</v>
      </c>
      <c r="DQ129" s="57" t="n">
        <f aca="false">DQ125+($E127+$E128)*DQ14</f>
        <v>0</v>
      </c>
      <c r="DR129" s="57" t="n">
        <f aca="false">DR125+($E127+$E128)*DR14</f>
        <v>0</v>
      </c>
      <c r="DS129" s="57" t="n">
        <f aca="false">DS125+($E127+$E128)*DS14</f>
        <v>0</v>
      </c>
      <c r="DT129" s="57" t="n">
        <f aca="false">DT125+($E127+$E128)*DT14</f>
        <v>0</v>
      </c>
      <c r="DU129" s="57" t="n">
        <f aca="false">DU125+($E127+$E128)*DU14</f>
        <v>0</v>
      </c>
      <c r="DV129" s="57" t="n">
        <f aca="false">DV125+($E127+$E128)*DV14</f>
        <v>0</v>
      </c>
      <c r="DW129" s="57" t="n">
        <f aca="false">DW125+($E127+$E128)*DW14</f>
        <v>0</v>
      </c>
      <c r="DX129" s="57" t="n">
        <f aca="false">DX125+($E127+$E128)*DX14</f>
        <v>0</v>
      </c>
      <c r="DY129" s="57" t="n">
        <f aca="false">DY125+($E127+$E128)*DY14</f>
        <v>0</v>
      </c>
      <c r="DZ129" s="57" t="n">
        <f aca="false">DZ125+($E127+$E128)*DZ14</f>
        <v>0</v>
      </c>
      <c r="EA129" s="57" t="n">
        <f aca="false">EA125+($E127+$E128)*EA14</f>
        <v>0</v>
      </c>
      <c r="EB129" s="57" t="n">
        <f aca="false">EB125+($E127+$E128)*EB14</f>
        <v>0</v>
      </c>
      <c r="EC129" s="57" t="n">
        <f aca="false">EC125+($E127+$E128)*EC14</f>
        <v>0</v>
      </c>
      <c r="ED129" s="57" t="n">
        <f aca="false">ED125+($E127+$E128)*ED14</f>
        <v>0</v>
      </c>
      <c r="EE129" s="57" t="n">
        <f aca="false">EE125+($E127+$E128)*EE14</f>
        <v>0</v>
      </c>
      <c r="EF129" s="57" t="n">
        <f aca="false">EF125+($E127+$E128)*EF14</f>
        <v>0</v>
      </c>
      <c r="EG129" s="57" t="n">
        <f aca="false">EG125+($E127+$E128)*EG14</f>
        <v>0</v>
      </c>
      <c r="EH129" s="57" t="n">
        <f aca="false">EH125+($E127+$E128)*EH14</f>
        <v>0</v>
      </c>
      <c r="EI129" s="57" t="n">
        <f aca="false">EI125+($E127+$E128)*EI14</f>
        <v>0</v>
      </c>
      <c r="EJ129" s="57" t="n">
        <f aca="false">EJ125+($E127+$E128)*EJ14</f>
        <v>0</v>
      </c>
      <c r="EK129" s="57" t="n">
        <f aca="false">EK125+($E127+$E128)*EK14</f>
        <v>0</v>
      </c>
      <c r="EL129" s="57" t="n">
        <f aca="false">EL125+($E127+$E128)*EL14</f>
        <v>0</v>
      </c>
      <c r="EM129" s="57" t="n">
        <f aca="false">EM125+($E127+$E128)*EM14</f>
        <v>0</v>
      </c>
      <c r="EN129" s="57" t="n">
        <f aca="false">EN125+($E127+$E128)*EN14</f>
        <v>0</v>
      </c>
      <c r="EO129" s="57" t="n">
        <f aca="false">EO125+($E127+$E128)*EO14</f>
        <v>0</v>
      </c>
    </row>
    <row r="130" customFormat="false" ht="15" hidden="false" customHeight="false" outlineLevel="0" collapsed="false">
      <c r="C130" s="26" t="s">
        <v>84</v>
      </c>
      <c r="D130" s="12" t="s">
        <v>27</v>
      </c>
      <c r="E130" s="34" t="n">
        <f aca="false">XIRR($J129:$EO129,$J$4:$EO$4)</f>
        <v>0.47383720841244</v>
      </c>
    </row>
    <row r="131" customFormat="false" ht="15" hidden="false" customHeight="false" outlineLevel="0" collapsed="false">
      <c r="C131" s="26" t="s">
        <v>85</v>
      </c>
      <c r="D131" s="12" t="s">
        <v>13</v>
      </c>
      <c r="E131" s="60" t="n">
        <f aca="false">($E127+$E128)/-$I125</f>
        <v>2.00126916528766</v>
      </c>
    </row>
    <row r="132" customFormat="false" ht="15" hidden="false" customHeight="false" outlineLevel="0" collapsed="false">
      <c r="C132" s="26" t="s">
        <v>86</v>
      </c>
      <c r="D132" s="12" t="s">
        <v>33</v>
      </c>
      <c r="E132" s="57" t="n">
        <f aca="false">XNPV(In_Discount_Rate,$J129:$EO129,$J$4:$EO$4)</f>
        <v>19810.3623570828</v>
      </c>
    </row>
    <row r="134" customFormat="false" ht="15" hidden="false" customHeight="false" outlineLevel="0" collapsed="false">
      <c r="A134" s="10" t="s">
        <v>13</v>
      </c>
      <c r="B134" s="10"/>
      <c r="C134" s="10" t="s">
        <v>461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462</v>
      </c>
      <c r="D135" s="12" t="s">
        <v>33</v>
      </c>
      <c r="I135" s="48" t="n">
        <f aca="false">SUM(J135:EO135)</f>
        <v>180550.185940602</v>
      </c>
      <c r="J135" s="48" t="n">
        <f aca="false">J59+J66+J79+J58+J109</f>
        <v>-4662.80993807469</v>
      </c>
      <c r="K135" s="48" t="n">
        <f aca="false">K59+K66+K79+K58+K109</f>
        <v>-706.535577057768</v>
      </c>
      <c r="L135" s="48" t="n">
        <f aca="false">L59+L66+L79+L58+L109</f>
        <v>-104.360496659404</v>
      </c>
      <c r="M135" s="48" t="n">
        <f aca="false">M59+M66+M79+M58+M109</f>
        <v>-105.507315304013</v>
      </c>
      <c r="N135" s="48" t="n">
        <f aca="false">N59+N66+N79+N58+N109</f>
        <v>-105.507315304013</v>
      </c>
      <c r="O135" s="48" t="n">
        <f aca="false">O59+O66+O79+O58+O109</f>
        <v>-104.360496659404</v>
      </c>
      <c r="P135" s="48" t="n">
        <f aca="false">P59+P66+P79+P58+P109</f>
        <v>-104.360496659404</v>
      </c>
      <c r="Q135" s="48" t="n">
        <f aca="false">Q59+Q66+Q79+Q58+Q109</f>
        <v>-105.507315304013</v>
      </c>
      <c r="R135" s="48" t="n">
        <f aca="false">R59+R66+R79+R58+R109</f>
        <v>-8029.46084763546</v>
      </c>
      <c r="S135" s="48" t="n">
        <f aca="false">S59+S66+S79+S58+S109</f>
        <v>-16010.74701985</v>
      </c>
      <c r="T135" s="48" t="n">
        <f aca="false">T59+T66+T79+T58+T109</f>
        <v>-7943.21191215576</v>
      </c>
      <c r="U135" s="48" t="n">
        <f aca="false">U59+U66+U79+U58+U109</f>
        <v>-8030.49995514649</v>
      </c>
      <c r="V135" s="48" t="n">
        <f aca="false">V59+V66+V79+V58+V109</f>
        <v>-8030.49995514649</v>
      </c>
      <c r="W135" s="48" t="n">
        <f aca="false">W59+W66+W79+W58+W109</f>
        <v>-7856.96580033778</v>
      </c>
      <c r="X135" s="48" t="n">
        <f aca="false">X59+X66+X79+X58+X109</f>
        <v>-7944.26542034153</v>
      </c>
      <c r="Y135" s="48" t="n">
        <f aca="false">Y59+Y66+Y79+Y58+Y109</f>
        <v>-10531.5650403453</v>
      </c>
      <c r="Z135" s="48" t="n">
        <f aca="false">Z59+Z66+Z79+Z58+Z109</f>
        <v>2187.99332516653</v>
      </c>
      <c r="AA135" s="48" t="n">
        <f aca="false">AA59+AA66+AA79+AA58+AA109</f>
        <v>2154.62518416236</v>
      </c>
      <c r="AB135" s="48" t="n">
        <f aca="false">AB59+AB66+AB79+AB58+AB109</f>
        <v>2177.97837890416</v>
      </c>
      <c r="AC135" s="48" t="n">
        <f aca="false">AC59+AC66+AC79+AC58+AC109</f>
        <v>2201.32160572723</v>
      </c>
      <c r="AD135" s="48" t="n">
        <f aca="false">AD59+AD66+AD79+AD58+AD109</f>
        <v>2193.39251576832</v>
      </c>
      <c r="AE135" s="48" t="n">
        <f aca="false">AE59+AE66+AE79+AE58+AE109</f>
        <v>2183.40863701236</v>
      </c>
      <c r="AF135" s="48" t="n">
        <f aca="false">AF59+AF66+AF79+AF58+AF109</f>
        <v>2183.13492588245</v>
      </c>
      <c r="AG135" s="48" t="n">
        <f aca="false">AG59+AG66+AG79+AG58+AG109</f>
        <v>2206.53167929699</v>
      </c>
      <c r="AH135" s="48" t="n">
        <f aca="false">AH59+AH66+AH79+AH58+AH109</f>
        <v>2188.63505678161</v>
      </c>
      <c r="AI135" s="48" t="n">
        <f aca="false">AI59+AI66+AI79+AI58+AI109</f>
        <v>2139.46242805892</v>
      </c>
      <c r="AJ135" s="48" t="n">
        <f aca="false">AJ59+AJ66+AJ79+AJ58+AJ109</f>
        <v>2192.23434529205</v>
      </c>
      <c r="AK135" s="48" t="n">
        <f aca="false">AK59+AK66+AK79+AK58+AK109</f>
        <v>2215.12863972602</v>
      </c>
      <c r="AL135" s="48" t="n">
        <f aca="false">AL59+AL66+AL79+AL58+AL109</f>
        <v>2207.13154115235</v>
      </c>
      <c r="AM135" s="48" t="n">
        <f aca="false">AM59+AM66+AM79+AM58+AM109</f>
        <v>2172.45748353688</v>
      </c>
      <c r="AN135" s="48" t="n">
        <f aca="false">AN59+AN66+AN79+AN58+AN109</f>
        <v>2195.40198090654</v>
      </c>
      <c r="AO135" s="48" t="n">
        <f aca="false">AO59+AO66+AO79+AO58+AO109</f>
        <v>2218.32560038477</v>
      </c>
      <c r="AP135" s="48" t="n">
        <f aca="false">AP59+AP66+AP79+AP58+AP109</f>
        <v>2210.24959945172</v>
      </c>
      <c r="AQ135" s="48" t="n">
        <f aca="false">AQ59+AQ66+AQ79+AQ58+AQ109</f>
        <v>2175.27372645327</v>
      </c>
      <c r="AR135" s="48" t="n">
        <f aca="false">AR59+AR66+AR79+AR58+AR109</f>
        <v>2198.24439549608</v>
      </c>
      <c r="AS135" s="48" t="n">
        <f aca="false">AS59+AS66+AS79+AS58+AS109</f>
        <v>2221.19375979677</v>
      </c>
      <c r="AT135" s="48" t="n">
        <f aca="false">AT59+AT66+AT79+AT58+AT109</f>
        <v>2213.03725802171</v>
      </c>
      <c r="AU135" s="48" t="n">
        <f aca="false">AU59+AU66+AU79+AU58+AU109</f>
        <v>2201.41470386998</v>
      </c>
      <c r="AV135" s="48" t="n">
        <f aca="false">AV59+AV66+AV79+AV58+AV109</f>
        <v>2200.73497230194</v>
      </c>
      <c r="AW135" s="48" t="n">
        <f aca="false">AW59+AW66+AW79+AW58+AW109</f>
        <v>2223.70619456791</v>
      </c>
      <c r="AX135" s="48" t="n">
        <f aca="false">AX59+AX66+AX79+AX58+AX109</f>
        <v>2215.46736335702</v>
      </c>
      <c r="AY135" s="48" t="n">
        <f aca="false">AY59+AY66+AY79+AY58+AY109</f>
        <v>2179.87583319099</v>
      </c>
      <c r="AZ135" s="48" t="n">
        <f aca="false">AZ59+AZ66+AZ79+AZ58+AZ109</f>
        <v>2202.88741097056</v>
      </c>
      <c r="BA135" s="48" t="n">
        <f aca="false">BA59+BA66+BA79+BA58+BA109</f>
        <v>2225.87677840659</v>
      </c>
      <c r="BB135" s="48" t="n">
        <f aca="false">BB59+BB66+BB79+BB58+BB109</f>
        <v>2217.55404764143</v>
      </c>
      <c r="BC135" s="48" t="n">
        <f aca="false">BC59+BC66+BC79+BC58+BC109</f>
        <v>2181.64863301947</v>
      </c>
      <c r="BD135" s="48" t="n">
        <f aca="false">BD59+BD66+BD79+BD58+BD109</f>
        <v>2204.6748121137</v>
      </c>
      <c r="BE135" s="48" t="n">
        <f aca="false">BE59+BE66+BE79+BE58+BE109</f>
        <v>2227.67830248846</v>
      </c>
      <c r="BF135" s="48" t="n">
        <f aca="false">BF59+BF66+BF79+BF58+BF109</f>
        <v>2219.26987348137</v>
      </c>
      <c r="BG135" s="48" t="n">
        <f aca="false">BG59+BG66+BG79+BG58+BG109</f>
        <v>2183.04634427821</v>
      </c>
      <c r="BH135" s="48" t="n">
        <f aca="false">BH59+BH66+BH79+BH58+BH109</f>
        <v>2206.08296326208</v>
      </c>
      <c r="BI135" s="48" t="n">
        <f aca="false">BI59+BI66+BI79+BI58+BI109</f>
        <v>2229.09639638185</v>
      </c>
      <c r="BJ135" s="48" t="n">
        <f aca="false">BJ59+BJ66+BJ79+BJ58+BJ109</f>
        <v>2220.600397425</v>
      </c>
      <c r="BK135" s="48" t="n">
        <f aca="false">BK59+BK66+BK79+BK58+BK109</f>
        <v>2207.91712436504</v>
      </c>
      <c r="BL135" s="48" t="n">
        <f aca="false">BL59+BL66+BL79+BL58+BL109</f>
        <v>2207.0832151203</v>
      </c>
      <c r="BM135" s="48" t="n">
        <f aca="false">BM59+BM66+BM79+BM58+BM109</f>
        <v>2230.10208109885</v>
      </c>
      <c r="BN135" s="48" t="n">
        <f aca="false">BN59+BN66+BN79+BN58+BN109</f>
        <v>2221.51639601459</v>
      </c>
      <c r="BO135" s="48" t="n">
        <f aca="false">BO59+BO66+BO79+BO58+BO109</f>
        <v>2184.64332750207</v>
      </c>
      <c r="BP135" s="48" t="n">
        <f aca="false">BP59+BP66+BP79+BP58+BP109</f>
        <v>2207.68751285822</v>
      </c>
      <c r="BQ135" s="48" t="n">
        <f aca="false">BQ59+BQ66+BQ79+BQ58+BQ109</f>
        <v>2230.70745615663</v>
      </c>
      <c r="BR135" s="48" t="n">
        <f aca="false">BR59+BR66+BR79+BR58+BR109</f>
        <v>2222.03021649019</v>
      </c>
      <c r="BS135" s="48" t="n">
        <f aca="false">BS59+BS66+BS79+BS58+BS109</f>
        <v>2184.8256492871</v>
      </c>
      <c r="BT135" s="48" t="n">
        <f aca="false">BT59+BT66+BT79+BT58+BT109</f>
        <v>2207.86678126275</v>
      </c>
      <c r="BU135" s="48" t="n">
        <f aca="false">BU59+BU66+BU79+BU58+BU109</f>
        <v>2230.88311220016</v>
      </c>
      <c r="BV135" s="48" t="n">
        <f aca="false">BV59+BV66+BV79+BV58+BV109</f>
        <v>2222.11220535385</v>
      </c>
      <c r="BW135" s="48" t="n">
        <f aca="false">BW59+BW66+BW79+BW58+BW109</f>
        <v>2184.57143714149</v>
      </c>
      <c r="BX135" s="48" t="n">
        <f aca="false">BX59+BX66+BX79+BX58+BX109</f>
        <v>2207.60466636845</v>
      </c>
      <c r="BY135" s="48" t="n">
        <f aca="false">BY59+BY66+BY79+BY58+BY109</f>
        <v>2230.6125130354</v>
      </c>
      <c r="BZ135" s="48" t="n">
        <f aca="false">BZ59+BZ66+BZ79+BZ58+BZ109</f>
        <v>2221.74573849739</v>
      </c>
      <c r="CA135" s="48" t="n">
        <f aca="false">CA59+CA66+CA79+CA58+CA109</f>
        <v>2207.88805477119</v>
      </c>
      <c r="CB135" s="48" t="n">
        <f aca="false">CB59+CB66+CB79+CB58+CB109</f>
        <v>2206.87020077551</v>
      </c>
      <c r="CC135" s="48" t="n">
        <f aca="false">CC59+CC66+CC79+CC58+CC109</f>
        <v>2229.86433523048</v>
      </c>
      <c r="CD135" s="48" t="n">
        <f aca="false">CD59+CD66+CD79+CD58+CD109</f>
        <v>2220.89923126799</v>
      </c>
      <c r="CE135" s="48" t="n">
        <f aca="false">CE59+CE66+CE79+CE58+CE109</f>
        <v>2182.67125963741</v>
      </c>
      <c r="CF135" s="48" t="n">
        <f aca="false">CF59+CF66+CF79+CF58+CF109</f>
        <v>2205.67320384508</v>
      </c>
      <c r="CG135" s="48" t="n">
        <f aca="false">CG59+CG66+CG79+CG58+CG109</f>
        <v>2228.64852847776</v>
      </c>
      <c r="CH135" s="48" t="n">
        <f aca="false">CH59+CH66+CH79+CH58+CH109</f>
        <v>2219.58286692746</v>
      </c>
      <c r="CI135" s="48" t="n">
        <f aca="false">CI59+CI66+CI79+CI58+CI109</f>
        <v>2181.00378122133</v>
      </c>
      <c r="CJ135" s="48" t="n">
        <f aca="false">CJ59+CJ66+CJ79+CJ58+CJ109</f>
        <v>2203.98211134464</v>
      </c>
      <c r="CK135" s="48" t="n">
        <f aca="false">CK59+CK66+CK79+CK58+CK109</f>
        <v>2226.93316609136</v>
      </c>
      <c r="CL135" s="48" t="n">
        <f aca="false">CL59+CL66+CL79+CL58+CL109</f>
        <v>2217.76445639979</v>
      </c>
      <c r="CM135" s="48" t="n">
        <f aca="false">CM59+CM66+CM79+CM58+CM109</f>
        <v>2178.82900443094</v>
      </c>
      <c r="CN135" s="48" t="n">
        <f aca="false">CN59+CN66+CN79+CN58+CN109</f>
        <v>2201.77807695505</v>
      </c>
      <c r="CO135" s="48" t="n">
        <f aca="false">CO59+CO66+CO79+CO58+CO109</f>
        <v>2224.69919120597</v>
      </c>
      <c r="CP135" s="48" t="n">
        <f aca="false">CP59+CP66+CP79+CP58+CP109</f>
        <v>2215.42483691102</v>
      </c>
      <c r="CQ135" s="48" t="n">
        <f aca="false">CQ59+CQ66+CQ79+CQ58+CQ109</f>
        <v>2200.26491315097</v>
      </c>
      <c r="CR135" s="48" t="n">
        <f aca="false">CR59+CR66+CR79+CR58+CR109</f>
        <v>2199.02747770178</v>
      </c>
      <c r="CS135" s="48" t="n">
        <f aca="false">CS59+CS66+CS79+CS58+CS109</f>
        <v>2221.91259458689</v>
      </c>
      <c r="CT135" s="48" t="n">
        <f aca="false">CT59+CT66+CT79+CT58+CT109</f>
        <v>2212.52971834289</v>
      </c>
      <c r="CU135" s="48" t="n">
        <f aca="false">CU59+CU66+CU79+CU58+CU109</f>
        <v>2174.15672572376</v>
      </c>
      <c r="CV135" s="48" t="n">
        <f aca="false">CV59+CV66+CV79+CV58+CV109</f>
        <v>2198.31402267624</v>
      </c>
      <c r="CW135" s="48" t="n">
        <f aca="false">CW59+CW66+CW79+CW58+CW109</f>
        <v>2222.47131962873</v>
      </c>
      <c r="CX135" s="48" t="n">
        <f aca="false">CX59+CX66+CX79+CX58+CX109</f>
        <v>2214.32115556524</v>
      </c>
      <c r="CY135" s="48" t="n">
        <f aca="false">CY59+CY66+CY79+CY58+CY109</f>
        <v>2175.63852130436</v>
      </c>
      <c r="CZ135" s="48" t="n">
        <f aca="false">CZ59+CZ66+CZ79+CZ58+CZ109</f>
        <v>2199.81228265219</v>
      </c>
      <c r="DA135" s="48" t="n">
        <f aca="false">DA59+DA66+DA79+DA58+DA109</f>
        <v>2223.98604400001</v>
      </c>
      <c r="DB135" s="48" t="n">
        <f aca="false">DB59+DB66+DB79+DB58+DB109</f>
        <v>2122.88750313241</v>
      </c>
      <c r="DC135" s="48" t="n">
        <f aca="false">DC59+DC66+DC79+DC58+DC109</f>
        <v>2085.91177487943</v>
      </c>
      <c r="DD135" s="48" t="n">
        <f aca="false">DD59+DD66+DD79+DD58+DD109</f>
        <v>2109.08857237809</v>
      </c>
      <c r="DE135" s="48" t="n">
        <f aca="false">DE59+DE66+DE79+DE58+DE109</f>
        <v>2132.26536987675</v>
      </c>
      <c r="DF135" s="48" t="n">
        <f aca="false">DF59+DF66+DF79+DF58+DF109</f>
        <v>2124.01795089271</v>
      </c>
      <c r="DG135" s="48" t="n">
        <f aca="false">DG59+DG66+DG79+DG58+DG109</f>
        <v>2109.91236154365</v>
      </c>
      <c r="DH135" s="48" t="n">
        <f aca="false">DH59+DH66+DH79+DH58+DH109</f>
        <v>2109.91236154365</v>
      </c>
      <c r="DI135" s="48" t="n">
        <f aca="false">DI59+DI66+DI79+DI58+DI109</f>
        <v>2133.09821167051</v>
      </c>
      <c r="DJ135" s="48" t="n">
        <f aca="false">DJ59+DJ66+DJ79+DJ58+DJ109</f>
        <v>2124.80202858923</v>
      </c>
      <c r="DK135" s="48" t="n">
        <f aca="false">DK59+DK66+DK79+DK58+DK109</f>
        <v>2087.19177731218</v>
      </c>
      <c r="DL135" s="48" t="n">
        <f aca="false">DL59+DL66+DL79+DL58+DL109</f>
        <v>2110.3827970601</v>
      </c>
      <c r="DM135" s="48" t="n">
        <f aca="false">DM59+DM66+DM79+DM58+DM109</f>
        <v>2133.57381680801</v>
      </c>
      <c r="DN135" s="48" t="n">
        <f aca="false">DN59+DN66+DN79+DN58+DN109</f>
        <v>2125.22878470017</v>
      </c>
      <c r="DO135" s="48" t="n">
        <f aca="false">DO59+DO66+DO79+DO58+DO109</f>
        <v>2087.29657604581</v>
      </c>
      <c r="DP135" s="48" t="n">
        <f aca="false">DP59+DP66+DP79+DP58+DP109</f>
        <v>2110.4887602241</v>
      </c>
      <c r="DQ135" s="48" t="n">
        <f aca="false">DQ59+DQ66+DQ79+DQ58+DQ109</f>
        <v>2133.68094440239</v>
      </c>
      <c r="DR135" s="48" t="n">
        <f aca="false">DR59+DR66+DR79+DR58+DR109</f>
        <v>2125.28698314533</v>
      </c>
      <c r="DS135" s="48" t="n">
        <f aca="false">DS59+DS66+DS79+DS58+DS109</f>
        <v>2087.02962566063</v>
      </c>
      <c r="DT135" s="48" t="n">
        <f aca="false">DT59+DT66+DT79+DT58+DT109</f>
        <v>2110.21884372353</v>
      </c>
      <c r="DU135" s="48" t="n">
        <f aca="false">DU59+DU66+DU79+DU58+DU109</f>
        <v>2133.40806178642</v>
      </c>
      <c r="DV135" s="48" t="n">
        <f aca="false">DV59+DV66+DV79+DV58+DV109</f>
        <v>2124.96509621661</v>
      </c>
      <c r="DW135" s="48" t="n">
        <f aca="false">DW59+DW66+DW79+DW58+DW109</f>
        <v>2109.56134446918</v>
      </c>
      <c r="DX135" s="48" t="n">
        <f aca="false">DX59+DX66+DX79+DX58+DX109</f>
        <v>2109.56134446918</v>
      </c>
      <c r="DY135" s="48" t="n">
        <f aca="false">DY59+DY66+DY79+DY58+DY109</f>
        <v>2132.74333726555</v>
      </c>
      <c r="DZ135" s="48" t="n">
        <f aca="false">DZ59+DZ66+DZ79+DZ58+DZ109</f>
        <v>2124.25129733469</v>
      </c>
      <c r="EA135" s="48" t="n">
        <f aca="false">EA59+EA66+EA79+EA58+EA109</f>
        <v>2085.33387980802</v>
      </c>
      <c r="EB135" s="48" t="n">
        <f aca="false">EB59+EB66+EB79+EB58+EB109</f>
        <v>2108.50425625033</v>
      </c>
      <c r="EC135" s="48" t="n">
        <f aca="false">EC59+EC66+EC79+EC58+EC109</f>
        <v>2131.67463269264</v>
      </c>
      <c r="ED135" s="48" t="n">
        <f aca="false">ED59+ED66+ED79+ED58+ED109</f>
        <v>2123.13345362752</v>
      </c>
      <c r="EE135" s="48" t="n">
        <f aca="false">EE59+EE66+EE79+EE58+EE109</f>
        <v>2083.88102855902</v>
      </c>
      <c r="EF135" s="48" t="n">
        <f aca="false">EF59+EF66+EF79+EF58+EF109</f>
        <v>2107.03526220968</v>
      </c>
      <c r="EG135" s="48" t="n">
        <f aca="false">EG59+EG66+EG79+EG58+EG109</f>
        <v>2130.18949586034</v>
      </c>
      <c r="EH135" s="48" t="n">
        <f aca="false">EH59+EH66+EH79+EH58+EH109</f>
        <v>2121.59911832654</v>
      </c>
      <c r="EI135" s="48" t="n">
        <f aca="false">EI59+EI66+EI79+EI58+EI109</f>
        <v>2082.00830156043</v>
      </c>
      <c r="EJ135" s="48" t="n">
        <f aca="false">EJ59+EJ66+EJ79+EJ58+EJ109</f>
        <v>2105.14172713332</v>
      </c>
      <c r="EK135" s="48" t="n">
        <f aca="false">EK59+EK66+EK79+EK58+EK109</f>
        <v>2128.27515270622</v>
      </c>
      <c r="EL135" s="48" t="n">
        <f aca="false">EL59+EL66+EL79+EL58+EL109</f>
        <v>2119.63552297573</v>
      </c>
      <c r="EM135" s="48" t="n">
        <f aca="false">EM59+EM66+EM79+EM58+EM109</f>
        <v>2102.81068955117</v>
      </c>
      <c r="EN135" s="48" t="n">
        <f aca="false">EN59+EN66+EN79+EN58+EN109</f>
        <v>2102.81068955117</v>
      </c>
      <c r="EO135" s="48" t="n">
        <f aca="false">EO59+EO66+EO79+EO58+EO109</f>
        <v>2125.91849932646</v>
      </c>
    </row>
    <row r="136" customFormat="false" ht="15" hidden="false" customHeight="false" outlineLevel="0" collapsed="false">
      <c r="C136" s="26" t="s">
        <v>91</v>
      </c>
      <c r="D136" s="12" t="s">
        <v>27</v>
      </c>
      <c r="E136" s="34" t="n">
        <f aca="false">XIRR($J135:$EO135,$J$4:$EO$4)</f>
        <v>0.0949295483894887</v>
      </c>
    </row>
    <row r="137" customFormat="false" ht="15" hidden="false" customHeight="false" outlineLevel="0" collapsed="false">
      <c r="C137" s="26" t="s">
        <v>463</v>
      </c>
      <c r="D137" s="12" t="s">
        <v>33</v>
      </c>
      <c r="I137" s="57" t="n">
        <f aca="false">SUM(J137:EO137)</f>
        <v>148354.918341456</v>
      </c>
      <c r="J137" s="57" t="n">
        <f aca="false">J59+J66+J92+J96+J97+J79+J90+J98+J58+J109</f>
        <v>-4662.80993807469</v>
      </c>
      <c r="K137" s="57" t="n">
        <f aca="false">K59+K66+K92+K96+K97+K79+K90+K98+K58+K109</f>
        <v>-706.535577057768</v>
      </c>
      <c r="L137" s="57" t="n">
        <f aca="false">L59+L66+L92+L96+L97+L79+L90+L98+L58+L109</f>
        <v>-104.360496659404</v>
      </c>
      <c r="M137" s="57" t="n">
        <f aca="false">M59+M66+M92+M96+M97+M79+M90+M98+M58+M109</f>
        <v>-105.507315304013</v>
      </c>
      <c r="N137" s="57" t="n">
        <f aca="false">N59+N66+N92+N96+N97+N79+N90+N98+N58+N109</f>
        <v>-105.507315304013</v>
      </c>
      <c r="O137" s="57" t="n">
        <f aca="false">O59+O66+O92+O96+O97+O79+O90+O98+O58+O109</f>
        <v>-104.360496659404</v>
      </c>
      <c r="P137" s="57" t="n">
        <f aca="false">P59+P66+P92+P96+P97+P79+P90+P98+P58+P109</f>
        <v>-104.360496659404</v>
      </c>
      <c r="Q137" s="57" t="n">
        <f aca="false">Q59+Q66+Q92+Q96+Q97+Q79+Q90+Q98+Q58+Q109</f>
        <v>-105.507315304013</v>
      </c>
      <c r="R137" s="57" t="n">
        <f aca="false">R59+R66+R92+R96+R97+R79+R90+R98+R58+R109</f>
        <v>-3524.63966920373</v>
      </c>
      <c r="S137" s="57" t="n">
        <f aca="false">S59+S66+S92+S96+S97+S79+S90+S98+S58+S109</f>
        <v>-4957.59325787887</v>
      </c>
      <c r="T137" s="57" t="n">
        <f aca="false">T59+T66+T92+T96+T97+T79+T90+T98+T58+T109</f>
        <v>-2514.01706566111</v>
      </c>
      <c r="U137" s="57" t="n">
        <f aca="false">U59+U66+U92+U96+U97+U79+U90+U98+U58+U109</f>
        <v>-2529.14980718064</v>
      </c>
      <c r="V137" s="57" t="n">
        <f aca="false">V59+V66+V92+V96+V97+V79+V90+V98+V58+V109</f>
        <v>-2516.51869281772</v>
      </c>
      <c r="W137" s="57" t="n">
        <f aca="false">W59+W66+W92+W96+W97+W79+W90+W98+W58+W109</f>
        <v>-2450.49717096547</v>
      </c>
      <c r="X137" s="57" t="n">
        <f aca="false">X59+X66+X92+X96+X97+X79+X90+X98+X58+X109</f>
        <v>-2465.50270244277</v>
      </c>
      <c r="Y137" s="57" t="n">
        <f aca="false">Y59+Y66+Y92+Y96+Y97+Y79+Y90+Y98+Y58+Y109</f>
        <v>-4365.5744219097</v>
      </c>
      <c r="Z137" s="57" t="n">
        <f aca="false">Z59+Z66+Z92+Z96+Z97+Z79+Z90+Z98+Z58+Z109</f>
        <v>1052.5212223486</v>
      </c>
      <c r="AA137" s="57" t="n">
        <f aca="false">AA59+AA66+AA92+AA96+AA97+AA79+AA90+AA98+AA58+AA109</f>
        <v>1036.46967586843</v>
      </c>
      <c r="AB137" s="57" t="n">
        <f aca="false">AB59+AB66+AB92+AB96+AB97+AB79+AB90+AB98+AB58+AB109</f>
        <v>1047.70359180075</v>
      </c>
      <c r="AC137" s="57" t="n">
        <f aca="false">AC59+AC66+AC92+AC96+AC97+AC79+AC90+AC98+AC58+AC109</f>
        <v>1058.93271272483</v>
      </c>
      <c r="AD137" s="57" t="n">
        <f aca="false">AD59+AD66+AD92+AD96+AD97+AD79+AD90+AD98+AD58+AD109</f>
        <v>1055.11847099033</v>
      </c>
      <c r="AE137" s="57" t="n">
        <f aca="false">AE59+AE66+AE92+AE96+AE97+AE79+AE90+AE98+AE58+AE109</f>
        <v>1050.31578528232</v>
      </c>
      <c r="AF137" s="57" t="n">
        <f aca="false">AF59+AF66+AF92+AF96+AF97+AF79+AF90+AF98+AF58+AF109</f>
        <v>1050.18411816537</v>
      </c>
      <c r="AG137" s="57" t="n">
        <f aca="false">AG59+AG66+AG92+AG96+AG97+AG79+AG90+AG98+AG58+AG109</f>
        <v>1061.43898773907</v>
      </c>
      <c r="AH137" s="57" t="n">
        <f aca="false">AH59+AH66+AH92+AH96+AH97+AH79+AH90+AH98+AH58+AH109</f>
        <v>1052.82992353901</v>
      </c>
      <c r="AI137" s="57" t="n">
        <f aca="false">AI59+AI66+AI92+AI96+AI97+AI79+AI90+AI98+AI58+AI109</f>
        <v>1029.17572190408</v>
      </c>
      <c r="AJ137" s="57" t="n">
        <f aca="false">AJ59+AJ66+AJ92+AJ96+AJ97+AJ79+AJ90+AJ98+AJ58+AJ109</f>
        <v>1054.56133994644</v>
      </c>
      <c r="AK137" s="57" t="n">
        <f aca="false">AK59+AK66+AK92+AK96+AK97+AK79+AK90+AK98+AK58+AK109</f>
        <v>1065.57450460527</v>
      </c>
      <c r="AL137" s="57" t="n">
        <f aca="false">AL59+AL66+AL92+AL96+AL97+AL79+AL90+AL98+AL58+AL109</f>
        <v>1061.72754772968</v>
      </c>
      <c r="AM137" s="57" t="n">
        <f aca="false">AM59+AM66+AM92+AM96+AM97+AM79+AM90+AM98+AM58+AM109</f>
        <v>1045.04779780292</v>
      </c>
      <c r="AN137" s="57" t="n">
        <f aca="false">AN59+AN66+AN92+AN96+AN97+AN79+AN90+AN98+AN58+AN109</f>
        <v>1056.08511228644</v>
      </c>
      <c r="AO137" s="57" t="n">
        <f aca="false">AO59+AO66+AO92+AO96+AO97+AO79+AO90+AO98+AO58+AO109</f>
        <v>1067.11238358401</v>
      </c>
      <c r="AP137" s="57" t="n">
        <f aca="false">AP59+AP66+AP92+AP96+AP97+AP79+AP90+AP98+AP58+AP109</f>
        <v>1063.22747119605</v>
      </c>
      <c r="AQ137" s="57" t="n">
        <f aca="false">AQ59+AQ66+AQ92+AQ96+AQ97+AQ79+AQ90+AQ98+AQ58+AQ109</f>
        <v>1046.40253476795</v>
      </c>
      <c r="AR137" s="57" t="n">
        <f aca="false">AR59+AR66+AR92+AR96+AR97+AR79+AR90+AR98+AR58+AR109</f>
        <v>1057.45243897974</v>
      </c>
      <c r="AS137" s="57" t="n">
        <f aca="false">AS59+AS66+AS92+AS96+AS97+AS79+AS90+AS98+AS58+AS109</f>
        <v>1068.49209467159</v>
      </c>
      <c r="AT137" s="57" t="n">
        <f aca="false">AT59+AT66+AT92+AT96+AT97+AT79+AT90+AT98+AT58+AT109</f>
        <v>1064.56845783065</v>
      </c>
      <c r="AU137" s="57" t="n">
        <f aca="false">AU59+AU66+AU92+AU96+AU97+AU79+AU90+AU98+AU58+AU109</f>
        <v>1058.9774970348</v>
      </c>
      <c r="AV137" s="57" t="n">
        <f aca="false">AV59+AV66+AV92+AV96+AV97+AV79+AV90+AV98+AV58+AV109</f>
        <v>1058.6505161923</v>
      </c>
      <c r="AW137" s="57" t="n">
        <f aca="false">AW59+AW66+AW92+AW96+AW97+AW79+AW90+AW98+AW58+AW109</f>
        <v>1069.70068652881</v>
      </c>
      <c r="AX137" s="57" t="n">
        <f aca="false">AX59+AX66+AX92+AX96+AX97+AX79+AX90+AX98+AX58+AX109</f>
        <v>1065.73744560067</v>
      </c>
      <c r="AY137" s="57" t="n">
        <f aca="false">AY59+AY66+AY92+AY96+AY97+AY79+AY90+AY98+AY58+AY109</f>
        <v>1048.61635094068</v>
      </c>
      <c r="AZ137" s="57" t="n">
        <f aca="false">AZ59+AZ66+AZ92+AZ96+AZ97+AZ79+AZ90+AZ98+AZ58+AZ109</f>
        <v>1059.68593405784</v>
      </c>
      <c r="BA137" s="57" t="n">
        <f aca="false">BA59+BA66+BA92+BA96+BA97+BA79+BA90+BA98+BA58+BA109</f>
        <v>1070.74483302088</v>
      </c>
      <c r="BB137" s="57" t="n">
        <f aca="false">BB59+BB66+BB92+BB96+BB97+BB79+BB90+BB98+BB58+BB109</f>
        <v>1066.74123270937</v>
      </c>
      <c r="BC137" s="57" t="n">
        <f aca="false">BC59+BC66+BC92+BC96+BC97+BC79+BC90+BC98+BC58+BC109</f>
        <v>1049.46914579203</v>
      </c>
      <c r="BD137" s="57" t="n">
        <f aca="false">BD59+BD66+BD92+BD96+BD97+BD79+BD90+BD98+BD58+BD109</f>
        <v>1060.54575278507</v>
      </c>
      <c r="BE137" s="57" t="n">
        <f aca="false">BE59+BE66+BE92+BE96+BE97+BE79+BE90+BE98+BE58+BE109</f>
        <v>1071.61144550408</v>
      </c>
      <c r="BF137" s="57" t="n">
        <f aca="false">BF59+BF66+BF92+BF96+BF97+BF79+BF90+BF98+BF58+BF109</f>
        <v>1067.56662056116</v>
      </c>
      <c r="BG137" s="57" t="n">
        <f aca="false">BG59+BG66+BG92+BG96+BG97+BG79+BG90+BG98+BG58+BG109</f>
        <v>1050.14150650978</v>
      </c>
      <c r="BH137" s="57" t="n">
        <f aca="false">BH59+BH66+BH92+BH96+BH97+BH79+BH90+BH98+BH58+BH109</f>
        <v>1061.22313554987</v>
      </c>
      <c r="BI137" s="57" t="n">
        <f aca="false">BI59+BI66+BI92+BI96+BI97+BI79+BI90+BI98+BI58+BI109</f>
        <v>1072.29361116743</v>
      </c>
      <c r="BJ137" s="57" t="n">
        <f aca="false">BJ59+BJ66+BJ92+BJ96+BJ97+BJ79+BJ90+BJ98+BJ58+BJ109</f>
        <v>1068.20666121914</v>
      </c>
      <c r="BK137" s="57" t="n">
        <f aca="false">BK59+BK66+BK92+BK96+BK97+BK79+BK90+BK98+BK58+BK109</f>
        <v>1062.10544787863</v>
      </c>
      <c r="BL137" s="57" t="n">
        <f aca="false">BL59+BL66+BL92+BL96+BL97+BL79+BL90+BL98+BL58+BL109</f>
        <v>1061.70430077845</v>
      </c>
      <c r="BM137" s="57" t="n">
        <f aca="false">BM59+BM66+BM92+BM96+BM97+BM79+BM90+BM98+BM58+BM109</f>
        <v>1072.77738984053</v>
      </c>
      <c r="BN137" s="57" t="n">
        <f aca="false">BN59+BN66+BN92+BN96+BN97+BN79+BN90+BN98+BN58+BN109</f>
        <v>1068.64729691216</v>
      </c>
      <c r="BO137" s="57" t="n">
        <f aca="false">BO59+BO66+BO92+BO96+BO97+BO79+BO90+BO98+BO58+BO109</f>
        <v>1050.90972582538</v>
      </c>
      <c r="BP137" s="57" t="n">
        <f aca="false">BP59+BP66+BP92+BP96+BP97+BP79+BP90+BP98+BP58+BP109</f>
        <v>1061.994994624</v>
      </c>
      <c r="BQ137" s="57" t="n">
        <f aca="false">BQ59+BQ66+BQ92+BQ96+BQ97+BQ79+BQ90+BQ98+BQ58+BQ109</f>
        <v>1073.06860192442</v>
      </c>
      <c r="BR137" s="57" t="n">
        <f aca="false">BR59+BR66+BR92+BR96+BR97+BR79+BR90+BR98+BR58+BR109</f>
        <v>1068.89446720687</v>
      </c>
      <c r="BS137" s="57" t="n">
        <f aca="false">BS59+BS66+BS92+BS96+BS97+BS79+BS90+BS98+BS58+BS109</f>
        <v>1050.99743063955</v>
      </c>
      <c r="BT137" s="57" t="n">
        <f aca="false">BT59+BT66+BT92+BT96+BT97+BT79+BT90+BT98+BT58+BT109</f>
        <v>1062.08123062758</v>
      </c>
      <c r="BU137" s="57" t="n">
        <f aca="false">BU59+BU66+BU92+BU96+BU97+BU79+BU90+BU98+BU58+BU109</f>
        <v>1073.15310022314</v>
      </c>
      <c r="BV137" s="57" t="n">
        <f aca="false">BV59+BV66+BV92+BV96+BV97+BV79+BV90+BV98+BV58+BV109</f>
        <v>1068.93390746381</v>
      </c>
      <c r="BW137" s="57" t="n">
        <f aca="false">BW59+BW66+BW92+BW96+BW97+BW79+BW90+BW98+BW58+BW109</f>
        <v>1050.87514339341</v>
      </c>
      <c r="BX137" s="57" t="n">
        <f aca="false">BX59+BX66+BX92+BX96+BX97+BX79+BX90+BX98+BX58+BX109</f>
        <v>1061.95514181102</v>
      </c>
      <c r="BY137" s="57" t="n">
        <f aca="false">BY59+BY66+BY92+BY96+BY97+BY79+BY90+BY98+BY58+BY109</f>
        <v>1073.02293009855</v>
      </c>
      <c r="BZ137" s="57" t="n">
        <f aca="false">BZ59+BZ66+BZ92+BZ96+BZ97+BZ79+BZ90+BZ98+BZ58+BZ109</f>
        <v>1068.75762075428</v>
      </c>
      <c r="CA137" s="57" t="n">
        <f aca="false">CA59+CA66+CA92+CA96+CA97+CA79+CA90+CA98+CA58+CA109</f>
        <v>1062.09146412268</v>
      </c>
      <c r="CB137" s="57" t="n">
        <f aca="false">CB59+CB66+CB92+CB96+CB97+CB79+CB90+CB98+CB58+CB109</f>
        <v>1061.60183149017</v>
      </c>
      <c r="CC137" s="57" t="n">
        <f aca="false">CC59+CC66+CC92+CC96+CC97+CC79+CC90+CC98+CC58+CC109</f>
        <v>1072.6630235994</v>
      </c>
      <c r="CD137" s="57" t="n">
        <f aca="false">CD59+CD66+CD92+CD96+CD97+CD79+CD90+CD98+CD58+CD109</f>
        <v>1068.35041346821</v>
      </c>
      <c r="CE137" s="57" t="n">
        <f aca="false">CE59+CE66+CE92+CE96+CE97+CE79+CE90+CE98+CE58+CE109</f>
        <v>1049.96107426605</v>
      </c>
      <c r="CF137" s="57" t="n">
        <f aca="false">CF59+CF66+CF92+CF96+CF97+CF79+CF90+CF98+CF58+CF109</f>
        <v>1061.02602321053</v>
      </c>
      <c r="CG137" s="57" t="n">
        <f aca="false">CG59+CG66+CG92+CG96+CG97+CG79+CG90+CG98+CG58+CG109</f>
        <v>1072.07816696622</v>
      </c>
      <c r="CH137" s="57" t="n">
        <f aca="false">CH59+CH66+CH92+CH96+CH97+CH79+CH90+CH98+CH58+CH109</f>
        <v>1067.71718420335</v>
      </c>
      <c r="CI137" s="57" t="n">
        <f aca="false">CI59+CI66+CI92+CI96+CI97+CI79+CI90+CI98+CI58+CI109</f>
        <v>1049.15894365596</v>
      </c>
      <c r="CJ137" s="57" t="n">
        <f aca="false">CJ59+CJ66+CJ92+CJ96+CJ97+CJ79+CJ90+CJ98+CJ58+CJ109</f>
        <v>1060.21253318511</v>
      </c>
      <c r="CK137" s="57" t="n">
        <f aca="false">CK59+CK66+CK92+CK96+CK97+CK79+CK90+CK98+CK58+CK109</f>
        <v>1071.253002056</v>
      </c>
      <c r="CL137" s="57" t="n">
        <f aca="false">CL59+CL66+CL92+CL96+CL97+CL79+CL90+CL98+CL58+CL109</f>
        <v>1066.84244859546</v>
      </c>
      <c r="CM137" s="57" t="n">
        <f aca="false">CM59+CM66+CM92+CM96+CM97+CM79+CM90+CM98+CM58+CM109</f>
        <v>1048.11278016933</v>
      </c>
      <c r="CN137" s="57" t="n">
        <f aca="false">CN59+CN66+CN92+CN96+CN97+CN79+CN90+CN98+CN58+CN109</f>
        <v>1059.15229550377</v>
      </c>
      <c r="CO137" s="57" t="n">
        <f aca="false">CO59+CO66+CO92+CO96+CO97+CO79+CO90+CO98+CO58+CO109</f>
        <v>1070.17836167659</v>
      </c>
      <c r="CP137" s="57" t="n">
        <f aca="false">CP59+CP66+CP92+CP96+CP97+CP79+CP90+CP98+CP58+CP109</f>
        <v>1065.71698850569</v>
      </c>
      <c r="CQ137" s="57" t="n">
        <f aca="false">CQ59+CQ66+CQ92+CQ96+CQ97+CQ79+CQ90+CQ98+CQ58+CQ109</f>
        <v>1058.4243970233</v>
      </c>
      <c r="CR137" s="57" t="n">
        <f aca="false">CR59+CR66+CR92+CR96+CR97+CR79+CR90+CR98+CR58+CR109</f>
        <v>1057.82913603389</v>
      </c>
      <c r="CS137" s="57" t="n">
        <f aca="false">CS59+CS66+CS92+CS96+CS97+CS79+CS90+CS98+CS58+CS109</f>
        <v>2204.30998870515</v>
      </c>
      <c r="CT137" s="57" t="n">
        <f aca="false">CT59+CT66+CT92+CT96+CT97+CT79+CT90+CT98+CT58+CT109</f>
        <v>2212.52971834289</v>
      </c>
      <c r="CU137" s="57" t="n">
        <f aca="false">CU59+CU66+CU92+CU96+CU97+CU79+CU90+CU98+CU58+CU109</f>
        <v>2174.15672572376</v>
      </c>
      <c r="CV137" s="57" t="n">
        <f aca="false">CV59+CV66+CV92+CV96+CV97+CV79+CV90+CV98+CV58+CV109</f>
        <v>2198.31402267624</v>
      </c>
      <c r="CW137" s="57" t="n">
        <f aca="false">CW59+CW66+CW92+CW96+CW97+CW79+CW90+CW98+CW58+CW109</f>
        <v>2222.47131962873</v>
      </c>
      <c r="CX137" s="57" t="n">
        <f aca="false">CX59+CX66+CX92+CX96+CX97+CX79+CX90+CX98+CX58+CX109</f>
        <v>2214.32115556524</v>
      </c>
      <c r="CY137" s="57" t="n">
        <f aca="false">CY59+CY66+CY92+CY96+CY97+CY79+CY90+CY98+CY58+CY109</f>
        <v>2175.63852130436</v>
      </c>
      <c r="CZ137" s="57" t="n">
        <f aca="false">CZ59+CZ66+CZ92+CZ96+CZ97+CZ79+CZ90+CZ98+CZ58+CZ109</f>
        <v>2199.81228265219</v>
      </c>
      <c r="DA137" s="57" t="n">
        <f aca="false">DA59+DA66+DA92+DA96+DA97+DA79+DA90+DA98+DA58+DA109</f>
        <v>2223.98604400001</v>
      </c>
      <c r="DB137" s="57" t="n">
        <f aca="false">DB59+DB66+DB92+DB96+DB97+DB79+DB90+DB98+DB58+DB109</f>
        <v>2122.88750313241</v>
      </c>
      <c r="DC137" s="57" t="n">
        <f aca="false">DC59+DC66+DC92+DC96+DC97+DC79+DC90+DC98+DC58+DC109</f>
        <v>2085.91177487943</v>
      </c>
      <c r="DD137" s="57" t="n">
        <f aca="false">DD59+DD66+DD92+DD96+DD97+DD79+DD90+DD98+DD58+DD109</f>
        <v>2109.08857237809</v>
      </c>
      <c r="DE137" s="57" t="n">
        <f aca="false">DE59+DE66+DE92+DE96+DE97+DE79+DE90+DE98+DE58+DE109</f>
        <v>2132.26536987675</v>
      </c>
      <c r="DF137" s="57" t="n">
        <f aca="false">DF59+DF66+DF92+DF96+DF97+DF79+DF90+DF98+DF58+DF109</f>
        <v>2124.01795089271</v>
      </c>
      <c r="DG137" s="57" t="n">
        <f aca="false">DG59+DG66+DG92+DG96+DG97+DG79+DG90+DG98+DG58+DG109</f>
        <v>2109.91236154365</v>
      </c>
      <c r="DH137" s="57" t="n">
        <f aca="false">DH59+DH66+DH92+DH96+DH97+DH79+DH90+DH98+DH58+DH109</f>
        <v>2109.91236154365</v>
      </c>
      <c r="DI137" s="57" t="n">
        <f aca="false">DI59+DI66+DI92+DI96+DI97+DI79+DI90+DI98+DI58+DI109</f>
        <v>2133.09821167051</v>
      </c>
      <c r="DJ137" s="57" t="n">
        <f aca="false">DJ59+DJ66+DJ92+DJ96+DJ97+DJ79+DJ90+DJ98+DJ58+DJ109</f>
        <v>2124.80202858923</v>
      </c>
      <c r="DK137" s="57" t="n">
        <f aca="false">DK59+DK66+DK92+DK96+DK97+DK79+DK90+DK98+DK58+DK109</f>
        <v>2087.19177731218</v>
      </c>
      <c r="DL137" s="57" t="n">
        <f aca="false">DL59+DL66+DL92+DL96+DL97+DL79+DL90+DL98+DL58+DL109</f>
        <v>2110.3827970601</v>
      </c>
      <c r="DM137" s="57" t="n">
        <f aca="false">DM59+DM66+DM92+DM96+DM97+DM79+DM90+DM98+DM58+DM109</f>
        <v>2133.57381680801</v>
      </c>
      <c r="DN137" s="57" t="n">
        <f aca="false">DN59+DN66+DN92+DN96+DN97+DN79+DN90+DN98+DN58+DN109</f>
        <v>2125.22878470017</v>
      </c>
      <c r="DO137" s="57" t="n">
        <f aca="false">DO59+DO66+DO92+DO96+DO97+DO79+DO90+DO98+DO58+DO109</f>
        <v>2087.29657604581</v>
      </c>
      <c r="DP137" s="57" t="n">
        <f aca="false">DP59+DP66+DP92+DP96+DP97+DP79+DP90+DP98+DP58+DP109</f>
        <v>2110.4887602241</v>
      </c>
      <c r="DQ137" s="57" t="n">
        <f aca="false">DQ59+DQ66+DQ92+DQ96+DQ97+DQ79+DQ90+DQ98+DQ58+DQ109</f>
        <v>2133.68094440239</v>
      </c>
      <c r="DR137" s="57" t="n">
        <f aca="false">DR59+DR66+DR92+DR96+DR97+DR79+DR90+DR98+DR58+DR109</f>
        <v>2125.28698314533</v>
      </c>
      <c r="DS137" s="57" t="n">
        <f aca="false">DS59+DS66+DS92+DS96+DS97+DS79+DS90+DS98+DS58+DS109</f>
        <v>2087.02962566063</v>
      </c>
      <c r="DT137" s="57" t="n">
        <f aca="false">DT59+DT66+DT92+DT96+DT97+DT79+DT90+DT98+DT58+DT109</f>
        <v>2110.21884372353</v>
      </c>
      <c r="DU137" s="57" t="n">
        <f aca="false">DU59+DU66+DU92+DU96+DU97+DU79+DU90+DU98+DU58+DU109</f>
        <v>2133.40806178642</v>
      </c>
      <c r="DV137" s="57" t="n">
        <f aca="false">DV59+DV66+DV92+DV96+DV97+DV79+DV90+DV98+DV58+DV109</f>
        <v>2124.96509621661</v>
      </c>
      <c r="DW137" s="57" t="n">
        <f aca="false">DW59+DW66+DW92+DW96+DW97+DW79+DW90+DW98+DW58+DW109</f>
        <v>2109.56134446918</v>
      </c>
      <c r="DX137" s="57" t="n">
        <f aca="false">DX59+DX66+DX92+DX96+DX97+DX79+DX90+DX98+DX58+DX109</f>
        <v>2109.56134446918</v>
      </c>
      <c r="DY137" s="57" t="n">
        <f aca="false">DY59+DY66+DY92+DY96+DY97+DY79+DY90+DY98+DY58+DY109</f>
        <v>2132.74333726555</v>
      </c>
      <c r="DZ137" s="57" t="n">
        <f aca="false">DZ59+DZ66+DZ92+DZ96+DZ97+DZ79+DZ90+DZ98+DZ58+DZ109</f>
        <v>2124.25129733469</v>
      </c>
      <c r="EA137" s="57" t="n">
        <f aca="false">EA59+EA66+EA92+EA96+EA97+EA79+EA90+EA98+EA58+EA109</f>
        <v>2085.33387980802</v>
      </c>
      <c r="EB137" s="57" t="n">
        <f aca="false">EB59+EB66+EB92+EB96+EB97+EB79+EB90+EB98+EB58+EB109</f>
        <v>2108.50425625033</v>
      </c>
      <c r="EC137" s="57" t="n">
        <f aca="false">EC59+EC66+EC92+EC96+EC97+EC79+EC90+EC98+EC58+EC109</f>
        <v>2131.67463269264</v>
      </c>
      <c r="ED137" s="57" t="n">
        <f aca="false">ED59+ED66+ED92+ED96+ED97+ED79+ED90+ED98+ED58+ED109</f>
        <v>2123.13345362752</v>
      </c>
      <c r="EE137" s="57" t="n">
        <f aca="false">EE59+EE66+EE92+EE96+EE97+EE79+EE90+EE98+EE58+EE109</f>
        <v>2083.88102855902</v>
      </c>
      <c r="EF137" s="57" t="n">
        <f aca="false">EF59+EF66+EF92+EF96+EF97+EF79+EF90+EF98+EF58+EF109</f>
        <v>2107.03526220968</v>
      </c>
      <c r="EG137" s="57" t="n">
        <f aca="false">EG59+EG66+EG92+EG96+EG97+EG79+EG90+EG98+EG58+EG109</f>
        <v>2130.18949586034</v>
      </c>
      <c r="EH137" s="57" t="n">
        <f aca="false">EH59+EH66+EH92+EH96+EH97+EH79+EH90+EH98+EH58+EH109</f>
        <v>2121.59911832654</v>
      </c>
      <c r="EI137" s="57" t="n">
        <f aca="false">EI59+EI66+EI92+EI96+EI97+EI79+EI90+EI98+EI58+EI109</f>
        <v>2082.00830156043</v>
      </c>
      <c r="EJ137" s="57" t="n">
        <f aca="false">EJ59+EJ66+EJ92+EJ96+EJ97+EJ79+EJ90+EJ98+EJ58+EJ109</f>
        <v>2105.14172713332</v>
      </c>
      <c r="EK137" s="57" t="n">
        <f aca="false">EK59+EK66+EK92+EK96+EK97+EK79+EK90+EK98+EK58+EK109</f>
        <v>2128.27515270622</v>
      </c>
      <c r="EL137" s="57" t="n">
        <f aca="false">EL59+EL66+EL92+EL96+EL97+EL79+EL90+EL98+EL58+EL109</f>
        <v>2119.63552297573</v>
      </c>
      <c r="EM137" s="57" t="n">
        <f aca="false">EM59+EM66+EM92+EM96+EM97+EM79+EM90+EM98+EM58+EM109</f>
        <v>2102.81068955117</v>
      </c>
      <c r="EN137" s="57" t="n">
        <f aca="false">EN59+EN66+EN92+EN96+EN97+EN79+EN90+EN98+EN58+EN109</f>
        <v>2102.81068955117</v>
      </c>
      <c r="EO137" s="57" t="n">
        <f aca="false">EO59+EO66+EO92+EO96+EO97+EO79+EO90+EO98+EO58+EO109</f>
        <v>2125.91849932646</v>
      </c>
    </row>
    <row r="138" customFormat="false" ht="15" hidden="false" customHeight="false" outlineLevel="0" collapsed="false">
      <c r="C138" s="26" t="s">
        <v>88</v>
      </c>
      <c r="D138" s="12" t="s">
        <v>27</v>
      </c>
      <c r="E138" s="34" t="n">
        <f aca="false">XIRR($J137:$EO137,$J$4:$EO$4)</f>
        <v>0.12592370397166</v>
      </c>
    </row>
    <row r="139" customFormat="false" ht="15" hidden="false" customHeight="false" outlineLevel="0" collapsed="false">
      <c r="C139" s="26" t="s">
        <v>89</v>
      </c>
      <c r="D139" s="12" t="s">
        <v>13</v>
      </c>
      <c r="E139" s="60" t="n">
        <f aca="false">SUMIF($J137:$EO137,"&gt;0")/-SUMIF($J137:$EO137,"&lt;0")</f>
        <v>5.73637782064561</v>
      </c>
    </row>
    <row r="140" customFormat="false" ht="15" hidden="false" customHeight="false" outlineLevel="0" collapsed="false">
      <c r="C140" s="26" t="s">
        <v>90</v>
      </c>
      <c r="D140" s="12" t="s">
        <v>33</v>
      </c>
      <c r="E140" s="57" t="n">
        <f aca="false">XNPV(In_Discount_Rate,$J137:$EO137,$J$4:$EO$4)</f>
        <v>16928.9551785453</v>
      </c>
    </row>
    <row r="142" customFormat="false" ht="15" hidden="false" customHeight="false" outlineLevel="0" collapsed="false">
      <c r="C142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365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464</v>
      </c>
      <c r="F9" s="9" t="s">
        <v>465</v>
      </c>
    </row>
    <row r="11" customFormat="false" ht="15" hidden="false" customHeight="false" outlineLevel="0" collapsed="false">
      <c r="A11" s="10" t="s">
        <v>13</v>
      </c>
      <c r="B11" s="10"/>
      <c r="C11" s="10" t="s">
        <v>466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467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468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469</v>
      </c>
      <c r="D14" s="12" t="s">
        <v>43</v>
      </c>
      <c r="E14" s="28" t="str">
        <f aca="false">IF(F14=0,"OK","CHECK")</f>
        <v>OK</v>
      </c>
      <c r="F14" s="50" t="n">
        <f aca="false">N(Calc_1!$E41+Calc_1!$F41&gt;0)</f>
        <v>0</v>
      </c>
    </row>
    <row r="15" customFormat="false" ht="15" hidden="false" customHeight="false" outlineLevel="0" collapsed="false">
      <c r="C15" s="1" t="s">
        <v>470</v>
      </c>
      <c r="D15" s="12" t="s">
        <v>43</v>
      </c>
      <c r="E15" s="28" t="str">
        <f aca="false">IF(F15=0,"OK","CHECK")</f>
        <v>OK</v>
      </c>
      <c r="F15" s="50" t="n">
        <f aca="false">N(Calc_2!$E41+Calc_2!$F41&gt;0)</f>
        <v>0</v>
      </c>
    </row>
    <row r="16" customFormat="false" ht="15" hidden="false" customHeight="false" outlineLevel="0" collapsed="false">
      <c r="C16" s="1" t="s">
        <v>471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472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473</v>
      </c>
      <c r="D18" s="12" t="s">
        <v>43</v>
      </c>
      <c r="E18" s="28" t="str">
        <f aca="false">IF(F18=0,"OK","CHECK")</f>
        <v>OK</v>
      </c>
      <c r="F18" s="50" t="n">
        <f aca="false">N(Calc_1!$F86&gt;1+Tolerance)</f>
        <v>0</v>
      </c>
    </row>
    <row r="19" customFormat="false" ht="15" hidden="false" customHeight="false" outlineLevel="0" collapsed="false">
      <c r="C19" s="1" t="s">
        <v>474</v>
      </c>
      <c r="D19" s="12" t="s">
        <v>43</v>
      </c>
      <c r="E19" s="28" t="str">
        <f aca="false">IF(F19=0,"OK","CHECK")</f>
        <v>OK</v>
      </c>
      <c r="F19" s="50" t="n">
        <f aca="false">N(Calc_2!$F86&gt;1+Tolerance)</f>
        <v>0</v>
      </c>
    </row>
    <row r="20" customFormat="false" ht="15" hidden="false" customHeight="false" outlineLevel="0" collapsed="false">
      <c r="C20" s="1" t="s">
        <v>475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N((Calc_1!J$4&gt;=Calc_1!$F17)*ABS(Calc_1!J95)&gt;Tolerance)</f>
        <v>0</v>
      </c>
      <c r="K20" s="50" t="n">
        <f aca="false">N((Calc_1!K$4&gt;=Calc_1!$F17)*ABS(Calc_1!K95)&gt;Tolerance)</f>
        <v>0</v>
      </c>
      <c r="L20" s="50" t="n">
        <f aca="false">N((Calc_1!L$4&gt;=Calc_1!$F17)*ABS(Calc_1!L95)&gt;Tolerance)</f>
        <v>0</v>
      </c>
      <c r="M20" s="50" t="n">
        <f aca="false">N((Calc_1!M$4&gt;=Calc_1!$F17)*ABS(Calc_1!M95)&gt;Tolerance)</f>
        <v>0</v>
      </c>
      <c r="N20" s="50" t="n">
        <f aca="false">N((Calc_1!N$4&gt;=Calc_1!$F17)*ABS(Calc_1!N95)&gt;Tolerance)</f>
        <v>0</v>
      </c>
      <c r="O20" s="50" t="n">
        <f aca="false">N((Calc_1!O$4&gt;=Calc_1!$F17)*ABS(Calc_1!O95)&gt;Tolerance)</f>
        <v>0</v>
      </c>
      <c r="P20" s="50" t="n">
        <f aca="false">N((Calc_1!P$4&gt;=Calc_1!$F17)*ABS(Calc_1!P95)&gt;Tolerance)</f>
        <v>0</v>
      </c>
      <c r="Q20" s="50" t="n">
        <f aca="false">N((Calc_1!Q$4&gt;=Calc_1!$F17)*ABS(Calc_1!Q95)&gt;Tolerance)</f>
        <v>0</v>
      </c>
      <c r="R20" s="50" t="n">
        <f aca="false">N((Calc_1!R$4&gt;=Calc_1!$F17)*ABS(Calc_1!R95)&gt;Tolerance)</f>
        <v>0</v>
      </c>
      <c r="S20" s="50" t="n">
        <f aca="false">N((Calc_1!S$4&gt;=Calc_1!$F17)*ABS(Calc_1!S95)&gt;Tolerance)</f>
        <v>0</v>
      </c>
      <c r="T20" s="50" t="n">
        <f aca="false">N((Calc_1!T$4&gt;=Calc_1!$F17)*ABS(Calc_1!T95)&gt;Tolerance)</f>
        <v>0</v>
      </c>
      <c r="U20" s="50" t="n">
        <f aca="false">N((Calc_1!U$4&gt;=Calc_1!$F17)*ABS(Calc_1!U95)&gt;Tolerance)</f>
        <v>0</v>
      </c>
      <c r="V20" s="50" t="n">
        <f aca="false">N((Calc_1!V$4&gt;=Calc_1!$F17)*ABS(Calc_1!V95)&gt;Tolerance)</f>
        <v>0</v>
      </c>
      <c r="W20" s="50" t="n">
        <f aca="false">N((Calc_1!W$4&gt;=Calc_1!$F17)*ABS(Calc_1!W95)&gt;Tolerance)</f>
        <v>0</v>
      </c>
      <c r="X20" s="50" t="n">
        <f aca="false">N((Calc_1!X$4&gt;=Calc_1!$F17)*ABS(Calc_1!X95)&gt;Tolerance)</f>
        <v>0</v>
      </c>
      <c r="Y20" s="50" t="n">
        <f aca="false">N((Calc_1!Y$4&gt;=Calc_1!$F17)*ABS(Calc_1!Y95)&gt;Tolerance)</f>
        <v>0</v>
      </c>
      <c r="Z20" s="50" t="n">
        <f aca="false">N((Calc_1!Z$4&gt;=Calc_1!$F17)*ABS(Calc_1!Z95)&gt;Tolerance)</f>
        <v>0</v>
      </c>
      <c r="AA20" s="50" t="n">
        <f aca="false">N((Calc_1!AA$4&gt;=Calc_1!$F17)*ABS(Calc_1!AA95)&gt;Tolerance)</f>
        <v>0</v>
      </c>
      <c r="AB20" s="50" t="n">
        <f aca="false">N((Calc_1!AB$4&gt;=Calc_1!$F17)*ABS(Calc_1!AB95)&gt;Tolerance)</f>
        <v>0</v>
      </c>
      <c r="AC20" s="50" t="n">
        <f aca="false">N((Calc_1!AC$4&gt;=Calc_1!$F17)*ABS(Calc_1!AC95)&gt;Tolerance)</f>
        <v>0</v>
      </c>
      <c r="AD20" s="50" t="n">
        <f aca="false">N((Calc_1!AD$4&gt;=Calc_1!$F17)*ABS(Calc_1!AD95)&gt;Tolerance)</f>
        <v>0</v>
      </c>
      <c r="AE20" s="50" t="n">
        <f aca="false">N((Calc_1!AE$4&gt;=Calc_1!$F17)*ABS(Calc_1!AE95)&gt;Tolerance)</f>
        <v>0</v>
      </c>
      <c r="AF20" s="50" t="n">
        <f aca="false">N((Calc_1!AF$4&gt;=Calc_1!$F17)*ABS(Calc_1!AF95)&gt;Tolerance)</f>
        <v>0</v>
      </c>
      <c r="AG20" s="50" t="n">
        <f aca="false">N((Calc_1!AG$4&gt;=Calc_1!$F17)*ABS(Calc_1!AG95)&gt;Tolerance)</f>
        <v>0</v>
      </c>
      <c r="AH20" s="50" t="n">
        <f aca="false">N((Calc_1!AH$4&gt;=Calc_1!$F17)*ABS(Calc_1!AH95)&gt;Tolerance)</f>
        <v>0</v>
      </c>
      <c r="AI20" s="50" t="n">
        <f aca="false">N((Calc_1!AI$4&gt;=Calc_1!$F17)*ABS(Calc_1!AI95)&gt;Tolerance)</f>
        <v>0</v>
      </c>
      <c r="AJ20" s="50" t="n">
        <f aca="false">N((Calc_1!AJ$4&gt;=Calc_1!$F17)*ABS(Calc_1!AJ95)&gt;Tolerance)</f>
        <v>0</v>
      </c>
      <c r="AK20" s="50" t="n">
        <f aca="false">N((Calc_1!AK$4&gt;=Calc_1!$F17)*ABS(Calc_1!AK95)&gt;Tolerance)</f>
        <v>0</v>
      </c>
      <c r="AL20" s="50" t="n">
        <f aca="false">N((Calc_1!AL$4&gt;=Calc_1!$F17)*ABS(Calc_1!AL95)&gt;Tolerance)</f>
        <v>0</v>
      </c>
      <c r="AM20" s="50" t="n">
        <f aca="false">N((Calc_1!AM$4&gt;=Calc_1!$F17)*ABS(Calc_1!AM95)&gt;Tolerance)</f>
        <v>0</v>
      </c>
      <c r="AN20" s="50" t="n">
        <f aca="false">N((Calc_1!AN$4&gt;=Calc_1!$F17)*ABS(Calc_1!AN95)&gt;Tolerance)</f>
        <v>0</v>
      </c>
      <c r="AO20" s="50" t="n">
        <f aca="false">N((Calc_1!AO$4&gt;=Calc_1!$F17)*ABS(Calc_1!AO95)&gt;Tolerance)</f>
        <v>0</v>
      </c>
      <c r="AP20" s="50" t="n">
        <f aca="false">N((Calc_1!AP$4&gt;=Calc_1!$F17)*ABS(Calc_1!AP95)&gt;Tolerance)</f>
        <v>0</v>
      </c>
      <c r="AQ20" s="50" t="n">
        <f aca="false">N((Calc_1!AQ$4&gt;=Calc_1!$F17)*ABS(Calc_1!AQ95)&gt;Tolerance)</f>
        <v>0</v>
      </c>
      <c r="AR20" s="50" t="n">
        <f aca="false">N((Calc_1!AR$4&gt;=Calc_1!$F17)*ABS(Calc_1!AR95)&gt;Tolerance)</f>
        <v>0</v>
      </c>
      <c r="AS20" s="50" t="n">
        <f aca="false">N((Calc_1!AS$4&gt;=Calc_1!$F17)*ABS(Calc_1!AS95)&gt;Tolerance)</f>
        <v>0</v>
      </c>
      <c r="AT20" s="50" t="n">
        <f aca="false">N((Calc_1!AT$4&gt;=Calc_1!$F17)*ABS(Calc_1!AT95)&gt;Tolerance)</f>
        <v>0</v>
      </c>
      <c r="AU20" s="50" t="n">
        <f aca="false">N((Calc_1!AU$4&gt;=Calc_1!$F17)*ABS(Calc_1!AU95)&gt;Tolerance)</f>
        <v>0</v>
      </c>
      <c r="AV20" s="50" t="n">
        <f aca="false">N((Calc_1!AV$4&gt;=Calc_1!$F17)*ABS(Calc_1!AV95)&gt;Tolerance)</f>
        <v>0</v>
      </c>
      <c r="AW20" s="50" t="n">
        <f aca="false">N((Calc_1!AW$4&gt;=Calc_1!$F17)*ABS(Calc_1!AW95)&gt;Tolerance)</f>
        <v>0</v>
      </c>
      <c r="AX20" s="50" t="n">
        <f aca="false">N((Calc_1!AX$4&gt;=Calc_1!$F17)*ABS(Calc_1!AX95)&gt;Tolerance)</f>
        <v>0</v>
      </c>
      <c r="AY20" s="50" t="n">
        <f aca="false">N((Calc_1!AY$4&gt;=Calc_1!$F17)*ABS(Calc_1!AY95)&gt;Tolerance)</f>
        <v>0</v>
      </c>
      <c r="AZ20" s="50" t="n">
        <f aca="false">N((Calc_1!AZ$4&gt;=Calc_1!$F17)*ABS(Calc_1!AZ95)&gt;Tolerance)</f>
        <v>0</v>
      </c>
      <c r="BA20" s="50" t="n">
        <f aca="false">N((Calc_1!BA$4&gt;=Calc_1!$F17)*ABS(Calc_1!BA95)&gt;Tolerance)</f>
        <v>0</v>
      </c>
      <c r="BB20" s="50" t="n">
        <f aca="false">N((Calc_1!BB$4&gt;=Calc_1!$F17)*ABS(Calc_1!BB95)&gt;Tolerance)</f>
        <v>0</v>
      </c>
      <c r="BC20" s="50" t="n">
        <f aca="false">N((Calc_1!BC$4&gt;=Calc_1!$F17)*ABS(Calc_1!BC95)&gt;Tolerance)</f>
        <v>0</v>
      </c>
      <c r="BD20" s="50" t="n">
        <f aca="false">N((Calc_1!BD$4&gt;=Calc_1!$F17)*ABS(Calc_1!BD95)&gt;Tolerance)</f>
        <v>0</v>
      </c>
      <c r="BE20" s="50" t="n">
        <f aca="false">N((Calc_1!BE$4&gt;=Calc_1!$F17)*ABS(Calc_1!BE95)&gt;Tolerance)</f>
        <v>0</v>
      </c>
      <c r="BF20" s="50" t="n">
        <f aca="false">N((Calc_1!BF$4&gt;=Calc_1!$F17)*ABS(Calc_1!BF95)&gt;Tolerance)</f>
        <v>0</v>
      </c>
      <c r="BG20" s="50" t="n">
        <f aca="false">N((Calc_1!BG$4&gt;=Calc_1!$F17)*ABS(Calc_1!BG95)&gt;Tolerance)</f>
        <v>0</v>
      </c>
      <c r="BH20" s="50" t="n">
        <f aca="false">N((Calc_1!BH$4&gt;=Calc_1!$F17)*ABS(Calc_1!BH95)&gt;Tolerance)</f>
        <v>0</v>
      </c>
      <c r="BI20" s="50" t="n">
        <f aca="false">N((Calc_1!BI$4&gt;=Calc_1!$F17)*ABS(Calc_1!BI95)&gt;Tolerance)</f>
        <v>0</v>
      </c>
      <c r="BJ20" s="50" t="n">
        <f aca="false">N((Calc_1!BJ$4&gt;=Calc_1!$F17)*ABS(Calc_1!BJ95)&gt;Tolerance)</f>
        <v>0</v>
      </c>
      <c r="BK20" s="50" t="n">
        <f aca="false">N((Calc_1!BK$4&gt;=Calc_1!$F17)*ABS(Calc_1!BK95)&gt;Tolerance)</f>
        <v>0</v>
      </c>
      <c r="BL20" s="50" t="n">
        <f aca="false">N((Calc_1!BL$4&gt;=Calc_1!$F17)*ABS(Calc_1!BL95)&gt;Tolerance)</f>
        <v>0</v>
      </c>
      <c r="BM20" s="50" t="n">
        <f aca="false">N((Calc_1!BM$4&gt;=Calc_1!$F17)*ABS(Calc_1!BM95)&gt;Tolerance)</f>
        <v>0</v>
      </c>
      <c r="BN20" s="50" t="n">
        <f aca="false">N((Calc_1!BN$4&gt;=Calc_1!$F17)*ABS(Calc_1!BN95)&gt;Tolerance)</f>
        <v>0</v>
      </c>
      <c r="BO20" s="50" t="n">
        <f aca="false">N((Calc_1!BO$4&gt;=Calc_1!$F17)*ABS(Calc_1!BO95)&gt;Tolerance)</f>
        <v>0</v>
      </c>
      <c r="BP20" s="50" t="n">
        <f aca="false">N((Calc_1!BP$4&gt;=Calc_1!$F17)*ABS(Calc_1!BP95)&gt;Tolerance)</f>
        <v>0</v>
      </c>
      <c r="BQ20" s="50" t="n">
        <f aca="false">N((Calc_1!BQ$4&gt;=Calc_1!$F17)*ABS(Calc_1!BQ95)&gt;Tolerance)</f>
        <v>0</v>
      </c>
      <c r="BR20" s="50" t="n">
        <f aca="false">N((Calc_1!BR$4&gt;=Calc_1!$F17)*ABS(Calc_1!BR95)&gt;Tolerance)</f>
        <v>0</v>
      </c>
      <c r="BS20" s="50" t="n">
        <f aca="false">N((Calc_1!BS$4&gt;=Calc_1!$F17)*ABS(Calc_1!BS95)&gt;Tolerance)</f>
        <v>0</v>
      </c>
      <c r="BT20" s="50" t="n">
        <f aca="false">N((Calc_1!BT$4&gt;=Calc_1!$F17)*ABS(Calc_1!BT95)&gt;Tolerance)</f>
        <v>0</v>
      </c>
      <c r="BU20" s="50" t="n">
        <f aca="false">N((Calc_1!BU$4&gt;=Calc_1!$F17)*ABS(Calc_1!BU95)&gt;Tolerance)</f>
        <v>0</v>
      </c>
      <c r="BV20" s="50" t="n">
        <f aca="false">N((Calc_1!BV$4&gt;=Calc_1!$F17)*ABS(Calc_1!BV95)&gt;Tolerance)</f>
        <v>0</v>
      </c>
      <c r="BW20" s="50" t="n">
        <f aca="false">N((Calc_1!BW$4&gt;=Calc_1!$F17)*ABS(Calc_1!BW95)&gt;Tolerance)</f>
        <v>0</v>
      </c>
      <c r="BX20" s="50" t="n">
        <f aca="false">N((Calc_1!BX$4&gt;=Calc_1!$F17)*ABS(Calc_1!BX95)&gt;Tolerance)</f>
        <v>0</v>
      </c>
      <c r="BY20" s="50" t="n">
        <f aca="false">N((Calc_1!BY$4&gt;=Calc_1!$F17)*ABS(Calc_1!BY95)&gt;Tolerance)</f>
        <v>0</v>
      </c>
      <c r="BZ20" s="50" t="n">
        <f aca="false">N((Calc_1!BZ$4&gt;=Calc_1!$F17)*ABS(Calc_1!BZ95)&gt;Tolerance)</f>
        <v>0</v>
      </c>
      <c r="CA20" s="50" t="n">
        <f aca="false">N((Calc_1!CA$4&gt;=Calc_1!$F17)*ABS(Calc_1!CA95)&gt;Tolerance)</f>
        <v>0</v>
      </c>
      <c r="CB20" s="50" t="n">
        <f aca="false">N((Calc_1!CB$4&gt;=Calc_1!$F17)*ABS(Calc_1!CB95)&gt;Tolerance)</f>
        <v>0</v>
      </c>
      <c r="CC20" s="50" t="n">
        <f aca="false">N((Calc_1!CC$4&gt;=Calc_1!$F17)*ABS(Calc_1!CC95)&gt;Tolerance)</f>
        <v>0</v>
      </c>
      <c r="CD20" s="50" t="n">
        <f aca="false">N((Calc_1!CD$4&gt;=Calc_1!$F17)*ABS(Calc_1!CD95)&gt;Tolerance)</f>
        <v>0</v>
      </c>
      <c r="CE20" s="50" t="n">
        <f aca="false">N((Calc_1!CE$4&gt;=Calc_1!$F17)*ABS(Calc_1!CE95)&gt;Tolerance)</f>
        <v>0</v>
      </c>
      <c r="CF20" s="50" t="n">
        <f aca="false">N((Calc_1!CF$4&gt;=Calc_1!$F17)*ABS(Calc_1!CF95)&gt;Tolerance)</f>
        <v>0</v>
      </c>
      <c r="CG20" s="50" t="n">
        <f aca="false">N((Calc_1!CG$4&gt;=Calc_1!$F17)*ABS(Calc_1!CG95)&gt;Tolerance)</f>
        <v>0</v>
      </c>
      <c r="CH20" s="50" t="n">
        <f aca="false">N((Calc_1!CH$4&gt;=Calc_1!$F17)*ABS(Calc_1!CH95)&gt;Tolerance)</f>
        <v>0</v>
      </c>
      <c r="CI20" s="50" t="n">
        <f aca="false">N((Calc_1!CI$4&gt;=Calc_1!$F17)*ABS(Calc_1!CI95)&gt;Tolerance)</f>
        <v>0</v>
      </c>
      <c r="CJ20" s="50" t="n">
        <f aca="false">N((Calc_1!CJ$4&gt;=Calc_1!$F17)*ABS(Calc_1!CJ95)&gt;Tolerance)</f>
        <v>0</v>
      </c>
      <c r="CK20" s="50" t="n">
        <f aca="false">N((Calc_1!CK$4&gt;=Calc_1!$F17)*ABS(Calc_1!CK95)&gt;Tolerance)</f>
        <v>0</v>
      </c>
      <c r="CL20" s="50" t="n">
        <f aca="false">N((Calc_1!CL$4&gt;=Calc_1!$F17)*ABS(Calc_1!CL95)&gt;Tolerance)</f>
        <v>0</v>
      </c>
      <c r="CM20" s="50" t="n">
        <f aca="false">N((Calc_1!CM$4&gt;=Calc_1!$F17)*ABS(Calc_1!CM95)&gt;Tolerance)</f>
        <v>0</v>
      </c>
      <c r="CN20" s="50" t="n">
        <f aca="false">N((Calc_1!CN$4&gt;=Calc_1!$F17)*ABS(Calc_1!CN95)&gt;Tolerance)</f>
        <v>0</v>
      </c>
      <c r="CO20" s="50" t="n">
        <f aca="false">N((Calc_1!CO$4&gt;=Calc_1!$F17)*ABS(Calc_1!CO95)&gt;Tolerance)</f>
        <v>0</v>
      </c>
      <c r="CP20" s="50" t="n">
        <f aca="false">N((Calc_1!CP$4&gt;=Calc_1!$F17)*ABS(Calc_1!CP95)&gt;Tolerance)</f>
        <v>0</v>
      </c>
      <c r="CQ20" s="50" t="n">
        <f aca="false">N((Calc_1!CQ$4&gt;=Calc_1!$F17)*ABS(Calc_1!CQ95)&gt;Tolerance)</f>
        <v>0</v>
      </c>
      <c r="CR20" s="50" t="n">
        <f aca="false">N((Calc_1!CR$4&gt;=Calc_1!$F17)*ABS(Calc_1!CR95)&gt;Tolerance)</f>
        <v>0</v>
      </c>
      <c r="CS20" s="50" t="n">
        <f aca="false">N((Calc_1!CS$4&gt;=Calc_1!$F17)*ABS(Calc_1!CS95)&gt;Tolerance)</f>
        <v>0</v>
      </c>
      <c r="CT20" s="50" t="n">
        <f aca="false">N((Calc_1!CT$4&gt;=Calc_1!$F17)*ABS(Calc_1!CT95)&gt;Tolerance)</f>
        <v>0</v>
      </c>
      <c r="CU20" s="50" t="n">
        <f aca="false">N((Calc_1!CU$4&gt;=Calc_1!$F17)*ABS(Calc_1!CU95)&gt;Tolerance)</f>
        <v>0</v>
      </c>
      <c r="CV20" s="50" t="n">
        <f aca="false">N((Calc_1!CV$4&gt;=Calc_1!$F17)*ABS(Calc_1!CV95)&gt;Tolerance)</f>
        <v>0</v>
      </c>
      <c r="CW20" s="50" t="n">
        <f aca="false">N((Calc_1!CW$4&gt;=Calc_1!$F17)*ABS(Calc_1!CW95)&gt;Tolerance)</f>
        <v>0</v>
      </c>
      <c r="CX20" s="50" t="n">
        <f aca="false">N((Calc_1!CX$4&gt;=Calc_1!$F17)*ABS(Calc_1!CX95)&gt;Tolerance)</f>
        <v>0</v>
      </c>
      <c r="CY20" s="50" t="n">
        <f aca="false">N((Calc_1!CY$4&gt;=Calc_1!$F17)*ABS(Calc_1!CY95)&gt;Tolerance)</f>
        <v>0</v>
      </c>
      <c r="CZ20" s="50" t="n">
        <f aca="false">N((Calc_1!CZ$4&gt;=Calc_1!$F17)*ABS(Calc_1!CZ95)&gt;Tolerance)</f>
        <v>0</v>
      </c>
      <c r="DA20" s="50" t="n">
        <f aca="false">N((Calc_1!DA$4&gt;=Calc_1!$F17)*ABS(Calc_1!DA95)&gt;Tolerance)</f>
        <v>0</v>
      </c>
      <c r="DB20" s="50" t="n">
        <f aca="false">N((Calc_1!DB$4&gt;=Calc_1!$F17)*ABS(Calc_1!DB95)&gt;Tolerance)</f>
        <v>0</v>
      </c>
      <c r="DC20" s="50" t="n">
        <f aca="false">N((Calc_1!DC$4&gt;=Calc_1!$F17)*ABS(Calc_1!DC95)&gt;Tolerance)</f>
        <v>0</v>
      </c>
      <c r="DD20" s="50" t="n">
        <f aca="false">N((Calc_1!DD$4&gt;=Calc_1!$F17)*ABS(Calc_1!DD95)&gt;Tolerance)</f>
        <v>0</v>
      </c>
      <c r="DE20" s="50" t="n">
        <f aca="false">N((Calc_1!DE$4&gt;=Calc_1!$F17)*ABS(Calc_1!DE95)&gt;Tolerance)</f>
        <v>0</v>
      </c>
      <c r="DF20" s="50" t="n">
        <f aca="false">N((Calc_1!DF$4&gt;=Calc_1!$F17)*ABS(Calc_1!DF95)&gt;Tolerance)</f>
        <v>0</v>
      </c>
      <c r="DG20" s="50" t="n">
        <f aca="false">N((Calc_1!DG$4&gt;=Calc_1!$F17)*ABS(Calc_1!DG95)&gt;Tolerance)</f>
        <v>0</v>
      </c>
      <c r="DH20" s="50" t="n">
        <f aca="false">N((Calc_1!DH$4&gt;=Calc_1!$F17)*ABS(Calc_1!DH95)&gt;Tolerance)</f>
        <v>0</v>
      </c>
      <c r="DI20" s="50" t="n">
        <f aca="false">N((Calc_1!DI$4&gt;=Calc_1!$F17)*ABS(Calc_1!DI95)&gt;Tolerance)</f>
        <v>0</v>
      </c>
      <c r="DJ20" s="50" t="n">
        <f aca="false">N((Calc_1!DJ$4&gt;=Calc_1!$F17)*ABS(Calc_1!DJ95)&gt;Tolerance)</f>
        <v>0</v>
      </c>
      <c r="DK20" s="50" t="n">
        <f aca="false">N((Calc_1!DK$4&gt;=Calc_1!$F17)*ABS(Calc_1!DK95)&gt;Tolerance)</f>
        <v>0</v>
      </c>
      <c r="DL20" s="50" t="n">
        <f aca="false">N((Calc_1!DL$4&gt;=Calc_1!$F17)*ABS(Calc_1!DL95)&gt;Tolerance)</f>
        <v>0</v>
      </c>
      <c r="DM20" s="50" t="n">
        <f aca="false">N((Calc_1!DM$4&gt;=Calc_1!$F17)*ABS(Calc_1!DM95)&gt;Tolerance)</f>
        <v>0</v>
      </c>
      <c r="DN20" s="50" t="n">
        <f aca="false">N((Calc_1!DN$4&gt;=Calc_1!$F17)*ABS(Calc_1!DN95)&gt;Tolerance)</f>
        <v>0</v>
      </c>
      <c r="DO20" s="50" t="n">
        <f aca="false">N((Calc_1!DO$4&gt;=Calc_1!$F17)*ABS(Calc_1!DO95)&gt;Tolerance)</f>
        <v>0</v>
      </c>
      <c r="DP20" s="50" t="n">
        <f aca="false">N((Calc_1!DP$4&gt;=Calc_1!$F17)*ABS(Calc_1!DP95)&gt;Tolerance)</f>
        <v>0</v>
      </c>
      <c r="DQ20" s="50" t="n">
        <f aca="false">N((Calc_1!DQ$4&gt;=Calc_1!$F17)*ABS(Calc_1!DQ95)&gt;Tolerance)</f>
        <v>0</v>
      </c>
      <c r="DR20" s="50" t="n">
        <f aca="false">N((Calc_1!DR$4&gt;=Calc_1!$F17)*ABS(Calc_1!DR95)&gt;Tolerance)</f>
        <v>0</v>
      </c>
      <c r="DS20" s="50" t="n">
        <f aca="false">N((Calc_1!DS$4&gt;=Calc_1!$F17)*ABS(Calc_1!DS95)&gt;Tolerance)</f>
        <v>0</v>
      </c>
      <c r="DT20" s="50" t="n">
        <f aca="false">N((Calc_1!DT$4&gt;=Calc_1!$F17)*ABS(Calc_1!DT95)&gt;Tolerance)</f>
        <v>0</v>
      </c>
      <c r="DU20" s="50" t="n">
        <f aca="false">N((Calc_1!DU$4&gt;=Calc_1!$F17)*ABS(Calc_1!DU95)&gt;Tolerance)</f>
        <v>0</v>
      </c>
      <c r="DV20" s="50" t="n">
        <f aca="false">N((Calc_1!DV$4&gt;=Calc_1!$F17)*ABS(Calc_1!DV95)&gt;Tolerance)</f>
        <v>0</v>
      </c>
      <c r="DW20" s="50" t="n">
        <f aca="false">N((Calc_1!DW$4&gt;=Calc_1!$F17)*ABS(Calc_1!DW95)&gt;Tolerance)</f>
        <v>0</v>
      </c>
      <c r="DX20" s="50" t="n">
        <f aca="false">N((Calc_1!DX$4&gt;=Calc_1!$F17)*ABS(Calc_1!DX95)&gt;Tolerance)</f>
        <v>0</v>
      </c>
      <c r="DY20" s="50" t="n">
        <f aca="false">N((Calc_1!DY$4&gt;=Calc_1!$F17)*ABS(Calc_1!DY95)&gt;Tolerance)</f>
        <v>0</v>
      </c>
      <c r="DZ20" s="50" t="n">
        <f aca="false">N((Calc_1!DZ$4&gt;=Calc_1!$F17)*ABS(Calc_1!DZ95)&gt;Tolerance)</f>
        <v>0</v>
      </c>
      <c r="EA20" s="50" t="n">
        <f aca="false">N((Calc_1!EA$4&gt;=Calc_1!$F17)*ABS(Calc_1!EA95)&gt;Tolerance)</f>
        <v>0</v>
      </c>
      <c r="EB20" s="50" t="n">
        <f aca="false">N((Calc_1!EB$4&gt;=Calc_1!$F17)*ABS(Calc_1!EB95)&gt;Tolerance)</f>
        <v>0</v>
      </c>
      <c r="EC20" s="50" t="n">
        <f aca="false">N((Calc_1!EC$4&gt;=Calc_1!$F17)*ABS(Calc_1!EC95)&gt;Tolerance)</f>
        <v>0</v>
      </c>
      <c r="ED20" s="50" t="n">
        <f aca="false">N((Calc_1!ED$4&gt;=Calc_1!$F17)*ABS(Calc_1!ED95)&gt;Tolerance)</f>
        <v>0</v>
      </c>
      <c r="EE20" s="50" t="n">
        <f aca="false">N((Calc_1!EE$4&gt;=Calc_1!$F17)*ABS(Calc_1!EE95)&gt;Tolerance)</f>
        <v>0</v>
      </c>
      <c r="EF20" s="50" t="n">
        <f aca="false">N((Calc_1!EF$4&gt;=Calc_1!$F17)*ABS(Calc_1!EF95)&gt;Tolerance)</f>
        <v>0</v>
      </c>
      <c r="EG20" s="50" t="n">
        <f aca="false">N((Calc_1!EG$4&gt;=Calc_1!$F17)*ABS(Calc_1!EG95)&gt;Tolerance)</f>
        <v>0</v>
      </c>
      <c r="EH20" s="50" t="n">
        <f aca="false">N((Calc_1!EH$4&gt;=Calc_1!$F17)*ABS(Calc_1!EH95)&gt;Tolerance)</f>
        <v>0</v>
      </c>
      <c r="EI20" s="50" t="n">
        <f aca="false">N((Calc_1!EI$4&gt;=Calc_1!$F17)*ABS(Calc_1!EI95)&gt;Tolerance)</f>
        <v>0</v>
      </c>
      <c r="EJ20" s="50" t="n">
        <f aca="false">N((Calc_1!EJ$4&gt;=Calc_1!$F17)*ABS(Calc_1!EJ95)&gt;Tolerance)</f>
        <v>0</v>
      </c>
      <c r="EK20" s="50" t="n">
        <f aca="false">N((Calc_1!EK$4&gt;=Calc_1!$F17)*ABS(Calc_1!EK95)&gt;Tolerance)</f>
        <v>0</v>
      </c>
      <c r="EL20" s="50" t="n">
        <f aca="false">N((Calc_1!EL$4&gt;=Calc_1!$F17)*ABS(Calc_1!EL95)&gt;Tolerance)</f>
        <v>0</v>
      </c>
      <c r="EM20" s="50" t="n">
        <f aca="false">N((Calc_1!EM$4&gt;=Calc_1!$F17)*ABS(Calc_1!EM95)&gt;Tolerance)</f>
        <v>0</v>
      </c>
      <c r="EN20" s="50" t="n">
        <f aca="false">N((Calc_1!EN$4&gt;=Calc_1!$F17)*ABS(Calc_1!EN95)&gt;Tolerance)</f>
        <v>0</v>
      </c>
      <c r="EO20" s="50" t="n">
        <f aca="false">N((Calc_1!EO$4&gt;=Calc_1!$F17)*ABS(Calc_1!EO95)&gt;Tolerance)</f>
        <v>0</v>
      </c>
    </row>
    <row r="21" customFormat="false" ht="15" hidden="false" customHeight="false" outlineLevel="0" collapsed="false">
      <c r="C21" s="1" t="s">
        <v>476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N((Calc_2!J$4&gt;=Calc_2!$F17)*ABS(Calc_2!J95)&gt;Tolerance)</f>
        <v>0</v>
      </c>
      <c r="K21" s="50" t="n">
        <f aca="false">N((Calc_2!K$4&gt;=Calc_2!$F17)*ABS(Calc_2!K95)&gt;Tolerance)</f>
        <v>0</v>
      </c>
      <c r="L21" s="50" t="n">
        <f aca="false">N((Calc_2!L$4&gt;=Calc_2!$F17)*ABS(Calc_2!L95)&gt;Tolerance)</f>
        <v>0</v>
      </c>
      <c r="M21" s="50" t="n">
        <f aca="false">N((Calc_2!M$4&gt;=Calc_2!$F17)*ABS(Calc_2!M95)&gt;Tolerance)</f>
        <v>0</v>
      </c>
      <c r="N21" s="50" t="n">
        <f aca="false">N((Calc_2!N$4&gt;=Calc_2!$F17)*ABS(Calc_2!N95)&gt;Tolerance)</f>
        <v>0</v>
      </c>
      <c r="O21" s="50" t="n">
        <f aca="false">N((Calc_2!O$4&gt;=Calc_2!$F17)*ABS(Calc_2!O95)&gt;Tolerance)</f>
        <v>0</v>
      </c>
      <c r="P21" s="50" t="n">
        <f aca="false">N((Calc_2!P$4&gt;=Calc_2!$F17)*ABS(Calc_2!P95)&gt;Tolerance)</f>
        <v>0</v>
      </c>
      <c r="Q21" s="50" t="n">
        <f aca="false">N((Calc_2!Q$4&gt;=Calc_2!$F17)*ABS(Calc_2!Q95)&gt;Tolerance)</f>
        <v>0</v>
      </c>
      <c r="R21" s="50" t="n">
        <f aca="false">N((Calc_2!R$4&gt;=Calc_2!$F17)*ABS(Calc_2!R95)&gt;Tolerance)</f>
        <v>0</v>
      </c>
      <c r="S21" s="50" t="n">
        <f aca="false">N((Calc_2!S$4&gt;=Calc_2!$F17)*ABS(Calc_2!S95)&gt;Tolerance)</f>
        <v>0</v>
      </c>
      <c r="T21" s="50" t="n">
        <f aca="false">N((Calc_2!T$4&gt;=Calc_2!$F17)*ABS(Calc_2!T95)&gt;Tolerance)</f>
        <v>0</v>
      </c>
      <c r="U21" s="50" t="n">
        <f aca="false">N((Calc_2!U$4&gt;=Calc_2!$F17)*ABS(Calc_2!U95)&gt;Tolerance)</f>
        <v>0</v>
      </c>
      <c r="V21" s="50" t="n">
        <f aca="false">N((Calc_2!V$4&gt;=Calc_2!$F17)*ABS(Calc_2!V95)&gt;Tolerance)</f>
        <v>0</v>
      </c>
      <c r="W21" s="50" t="n">
        <f aca="false">N((Calc_2!W$4&gt;=Calc_2!$F17)*ABS(Calc_2!W95)&gt;Tolerance)</f>
        <v>0</v>
      </c>
      <c r="X21" s="50" t="n">
        <f aca="false">N((Calc_2!X$4&gt;=Calc_2!$F17)*ABS(Calc_2!X95)&gt;Tolerance)</f>
        <v>0</v>
      </c>
      <c r="Y21" s="50" t="n">
        <f aca="false">N((Calc_2!Y$4&gt;=Calc_2!$F17)*ABS(Calc_2!Y95)&gt;Tolerance)</f>
        <v>0</v>
      </c>
      <c r="Z21" s="50" t="n">
        <f aca="false">N((Calc_2!Z$4&gt;=Calc_2!$F17)*ABS(Calc_2!Z95)&gt;Tolerance)</f>
        <v>0</v>
      </c>
      <c r="AA21" s="50" t="n">
        <f aca="false">N((Calc_2!AA$4&gt;=Calc_2!$F17)*ABS(Calc_2!AA95)&gt;Tolerance)</f>
        <v>0</v>
      </c>
      <c r="AB21" s="50" t="n">
        <f aca="false">N((Calc_2!AB$4&gt;=Calc_2!$F17)*ABS(Calc_2!AB95)&gt;Tolerance)</f>
        <v>0</v>
      </c>
      <c r="AC21" s="50" t="n">
        <f aca="false">N((Calc_2!AC$4&gt;=Calc_2!$F17)*ABS(Calc_2!AC95)&gt;Tolerance)</f>
        <v>0</v>
      </c>
      <c r="AD21" s="50" t="n">
        <f aca="false">N((Calc_2!AD$4&gt;=Calc_2!$F17)*ABS(Calc_2!AD95)&gt;Tolerance)</f>
        <v>0</v>
      </c>
      <c r="AE21" s="50" t="n">
        <f aca="false">N((Calc_2!AE$4&gt;=Calc_2!$F17)*ABS(Calc_2!AE95)&gt;Tolerance)</f>
        <v>0</v>
      </c>
      <c r="AF21" s="50" t="n">
        <f aca="false">N((Calc_2!AF$4&gt;=Calc_2!$F17)*ABS(Calc_2!AF95)&gt;Tolerance)</f>
        <v>0</v>
      </c>
      <c r="AG21" s="50" t="n">
        <f aca="false">N((Calc_2!AG$4&gt;=Calc_2!$F17)*ABS(Calc_2!AG95)&gt;Tolerance)</f>
        <v>0</v>
      </c>
      <c r="AH21" s="50" t="n">
        <f aca="false">N((Calc_2!AH$4&gt;=Calc_2!$F17)*ABS(Calc_2!AH95)&gt;Tolerance)</f>
        <v>0</v>
      </c>
      <c r="AI21" s="50" t="n">
        <f aca="false">N((Calc_2!AI$4&gt;=Calc_2!$F17)*ABS(Calc_2!AI95)&gt;Tolerance)</f>
        <v>0</v>
      </c>
      <c r="AJ21" s="50" t="n">
        <f aca="false">N((Calc_2!AJ$4&gt;=Calc_2!$F17)*ABS(Calc_2!AJ95)&gt;Tolerance)</f>
        <v>0</v>
      </c>
      <c r="AK21" s="50" t="n">
        <f aca="false">N((Calc_2!AK$4&gt;=Calc_2!$F17)*ABS(Calc_2!AK95)&gt;Tolerance)</f>
        <v>0</v>
      </c>
      <c r="AL21" s="50" t="n">
        <f aca="false">N((Calc_2!AL$4&gt;=Calc_2!$F17)*ABS(Calc_2!AL95)&gt;Tolerance)</f>
        <v>0</v>
      </c>
      <c r="AM21" s="50" t="n">
        <f aca="false">N((Calc_2!AM$4&gt;=Calc_2!$F17)*ABS(Calc_2!AM95)&gt;Tolerance)</f>
        <v>0</v>
      </c>
      <c r="AN21" s="50" t="n">
        <f aca="false">N((Calc_2!AN$4&gt;=Calc_2!$F17)*ABS(Calc_2!AN95)&gt;Tolerance)</f>
        <v>0</v>
      </c>
      <c r="AO21" s="50" t="n">
        <f aca="false">N((Calc_2!AO$4&gt;=Calc_2!$F17)*ABS(Calc_2!AO95)&gt;Tolerance)</f>
        <v>0</v>
      </c>
      <c r="AP21" s="50" t="n">
        <f aca="false">N((Calc_2!AP$4&gt;=Calc_2!$F17)*ABS(Calc_2!AP95)&gt;Tolerance)</f>
        <v>0</v>
      </c>
      <c r="AQ21" s="50" t="n">
        <f aca="false">N((Calc_2!AQ$4&gt;=Calc_2!$F17)*ABS(Calc_2!AQ95)&gt;Tolerance)</f>
        <v>0</v>
      </c>
      <c r="AR21" s="50" t="n">
        <f aca="false">N((Calc_2!AR$4&gt;=Calc_2!$F17)*ABS(Calc_2!AR95)&gt;Tolerance)</f>
        <v>0</v>
      </c>
      <c r="AS21" s="50" t="n">
        <f aca="false">N((Calc_2!AS$4&gt;=Calc_2!$F17)*ABS(Calc_2!AS95)&gt;Tolerance)</f>
        <v>0</v>
      </c>
      <c r="AT21" s="50" t="n">
        <f aca="false">N((Calc_2!AT$4&gt;=Calc_2!$F17)*ABS(Calc_2!AT95)&gt;Tolerance)</f>
        <v>0</v>
      </c>
      <c r="AU21" s="50" t="n">
        <f aca="false">N((Calc_2!AU$4&gt;=Calc_2!$F17)*ABS(Calc_2!AU95)&gt;Tolerance)</f>
        <v>0</v>
      </c>
      <c r="AV21" s="50" t="n">
        <f aca="false">N((Calc_2!AV$4&gt;=Calc_2!$F17)*ABS(Calc_2!AV95)&gt;Tolerance)</f>
        <v>0</v>
      </c>
      <c r="AW21" s="50" t="n">
        <f aca="false">N((Calc_2!AW$4&gt;=Calc_2!$F17)*ABS(Calc_2!AW95)&gt;Tolerance)</f>
        <v>0</v>
      </c>
      <c r="AX21" s="50" t="n">
        <f aca="false">N((Calc_2!AX$4&gt;=Calc_2!$F17)*ABS(Calc_2!AX95)&gt;Tolerance)</f>
        <v>0</v>
      </c>
      <c r="AY21" s="50" t="n">
        <f aca="false">N((Calc_2!AY$4&gt;=Calc_2!$F17)*ABS(Calc_2!AY95)&gt;Tolerance)</f>
        <v>0</v>
      </c>
      <c r="AZ21" s="50" t="n">
        <f aca="false">N((Calc_2!AZ$4&gt;=Calc_2!$F17)*ABS(Calc_2!AZ95)&gt;Tolerance)</f>
        <v>0</v>
      </c>
      <c r="BA21" s="50" t="n">
        <f aca="false">N((Calc_2!BA$4&gt;=Calc_2!$F17)*ABS(Calc_2!BA95)&gt;Tolerance)</f>
        <v>0</v>
      </c>
      <c r="BB21" s="50" t="n">
        <f aca="false">N((Calc_2!BB$4&gt;=Calc_2!$F17)*ABS(Calc_2!BB95)&gt;Tolerance)</f>
        <v>0</v>
      </c>
      <c r="BC21" s="50" t="n">
        <f aca="false">N((Calc_2!BC$4&gt;=Calc_2!$F17)*ABS(Calc_2!BC95)&gt;Tolerance)</f>
        <v>0</v>
      </c>
      <c r="BD21" s="50" t="n">
        <f aca="false">N((Calc_2!BD$4&gt;=Calc_2!$F17)*ABS(Calc_2!BD95)&gt;Tolerance)</f>
        <v>0</v>
      </c>
      <c r="BE21" s="50" t="n">
        <f aca="false">N((Calc_2!BE$4&gt;=Calc_2!$F17)*ABS(Calc_2!BE95)&gt;Tolerance)</f>
        <v>0</v>
      </c>
      <c r="BF21" s="50" t="n">
        <f aca="false">N((Calc_2!BF$4&gt;=Calc_2!$F17)*ABS(Calc_2!BF95)&gt;Tolerance)</f>
        <v>0</v>
      </c>
      <c r="BG21" s="50" t="n">
        <f aca="false">N((Calc_2!BG$4&gt;=Calc_2!$F17)*ABS(Calc_2!BG95)&gt;Tolerance)</f>
        <v>0</v>
      </c>
      <c r="BH21" s="50" t="n">
        <f aca="false">N((Calc_2!BH$4&gt;=Calc_2!$F17)*ABS(Calc_2!BH95)&gt;Tolerance)</f>
        <v>0</v>
      </c>
      <c r="BI21" s="50" t="n">
        <f aca="false">N((Calc_2!BI$4&gt;=Calc_2!$F17)*ABS(Calc_2!BI95)&gt;Tolerance)</f>
        <v>0</v>
      </c>
      <c r="BJ21" s="50" t="n">
        <f aca="false">N((Calc_2!BJ$4&gt;=Calc_2!$F17)*ABS(Calc_2!BJ95)&gt;Tolerance)</f>
        <v>0</v>
      </c>
      <c r="BK21" s="50" t="n">
        <f aca="false">N((Calc_2!BK$4&gt;=Calc_2!$F17)*ABS(Calc_2!BK95)&gt;Tolerance)</f>
        <v>0</v>
      </c>
      <c r="BL21" s="50" t="n">
        <f aca="false">N((Calc_2!BL$4&gt;=Calc_2!$F17)*ABS(Calc_2!BL95)&gt;Tolerance)</f>
        <v>0</v>
      </c>
      <c r="BM21" s="50" t="n">
        <f aca="false">N((Calc_2!BM$4&gt;=Calc_2!$F17)*ABS(Calc_2!BM95)&gt;Tolerance)</f>
        <v>0</v>
      </c>
      <c r="BN21" s="50" t="n">
        <f aca="false">N((Calc_2!BN$4&gt;=Calc_2!$F17)*ABS(Calc_2!BN95)&gt;Tolerance)</f>
        <v>0</v>
      </c>
      <c r="BO21" s="50" t="n">
        <f aca="false">N((Calc_2!BO$4&gt;=Calc_2!$F17)*ABS(Calc_2!BO95)&gt;Tolerance)</f>
        <v>0</v>
      </c>
      <c r="BP21" s="50" t="n">
        <f aca="false">N((Calc_2!BP$4&gt;=Calc_2!$F17)*ABS(Calc_2!BP95)&gt;Tolerance)</f>
        <v>0</v>
      </c>
      <c r="BQ21" s="50" t="n">
        <f aca="false">N((Calc_2!BQ$4&gt;=Calc_2!$F17)*ABS(Calc_2!BQ95)&gt;Tolerance)</f>
        <v>0</v>
      </c>
      <c r="BR21" s="50" t="n">
        <f aca="false">N((Calc_2!BR$4&gt;=Calc_2!$F17)*ABS(Calc_2!BR95)&gt;Tolerance)</f>
        <v>0</v>
      </c>
      <c r="BS21" s="50" t="n">
        <f aca="false">N((Calc_2!BS$4&gt;=Calc_2!$F17)*ABS(Calc_2!BS95)&gt;Tolerance)</f>
        <v>0</v>
      </c>
      <c r="BT21" s="50" t="n">
        <f aca="false">N((Calc_2!BT$4&gt;=Calc_2!$F17)*ABS(Calc_2!BT95)&gt;Tolerance)</f>
        <v>0</v>
      </c>
      <c r="BU21" s="50" t="n">
        <f aca="false">N((Calc_2!BU$4&gt;=Calc_2!$F17)*ABS(Calc_2!BU95)&gt;Tolerance)</f>
        <v>0</v>
      </c>
      <c r="BV21" s="50" t="n">
        <f aca="false">N((Calc_2!BV$4&gt;=Calc_2!$F17)*ABS(Calc_2!BV95)&gt;Tolerance)</f>
        <v>0</v>
      </c>
      <c r="BW21" s="50" t="n">
        <f aca="false">N((Calc_2!BW$4&gt;=Calc_2!$F17)*ABS(Calc_2!BW95)&gt;Tolerance)</f>
        <v>0</v>
      </c>
      <c r="BX21" s="50" t="n">
        <f aca="false">N((Calc_2!BX$4&gt;=Calc_2!$F17)*ABS(Calc_2!BX95)&gt;Tolerance)</f>
        <v>0</v>
      </c>
      <c r="BY21" s="50" t="n">
        <f aca="false">N((Calc_2!BY$4&gt;=Calc_2!$F17)*ABS(Calc_2!BY95)&gt;Tolerance)</f>
        <v>0</v>
      </c>
      <c r="BZ21" s="50" t="n">
        <f aca="false">N((Calc_2!BZ$4&gt;=Calc_2!$F17)*ABS(Calc_2!BZ95)&gt;Tolerance)</f>
        <v>0</v>
      </c>
      <c r="CA21" s="50" t="n">
        <f aca="false">N((Calc_2!CA$4&gt;=Calc_2!$F17)*ABS(Calc_2!CA95)&gt;Tolerance)</f>
        <v>0</v>
      </c>
      <c r="CB21" s="50" t="n">
        <f aca="false">N((Calc_2!CB$4&gt;=Calc_2!$F17)*ABS(Calc_2!CB95)&gt;Tolerance)</f>
        <v>0</v>
      </c>
      <c r="CC21" s="50" t="n">
        <f aca="false">N((Calc_2!CC$4&gt;=Calc_2!$F17)*ABS(Calc_2!CC95)&gt;Tolerance)</f>
        <v>0</v>
      </c>
      <c r="CD21" s="50" t="n">
        <f aca="false">N((Calc_2!CD$4&gt;=Calc_2!$F17)*ABS(Calc_2!CD95)&gt;Tolerance)</f>
        <v>0</v>
      </c>
      <c r="CE21" s="50" t="n">
        <f aca="false">N((Calc_2!CE$4&gt;=Calc_2!$F17)*ABS(Calc_2!CE95)&gt;Tolerance)</f>
        <v>0</v>
      </c>
      <c r="CF21" s="50" t="n">
        <f aca="false">N((Calc_2!CF$4&gt;=Calc_2!$F17)*ABS(Calc_2!CF95)&gt;Tolerance)</f>
        <v>0</v>
      </c>
      <c r="CG21" s="50" t="n">
        <f aca="false">N((Calc_2!CG$4&gt;=Calc_2!$F17)*ABS(Calc_2!CG95)&gt;Tolerance)</f>
        <v>0</v>
      </c>
      <c r="CH21" s="50" t="n">
        <f aca="false">N((Calc_2!CH$4&gt;=Calc_2!$F17)*ABS(Calc_2!CH95)&gt;Tolerance)</f>
        <v>0</v>
      </c>
      <c r="CI21" s="50" t="n">
        <f aca="false">N((Calc_2!CI$4&gt;=Calc_2!$F17)*ABS(Calc_2!CI95)&gt;Tolerance)</f>
        <v>0</v>
      </c>
      <c r="CJ21" s="50" t="n">
        <f aca="false">N((Calc_2!CJ$4&gt;=Calc_2!$F17)*ABS(Calc_2!CJ95)&gt;Tolerance)</f>
        <v>0</v>
      </c>
      <c r="CK21" s="50" t="n">
        <f aca="false">N((Calc_2!CK$4&gt;=Calc_2!$F17)*ABS(Calc_2!CK95)&gt;Tolerance)</f>
        <v>0</v>
      </c>
      <c r="CL21" s="50" t="n">
        <f aca="false">N((Calc_2!CL$4&gt;=Calc_2!$F17)*ABS(Calc_2!CL95)&gt;Tolerance)</f>
        <v>0</v>
      </c>
      <c r="CM21" s="50" t="n">
        <f aca="false">N((Calc_2!CM$4&gt;=Calc_2!$F17)*ABS(Calc_2!CM95)&gt;Tolerance)</f>
        <v>0</v>
      </c>
      <c r="CN21" s="50" t="n">
        <f aca="false">N((Calc_2!CN$4&gt;=Calc_2!$F17)*ABS(Calc_2!CN95)&gt;Tolerance)</f>
        <v>0</v>
      </c>
      <c r="CO21" s="50" t="n">
        <f aca="false">N((Calc_2!CO$4&gt;=Calc_2!$F17)*ABS(Calc_2!CO95)&gt;Tolerance)</f>
        <v>0</v>
      </c>
      <c r="CP21" s="50" t="n">
        <f aca="false">N((Calc_2!CP$4&gt;=Calc_2!$F17)*ABS(Calc_2!CP95)&gt;Tolerance)</f>
        <v>0</v>
      </c>
      <c r="CQ21" s="50" t="n">
        <f aca="false">N((Calc_2!CQ$4&gt;=Calc_2!$F17)*ABS(Calc_2!CQ95)&gt;Tolerance)</f>
        <v>0</v>
      </c>
      <c r="CR21" s="50" t="n">
        <f aca="false">N((Calc_2!CR$4&gt;=Calc_2!$F17)*ABS(Calc_2!CR95)&gt;Tolerance)</f>
        <v>0</v>
      </c>
      <c r="CS21" s="50" t="n">
        <f aca="false">N((Calc_2!CS$4&gt;=Calc_2!$F17)*ABS(Calc_2!CS95)&gt;Tolerance)</f>
        <v>0</v>
      </c>
      <c r="CT21" s="50" t="n">
        <f aca="false">N((Calc_2!CT$4&gt;=Calc_2!$F17)*ABS(Calc_2!CT95)&gt;Tolerance)</f>
        <v>0</v>
      </c>
      <c r="CU21" s="50" t="n">
        <f aca="false">N((Calc_2!CU$4&gt;=Calc_2!$F17)*ABS(Calc_2!CU95)&gt;Tolerance)</f>
        <v>0</v>
      </c>
      <c r="CV21" s="50" t="n">
        <f aca="false">N((Calc_2!CV$4&gt;=Calc_2!$F17)*ABS(Calc_2!CV95)&gt;Tolerance)</f>
        <v>0</v>
      </c>
      <c r="CW21" s="50" t="n">
        <f aca="false">N((Calc_2!CW$4&gt;=Calc_2!$F17)*ABS(Calc_2!CW95)&gt;Tolerance)</f>
        <v>0</v>
      </c>
      <c r="CX21" s="50" t="n">
        <f aca="false">N((Calc_2!CX$4&gt;=Calc_2!$F17)*ABS(Calc_2!CX95)&gt;Tolerance)</f>
        <v>0</v>
      </c>
      <c r="CY21" s="50" t="n">
        <f aca="false">N((Calc_2!CY$4&gt;=Calc_2!$F17)*ABS(Calc_2!CY95)&gt;Tolerance)</f>
        <v>0</v>
      </c>
      <c r="CZ21" s="50" t="n">
        <f aca="false">N((Calc_2!CZ$4&gt;=Calc_2!$F17)*ABS(Calc_2!CZ95)&gt;Tolerance)</f>
        <v>0</v>
      </c>
      <c r="DA21" s="50" t="n">
        <f aca="false">N((Calc_2!DA$4&gt;=Calc_2!$F17)*ABS(Calc_2!DA95)&gt;Tolerance)</f>
        <v>0</v>
      </c>
      <c r="DB21" s="50" t="n">
        <f aca="false">N((Calc_2!DB$4&gt;=Calc_2!$F17)*ABS(Calc_2!DB95)&gt;Tolerance)</f>
        <v>0</v>
      </c>
      <c r="DC21" s="50" t="n">
        <f aca="false">N((Calc_2!DC$4&gt;=Calc_2!$F17)*ABS(Calc_2!DC95)&gt;Tolerance)</f>
        <v>0</v>
      </c>
      <c r="DD21" s="50" t="n">
        <f aca="false">N((Calc_2!DD$4&gt;=Calc_2!$F17)*ABS(Calc_2!DD95)&gt;Tolerance)</f>
        <v>0</v>
      </c>
      <c r="DE21" s="50" t="n">
        <f aca="false">N((Calc_2!DE$4&gt;=Calc_2!$F17)*ABS(Calc_2!DE95)&gt;Tolerance)</f>
        <v>0</v>
      </c>
      <c r="DF21" s="50" t="n">
        <f aca="false">N((Calc_2!DF$4&gt;=Calc_2!$F17)*ABS(Calc_2!DF95)&gt;Tolerance)</f>
        <v>0</v>
      </c>
      <c r="DG21" s="50" t="n">
        <f aca="false">N((Calc_2!DG$4&gt;=Calc_2!$F17)*ABS(Calc_2!DG95)&gt;Tolerance)</f>
        <v>0</v>
      </c>
      <c r="DH21" s="50" t="n">
        <f aca="false">N((Calc_2!DH$4&gt;=Calc_2!$F17)*ABS(Calc_2!DH95)&gt;Tolerance)</f>
        <v>0</v>
      </c>
      <c r="DI21" s="50" t="n">
        <f aca="false">N((Calc_2!DI$4&gt;=Calc_2!$F17)*ABS(Calc_2!DI95)&gt;Tolerance)</f>
        <v>0</v>
      </c>
      <c r="DJ21" s="50" t="n">
        <f aca="false">N((Calc_2!DJ$4&gt;=Calc_2!$F17)*ABS(Calc_2!DJ95)&gt;Tolerance)</f>
        <v>0</v>
      </c>
      <c r="DK21" s="50" t="n">
        <f aca="false">N((Calc_2!DK$4&gt;=Calc_2!$F17)*ABS(Calc_2!DK95)&gt;Tolerance)</f>
        <v>0</v>
      </c>
      <c r="DL21" s="50" t="n">
        <f aca="false">N((Calc_2!DL$4&gt;=Calc_2!$F17)*ABS(Calc_2!DL95)&gt;Tolerance)</f>
        <v>0</v>
      </c>
      <c r="DM21" s="50" t="n">
        <f aca="false">N((Calc_2!DM$4&gt;=Calc_2!$F17)*ABS(Calc_2!DM95)&gt;Tolerance)</f>
        <v>0</v>
      </c>
      <c r="DN21" s="50" t="n">
        <f aca="false">N((Calc_2!DN$4&gt;=Calc_2!$F17)*ABS(Calc_2!DN95)&gt;Tolerance)</f>
        <v>0</v>
      </c>
      <c r="DO21" s="50" t="n">
        <f aca="false">N((Calc_2!DO$4&gt;=Calc_2!$F17)*ABS(Calc_2!DO95)&gt;Tolerance)</f>
        <v>0</v>
      </c>
      <c r="DP21" s="50" t="n">
        <f aca="false">N((Calc_2!DP$4&gt;=Calc_2!$F17)*ABS(Calc_2!DP95)&gt;Tolerance)</f>
        <v>0</v>
      </c>
      <c r="DQ21" s="50" t="n">
        <f aca="false">N((Calc_2!DQ$4&gt;=Calc_2!$F17)*ABS(Calc_2!DQ95)&gt;Tolerance)</f>
        <v>0</v>
      </c>
      <c r="DR21" s="50" t="n">
        <f aca="false">N((Calc_2!DR$4&gt;=Calc_2!$F17)*ABS(Calc_2!DR95)&gt;Tolerance)</f>
        <v>0</v>
      </c>
      <c r="DS21" s="50" t="n">
        <f aca="false">N((Calc_2!DS$4&gt;=Calc_2!$F17)*ABS(Calc_2!DS95)&gt;Tolerance)</f>
        <v>0</v>
      </c>
      <c r="DT21" s="50" t="n">
        <f aca="false">N((Calc_2!DT$4&gt;=Calc_2!$F17)*ABS(Calc_2!DT95)&gt;Tolerance)</f>
        <v>0</v>
      </c>
      <c r="DU21" s="50" t="n">
        <f aca="false">N((Calc_2!DU$4&gt;=Calc_2!$F17)*ABS(Calc_2!DU95)&gt;Tolerance)</f>
        <v>0</v>
      </c>
      <c r="DV21" s="50" t="n">
        <f aca="false">N((Calc_2!DV$4&gt;=Calc_2!$F17)*ABS(Calc_2!DV95)&gt;Tolerance)</f>
        <v>0</v>
      </c>
      <c r="DW21" s="50" t="n">
        <f aca="false">N((Calc_2!DW$4&gt;=Calc_2!$F17)*ABS(Calc_2!DW95)&gt;Tolerance)</f>
        <v>0</v>
      </c>
      <c r="DX21" s="50" t="n">
        <f aca="false">N((Calc_2!DX$4&gt;=Calc_2!$F17)*ABS(Calc_2!DX95)&gt;Tolerance)</f>
        <v>0</v>
      </c>
      <c r="DY21" s="50" t="n">
        <f aca="false">N((Calc_2!DY$4&gt;=Calc_2!$F17)*ABS(Calc_2!DY95)&gt;Tolerance)</f>
        <v>0</v>
      </c>
      <c r="DZ21" s="50" t="n">
        <f aca="false">N((Calc_2!DZ$4&gt;=Calc_2!$F17)*ABS(Calc_2!DZ95)&gt;Tolerance)</f>
        <v>0</v>
      </c>
      <c r="EA21" s="50" t="n">
        <f aca="false">N((Calc_2!EA$4&gt;=Calc_2!$F17)*ABS(Calc_2!EA95)&gt;Tolerance)</f>
        <v>0</v>
      </c>
      <c r="EB21" s="50" t="n">
        <f aca="false">N((Calc_2!EB$4&gt;=Calc_2!$F17)*ABS(Calc_2!EB95)&gt;Tolerance)</f>
        <v>0</v>
      </c>
      <c r="EC21" s="50" t="n">
        <f aca="false">N((Calc_2!EC$4&gt;=Calc_2!$F17)*ABS(Calc_2!EC95)&gt;Tolerance)</f>
        <v>0</v>
      </c>
      <c r="ED21" s="50" t="n">
        <f aca="false">N((Calc_2!ED$4&gt;=Calc_2!$F17)*ABS(Calc_2!ED95)&gt;Tolerance)</f>
        <v>0</v>
      </c>
      <c r="EE21" s="50" t="n">
        <f aca="false">N((Calc_2!EE$4&gt;=Calc_2!$F17)*ABS(Calc_2!EE95)&gt;Tolerance)</f>
        <v>0</v>
      </c>
      <c r="EF21" s="50" t="n">
        <f aca="false">N((Calc_2!EF$4&gt;=Calc_2!$F17)*ABS(Calc_2!EF95)&gt;Tolerance)</f>
        <v>0</v>
      </c>
      <c r="EG21" s="50" t="n">
        <f aca="false">N((Calc_2!EG$4&gt;=Calc_2!$F17)*ABS(Calc_2!EG95)&gt;Tolerance)</f>
        <v>0</v>
      </c>
      <c r="EH21" s="50" t="n">
        <f aca="false">N((Calc_2!EH$4&gt;=Calc_2!$F17)*ABS(Calc_2!EH95)&gt;Tolerance)</f>
        <v>0</v>
      </c>
      <c r="EI21" s="50" t="n">
        <f aca="false">N((Calc_2!EI$4&gt;=Calc_2!$F17)*ABS(Calc_2!EI95)&gt;Tolerance)</f>
        <v>0</v>
      </c>
      <c r="EJ21" s="50" t="n">
        <f aca="false">N((Calc_2!EJ$4&gt;=Calc_2!$F17)*ABS(Calc_2!EJ95)&gt;Tolerance)</f>
        <v>0</v>
      </c>
      <c r="EK21" s="50" t="n">
        <f aca="false">N((Calc_2!EK$4&gt;=Calc_2!$F17)*ABS(Calc_2!EK95)&gt;Tolerance)</f>
        <v>0</v>
      </c>
      <c r="EL21" s="50" t="n">
        <f aca="false">N((Calc_2!EL$4&gt;=Calc_2!$F17)*ABS(Calc_2!EL95)&gt;Tolerance)</f>
        <v>0</v>
      </c>
      <c r="EM21" s="50" t="n">
        <f aca="false">N((Calc_2!EM$4&gt;=Calc_2!$F17)*ABS(Calc_2!EM95)&gt;Tolerance)</f>
        <v>0</v>
      </c>
      <c r="EN21" s="50" t="n">
        <f aca="false">N((Calc_2!EN$4&gt;=Calc_2!$F17)*ABS(Calc_2!EN95)&gt;Tolerance)</f>
        <v>0</v>
      </c>
      <c r="EO21" s="50" t="n">
        <f aca="false">N((Calc_2!EO$4&gt;=Calc_2!$F17)*ABS(Calc_2!EO95)&gt;Tolerance)</f>
        <v>0</v>
      </c>
    </row>
    <row r="22" customFormat="false" ht="15" hidden="false" customHeight="false" outlineLevel="0" collapsed="false">
      <c r="C22" s="1" t="s">
        <v>477</v>
      </c>
      <c r="D22" s="12" t="s">
        <v>43</v>
      </c>
      <c r="E22" s="28" t="str">
        <f aca="false">IF(F22=0,"OK","CHECK")</f>
        <v>OK</v>
      </c>
      <c r="F22" s="50" t="n">
        <f aca="false">N(Calc_1!$E99&lt;In_DSCR-Tolerance)</f>
        <v>0</v>
      </c>
    </row>
    <row r="23" customFormat="false" ht="15" hidden="false" customHeight="false" outlineLevel="0" collapsed="false">
      <c r="C23" s="1" t="s">
        <v>478</v>
      </c>
      <c r="D23" s="12" t="s">
        <v>43</v>
      </c>
      <c r="E23" s="28" t="str">
        <f aca="false">IF(F23=0,"OK","CHECK")</f>
        <v>OK</v>
      </c>
      <c r="F23" s="50" t="n">
        <f aca="false">N(Calc_2!$E99&lt;In_DSCR-Tolerance)</f>
        <v>0</v>
      </c>
    </row>
    <row r="24" customFormat="false" ht="15" hidden="false" customHeight="false" outlineLevel="0" collapsed="false">
      <c r="C24" s="1" t="s">
        <v>479</v>
      </c>
      <c r="D24" s="12" t="s">
        <v>43</v>
      </c>
      <c r="E24" s="28" t="str">
        <f aca="false">IF(F24=0,"OK","CHECK")</f>
        <v>OK</v>
      </c>
      <c r="F24" s="50" t="n">
        <f aca="false">N(ABS(Calc_1!$E120+Calc_1!$I125-Calc_1!$E95)&gt;Tolerance)</f>
        <v>0</v>
      </c>
    </row>
    <row r="25" customFormat="false" ht="15" hidden="false" customHeight="false" outlineLevel="0" collapsed="false">
      <c r="C25" s="1" t="s">
        <v>480</v>
      </c>
      <c r="D25" s="12" t="s">
        <v>43</v>
      </c>
      <c r="E25" s="28" t="str">
        <f aca="false">IF(F25=0,"OK","CHECK")</f>
        <v>OK</v>
      </c>
      <c r="F25" s="50" t="n">
        <f aca="false">N(ABS(Calc_2!$E120+Calc_2!$I125-Calc_2!$E95)&gt;Tolerance)</f>
        <v>0</v>
      </c>
    </row>
    <row r="26" customFormat="false" ht="15" hidden="false" customHeight="false" outlineLevel="0" collapsed="false">
      <c r="C26" s="1" t="s">
        <v>481</v>
      </c>
      <c r="D26" s="12" t="s">
        <v>43</v>
      </c>
      <c r="E26" s="28" t="str">
        <f aca="false">IF(F26=0,"OK","CHECK")</f>
        <v>OK</v>
      </c>
      <c r="F26" s="50" t="n">
        <f aca="false">N(ISERROR(Calc_1!$E130))+N(ISERROR(Calc_1!$E138))+N(ISERROR(Calc_1!$E136))</f>
        <v>0</v>
      </c>
    </row>
    <row r="27" customFormat="false" ht="15" hidden="false" customHeight="false" outlineLevel="0" collapsed="false">
      <c r="C27" s="1" t="s">
        <v>482</v>
      </c>
      <c r="D27" s="12" t="s">
        <v>43</v>
      </c>
      <c r="E27" s="28" t="str">
        <f aca="false">IF(F27=0,"OK","CHECK")</f>
        <v>OK</v>
      </c>
      <c r="F27" s="50" t="n">
        <f aca="false">N(ISERROR(Calc_2!$E130))+N(ISERROR(Calc_2!$E138))+N(ISERROR(Calc_2!$E136))</f>
        <v>0</v>
      </c>
    </row>
    <row r="28" customFormat="false" ht="15" hidden="false" customHeight="false" outlineLevel="0" collapsed="false">
      <c r="C28" s="1" t="s">
        <v>483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484</v>
      </c>
      <c r="F30" s="61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2" t="str">
        <f aca="false">IF(F32=0,"OK","CHECK")</f>
        <v>OK</v>
      </c>
      <c r="F32" s="61" t="n">
        <f aca="false">SUMPRODUCT(ABS(F12:F28))</f>
        <v>0</v>
      </c>
    </row>
    <row r="34" customFormat="false" ht="15" hidden="false" customHeight="false" outlineLevel="0" collapsed="false">
      <c r="C34" s="42" t="s">
        <v>158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2026-10-13T12:43:21Z</dcterms:created>
  <dc:creator>openpyxl</dc:creator>
  <dc:description/>
  <dc:language>en-US</dc:language>
  <cp:lastModifiedBy/>
  <dcterms:modified xsi:type="dcterms:W3CDTF">2026-10-13T12:43:26Z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